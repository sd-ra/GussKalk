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5F205EB3-77CD-4BEB-BB6A-5298CDA32A5F}" xr6:coauthVersionLast="47" xr6:coauthVersionMax="47" xr10:uidLastSave="{00000000-0000-0000-0000-000000000000}"/>
  <bookViews>
    <workbookView xWindow="-120" yWindow="-120" windowWidth="29040" windowHeight="15840" tabRatio="955" activeTab="2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4" i="3" l="1"/>
  <c r="E87" i="14" l="1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10" i="15"/>
  <c r="S50" i="3" l="1"/>
  <c r="S47" i="3"/>
  <c r="S34" i="3"/>
  <c r="S33" i="3"/>
  <c r="S32" i="3"/>
  <c r="S31" i="3"/>
  <c r="S30" i="3"/>
  <c r="S29" i="3"/>
  <c r="S28" i="3"/>
  <c r="S27" i="3"/>
  <c r="S26" i="3"/>
  <c r="S25" i="3"/>
  <c r="S23" i="3"/>
  <c r="S59" i="3" s="1"/>
  <c r="S22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S39" i="3" l="1"/>
  <c r="S40" i="3" s="1"/>
  <c r="S41" i="3" l="1"/>
  <c r="S42" i="3" l="1"/>
  <c r="S43" i="3" l="1"/>
  <c r="S44" i="3" s="1"/>
  <c r="S45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3" i="3"/>
  <c r="O63" i="3" s="1"/>
  <c r="R63" i="3"/>
  <c r="M63" i="3"/>
  <c r="L63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6" i="7"/>
  <c r="K46" i="7"/>
  <c r="N53" i="7" l="1"/>
  <c r="L32" i="7" l="1"/>
  <c r="P62" i="3" s="1"/>
  <c r="I32" i="7"/>
  <c r="M62" i="3" s="1"/>
  <c r="M50" i="3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7" i="3"/>
  <c r="I30" i="15" s="1"/>
  <c r="M47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M22" i="3"/>
  <c r="P32" i="3" l="1"/>
  <c r="M32" i="3"/>
  <c r="P50" i="3"/>
  <c r="P21" i="3"/>
  <c r="P28" i="3"/>
  <c r="M29" i="3"/>
  <c r="M28" i="3"/>
  <c r="F244" i="15" s="1"/>
  <c r="L240" i="15"/>
  <c r="P31" i="3"/>
  <c r="P30" i="3"/>
  <c r="P29" i="3"/>
  <c r="P27" i="3"/>
  <c r="I240" i="15" s="1"/>
  <c r="P26" i="3"/>
  <c r="M31" i="3"/>
  <c r="M30" i="3"/>
  <c r="M27" i="3"/>
  <c r="F240" i="15" s="1"/>
  <c r="M26" i="3"/>
  <c r="P23" i="3"/>
  <c r="M23" i="3"/>
  <c r="L236" i="15" l="1"/>
  <c r="L202" i="15"/>
  <c r="F236" i="15"/>
  <c r="F202" i="15"/>
  <c r="I236" i="15"/>
  <c r="I202" i="15"/>
  <c r="N141" i="7"/>
  <c r="L49" i="31" s="1"/>
  <c r="P59" i="3"/>
  <c r="K141" i="7" s="1"/>
  <c r="H49" i="31" s="1"/>
  <c r="M59" i="3"/>
  <c r="F25" i="15"/>
  <c r="F28" i="15"/>
  <c r="I25" i="15"/>
  <c r="I28" i="15"/>
  <c r="L25" i="15"/>
  <c r="L28" i="15"/>
  <c r="P25" i="3"/>
  <c r="I226" i="15" s="1"/>
  <c r="L226" i="15"/>
  <c r="M25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8" i="3" l="1"/>
  <c r="P78" i="3"/>
  <c r="O78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8" i="3"/>
  <c r="L78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5" i="3"/>
  <c r="K8" i="7" s="1"/>
  <c r="H11" i="31" s="1"/>
  <c r="M35" i="3"/>
  <c r="H8" i="7" s="1"/>
  <c r="D11" i="31" s="1"/>
  <c r="B66" i="15"/>
  <c r="B67" i="15" s="1"/>
  <c r="B68" i="15" s="1"/>
  <c r="B69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45" i="15"/>
  <c r="L263" i="15"/>
  <c r="L44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45" i="15" s="1"/>
  <c r="P48" i="3"/>
  <c r="P37" i="3"/>
  <c r="I88" i="15" s="1"/>
  <c r="P36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63" i="15" s="1"/>
  <c r="M17" i="3"/>
  <c r="F44" i="15" s="1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41" i="7" s="1"/>
  <c r="D49" i="31" s="1"/>
  <c r="M53" i="3"/>
  <c r="M54" i="3" s="1"/>
  <c r="M55" i="3" s="1"/>
  <c r="M51" i="3"/>
  <c r="M49" i="3"/>
  <c r="F145" i="15" s="1"/>
  <c r="M48" i="3"/>
  <c r="F144" i="15" s="1"/>
  <c r="D84" i="3"/>
  <c r="C84" i="3"/>
  <c r="M84" i="3"/>
  <c r="M74" i="3"/>
  <c r="L74" i="3" s="1"/>
  <c r="M68" i="3"/>
  <c r="L68" i="3" s="1"/>
  <c r="M67" i="3"/>
  <c r="L67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9" i="7"/>
  <c r="K109" i="7"/>
  <c r="H109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O2" i="3" s="1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65" i="15"/>
  <c r="L65" i="15"/>
  <c r="I65" i="15"/>
  <c r="B87" i="14" l="1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6" i="7"/>
  <c r="D97" i="7"/>
  <c r="D86" i="7"/>
  <c r="D82" i="7"/>
  <c r="D79" i="7"/>
  <c r="D85" i="7"/>
  <c r="D108" i="7"/>
  <c r="D107" i="7"/>
  <c r="D101" i="7"/>
  <c r="D105" i="7"/>
  <c r="D99" i="7"/>
  <c r="D104" i="7"/>
  <c r="D100" i="7"/>
  <c r="D103" i="7"/>
  <c r="I29" i="3"/>
  <c r="C23" i="24" s="1"/>
  <c r="S46" i="3"/>
  <c r="N7" i="7" s="1"/>
  <c r="P46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3" i="3"/>
  <c r="C57" i="24" s="1"/>
  <c r="D140" i="7"/>
  <c r="D141" i="7"/>
  <c r="C49" i="31" s="1"/>
  <c r="D20" i="25"/>
  <c r="D12" i="30"/>
  <c r="D21" i="7"/>
  <c r="C32" i="30"/>
  <c r="F186" i="15"/>
  <c r="F184" i="15" s="1"/>
  <c r="L186" i="15"/>
  <c r="L184" i="15" s="1"/>
  <c r="L244" i="15"/>
  <c r="K84" i="3"/>
  <c r="R3" i="3"/>
  <c r="R4" i="3"/>
  <c r="D69" i="7"/>
  <c r="D68" i="7"/>
  <c r="L157" i="15"/>
  <c r="L242" i="15"/>
  <c r="F242" i="15"/>
  <c r="I242" i="15"/>
  <c r="D78" i="7"/>
  <c r="D87" i="7"/>
  <c r="D77" i="7"/>
  <c r="D76" i="7"/>
  <c r="D114" i="7"/>
  <c r="D93" i="7"/>
  <c r="D72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23" i="7"/>
  <c r="D119" i="7"/>
  <c r="C38" i="31" s="1"/>
  <c r="D124" i="7"/>
  <c r="D18" i="7"/>
  <c r="D89" i="7"/>
  <c r="D46" i="7"/>
  <c r="D91" i="7"/>
  <c r="D60" i="7"/>
  <c r="D74" i="7"/>
  <c r="D75" i="7"/>
  <c r="D45" i="7"/>
  <c r="D39" i="7"/>
  <c r="D19" i="7"/>
  <c r="D42" i="7"/>
  <c r="D36" i="7"/>
  <c r="D25" i="7"/>
  <c r="D20" i="7"/>
  <c r="I64" i="3"/>
  <c r="I62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4" i="7"/>
  <c r="C42" i="31" s="1"/>
  <c r="D11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1" i="15"/>
  <c r="L246" i="15"/>
  <c r="I41" i="15"/>
  <c r="P20" i="3"/>
  <c r="I246" i="15" s="1"/>
  <c r="F41" i="15"/>
  <c r="M20" i="3"/>
  <c r="H34" i="30"/>
  <c r="M38" i="3"/>
  <c r="M39" i="3" s="1"/>
  <c r="K39" i="3" s="1"/>
  <c r="L88" i="15"/>
  <c r="P39" i="3"/>
  <c r="N39" i="3" s="1"/>
  <c r="N38" i="3"/>
  <c r="I87" i="15"/>
  <c r="F88" i="15"/>
  <c r="I32" i="15"/>
  <c r="L32" i="15"/>
  <c r="I3" i="15"/>
  <c r="Q57" i="3"/>
  <c r="L33" i="15"/>
  <c r="L53" i="15" s="1"/>
  <c r="N37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3" i="3"/>
  <c r="D24" i="25"/>
  <c r="K37" i="3"/>
  <c r="F157" i="15"/>
  <c r="F179" i="15"/>
  <c r="F249" i="15"/>
  <c r="F252" i="15"/>
  <c r="I33" i="15"/>
  <c r="I53" i="15" s="1"/>
  <c r="L249" i="15"/>
  <c r="L179" i="15"/>
  <c r="L252" i="15"/>
  <c r="K14" i="7"/>
  <c r="I179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88" i="7"/>
  <c r="D64" i="7"/>
  <c r="D51" i="7"/>
  <c r="D38" i="7"/>
  <c r="D34" i="7"/>
  <c r="D26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9" i="7"/>
  <c r="D41" i="7"/>
  <c r="D37" i="7"/>
  <c r="D17" i="7"/>
  <c r="D143" i="7"/>
  <c r="D137" i="7"/>
  <c r="D129" i="7"/>
  <c r="D98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5" i="3"/>
  <c r="C69" i="24" s="1"/>
  <c r="I77" i="3"/>
  <c r="C71" i="24" s="1"/>
  <c r="I76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4" i="3"/>
  <c r="K55" i="3"/>
  <c r="M56" i="3"/>
  <c r="K54" i="3"/>
  <c r="I31" i="3"/>
  <c r="C25" i="24" s="1"/>
  <c r="C24" i="24"/>
  <c r="C2" i="14"/>
  <c r="I46" i="3"/>
  <c r="C40" i="24" s="1"/>
  <c r="I80" i="3"/>
  <c r="D117" i="7" s="1"/>
  <c r="X2" i="3"/>
  <c r="I52" i="3"/>
  <c r="C46" i="24" s="1"/>
  <c r="O4" i="3"/>
  <c r="I33" i="3"/>
  <c r="C27" i="24" s="1"/>
  <c r="I13" i="3"/>
  <c r="I3" i="3"/>
  <c r="E3" i="7" s="1"/>
  <c r="I49" i="3"/>
  <c r="C43" i="24" s="1"/>
  <c r="C76" i="15"/>
  <c r="W278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3" i="7" s="1"/>
  <c r="I84" i="3"/>
  <c r="C78" i="24" s="1"/>
  <c r="I45" i="3"/>
  <c r="C39" i="24" s="1"/>
  <c r="C102" i="15"/>
  <c r="I58" i="3"/>
  <c r="C52" i="24" s="1"/>
  <c r="I74" i="3"/>
  <c r="I60" i="3"/>
  <c r="I21" i="3"/>
  <c r="I9" i="3"/>
  <c r="I15" i="3"/>
  <c r="C10" i="24" s="1"/>
  <c r="I36" i="3"/>
  <c r="C103" i="15"/>
  <c r="I37" i="3"/>
  <c r="I78" i="3"/>
  <c r="I83" i="3"/>
  <c r="C108" i="15"/>
  <c r="I17" i="3"/>
  <c r="C12" i="24" s="1"/>
  <c r="C107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C38" i="30" l="1"/>
  <c r="K38" i="30" s="1"/>
  <c r="I239" i="15"/>
  <c r="L239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F246" i="15"/>
  <c r="F243" i="15" s="1"/>
  <c r="H84" i="7" s="1"/>
  <c r="F238" i="15"/>
  <c r="F235" i="15" s="1"/>
  <c r="I238" i="15"/>
  <c r="I235" i="15" s="1"/>
  <c r="L238" i="15"/>
  <c r="L235" i="15" s="1"/>
  <c r="F169" i="15"/>
  <c r="I169" i="15"/>
  <c r="L174" i="15"/>
  <c r="L169" i="15"/>
  <c r="D92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40" i="3"/>
  <c r="I89" i="15"/>
  <c r="N13" i="3"/>
  <c r="C8" i="24"/>
  <c r="C6" i="24"/>
  <c r="L90" i="15"/>
  <c r="M40" i="3"/>
  <c r="M41" i="3" s="1"/>
  <c r="K41" i="3" s="1"/>
  <c r="K38" i="3"/>
  <c r="I174" i="15"/>
  <c r="F116" i="15"/>
  <c r="F174" i="15"/>
  <c r="P40" i="3"/>
  <c r="N40" i="3" s="1"/>
  <c r="F89" i="15"/>
  <c r="F91" i="15" s="1"/>
  <c r="F92" i="15" s="1"/>
  <c r="I90" i="15"/>
  <c r="X5" i="3"/>
  <c r="L39" i="15"/>
  <c r="L36" i="15" s="1"/>
  <c r="Q56" i="3"/>
  <c r="Q55" i="3"/>
  <c r="F165" i="15"/>
  <c r="K20" i="3"/>
  <c r="F39" i="15"/>
  <c r="F36" i="15" s="1"/>
  <c r="N135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11" i="7"/>
  <c r="D7" i="7"/>
  <c r="F209" i="15"/>
  <c r="L209" i="15"/>
  <c r="I209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74" i="15"/>
  <c r="W276" i="15" s="1"/>
  <c r="D135" i="7"/>
  <c r="C47" i="31" s="1"/>
  <c r="B62" i="14"/>
  <c r="B41" i="14"/>
  <c r="B60" i="14"/>
  <c r="G34" i="3" s="1"/>
  <c r="B19" i="14"/>
  <c r="B27" i="14"/>
  <c r="G50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5" i="7"/>
  <c r="D14" i="7"/>
  <c r="D24" i="7"/>
  <c r="C55" i="24"/>
  <c r="D13" i="7"/>
  <c r="C7" i="24"/>
  <c r="C58" i="24"/>
  <c r="D50" i="7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K84" i="7" l="1"/>
  <c r="K85" i="7" s="1"/>
  <c r="N84" i="7"/>
  <c r="N85" i="7" s="1"/>
  <c r="G33" i="3"/>
  <c r="N90" i="7"/>
  <c r="N91" i="7" s="1"/>
  <c r="H90" i="7"/>
  <c r="K90" i="7"/>
  <c r="K91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6" i="3"/>
  <c r="B27" i="24"/>
  <c r="B21" i="24"/>
  <c r="B41" i="24"/>
  <c r="L62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2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1" i="3"/>
  <c r="P41" i="3"/>
  <c r="N41" i="3" s="1"/>
  <c r="K40" i="3"/>
  <c r="M42" i="3"/>
  <c r="K42" i="3" s="1"/>
  <c r="L34" i="15"/>
  <c r="L31" i="15" s="1"/>
  <c r="L37" i="15" s="1"/>
  <c r="F34" i="15"/>
  <c r="F31" i="15" s="1"/>
  <c r="F265" i="15" s="1"/>
  <c r="G30" i="3"/>
  <c r="G31" i="3"/>
  <c r="G29" i="3"/>
  <c r="I34" i="15"/>
  <c r="I31" i="15" s="1"/>
  <c r="I37" i="15" s="1"/>
  <c r="I38" i="15" s="1"/>
  <c r="K47" i="3"/>
  <c r="H29" i="25"/>
  <c r="P56" i="3"/>
  <c r="N55" i="3"/>
  <c r="H135" i="7"/>
  <c r="D47" i="31" s="1"/>
  <c r="I57" i="31" s="1"/>
  <c r="K21" i="3"/>
  <c r="F85" i="15"/>
  <c r="F114" i="15"/>
  <c r="K26" i="3"/>
  <c r="L193" i="15"/>
  <c r="I57" i="3"/>
  <c r="C51" i="24" s="1"/>
  <c r="I41" i="3"/>
  <c r="C35" i="24" s="1"/>
  <c r="I42" i="3"/>
  <c r="C36" i="24" s="1"/>
  <c r="N40" i="7"/>
  <c r="R66" i="3"/>
  <c r="K50" i="3"/>
  <c r="K32" i="3"/>
  <c r="K30" i="3" s="1"/>
  <c r="F51" i="15"/>
  <c r="G32" i="3"/>
  <c r="I190" i="15"/>
  <c r="P66" i="3"/>
  <c r="O66" i="3" s="1"/>
  <c r="I7" i="15"/>
  <c r="I53" i="3"/>
  <c r="C47" i="24" s="1"/>
  <c r="I193" i="15"/>
  <c r="F193" i="15"/>
  <c r="G46" i="3"/>
  <c r="K46" i="3"/>
  <c r="I38" i="3"/>
  <c r="F146" i="15"/>
  <c r="H97" i="7" s="1"/>
  <c r="H96" i="7" s="1"/>
  <c r="I56" i="3"/>
  <c r="C50" i="24" s="1"/>
  <c r="H40" i="7"/>
  <c r="F7" i="15"/>
  <c r="F11" i="15"/>
  <c r="F18" i="15"/>
  <c r="L114" i="15"/>
  <c r="F19" i="15"/>
  <c r="F121" i="15" s="1"/>
  <c r="I146" i="15"/>
  <c r="I40" i="3"/>
  <c r="C34" i="24" s="1"/>
  <c r="I114" i="15"/>
  <c r="L146" i="15"/>
  <c r="K101" i="7" l="1"/>
  <c r="K100" i="7" s="1"/>
  <c r="K86" i="7"/>
  <c r="K105" i="7"/>
  <c r="K104" i="7" s="1"/>
  <c r="K97" i="7"/>
  <c r="K96" i="7" s="1"/>
  <c r="K108" i="7"/>
  <c r="K107" i="7" s="1"/>
  <c r="N108" i="7"/>
  <c r="N107" i="7" s="1"/>
  <c r="N86" i="7"/>
  <c r="N101" i="7"/>
  <c r="N100" i="7" s="1"/>
  <c r="N97" i="7"/>
  <c r="N96" i="7" s="1"/>
  <c r="N105" i="7"/>
  <c r="N104" i="7" s="1"/>
  <c r="H108" i="7"/>
  <c r="H107" i="7" s="1"/>
  <c r="H86" i="7"/>
  <c r="H105" i="7"/>
  <c r="H104" i="7" s="1"/>
  <c r="H101" i="7"/>
  <c r="H100" i="7" s="1"/>
  <c r="P72" i="3"/>
  <c r="O72" i="3" s="1"/>
  <c r="H91" i="7"/>
  <c r="M72" i="3"/>
  <c r="L72" i="3" s="1"/>
  <c r="H85" i="7"/>
  <c r="R75" i="3"/>
  <c r="R76" i="3"/>
  <c r="C32" i="24"/>
  <c r="M43" i="3"/>
  <c r="M44" i="3" s="1"/>
  <c r="K44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40" i="7" s="1"/>
  <c r="F194" i="15"/>
  <c r="F151" i="15"/>
  <c r="F185" i="15" s="1"/>
  <c r="F125" i="15"/>
  <c r="F122" i="15" s="1"/>
  <c r="H88" i="7" s="1"/>
  <c r="F10" i="15"/>
  <c r="F140" i="15"/>
  <c r="F142" i="15" s="1"/>
  <c r="F154" i="15"/>
  <c r="F17" i="15"/>
  <c r="F15" i="15" s="1"/>
  <c r="F6" i="15"/>
  <c r="F4" i="15" s="1"/>
  <c r="Q42" i="3"/>
  <c r="L38" i="15"/>
  <c r="Q19" i="3" s="1"/>
  <c r="P42" i="3"/>
  <c r="N42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8" i="7" s="1"/>
  <c r="N56" i="3"/>
  <c r="P57" i="3"/>
  <c r="N57" i="3" s="1"/>
  <c r="K29" i="3"/>
  <c r="K31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M76" i="3" l="1"/>
  <c r="L76" i="3" s="1"/>
  <c r="H83" i="7"/>
  <c r="H82" i="7" s="1"/>
  <c r="H80" i="7"/>
  <c r="H79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77" i="15"/>
  <c r="F176" i="15"/>
  <c r="K43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6" i="7" s="1"/>
  <c r="I271" i="15"/>
  <c r="I269" i="15" s="1"/>
  <c r="K140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8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40" i="7" s="1"/>
  <c r="L154" i="15"/>
  <c r="L17" i="15"/>
  <c r="L15" i="15" s="1"/>
  <c r="L125" i="15"/>
  <c r="L122" i="15" s="1"/>
  <c r="N88" i="7" s="1"/>
  <c r="L10" i="15"/>
  <c r="L140" i="15"/>
  <c r="L142" i="15" s="1"/>
  <c r="L121" i="15"/>
  <c r="L6" i="15"/>
  <c r="L4" i="15" s="1"/>
  <c r="L151" i="15"/>
  <c r="L185" i="15" s="1"/>
  <c r="Q43" i="3"/>
  <c r="F38" i="15"/>
  <c r="K19" i="3" s="1"/>
  <c r="P43" i="3"/>
  <c r="N43" i="3" s="1"/>
  <c r="M45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5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K83" i="7" l="1"/>
  <c r="K82" i="7" s="1"/>
  <c r="K80" i="7"/>
  <c r="K79" i="7" s="1"/>
  <c r="N83" i="7"/>
  <c r="N82" i="7" s="1"/>
  <c r="N80" i="7"/>
  <c r="N79" i="7" s="1"/>
  <c r="H87" i="7"/>
  <c r="E36" i="30"/>
  <c r="E34" i="31"/>
  <c r="I36" i="30"/>
  <c r="I34" i="31"/>
  <c r="F261" i="15"/>
  <c r="F256" i="15" s="1"/>
  <c r="L175" i="15"/>
  <c r="L253" i="15" s="1"/>
  <c r="N94" i="7" s="1"/>
  <c r="K16" i="30" s="1"/>
  <c r="I175" i="15"/>
  <c r="I253" i="15" s="1"/>
  <c r="K94" i="7" s="1"/>
  <c r="G16" i="30" s="1"/>
  <c r="F253" i="15"/>
  <c r="H94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4" i="3"/>
  <c r="Q37" i="3" s="1"/>
  <c r="K77" i="7"/>
  <c r="N77" i="7"/>
  <c r="F119" i="15"/>
  <c r="F199" i="15"/>
  <c r="F71" i="15"/>
  <c r="F74" i="15" s="1"/>
  <c r="I199" i="15"/>
  <c r="I192" i="15"/>
  <c r="L192" i="15"/>
  <c r="N116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4" i="3"/>
  <c r="K98" i="7"/>
  <c r="I68" i="7"/>
  <c r="H22" i="7"/>
  <c r="F127" i="15"/>
  <c r="K45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8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7" i="7"/>
  <c r="F257" i="15"/>
  <c r="K87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12" i="7"/>
  <c r="H113" i="7" s="1"/>
  <c r="E42" i="31" s="1"/>
  <c r="F189" i="15"/>
  <c r="F276" i="15"/>
  <c r="K116" i="7"/>
  <c r="F73" i="15"/>
  <c r="F59" i="15" s="1"/>
  <c r="O276" i="15"/>
  <c r="U276" i="15"/>
  <c r="L258" i="15"/>
  <c r="I191" i="15"/>
  <c r="I187" i="15" s="1"/>
  <c r="I195" i="15" s="1"/>
  <c r="L191" i="15"/>
  <c r="L187" i="15" s="1"/>
  <c r="L195" i="15" s="1"/>
  <c r="K44" i="7"/>
  <c r="N44" i="7"/>
  <c r="P45" i="3"/>
  <c r="N44" i="3"/>
  <c r="L73" i="15"/>
  <c r="L59" i="15" s="1"/>
  <c r="I57" i="15"/>
  <c r="I50" i="15" s="1"/>
  <c r="I49" i="15"/>
  <c r="I72" i="15" s="1"/>
  <c r="F43" i="15"/>
  <c r="F40" i="15" s="1"/>
  <c r="F111" i="15" s="1"/>
  <c r="F109" i="15" s="1"/>
  <c r="H62" i="7" s="1"/>
  <c r="L276" i="15" l="1"/>
  <c r="I231" i="15"/>
  <c r="I232" i="15" s="1"/>
  <c r="I225" i="15" s="1"/>
  <c r="I118" i="15" s="1"/>
  <c r="I117" i="15" s="1"/>
  <c r="K68" i="7" s="1"/>
  <c r="K69" i="7" s="1"/>
  <c r="F259" i="15"/>
  <c r="F266" i="15" s="1"/>
  <c r="F264" i="15" s="1"/>
  <c r="H139" i="7" s="1"/>
  <c r="D48" i="31" s="1"/>
  <c r="E49" i="31" s="1"/>
  <c r="E44" i="30"/>
  <c r="I258" i="15"/>
  <c r="Q45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12" i="7"/>
  <c r="N113" i="7" s="1"/>
  <c r="M42" i="31" s="1"/>
  <c r="K112" i="7"/>
  <c r="K113" i="7" s="1"/>
  <c r="I42" i="31" s="1"/>
  <c r="I255" i="15"/>
  <c r="I205" i="15" s="1"/>
  <c r="K22" i="7" s="1"/>
  <c r="N45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33" i="7" s="1"/>
  <c r="L77" i="15"/>
  <c r="I43" i="15"/>
  <c r="I40" i="15" s="1"/>
  <c r="I111" i="15" s="1"/>
  <c r="K17" i="7"/>
  <c r="I59" i="15"/>
  <c r="I70" i="15"/>
  <c r="H51" i="7"/>
  <c r="H133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9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8" i="7" s="1"/>
  <c r="N59" i="7"/>
  <c r="N60" i="7" s="1"/>
  <c r="I109" i="15"/>
  <c r="K62" i="7" s="1"/>
  <c r="K65" i="7" s="1"/>
  <c r="K66" i="7" s="1"/>
  <c r="I78" i="15"/>
  <c r="I264" i="15"/>
  <c r="K139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33" i="7" s="1"/>
  <c r="I160" i="15"/>
  <c r="I158" i="15" s="1"/>
  <c r="I156" i="15" s="1"/>
  <c r="U278" i="15"/>
  <c r="O278" i="15"/>
  <c r="N276" i="15"/>
  <c r="T276" i="15"/>
  <c r="H19" i="7" l="1"/>
  <c r="H20" i="7" s="1"/>
  <c r="H89" i="7"/>
  <c r="H93" i="7" s="1"/>
  <c r="H138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9" i="7"/>
  <c r="N93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8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9" i="7"/>
  <c r="K93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5" i="7"/>
  <c r="N146" i="7"/>
  <c r="N148" i="7"/>
  <c r="N147" i="7"/>
  <c r="R279" i="15"/>
  <c r="N150" i="7"/>
  <c r="N149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7" i="7"/>
  <c r="K146" i="7"/>
  <c r="K150" i="7"/>
  <c r="K145" i="7"/>
  <c r="K149" i="7"/>
  <c r="K148" i="7"/>
  <c r="E285" i="15"/>
  <c r="E286" i="15" s="1"/>
  <c r="E287" i="15" s="1"/>
  <c r="E288" i="15" s="1"/>
  <c r="E289" i="15" s="1"/>
  <c r="E290" i="15" s="1"/>
  <c r="E291" i="15" s="1"/>
  <c r="E292" i="15" s="1"/>
  <c r="E293" i="15" s="1"/>
  <c r="H148" i="7" s="1"/>
  <c r="I41" i="30" l="1"/>
  <c r="I39" i="31"/>
  <c r="E39" i="30"/>
  <c r="E37" i="31"/>
  <c r="D33" i="31" s="1"/>
  <c r="I39" i="30"/>
  <c r="I37" i="31"/>
  <c r="H33" i="31" s="1"/>
  <c r="H115" i="7"/>
  <c r="H118" i="7" s="1"/>
  <c r="E43" i="31" s="1"/>
  <c r="D38" i="31" s="1"/>
  <c r="D57" i="31" s="1"/>
  <c r="E41" i="30"/>
  <c r="N115" i="7"/>
  <c r="N118" i="7" s="1"/>
  <c r="M43" i="31" s="1"/>
  <c r="L38" i="31" s="1"/>
  <c r="M41" i="30"/>
  <c r="H26" i="7"/>
  <c r="D35" i="30" s="1"/>
  <c r="K26" i="7"/>
  <c r="H35" i="30" s="1"/>
  <c r="K115" i="7"/>
  <c r="H146" i="7"/>
  <c r="H145" i="7"/>
  <c r="H147" i="7"/>
  <c r="H150" i="7"/>
  <c r="H149" i="7"/>
  <c r="C57" i="31" l="1"/>
  <c r="D58" i="31" s="1"/>
  <c r="E58" i="31" s="1"/>
  <c r="C63" i="31"/>
  <c r="D64" i="31" s="1"/>
  <c r="K129" i="7"/>
  <c r="H129" i="7"/>
  <c r="N119" i="7"/>
  <c r="D68" i="31" s="1"/>
  <c r="H119" i="7"/>
  <c r="K118" i="7"/>
  <c r="I43" i="31" s="1"/>
  <c r="H38" i="31" s="1"/>
  <c r="D47" i="30" l="1"/>
  <c r="D45" i="31"/>
  <c r="H47" i="30"/>
  <c r="H45" i="31"/>
  <c r="N125" i="7"/>
  <c r="L40" i="30"/>
  <c r="M45" i="30"/>
  <c r="E45" i="30"/>
  <c r="D40" i="30"/>
  <c r="K119" i="7"/>
  <c r="H122" i="7"/>
  <c r="H124" i="7" s="1"/>
  <c r="H125" i="7"/>
  <c r="W4" i="7"/>
  <c r="F63" i="31" l="1"/>
  <c r="F57" i="31"/>
  <c r="D63" i="31"/>
  <c r="E64" i="31" s="1"/>
  <c r="K122" i="7"/>
  <c r="K124" i="7" s="1"/>
  <c r="I45" i="30"/>
  <c r="H40" i="30"/>
  <c r="H126" i="7"/>
  <c r="D44" i="31" s="1"/>
  <c r="K125" i="7"/>
  <c r="E57" i="31" l="1"/>
  <c r="F58" i="31" s="1"/>
  <c r="D46" i="31"/>
  <c r="E47" i="31" s="1"/>
  <c r="K126" i="7"/>
  <c r="H131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1" i="7"/>
  <c r="K2" i="7" s="1"/>
  <c r="K3" i="7" s="1"/>
  <c r="K4" i="7" s="1"/>
  <c r="H136" i="7"/>
  <c r="H137" i="7" s="1"/>
  <c r="E46" i="30"/>
  <c r="E47" i="30"/>
  <c r="I46" i="30" l="1"/>
  <c r="E63" i="31"/>
  <c r="F64" i="31" s="1"/>
  <c r="H46" i="31"/>
  <c r="I47" i="31" s="1"/>
  <c r="K136" i="7"/>
  <c r="K137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22" i="7"/>
  <c r="N129" i="7"/>
  <c r="L35" i="30"/>
  <c r="L47" i="30" l="1"/>
  <c r="L45" i="31"/>
  <c r="N124" i="7"/>
  <c r="N126" i="7" s="1"/>
  <c r="L44" i="31" l="1"/>
  <c r="L46" i="31" s="1"/>
  <c r="L46" i="30"/>
  <c r="N131" i="7"/>
  <c r="F68" i="31"/>
  <c r="L48" i="30" l="1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<sst xmlns="http://schemas.openxmlformats.org/spreadsheetml/2006/main" count="3275" uniqueCount="1020">
  <si>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</si>
  <si>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</si>
  <si>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</si>
  <si>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</si>
  <si>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</si>
  <si>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</si>
  <si>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</si>
  <si>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</si>
  <si>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</si>
  <si>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</si>
  <si>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</si>
  <si>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</si>
  <si>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</si>
  <si>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</si>
  <si>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</si>
  <si>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</si>
  <si>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</si>
  <si>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</si>
  <si>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</si>
  <si>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</si>
  <si>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</si>
  <si>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</si>
  <si>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</si>
  <si>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</si>
  <si>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</si>
  <si>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</si>
  <si>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</si>
  <si>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</si>
  <si>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</si>
  <si>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</si>
  <si>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</si>
  <si>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</si>
  <si>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</si>
  <si>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</si>
  <si>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</si>
  <si>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</si>
  <si>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</si>
  <si>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</si>
  <si>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</si>
  <si>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</si>
  <si>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</si>
  <si>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</si>
  <si>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</si>
  <si>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</si>
  <si>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</si>
  <si>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</si>
  <si>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</si>
  <si>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</si>
  <si>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</si>
  <si>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</si>
  <si>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</si>
  <si>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</si>
  <si>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</si>
  <si>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</si>
  <si>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</si>
  <si>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</si>
  <si>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</si>
  <si>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</si>
  <si>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</si>
  <si>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</si>
  <si>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</si>
  <si>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</si>
  <si>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</si>
  <si>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</si>
  <si>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</si>
  <si>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</si>
  <si>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</si>
  <si>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</si>
  <si>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</si>
  <si>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</si>
  <si>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</si>
  <si>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</si>
  <si>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</si>
  <si>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</si>
  <si>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</si>
  <si>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</si>
  <si>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</si>
  <si>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</si>
  <si>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</si>
  <si>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</si>
  <si>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</si>
  <si>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</si>
  <si>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</si>
  <si>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</si>
  <si>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</si>
  <si>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</si>
  <si>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</si>
  <si>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</si>
  <si>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</si>
  <si>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</si>
  <si>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</si>
  <si>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</si>
  <si>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</si>
  <si>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</si>
  <si>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</si>
  <si>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</si>
  <si>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</si>
  <si>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</si>
  <si>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</si>
  <si>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</si>
  <si>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</si>
  <si>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</si>
  <si>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</si>
  <si>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</si>
  <si>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</si>
  <si>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</si>
  <si>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</si>
  <si>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</si>
  <si>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</si>
  <si>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</si>
  <si>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</si>
  <si>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</si>
  <si>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</si>
  <si>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</si>
  <si>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</si>
  <si>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</si>
  <si>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</si>
  <si>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</si>
  <si>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</si>
  <si>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</si>
  <si>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</si>
  <si>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</si>
  <si>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</si>
  <si>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</si>
  <si>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</si>
  <si>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</si>
  <si>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</si>
  <si>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</si>
  <si>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</si>
  <si>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</si>
  <si>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</si>
  <si>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</si>
  <si>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</si>
  <si>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</si>
  <si>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</si>
  <si>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</si>
  <si>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</si>
  <si>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</si>
  <si>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</si>
  <si>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</si>
  <si>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</si>
  <si>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</si>
  <si>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</si>
  <si>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</si>
  <si>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</si>
  <si>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</si>
  <si>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</si>
  <si>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</si>
  <si>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</si>
  <si>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</si>
  <si>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</si>
  <si>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</si>
  <si>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</si>
  <si>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</si>
  <si>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</si>
  <si>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</si>
  <si>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</si>
  <si>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</si>
  <si>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</si>
  <si>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</si>
  <si>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</si>
  <si>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</si>
  <si>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</si>
  <si>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</si>
  <si>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</si>
  <si>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</si>
  <si>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</si>
  <si>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</si>
  <si>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</si>
  <si>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</si>
  <si>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</si>
  <si>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</si>
  <si>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</si>
  <si>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</si>
  <si>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</si>
  <si>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</si>
  <si>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</si>
  <si>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</si>
  <si>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</si>
  <si>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</si>
  <si>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</si>
  <si>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</si>
  <si>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</si>
  <si>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</si>
  <si>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</si>
  <si>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</si>
  <si>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</si>
  <si>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</si>
  <si>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</si>
  <si>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</si>
  <si>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</si>
  <si>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</si>
  <si>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</si>
  <si>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</si>
  <si>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</si>
  <si>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</si>
  <si>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</si>
  <si>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</si>
  <si>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</si>
  <si>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</si>
  <si>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</si>
  <si>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</si>
  <si>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</si>
  <si>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</si>
  <si>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</si>
  <si>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</si>
  <si>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</si>
  <si>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</si>
  <si>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</si>
  <si>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</si>
  <si>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</si>
  <si>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</si>
  <si>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</si>
  <si>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</si>
  <si>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</si>
  <si>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</si>
  <si>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</si>
  <si>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</si>
  <si>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</si>
  <si>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</si>
  <si>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</si>
  <si>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</si>
  <si>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</si>
  <si>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</si>
  <si>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</si>
  <si>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</si>
  <si>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</si>
  <si>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</si>
  <si>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</si>
  <si>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</si>
  <si>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</si>
  <si>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</si>
  <si>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</si>
  <si>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</si>
  <si>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</si>
  <si>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</si>
  <si>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</si>
  <si>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</si>
  <si>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</si>
  <si>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</si>
  <si>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</si>
  <si>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</si>
  <si>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</si>
  <si>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</si>
  <si>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</si>
  <si>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</si>
  <si>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</si>
  <si>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</si>
  <si>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</si>
  <si>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</si>
  <si>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</si>
  <si>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</si>
  <si>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</si>
  <si>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</si>
  <si>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</si>
  <si>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</si>
  <si>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</si>
  <si>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</si>
  <si>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</si>
  <si>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</si>
  <si>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</si>
  <si>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</si>
  <si>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</si>
  <si>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</si>
  <si>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</si>
  <si>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</si>
  <si>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</si>
  <si>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</si>
  <si>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</si>
  <si>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</si>
  <si>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</si>
  <si>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</si>
  <si>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</si>
  <si>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</si>
  <si>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</si>
  <si>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</si>
  <si>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</si>
  <si>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</si>
  <si>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</si>
  <si>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</si>
  <si>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</si>
  <si>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</si>
  <si>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</si>
  <si>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</si>
  <si>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</si>
  <si>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</si>
  <si>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</si>
  <si>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</si>
  <si>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</si>
  <si>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</si>
  <si>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</si>
  <si>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</si>
  <si>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</si>
  <si>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</si>
  <si>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</si>
  <si>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</si>
  <si>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</si>
  <si>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</si>
  <si>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</si>
  <si>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</si>
  <si>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</si>
  <si>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</si>
  <si>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</si>
  <si>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</si>
  <si>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</si>
  <si>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</si>
  <si>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</si>
  <si>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</si>
  <si>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</si>
  <si>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</si>
  <si>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</si>
  <si>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</si>
  <si>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</si>
  <si>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</si>
  <si>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</si>
  <si>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</si>
  <si>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</si>
  <si>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</si>
  <si>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</si>
  <si>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</si>
  <si>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</si>
  <si>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</si>
  <si>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</si>
  <si>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</si>
  <si>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</si>
  <si>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</si>
  <si>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</si>
  <si>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</si>
  <si>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</si>
  <si>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</si>
  <si>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</si>
  <si>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</si>
  <si>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</si>
  <si>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</si>
  <si>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</si>
  <si>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</si>
  <si>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</si>
  <si>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</si>
  <si>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</si>
  <si>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</si>
  <si>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</si>
  <si>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</si>
  <si>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</si>
  <si>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</si>
  <si>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</si>
  <si>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</si>
  <si>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</si>
  <si>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</si>
  <si>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</si>
  <si>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</si>
  <si>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</si>
  <si>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</si>
  <si>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</si>
  <si>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</si>
  <si>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</si>
  <si>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</si>
  <si>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</si>
  <si>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</si>
  <si>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</si>
  <si>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</si>
  <si>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</si>
  <si>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</si>
  <si>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</si>
  <si>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</si>
  <si>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</si>
  <si>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</si>
  <si>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</si>
  <si>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</si>
  <si>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</si>
  <si>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</si>
  <si>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</si>
  <si>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</si>
  <si>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</si>
  <si>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</si>
  <si>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</si>
  <si>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</si>
  <si>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</si>
  <si>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</si>
  <si>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</si>
  <si>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</si>
  <si>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</si>
  <si>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</si>
  <si>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</si>
  <si>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</si>
  <si>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</si>
  <si>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</si>
  <si>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</si>
  <si>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</si>
  <si>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</si>
  <si>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</si>
  <si>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</si>
  <si>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</si>
  <si>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</si>
  <si>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</si>
  <si>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</si>
  <si>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</si>
  <si>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</si>
  <si>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</si>
  <si>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</si>
  <si>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</si>
  <si>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</si>
  <si>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</si>
  <si>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</si>
  <si>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</si>
  <si>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</si>
  <si>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</si>
  <si>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</si>
  <si>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</si>
  <si>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</si>
  <si>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</si>
  <si>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</si>
  <si>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</si>
  <si>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</si>
  <si>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</si>
  <si>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</si>
  <si>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</si>
  <si>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</si>
  <si>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</si>
  <si>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</si>
  <si>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</si>
  <si>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</si>
  <si>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</si>
  <si>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</si>
  <si>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</si>
  <si>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</si>
  <si>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</si>
  <si>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</si>
  <si>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</si>
  <si>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</si>
  <si>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</si>
  <si>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</si>
  <si>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</si>
  <si>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</si>
  <si>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</si>
  <si>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</si>
  <si>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</si>
  <si>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</si>
  <si>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</si>
  <si>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</si>
  <si>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</si>
  <si>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</si>
  <si>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</si>
  <si>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</si>
  <si>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</si>
  <si>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</si>
  <si>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</si>
  <si>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</si>
  <si>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</si>
  <si>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</si>
  <si>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</si>
  <si>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</si>
  <si>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</si>
  <si>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</si>
  <si>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</si>
  <si>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</si>
  <si>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</si>
  <si>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</si>
  <si>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</si>
  <si>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</si>
  <si>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</si>
  <si>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</si>
  <si>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</si>
  <si>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</si>
  <si>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</si>
  <si>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</si>
  <si>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</si>
  <si>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</si>
  <si>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automatisch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</si>
  <si>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</si>
  <si>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</si>
  <si>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</si>
  <si>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</si>
  <si>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</si>
  <si>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</si>
  <si>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</si>
  <si>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</si>
  <si>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</si>
  <si>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</si>
  <si>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</si>
  <si>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</si>
  <si>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</si>
  <si>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</si>
  <si>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</si>
  <si>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</si>
  <si>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</si>
  <si>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</si>
  <si>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</si>
  <si>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</si>
  <si>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</si>
  <si>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</si>
  <si>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</si>
  <si>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</si>
  <si>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</si>
  <si>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</si>
  <si>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</si>
  <si>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</si>
  <si>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</si>
  <si>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</si>
  <si>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</si>
  <si>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</si>
  <si>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</si>
  <si>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</si>
  <si>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</si>
  <si>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</si>
  <si>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</si>
  <si>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</si>
  <si>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</si>
  <si>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</si>
  <si>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</si>
  <si>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</si>
  <si>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</si>
  <si>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</si>
  <si>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</si>
  <si>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</si>
  <si>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</si>
  <si>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</si>
  <si>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</si>
  <si>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</si>
  <si>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</si>
  <si>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</si>
  <si>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</si>
  <si>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</si>
  <si>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</si>
  <si>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</si>
  <si>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</si>
  <si>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</si>
  <si>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</si>
  <si>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</si>
  <si>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</si>
  <si>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</si>
  <si>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</si>
  <si>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</si>
  <si>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</si>
  <si>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</si>
  <si>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</si>
  <si>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</si>
  <si>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</si>
  <si>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</si>
  <si>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</si>
  <si>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</si>
  <si>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</si>
  <si>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</si>
  <si>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</si>
  <si>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</si>
  <si>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</si>
  <si>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</si>
  <si>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</si>
  <si>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</si>
  <si>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</si>
  <si>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</si>
  <si>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</si>
  <si>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</si>
  <si>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</si>
  <si>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</si>
  <si>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</si>
  <si>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</si>
  <si>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</si>
  <si>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</si>
  <si>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</si>
  <si>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</si>
  <si>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</si>
  <si>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</si>
  <si>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</si>
  <si>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</si>
  <si>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</si>
  <si>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</si>
  <si>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</si>
  <si>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</si>
  <si>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</si>
  <si>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</si>
  <si>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</si>
  <si>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</si>
  <si>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</si>
  <si>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</si>
  <si>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</si>
  <si>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</si>
  <si>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</si>
  <si>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</si>
  <si>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</si>
  <si>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</si>
  <si>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</si>
  <si>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</si>
  <si>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</si>
  <si>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</si>
  <si>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</si>
  <si>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</si>
  <si>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</si>
  <si>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</si>
  <si>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</si>
  <si>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</si>
  <si>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</si>
  <si>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</si>
  <si>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</si>
  <si>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</si>
  <si>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</si>
  <si>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</si>
  <si>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</si>
  <si>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</si>
  <si>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</si>
  <si>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</si>
  <si>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</si>
  <si>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</si>
  <si>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</si>
  <si>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</si>
  <si>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</si>
  <si>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</si>
  <si>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</si>
  <si>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</si>
  <si>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</si>
  <si>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</si>
  <si>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</si>
  <si>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</si>
  <si>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</si>
  <si>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</si>
  <si>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</si>
  <si>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</si>
  <si>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</si>
  <si>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</si>
  <si>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</si>
  <si>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</si>
  <si>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</si>
  <si>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</si>
  <si>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</si>
  <si>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</si>
  <si>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</si>
  <si>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</si>
  <si>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</si>
  <si>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</si>
  <si>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</si>
  <si>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</si>
  <si>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</si>
  <si>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</si>
  <si>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</si>
  <si>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</si>
  <si>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</si>
  <si>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</si>
  <si>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</si>
  <si>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</si>
  <si>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</si>
  <si>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</si>
  <si>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</si>
  <si>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</si>
  <si>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</si>
  <si>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</si>
  <si>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</si>
  <si>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</si>
  <si>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</si>
  <si>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</si>
  <si>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</si>
  <si>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</si>
  <si>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</si>
  <si>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</si>
  <si>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</si>
  <si>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</si>
  <si>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</si>
  <si>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</si>
  <si>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</si>
  <si>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</si>
  <si>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</si>
  <si>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</si>
  <si>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</si>
  <si>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</si>
  <si>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</si>
  <si>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</si>
  <si>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</si>
  <si>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</si>
  <si>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</si>
  <si>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</si>
  <si>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</si>
  <si>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</si>
  <si>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</si>
  <si>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</si>
  <si>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</si>
  <si>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</si>
  <si>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</si>
  <si>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</si>
  <si>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</si>
  <si>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</si>
  <si>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</si>
  <si>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</si>
  <si>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</si>
  <si>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</si>
  <si>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</si>
  <si>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</si>
  <si>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</si>
  <si>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</si>
  <si>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</si>
  <si>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</si>
  <si>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</si>
  <si>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</si>
  <si>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</si>
  <si>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</si>
  <si>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</si>
  <si>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</si>
  <si>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</si>
  <si>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</si>
  <si>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</si>
  <si>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</si>
  <si>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</si>
  <si>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</si>
  <si>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</si>
  <si>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</si>
  <si>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</si>
  <si>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</si>
  <si>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</si>
  <si>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</si>
  <si>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</si>
  <si>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</si>
  <si>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</si>
  <si>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</si>
  <si>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</si>
  <si>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</si>
  <si>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</si>
  <si>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</si>
  <si>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</si>
  <si>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</si>
  <si>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</si>
  <si>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</si>
  <si>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</si>
  <si>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</si>
  <si>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</si>
  <si>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</si>
  <si>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</si>
  <si>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</si>
  <si>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</si>
  <si>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</si>
  <si>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</si>
  <si>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</si>
  <si>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</si>
  <si>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</si>
  <si>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</si>
  <si>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</si>
  <si>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</si>
  <si>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</si>
  <si>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</si>
  <si>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</si>
  <si>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</si>
  <si>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</si>
  <si>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</si>
  <si>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</si>
  <si>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</si>
  <si>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</si>
  <si>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</si>
  <si>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</si>
  <si>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</si>
  <si>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</si>
  <si>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</si>
  <si>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</si>
  <si>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</si>
  <si>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</si>
  <si>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</si>
  <si>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</si>
  <si>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</si>
  <si>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</si>
  <si>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</si>
  <si>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</si>
  <si>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</si>
  <si>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</si>
  <si>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</si>
  <si>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</si>
  <si>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</si>
  <si>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</si>
  <si>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</si>
  <si>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</si>
  <si>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</si>
  <si>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</si>
  <si>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</si>
  <si>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</si>
  <si>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</si>
  <si>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</si>
  <si>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</si>
  <si>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</si>
  <si>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</si>
  <si>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</si>
  <si>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</si>
  <si>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</si>
  <si>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</si>
  <si>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</si>
  <si>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</si>
  <si>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</si>
  <si>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</si>
  <si>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</si>
  <si>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</si>
  <si>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</si>
  <si>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</si>
  <si>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</si>
  <si>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</si>
  <si>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</si>
  <si>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</si>
  <si>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</si>
  <si>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</si>
  <si>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</si>
  <si>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</si>
  <si>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</si>
  <si>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</si>
  <si>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</si>
  <si>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</si>
  <si>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</si>
  <si>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</si>
  <si>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</si>
  <si>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</si>
  <si>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</si>
  <si>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</si>
  <si>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</si>
  <si>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</si>
  <si>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</si>
  <si>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</si>
  <si>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</si>
  <si>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</si>
  <si>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</si>
  <si>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</si>
  <si>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</si>
  <si>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</si>
  <si>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</si>
  <si>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</si>
  <si>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</si>
  <si>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</si>
  <si>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</si>
  <si>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</si>
  <si>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</si>
  <si>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</si>
  <si>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</si>
  <si>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</si>
  <si>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</si>
  <si>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</si>
  <si>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</si>
  <si>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</si>
  <si>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</si>
  <si>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</si>
  <si>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</si>
  <si>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</si>
  <si>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</si>
  <si>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</si>
  <si>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</si>
  <si>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</si>
  <si>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</si>
  <si>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</si>
  <si>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</si>
  <si>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</si>
  <si>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</si>
  <si>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</si>
  <si>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</si>
  <si>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</si>
  <si>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</si>
  <si>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</si>
  <si>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</si>
  <si>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</si>
  <si>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</si>
  <si>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</si>
  <si>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</si>
  <si>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</si>
  <si>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</si>
  <si>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</si>
  <si>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</si>
  <si>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</si>
  <si>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</si>
  <si>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</si>
  <si>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</si>
  <si>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</si>
  <si>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</si>
  <si>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</si>
  <si>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</si>
  <si>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</si>
  <si>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</si>
  <si>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</si>
  <si>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</si>
  <si>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</si>
  <si>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</si>
  <si>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</si>
  <si>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</si>
  <si>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</si>
  <si>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</si>
  <si>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</si>
  <si>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</si>
  <si>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</si>
  <si>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</si>
  <si>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</si>
  <si>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</si>
  <si>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</si>
  <si>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</si>
  <si>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</si>
  <si>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</si>
  <si>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</si>
  <si>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</si>
  <si>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</si>
  <si>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</si>
  <si>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</si>
  <si>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</si>
  <si>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</si>
  <si>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</si>
  <si>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</si>
  <si>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</si>
  <si>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</si>
  <si>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</si>
  <si>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</si>
  <si>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</si>
  <si>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</si>
  <si>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</si>
  <si>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</si>
  <si>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</si>
  <si>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</si>
  <si>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</si>
  <si>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</si>
  <si>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</si>
  <si>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</si>
  <si>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</si>
  <si>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</si>
  <si>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</si>
  <si>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</si>
  <si>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</si>
  <si>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</si>
  <si>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</si>
  <si>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</si>
  <si>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</si>
  <si>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</si>
  <si>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</si>
  <si>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</si>
  <si>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</si>
  <si>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</si>
  <si>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</si>
  <si>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</si>
  <si>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</si>
  <si>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</si>
  <si>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</si>
  <si>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</si>
  <si>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</si>
  <si>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</si>
  <si>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</si>
  <si>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</si>
  <si>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</si>
  <si>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</si>
  <si>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</si>
  <si>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</si>
  <si>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</si>
  <si>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</si>
  <si>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</si>
  <si>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</si>
  <si>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</si>
  <si>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</si>
  <si>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</si>
  <si>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</si>
  <si>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</si>
  <si>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</si>
  <si>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</si>
  <si>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</si>
  <si>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</si>
  <si>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</si>
  <si>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</si>
  <si>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</si>
  <si>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</si>
  <si>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</si>
  <si>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</si>
  <si>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</si>
  <si>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</si>
  <si>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</si>
  <si>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</si>
  <si>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</si>
  <si>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</si>
  <si>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</si>
  <si>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</si>
  <si>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</si>
  <si>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</si>
  <si>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</si>
  <si>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</si>
  <si>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</si>
  <si>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</si>
  <si>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</si>
  <si>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</si>
  <si>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</si>
  <si>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</si>
  <si>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</si>
  <si>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</si>
  <si>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</si>
  <si>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</si>
  <si>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</si>
  <si>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</si>
  <si>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</si>
  <si>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</si>
  <si>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</si>
  <si>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</si>
  <si>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</si>
  <si>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</si>
  <si>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</si>
  <si>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</si>
  <si>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</si>
  <si>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</si>
  <si>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</si>
  <si>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</si>
  <si>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</si>
  <si>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</si>
  <si>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</si>
  <si>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</si>
  <si>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</si>
  <si>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</si>
  <si>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>30.12.2021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</si>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</sst>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63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2" xfId="0" applyFont="1" applyFill="1" applyBorder="1" applyAlignment="1">
      <alignment vertical="top" wrapText="1"/>
    </xf>
    <xf numFmtId="0" fontId="70" fillId="3" borderId="82" xfId="0" applyFont="1" applyFill="1" applyBorder="1" applyAlignment="1">
      <alignment horizontal="center" vertical="top" wrapText="1"/>
    </xf>
    <xf numFmtId="0" fontId="70" fillId="3" borderId="83" xfId="0" applyFont="1" applyFill="1" applyBorder="1" applyAlignment="1">
      <alignment horizontal="center" vertical="top" wrapText="1"/>
    </xf>
    <xf numFmtId="0" fontId="71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1" fillId="0" borderId="82" xfId="0" applyNumberFormat="1" applyFont="1" applyBorder="1" applyAlignment="1">
      <alignment horizontal="center" vertical="top" wrapText="1"/>
    </xf>
    <xf numFmtId="0" fontId="71" fillId="0" borderId="82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7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90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8" xfId="0" applyFill="1" applyBorder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90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#N/A</c:v>
                </c:pt>
                <c:pt idx="5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#N/A</c:v>
                </c:pt>
                <c:pt idx="5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#N/A</c:v>
                </c:pt>
                <c:pt idx="5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9" dataDxfId="188">
  <autoFilter ref="A2:I5" xr:uid="{00000000-0009-0000-0100-000001000000}"/>
  <tableColumns count="9">
    <tableColumn id="1" xr3:uid="{00000000-0010-0000-0000-000001000000}" uniqueName="1" name="Contract" queryTableFieldId="1" dataDxfId="187"/>
    <tableColumn id="2" xr3:uid="{00000000-0010-0000-0000-000002000000}" uniqueName="2" name="Bid (US$ / Tonne)" queryTableFieldId="2" dataDxfId="186"/>
    <tableColumn id="3" xr3:uid="{00000000-0010-0000-0000-000003000000}" uniqueName="3" name="Offer (US$ / Tonne)*" queryTableFieldId="3" dataDxfId="185"/>
    <tableColumn id="11" xr3:uid="{00000000-0010-0000-0000-00000B000000}" uniqueName="11" name="Spalte2" queryTableFieldId="11" dataDxfId="184"/>
    <tableColumn id="6" xr3:uid="{00000000-0010-0000-0000-000006000000}" uniqueName="6" name="Exchange [$/€]" queryTableFieldId="6" dataDxfId="183">
      <calculatedColumnFormula>MID($B$9,1,6)</calculatedColumnFormula>
    </tableColumn>
    <tableColumn id="13" xr3:uid="{00000000-0010-0000-0000-00000D000000}" uniqueName="13" name="Abbrand" queryTableFieldId="4" dataDxfId="182"/>
    <tableColumn id="12" xr3:uid="{00000000-0010-0000-0000-00000C000000}" uniqueName="12" name="Premium_x000a_[€/t]" queryTableFieldId="5" dataDxfId="181"/>
    <tableColumn id="8" xr3:uid="{00000000-0010-0000-0000-000008000000}" uniqueName="8" name="Alu-Alloy_x000a_3-months [$/kg]" queryTableFieldId="8" dataDxfId="180">
      <calculatedColumnFormula>(C3/100+G3*E3)/1000*(1+F3)</calculatedColumnFormula>
    </tableColumn>
    <tableColumn id="9" xr3:uid="{00000000-0010-0000-0000-000009000000}" uniqueName="9" name="Alu-Alloy_x000a_3-months [€/kg]" queryTableFieldId="9" dataDxfId="179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8"/>
    <tableColumn id="2" xr3:uid="{00000000-0010-0000-0100-000002000000}" uniqueName="2" name="Kurs" queryTableFieldId="2" dataDxfId="177"/>
    <tableColumn id="3" xr3:uid="{00000000-0010-0000-0100-000003000000}" uniqueName="3" name="Diff. %" queryTableFieldId="3" dataDxfId="176"/>
    <tableColumn id="4" xr3:uid="{00000000-0010-0000-0100-000004000000}" uniqueName="4" name="Datum" queryTableFieldId="4"/>
    <tableColumn id="5" xr3:uid="{00000000-0010-0000-0100-000005000000}" uniqueName="5" name="Zeit" queryTableFieldId="5" dataDxfId="175"/>
    <tableColumn id="6" xr3:uid="{00000000-0010-0000-0100-000006000000}" uniqueName="6" name="Eröffnung" queryTableFieldId="6" dataDxfId="174"/>
    <tableColumn id="7" xr3:uid="{00000000-0010-0000-0100-000007000000}" uniqueName="7" name="T.-Hoch" queryTableFieldId="7" dataDxfId="173"/>
    <tableColumn id="8" xr3:uid="{00000000-0010-0000-0100-000008000000}" uniqueName="8" name="T.-Tief" queryTableFieldId="8" dataDxfId="17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71" dataCellStyle="Standard 4"/>
    <tableColumn id="2" xr3:uid="{00000000-0010-0000-0200-000002000000}" uniqueName="2" name="Bid (US$ / Tonne)" queryTableFieldId="2" dataDxfId="170" dataCellStyle="Standard 4"/>
    <tableColumn id="3" xr3:uid="{00000000-0010-0000-0200-000003000000}" uniqueName="3" name="Offer (US$ / Tonne)*" queryTableFieldId="3" dataDxfId="169" dataCellStyle="Standard 4"/>
    <tableColumn id="4" xr3:uid="{00000000-0010-0000-0200-000004000000}" uniqueName="4" name="Spalte2" queryTableFieldId="4" dataDxfId="168" dataCellStyle="Standard 4"/>
    <tableColumn id="5" xr3:uid="{00000000-0010-0000-0200-000005000000}" uniqueName="5" name="Exchange [$/€]" queryTableFieldId="5" dataDxfId="167" dataCellStyle="Standard 4">
      <calculatedColumnFormula>MID($B$9,1,6)</calculatedColumnFormula>
    </tableColumn>
    <tableColumn id="6" xr3:uid="{00000000-0010-0000-0200-000006000000}" uniqueName="6" name="Abbrand" queryTableFieldId="6" dataDxfId="166" dataCellStyle="Prozent 3"/>
    <tableColumn id="7" xr3:uid="{00000000-0010-0000-0200-000007000000}" uniqueName="7" name="Premium_x000a_[€/t]" queryTableFieldId="7" dataDxfId="165" dataCellStyle="Standard 4"/>
    <tableColumn id="8" xr3:uid="{00000000-0010-0000-0200-000008000000}" uniqueName="8" name="Alu-Alloy_x000a_3-months [$/kg]" queryTableFieldId="8" dataDxfId="164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63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0" customWidth="1"/>
    <col min="2" max="2" width="0.875" style="950" customWidth="1"/>
    <col min="3" max="3" width="31.75" style="950" customWidth="1"/>
    <col min="4" max="4" width="13" style="950" bestFit="1" customWidth="1"/>
    <col min="5" max="5" width="11" style="950"/>
    <col min="6" max="6" width="0.875" style="950" customWidth="1"/>
    <col min="7" max="7" width="31.75" style="950" customWidth="1"/>
    <col min="8" max="8" width="13" style="950" bestFit="1" customWidth="1"/>
    <col min="9" max="9" width="11" style="950"/>
    <col min="10" max="10" width="0.875" style="950" customWidth="1"/>
    <col min="11" max="11" width="31.75" style="950" customWidth="1"/>
    <col min="12" max="12" width="13" style="950" bestFit="1" customWidth="1"/>
    <col min="13" max="13" width="11" style="950"/>
    <col min="14" max="14" width="0.875" style="950" customWidth="1"/>
    <col min="15" max="15" width="2.625" style="950" customWidth="1"/>
    <col min="16" max="16384" width="11" style="950"/>
  </cols>
  <sheetData>
    <row r="1" spans="1:28" x14ac:dyDescent="0.2">
      <c r="A1" s="946"/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8"/>
      <c r="N1" s="948"/>
      <c r="O1" s="949"/>
    </row>
    <row r="2" spans="1:28" ht="5.0999999999999996" customHeight="1" x14ac:dyDescent="0.2">
      <c r="A2" s="951"/>
      <c r="B2" s="954"/>
      <c r="C2" s="1051"/>
      <c r="D2" s="1052"/>
      <c r="E2" s="1052"/>
      <c r="F2" s="1052"/>
      <c r="G2" s="1052"/>
      <c r="H2" s="1052"/>
      <c r="I2" s="1052"/>
      <c r="J2" s="1052"/>
      <c r="K2" s="1052"/>
      <c r="L2" s="1052"/>
      <c r="M2" s="1053"/>
      <c r="N2" s="954"/>
      <c r="O2" s="953"/>
    </row>
    <row r="3" spans="1:28" x14ac:dyDescent="0.2">
      <c r="A3" s="951"/>
      <c r="B3" s="954"/>
      <c r="C3" s="1054"/>
      <c r="D3" s="1055"/>
      <c r="E3" s="1055"/>
      <c r="F3" s="1055"/>
      <c r="G3" s="1055"/>
      <c r="H3" s="1055"/>
      <c r="I3" s="1055"/>
      <c r="J3" s="1055"/>
      <c r="K3" s="1055"/>
      <c r="L3" s="1055"/>
      <c r="M3" s="1057">
        <f ca="1">TODAY()</f>
        <v>44620</v>
      </c>
      <c r="N3" s="954"/>
      <c r="O3" s="953"/>
    </row>
    <row r="4" spans="1:28" ht="20.25" x14ac:dyDescent="0.3">
      <c r="A4" s="951"/>
      <c r="B4" s="954"/>
      <c r="C4" s="1079" t="str">
        <f>'Quick Input'!O2</f>
        <v>Kokillenguss</v>
      </c>
      <c r="D4" s="1055"/>
      <c r="E4" s="1055"/>
      <c r="F4" s="1055"/>
      <c r="G4" s="1059" t="str">
        <f>'Quick Input'!R2</f>
        <v>Siemens Standort</v>
      </c>
      <c r="H4" s="1060" t="str">
        <f>'Quick Input'!U2</f>
        <v>Erlangen</v>
      </c>
      <c r="I4" s="1055"/>
      <c r="J4" s="1055"/>
      <c r="K4" s="1055"/>
      <c r="L4" s="1055"/>
      <c r="M4" s="1080" t="str">
        <f>'Quick Input'!L3</f>
        <v>Dr.P. Pawar</v>
      </c>
      <c r="N4" s="954"/>
      <c r="O4" s="953"/>
    </row>
    <row r="5" spans="1:28" ht="20.25" x14ac:dyDescent="0.3">
      <c r="A5" s="951"/>
      <c r="B5" s="954"/>
      <c r="C5" s="1054" t="str">
        <f>CONCATENATE('Quick Input'!I9,": ",'Quick Input'!L9," / ESN: ",'Quick Input'!L8)</f>
        <v>Bezeichnung: Housing / ESN: 58622</v>
      </c>
      <c r="D5" s="1058"/>
      <c r="E5" s="1055"/>
      <c r="F5" s="1055"/>
      <c r="G5" s="1059" t="str">
        <f>'Quick Input'!R3</f>
        <v>Lieferant</v>
      </c>
      <c r="H5" s="1060" t="str">
        <f>'Quick Input'!U3</f>
        <v>MGG</v>
      </c>
      <c r="I5" s="1055"/>
      <c r="J5" s="1055"/>
      <c r="K5" s="1055"/>
      <c r="L5" s="1055"/>
      <c r="M5" s="1061"/>
      <c r="N5" s="954"/>
      <c r="O5" s="953"/>
    </row>
    <row r="6" spans="1:28" ht="15" x14ac:dyDescent="0.25">
      <c r="A6" s="951"/>
      <c r="B6" s="954"/>
      <c r="C6" s="1054"/>
      <c r="D6" s="1055"/>
      <c r="E6" s="1055"/>
      <c r="F6" s="1055"/>
      <c r="G6" s="1059" t="str">
        <f>'Quick Input'!R4</f>
        <v>Werk</v>
      </c>
      <c r="H6" s="1060" t="str">
        <f>'Quick Input'!U4</f>
        <v>DI MC</v>
      </c>
      <c r="I6" s="1055"/>
      <c r="J6" s="1055"/>
      <c r="K6" s="1055"/>
      <c r="L6" s="1055"/>
      <c r="M6" s="1057"/>
      <c r="N6" s="954"/>
      <c r="O6" s="953"/>
    </row>
    <row r="7" spans="1:28" ht="15" x14ac:dyDescent="0.25">
      <c r="A7" s="951"/>
      <c r="B7" s="954"/>
      <c r="C7" s="1054"/>
      <c r="D7" s="1055"/>
      <c r="E7" s="1055"/>
      <c r="F7" s="1055"/>
      <c r="G7" s="1059" t="str">
        <f>'Quick Input'!R5</f>
        <v>Ansprechpartner</v>
      </c>
      <c r="H7" s="1060" t="str">
        <f>'Quick Input'!U5</f>
        <v>JM_PUC AL</v>
      </c>
      <c r="I7" s="1055"/>
      <c r="J7" s="1055"/>
      <c r="K7" s="1055"/>
      <c r="L7" s="1055"/>
      <c r="M7" s="1057"/>
      <c r="N7" s="954"/>
      <c r="O7" s="953"/>
    </row>
    <row r="8" spans="1:28" ht="5.0999999999999996" customHeight="1" x14ac:dyDescent="0.2">
      <c r="A8" s="951"/>
      <c r="B8" s="954"/>
      <c r="C8" s="1062"/>
      <c r="D8" s="1063"/>
      <c r="E8" s="1063"/>
      <c r="F8" s="1063"/>
      <c r="G8" s="1064"/>
      <c r="H8" s="1063"/>
      <c r="I8" s="1063"/>
      <c r="J8" s="1063"/>
      <c r="K8" s="1063"/>
      <c r="L8" s="1063"/>
      <c r="M8" s="1065"/>
      <c r="N8" s="954"/>
      <c r="O8" s="953"/>
    </row>
    <row r="9" spans="1:28" ht="6.95" customHeight="1" x14ac:dyDescent="0.2">
      <c r="A9" s="951"/>
      <c r="B9" s="954"/>
      <c r="C9" s="954"/>
      <c r="D9" s="954"/>
      <c r="E9" s="954"/>
      <c r="F9" s="954"/>
      <c r="G9" s="961"/>
      <c r="H9" s="954"/>
      <c r="I9" s="954"/>
      <c r="J9" s="954"/>
      <c r="K9" s="954"/>
      <c r="L9" s="954"/>
      <c r="M9" s="955"/>
      <c r="N9" s="954"/>
      <c r="O9" s="953"/>
      <c r="AB9" s="962"/>
    </row>
    <row r="10" spans="1:28" ht="15.75" x14ac:dyDescent="0.25">
      <c r="A10" s="951"/>
      <c r="B10" s="954"/>
      <c r="C10" s="1066" t="str">
        <f>Refkalkulation!H7</f>
        <v>Deutschland</v>
      </c>
      <c r="D10" s="1067"/>
      <c r="E10" s="1068"/>
      <c r="F10" s="972"/>
      <c r="G10" s="1066" t="str">
        <f>Refkalkulation!K7</f>
        <v>Polen</v>
      </c>
      <c r="H10" s="1067"/>
      <c r="I10" s="1068"/>
      <c r="J10" s="972"/>
      <c r="K10" s="1066" t="str">
        <f>Refkalkulation!N7</f>
        <v>Deutschland</v>
      </c>
      <c r="L10" s="1067"/>
      <c r="M10" s="1069"/>
      <c r="N10" s="954"/>
      <c r="O10" s="953"/>
    </row>
    <row r="11" spans="1:28" x14ac:dyDescent="0.2">
      <c r="A11" s="951"/>
      <c r="B11" s="954"/>
      <c r="C11" s="1072" t="s">
        <v>914</v>
      </c>
      <c r="D11" s="1056">
        <f>Refkalkulation!H8</f>
        <v>43531</v>
      </c>
      <c r="E11" s="1061"/>
      <c r="F11" s="954"/>
      <c r="G11" s="1072" t="str">
        <f>C11</f>
        <v>Project-Start:</v>
      </c>
      <c r="H11" s="1056">
        <f>Refkalkulation!K8</f>
        <v>43531</v>
      </c>
      <c r="I11" s="1061"/>
      <c r="J11" s="954"/>
      <c r="K11" s="1072" t="str">
        <f>C11</f>
        <v>Project-Start:</v>
      </c>
      <c r="L11" s="1056">
        <f>Refkalkulation!N8</f>
        <v>43531</v>
      </c>
      <c r="M11" s="1061"/>
      <c r="N11" s="954"/>
      <c r="O11" s="953"/>
    </row>
    <row r="12" spans="1:28" x14ac:dyDescent="0.2">
      <c r="A12" s="951"/>
      <c r="B12" s="954"/>
      <c r="C12" s="1072" t="str">
        <f>CONCATENATE('Quick Input'!$I$36,": ")</f>
        <v xml:space="preserve">Laufzeit (Jahre): </v>
      </c>
      <c r="D12" s="1070">
        <f>'Quick Input'!L36</f>
        <v>6</v>
      </c>
      <c r="E12" s="1061"/>
      <c r="F12" s="954"/>
      <c r="G12" s="1072" t="str">
        <f>CONCATENATE('Quick Input'!$I$36,": ")</f>
        <v xml:space="preserve">Laufzeit (Jahre): </v>
      </c>
      <c r="H12" s="1070">
        <f>'Quick Input'!O36</f>
        <v>6</v>
      </c>
      <c r="I12" s="1061"/>
      <c r="J12" s="954"/>
      <c r="K12" s="1072" t="str">
        <f>CONCATENATE('Quick Input'!$I$36,": ")</f>
        <v xml:space="preserve">Laufzeit (Jahre): </v>
      </c>
      <c r="L12" s="1070">
        <f>'Quick Input'!R36</f>
        <v>6</v>
      </c>
      <c r="M12" s="1061"/>
      <c r="N12" s="954"/>
      <c r="O12" s="953"/>
    </row>
    <row r="13" spans="1:28" x14ac:dyDescent="0.2">
      <c r="A13" s="951"/>
      <c r="B13" s="954"/>
      <c r="C13" s="1073" t="str">
        <f>CONCATENATE('Quick Input'!$I$37,": ")</f>
        <v xml:space="preserve">Stückzahl pa (peak): </v>
      </c>
      <c r="D13" s="1070">
        <f>'Quick Input'!L37</f>
        <v>5000</v>
      </c>
      <c r="E13" s="1061"/>
      <c r="F13" s="954"/>
      <c r="G13" s="1073" t="str">
        <f>CONCATENATE('Quick Input'!$I$37,": ")</f>
        <v xml:space="preserve">Stückzahl pa (peak): </v>
      </c>
      <c r="H13" s="1070">
        <f>'Quick Input'!O37</f>
        <v>5000</v>
      </c>
      <c r="I13" s="1061"/>
      <c r="J13" s="954"/>
      <c r="K13" s="1073" t="str">
        <f>CONCATENATE('Quick Input'!$I$37,": ")</f>
        <v xml:space="preserve">Stückzahl pa (peak): </v>
      </c>
      <c r="L13" s="1070">
        <f>'Quick Input'!R37</f>
        <v>5000</v>
      </c>
      <c r="M13" s="1061"/>
      <c r="N13" s="954"/>
      <c r="O13" s="953"/>
    </row>
    <row r="14" spans="1:28" x14ac:dyDescent="0.2">
      <c r="A14" s="951"/>
      <c r="B14" s="954"/>
      <c r="C14" s="1073" t="str">
        <f>Refkalkulation!D61</f>
        <v>Fertigungslosgröße</v>
      </c>
      <c r="D14" s="1070">
        <f>Refkalkulation!H61</f>
        <v>100</v>
      </c>
      <c r="E14" s="1061"/>
      <c r="F14" s="954"/>
      <c r="G14" s="1073" t="str">
        <f>$C$14</f>
        <v>Fertigungslosgröße</v>
      </c>
      <c r="H14" s="1070">
        <f>Refkalkulation!K61</f>
        <v>100</v>
      </c>
      <c r="I14" s="1061"/>
      <c r="J14" s="954"/>
      <c r="K14" s="1073" t="str">
        <f>$C$14</f>
        <v>Fertigungslosgröße</v>
      </c>
      <c r="L14" s="1070">
        <f>Refkalkulation!N61</f>
        <v>100</v>
      </c>
      <c r="M14" s="1061"/>
      <c r="N14" s="954"/>
      <c r="O14" s="953"/>
    </row>
    <row r="15" spans="1:28" ht="15" x14ac:dyDescent="0.25">
      <c r="A15" s="951"/>
      <c r="B15" s="954"/>
      <c r="C15" s="1074" t="str">
        <f>CONCATENATE('Quick Input'!I22,": ",'Quick Input'!L22," / Sandkern: ",'Quick Input'!L23)</f>
        <v>Giesstechnik: Niederdruck / Sandkern: Handbedienung</v>
      </c>
      <c r="D15" s="1075"/>
      <c r="E15" s="1061"/>
      <c r="F15" s="954"/>
      <c r="G15" s="1074" t="str">
        <f>CONCATENATE('Quick Input'!I22,": ",'Quick Input'!O22," / Sandkern: ",'Quick Input'!O23)</f>
        <v>Giesstechnik: Kippgiessen / Sandkern: Dosiergerät</v>
      </c>
      <c r="H15" s="1076"/>
      <c r="I15" s="1077"/>
      <c r="J15" s="954"/>
      <c r="K15" s="1074" t="str">
        <f>CONCATENATE('Quick Input'!I22,": ",'Quick Input'!R22," / Sandkern: ",'Quick Input'!R23)</f>
        <v>Giesstechnik: Schwerkaft / Sandkern: Entnahmegerät</v>
      </c>
      <c r="L15" s="1055"/>
      <c r="M15" s="1061"/>
      <c r="N15" s="954"/>
      <c r="O15" s="953"/>
    </row>
    <row r="16" spans="1:28" x14ac:dyDescent="0.2">
      <c r="A16" s="951"/>
      <c r="B16" s="954"/>
      <c r="C16" s="1054"/>
      <c r="D16" s="1055"/>
      <c r="E16" s="1061"/>
      <c r="F16" s="954"/>
      <c r="G16" s="1054"/>
      <c r="H16" s="1055"/>
      <c r="I16" s="1061"/>
      <c r="J16" s="954"/>
      <c r="K16" s="1054"/>
      <c r="L16" s="1055"/>
      <c r="M16" s="1061"/>
      <c r="N16" s="954"/>
      <c r="O16" s="953"/>
    </row>
    <row r="17" spans="1:15" x14ac:dyDescent="0.2">
      <c r="A17" s="951"/>
      <c r="B17" s="954"/>
      <c r="C17" s="1054"/>
      <c r="D17" s="1055"/>
      <c r="E17" s="1061"/>
      <c r="F17" s="954"/>
      <c r="G17" s="1054"/>
      <c r="H17" s="1055"/>
      <c r="I17" s="1061"/>
      <c r="J17" s="954"/>
      <c r="K17" s="1054"/>
      <c r="L17" s="1055"/>
      <c r="M17" s="1061"/>
      <c r="N17" s="954"/>
      <c r="O17" s="953"/>
    </row>
    <row r="18" spans="1:15" x14ac:dyDescent="0.2">
      <c r="A18" s="951"/>
      <c r="B18" s="954"/>
      <c r="C18" s="1054"/>
      <c r="D18" s="1055"/>
      <c r="E18" s="1061"/>
      <c r="F18" s="954"/>
      <c r="G18" s="1054"/>
      <c r="H18" s="1055"/>
      <c r="I18" s="1061"/>
      <c r="J18" s="954"/>
      <c r="K18" s="1054"/>
      <c r="L18" s="1055"/>
      <c r="M18" s="1061"/>
      <c r="N18" s="954"/>
      <c r="O18" s="953"/>
    </row>
    <row r="19" spans="1:15" x14ac:dyDescent="0.2">
      <c r="A19" s="951"/>
      <c r="B19" s="954"/>
      <c r="C19" s="1054"/>
      <c r="D19" s="1055"/>
      <c r="E19" s="1061"/>
      <c r="F19" s="954"/>
      <c r="G19" s="1054"/>
      <c r="H19" s="1055"/>
      <c r="I19" s="1061"/>
      <c r="J19" s="954"/>
      <c r="K19" s="1054"/>
      <c r="L19" s="1055"/>
      <c r="M19" s="1061"/>
      <c r="N19" s="954"/>
      <c r="O19" s="953"/>
    </row>
    <row r="20" spans="1:15" x14ac:dyDescent="0.2">
      <c r="A20" s="951"/>
      <c r="B20" s="954"/>
      <c r="C20" s="1054"/>
      <c r="D20" s="1055"/>
      <c r="E20" s="1061"/>
      <c r="F20" s="954"/>
      <c r="G20" s="1054"/>
      <c r="H20" s="1055"/>
      <c r="I20" s="1061"/>
      <c r="J20" s="954"/>
      <c r="K20" s="1054"/>
      <c r="L20" s="1055"/>
      <c r="M20" s="1061"/>
      <c r="N20" s="954"/>
      <c r="O20" s="953"/>
    </row>
    <row r="21" spans="1:15" x14ac:dyDescent="0.2">
      <c r="A21" s="951"/>
      <c r="B21" s="954"/>
      <c r="C21" s="1054"/>
      <c r="D21" s="1055"/>
      <c r="E21" s="1061"/>
      <c r="F21" s="954"/>
      <c r="G21" s="1054"/>
      <c r="H21" s="1055"/>
      <c r="I21" s="1061"/>
      <c r="J21" s="954"/>
      <c r="K21" s="1054"/>
      <c r="L21" s="1055"/>
      <c r="M21" s="1061"/>
      <c r="N21" s="954"/>
      <c r="O21" s="953"/>
    </row>
    <row r="22" spans="1:15" x14ac:dyDescent="0.2">
      <c r="A22" s="951"/>
      <c r="B22" s="954"/>
      <c r="C22" s="1054"/>
      <c r="D22" s="1055"/>
      <c r="E22" s="1061"/>
      <c r="F22" s="954"/>
      <c r="G22" s="1054"/>
      <c r="H22" s="1055"/>
      <c r="I22" s="1061"/>
      <c r="J22" s="954"/>
      <c r="K22" s="1054"/>
      <c r="L22" s="1055"/>
      <c r="M22" s="1061"/>
      <c r="N22" s="954"/>
      <c r="O22" s="953"/>
    </row>
    <row r="23" spans="1:15" x14ac:dyDescent="0.2">
      <c r="A23" s="951"/>
      <c r="B23" s="954"/>
      <c r="C23" s="1054"/>
      <c r="D23" s="1055"/>
      <c r="E23" s="1061"/>
      <c r="F23" s="954"/>
      <c r="G23" s="1054"/>
      <c r="H23" s="1055"/>
      <c r="I23" s="1061"/>
      <c r="J23" s="954"/>
      <c r="K23" s="1054"/>
      <c r="L23" s="1055"/>
      <c r="M23" s="1061"/>
      <c r="N23" s="954"/>
      <c r="O23" s="953"/>
    </row>
    <row r="24" spans="1:15" x14ac:dyDescent="0.2">
      <c r="A24" s="951"/>
      <c r="B24" s="954"/>
      <c r="C24" s="1054"/>
      <c r="D24" s="1055"/>
      <c r="E24" s="1061"/>
      <c r="F24" s="954"/>
      <c r="G24" s="1054"/>
      <c r="H24" s="1055"/>
      <c r="I24" s="1061"/>
      <c r="J24" s="954"/>
      <c r="K24" s="1054"/>
      <c r="L24" s="1055"/>
      <c r="M24" s="1061"/>
      <c r="N24" s="954"/>
      <c r="O24" s="953"/>
    </row>
    <row r="25" spans="1:15" x14ac:dyDescent="0.2">
      <c r="A25" s="951"/>
      <c r="B25" s="954"/>
      <c r="C25" s="1054"/>
      <c r="D25" s="1055"/>
      <c r="E25" s="1061"/>
      <c r="F25" s="954"/>
      <c r="G25" s="1054"/>
      <c r="H25" s="1055"/>
      <c r="I25" s="1061"/>
      <c r="J25" s="954"/>
      <c r="K25" s="1054"/>
      <c r="L25" s="1055"/>
      <c r="M25" s="1061"/>
      <c r="N25" s="954"/>
      <c r="O25" s="953"/>
    </row>
    <row r="26" spans="1:15" x14ac:dyDescent="0.2">
      <c r="A26" s="951"/>
      <c r="B26" s="954"/>
      <c r="C26" s="1054"/>
      <c r="D26" s="1055"/>
      <c r="E26" s="1061"/>
      <c r="F26" s="954"/>
      <c r="G26" s="1054"/>
      <c r="H26" s="1055"/>
      <c r="I26" s="1061"/>
      <c r="J26" s="954"/>
      <c r="K26" s="1054"/>
      <c r="L26" s="1055"/>
      <c r="M26" s="1061"/>
      <c r="N26" s="954"/>
      <c r="O26" s="953"/>
    </row>
    <row r="27" spans="1:15" x14ac:dyDescent="0.2">
      <c r="A27" s="951"/>
      <c r="B27" s="954"/>
      <c r="C27" s="1054"/>
      <c r="D27" s="1055"/>
      <c r="E27" s="1061"/>
      <c r="F27" s="954"/>
      <c r="G27" s="1054"/>
      <c r="H27" s="1055"/>
      <c r="I27" s="1061"/>
      <c r="J27" s="954"/>
      <c r="K27" s="1054"/>
      <c r="L27" s="1055"/>
      <c r="M27" s="1061"/>
      <c r="N27" s="954"/>
      <c r="O27" s="953"/>
    </row>
    <row r="28" spans="1:15" x14ac:dyDescent="0.2">
      <c r="A28" s="951"/>
      <c r="B28" s="954"/>
      <c r="C28" s="1054"/>
      <c r="D28" s="1055"/>
      <c r="E28" s="1061"/>
      <c r="F28" s="954"/>
      <c r="G28" s="1054"/>
      <c r="H28" s="1055"/>
      <c r="I28" s="1061"/>
      <c r="J28" s="954"/>
      <c r="K28" s="1054"/>
      <c r="L28" s="1055"/>
      <c r="M28" s="1061"/>
      <c r="N28" s="954"/>
      <c r="O28" s="953"/>
    </row>
    <row r="29" spans="1:15" x14ac:dyDescent="0.2">
      <c r="A29" s="951"/>
      <c r="B29" s="954"/>
      <c r="C29" s="1054"/>
      <c r="D29" s="1055"/>
      <c r="E29" s="1061"/>
      <c r="F29" s="954"/>
      <c r="G29" s="1054"/>
      <c r="H29" s="1055"/>
      <c r="I29" s="1061"/>
      <c r="J29" s="954"/>
      <c r="K29" s="1054"/>
      <c r="L29" s="1055"/>
      <c r="M29" s="1061"/>
      <c r="N29" s="954"/>
      <c r="O29" s="953"/>
    </row>
    <row r="30" spans="1:15" x14ac:dyDescent="0.2">
      <c r="A30" s="951"/>
      <c r="B30" s="954"/>
      <c r="C30" s="1081" t="s">
        <v>907</v>
      </c>
      <c r="D30" s="1082" t="str">
        <f>'Quick Input'!M10</f>
        <v>EN AC-46100</v>
      </c>
      <c r="E30" s="1069"/>
      <c r="F30" s="954"/>
      <c r="G30" s="1081" t="str">
        <f>C30</f>
        <v>Material - Information:</v>
      </c>
      <c r="H30" s="1082" t="str">
        <f>'Quick Input'!P10</f>
        <v>EN AC-43100</v>
      </c>
      <c r="I30" s="1069"/>
      <c r="J30" s="954"/>
      <c r="K30" s="1081" t="str">
        <f>C30</f>
        <v>Material - Information:</v>
      </c>
      <c r="L30" s="1082" t="str">
        <f>'Quick Input'!S10</f>
        <v>EN AC-43100</v>
      </c>
      <c r="M30" s="1069"/>
      <c r="N30" s="954"/>
      <c r="O30" s="953"/>
    </row>
    <row r="31" spans="1:15" x14ac:dyDescent="0.2">
      <c r="A31" s="951"/>
      <c r="B31" s="954"/>
      <c r="C31" s="1083" t="str">
        <f>CONCATENATE("               ",Refkalkulation!D9)</f>
        <v xml:space="preserve">               Materialien</v>
      </c>
      <c r="D31" s="1084" t="str">
        <f>'Quick Input'!M11</f>
        <v>Al Si10Cu2(Fe)</v>
      </c>
      <c r="E31" s="1085"/>
      <c r="F31" s="954"/>
      <c r="G31" s="1083" t="str">
        <f t="shared" ref="G31:G46" si="0">C31</f>
        <v xml:space="preserve">               Materialien</v>
      </c>
      <c r="H31" s="1084" t="str">
        <f>'Quick Input'!P11</f>
        <v>Al Si10Mg(b)</v>
      </c>
      <c r="I31" s="1085"/>
      <c r="J31" s="954"/>
      <c r="K31" s="1083" t="str">
        <f t="shared" ref="K31:K46" si="1">C31</f>
        <v xml:space="preserve">               Materialien</v>
      </c>
      <c r="L31" s="1084" t="str">
        <f>'Quick Input'!S11</f>
        <v>Al Si10Mg(b)</v>
      </c>
      <c r="M31" s="1085"/>
      <c r="N31" s="954"/>
      <c r="O31" s="953"/>
    </row>
    <row r="32" spans="1:15" x14ac:dyDescent="0.2">
      <c r="A32" s="951"/>
      <c r="B32" s="954"/>
      <c r="C32" s="1086" t="str">
        <f>CONCATENATE("               ",'Quick Input'!I13)</f>
        <v xml:space="preserve">               Al-Materialpreis (€/kg)</v>
      </c>
      <c r="D32" s="1087">
        <f>Refkalkulation!H12</f>
        <v>2.0002526724975707</v>
      </c>
      <c r="E32" s="1088"/>
      <c r="F32" s="981"/>
      <c r="G32" s="1086" t="str">
        <f t="shared" si="0"/>
        <v xml:space="preserve">               Al-Materialpreis (€/kg)</v>
      </c>
      <c r="H32" s="1087">
        <f>Refkalkulation!K12</f>
        <v>1.9670528580208975</v>
      </c>
      <c r="I32" s="1088"/>
      <c r="J32" s="981"/>
      <c r="K32" s="1086" t="str">
        <f t="shared" si="1"/>
        <v xml:space="preserve">               Al-Materialpreis (€/kg)</v>
      </c>
      <c r="L32" s="1087">
        <f>Refkalkulation!N12</f>
        <v>1.9670528580208975</v>
      </c>
      <c r="M32" s="1088"/>
      <c r="N32" s="954"/>
      <c r="O32" s="953"/>
    </row>
    <row r="33" spans="1:16" ht="15" x14ac:dyDescent="0.25">
      <c r="A33" s="951"/>
      <c r="B33" s="954"/>
      <c r="C33" s="1089" t="str">
        <f>Refkalkulation!D9</f>
        <v>Materialien</v>
      </c>
      <c r="D33" s="1090" t="e">
        <f>SUM(E34:E37)</f>
        <v>#N/A</v>
      </c>
      <c r="E33" s="1091"/>
      <c r="F33" s="954"/>
      <c r="G33" s="1089" t="str">
        <f t="shared" si="0"/>
        <v>Materialien</v>
      </c>
      <c r="H33" s="1090" t="e">
        <f>SUM(I34:I37)</f>
        <v>#N/A</v>
      </c>
      <c r="I33" s="1091"/>
      <c r="J33" s="954"/>
      <c r="K33" s="1089" t="str">
        <f t="shared" si="1"/>
        <v>Materialien</v>
      </c>
      <c r="L33" s="1090" t="e">
        <f>SUM(M34:M37)</f>
        <v>#N/A</v>
      </c>
      <c r="M33" s="1091"/>
      <c r="N33" s="954"/>
      <c r="O33" s="953"/>
    </row>
    <row r="34" spans="1:16" x14ac:dyDescent="0.2">
      <c r="A34" s="951"/>
      <c r="B34" s="954"/>
      <c r="C34" s="1092" t="str">
        <f>CONCATENATE("               ",Refkalkulation!D15)</f>
        <v xml:space="preserve">               Materialkosten Rohteil</v>
      </c>
      <c r="D34" s="1093"/>
      <c r="E34" s="1094">
        <f>Refkalkulation!H15</f>
        <v>80.010106899902823</v>
      </c>
      <c r="F34" s="988"/>
      <c r="G34" s="1092" t="str">
        <f t="shared" si="0"/>
        <v xml:space="preserve">               Materialkosten Rohteil</v>
      </c>
      <c r="H34" s="1093"/>
      <c r="I34" s="1094">
        <f>Refkalkulation!K15</f>
        <v>9.8352642901044867</v>
      </c>
      <c r="J34" s="988"/>
      <c r="K34" s="1092" t="str">
        <f t="shared" si="1"/>
        <v xml:space="preserve">               Materialkosten Rohteil</v>
      </c>
      <c r="L34" s="1093"/>
      <c r="M34" s="1094">
        <f>Refkalkulation!N15</f>
        <v>9.8352642901044867</v>
      </c>
      <c r="N34" s="988"/>
      <c r="O34" s="953"/>
    </row>
    <row r="35" spans="1:16" x14ac:dyDescent="0.2">
      <c r="A35" s="951"/>
      <c r="B35" s="954"/>
      <c r="C35" s="1092" t="str">
        <f>CONCATENATE("               ",Refkalkulation!D17)</f>
        <v xml:space="preserve">               Kosten Schmelzverlust</v>
      </c>
      <c r="D35" s="1093"/>
      <c r="E35" s="1094">
        <f>Refkalkulation!H17</f>
        <v>6.4250804826333319</v>
      </c>
      <c r="F35" s="988"/>
      <c r="G35" s="1092" t="str">
        <f t="shared" si="0"/>
        <v xml:space="preserve">               Kosten Schmelzverlust</v>
      </c>
      <c r="H35" s="1093"/>
      <c r="I35" s="1094">
        <f>Refkalkulation!K17</f>
        <v>0.79761274096399459</v>
      </c>
      <c r="J35" s="988"/>
      <c r="K35" s="1092" t="str">
        <f t="shared" si="1"/>
        <v xml:space="preserve">               Kosten Schmelzverlust</v>
      </c>
      <c r="L35" s="1093"/>
      <c r="M35" s="1094">
        <f>Refkalkulation!N17</f>
        <v>0.79730417641915385</v>
      </c>
      <c r="N35" s="988"/>
      <c r="O35" s="953"/>
    </row>
    <row r="36" spans="1:16" x14ac:dyDescent="0.2">
      <c r="A36" s="951"/>
      <c r="B36" s="954"/>
      <c r="C36" s="1092" t="str">
        <f>CONCATENATE("               ",Refkalkulation!D23)</f>
        <v xml:space="preserve">               Kosten Hilfsstoffe (€/Stk.)</v>
      </c>
      <c r="D36" s="1093"/>
      <c r="E36" s="1094" t="e">
        <f>Refkalkulation!H23</f>
        <v>#N/A</v>
      </c>
      <c r="F36" s="988"/>
      <c r="G36" s="1092" t="str">
        <f t="shared" si="0"/>
        <v xml:space="preserve">               Kosten Hilfsstoffe (€/Stk.)</v>
      </c>
      <c r="H36" s="1093"/>
      <c r="I36" s="1094" t="e">
        <f>Refkalkulation!K23</f>
        <v>#N/A</v>
      </c>
      <c r="J36" s="988"/>
      <c r="K36" s="1092" t="str">
        <f t="shared" si="1"/>
        <v xml:space="preserve">               Kosten Hilfsstoffe (€/Stk.)</v>
      </c>
      <c r="L36" s="1093"/>
      <c r="M36" s="1094" t="e">
        <f>Refkalkulation!N23</f>
        <v>#N/A</v>
      </c>
      <c r="N36" s="988"/>
      <c r="O36" s="953"/>
    </row>
    <row r="37" spans="1:16" x14ac:dyDescent="0.2">
      <c r="A37" s="951"/>
      <c r="B37" s="954"/>
      <c r="C37" s="1095" t="str">
        <f>CONCATENATE("               ",Refkalkulation!D25)</f>
        <v xml:space="preserve">               Materialgemeinkosten</v>
      </c>
      <c r="D37" s="1096"/>
      <c r="E37" s="1097" t="e">
        <f>Refkalkulation!H25</f>
        <v>#N/A</v>
      </c>
      <c r="F37" s="988"/>
      <c r="G37" s="1095" t="str">
        <f t="shared" si="0"/>
        <v xml:space="preserve">               Materialgemeinkosten</v>
      </c>
      <c r="H37" s="1096"/>
      <c r="I37" s="1097" t="e">
        <f>Refkalkulation!K25</f>
        <v>#N/A</v>
      </c>
      <c r="J37" s="988"/>
      <c r="K37" s="1095" t="str">
        <f t="shared" si="1"/>
        <v xml:space="preserve">               Materialgemeinkosten</v>
      </c>
      <c r="L37" s="1096"/>
      <c r="M37" s="1097" t="e">
        <f>Refkalkulation!N25</f>
        <v>#N/A</v>
      </c>
      <c r="N37" s="988"/>
      <c r="O37" s="953"/>
    </row>
    <row r="38" spans="1:16" ht="15" x14ac:dyDescent="0.25">
      <c r="A38" s="951"/>
      <c r="B38" s="954"/>
      <c r="C38" s="1089" t="str">
        <f>Refkalkulation!D119</f>
        <v>Fertigungskosten gesamt</v>
      </c>
      <c r="D38" s="1090" t="e">
        <f>SUM(E39:E43)</f>
        <v>#N/A</v>
      </c>
      <c r="E38" s="1098"/>
      <c r="F38" s="995"/>
      <c r="G38" s="1089" t="str">
        <f t="shared" si="0"/>
        <v>Fertigungskosten gesamt</v>
      </c>
      <c r="H38" s="1090" t="e">
        <f>SUM(I39:I43)</f>
        <v>#N/A</v>
      </c>
      <c r="I38" s="1098"/>
      <c r="J38" s="995"/>
      <c r="K38" s="1089" t="str">
        <f t="shared" si="1"/>
        <v>Fertigungskosten gesamt</v>
      </c>
      <c r="L38" s="1090" t="e">
        <f>SUM(M39:M43)</f>
        <v>#N/A</v>
      </c>
      <c r="M38" s="1098"/>
      <c r="N38" s="995"/>
      <c r="O38" s="953"/>
    </row>
    <row r="39" spans="1:16" x14ac:dyDescent="0.2">
      <c r="A39" s="951"/>
      <c r="B39" s="954"/>
      <c r="C39" s="1099" t="str">
        <f>CONCATENATE("               ",Refkalkulation!D28)</f>
        <v xml:space="preserve">               Prozess Schmelzen</v>
      </c>
      <c r="D39" s="1100"/>
      <c r="E39" s="1101">
        <f>Refkalkulation!H47</f>
        <v>3.777419724057113</v>
      </c>
      <c r="F39" s="999"/>
      <c r="G39" s="1099" t="str">
        <f t="shared" si="0"/>
        <v xml:space="preserve">               Prozess Schmelzen</v>
      </c>
      <c r="H39" s="1100"/>
      <c r="I39" s="1101">
        <f>Refkalkulation!K47</f>
        <v>0.78911874062115539</v>
      </c>
      <c r="J39" s="999"/>
      <c r="K39" s="1099" t="str">
        <f t="shared" si="1"/>
        <v xml:space="preserve">               Prozess Schmelzen</v>
      </c>
      <c r="L39" s="1100"/>
      <c r="M39" s="1101">
        <f>Refkalkulation!N47</f>
        <v>0.53701698514157759</v>
      </c>
      <c r="N39" s="999"/>
      <c r="O39" s="953"/>
    </row>
    <row r="40" spans="1:16" x14ac:dyDescent="0.2">
      <c r="A40" s="951"/>
      <c r="B40" s="954"/>
      <c r="C40" s="1099" t="str">
        <f>CONCATENATE("               ",Refkalkulation!D48)</f>
        <v xml:space="preserve">               Prozess Formen</v>
      </c>
      <c r="D40" s="1102"/>
      <c r="E40" s="1101" t="e">
        <f>Refkalkulation!H72</f>
        <v>#N/A</v>
      </c>
      <c r="F40" s="999"/>
      <c r="G40" s="1099" t="str">
        <f t="shared" si="0"/>
        <v xml:space="preserve">               Prozess Formen</v>
      </c>
      <c r="H40" s="1102"/>
      <c r="I40" s="1101" t="e">
        <f>Refkalkulation!K72</f>
        <v>#N/A</v>
      </c>
      <c r="J40" s="999"/>
      <c r="K40" s="1099" t="str">
        <f t="shared" si="1"/>
        <v xml:space="preserve">               Prozess Formen</v>
      </c>
      <c r="L40" s="1102"/>
      <c r="M40" s="1101" t="e">
        <f>Refkalkulation!N72</f>
        <v>#N/A</v>
      </c>
      <c r="N40" s="999"/>
      <c r="O40" s="953"/>
    </row>
    <row r="41" spans="1:16" x14ac:dyDescent="0.2">
      <c r="A41" s="951"/>
      <c r="B41" s="954"/>
      <c r="C41" s="1099" t="str">
        <f>CONCATENATE("               ",Refkalkulation!D73)</f>
        <v xml:space="preserve">               Nachbehandlung</v>
      </c>
      <c r="D41" s="1102"/>
      <c r="E41" s="1101" t="e">
        <f>Refkalkulation!H93</f>
        <v>#N/A</v>
      </c>
      <c r="F41" s="999"/>
      <c r="G41" s="1099" t="str">
        <f t="shared" si="0"/>
        <v xml:space="preserve">               Nachbehandlung</v>
      </c>
      <c r="H41" s="1102"/>
      <c r="I41" s="1101" t="e">
        <f>Refkalkulation!K93</f>
        <v>#N/A</v>
      </c>
      <c r="J41" s="999"/>
      <c r="K41" s="1099" t="str">
        <f t="shared" si="1"/>
        <v xml:space="preserve">               Nachbehandlung</v>
      </c>
      <c r="L41" s="1102"/>
      <c r="M41" s="1101" t="e">
        <f>Refkalkulation!N93</f>
        <v>#N/A</v>
      </c>
      <c r="N41" s="999"/>
      <c r="O41" s="953"/>
    </row>
    <row r="42" spans="1:16" x14ac:dyDescent="0.2">
      <c r="A42" s="951"/>
      <c r="B42" s="954"/>
      <c r="C42" s="1099" t="str">
        <f>CONCATENATE("               ",Refkalkulation!D94)</f>
        <v xml:space="preserve">               Prüfen</v>
      </c>
      <c r="D42" s="1102"/>
      <c r="E42" s="1101">
        <f>Refkalkulation!H113+Refkalkulation!H116/Refkalkulation!H61</f>
        <v>6.3502320254629634</v>
      </c>
      <c r="F42" s="999"/>
      <c r="G42" s="1099" t="str">
        <f t="shared" si="0"/>
        <v xml:space="preserve">               Prüfen</v>
      </c>
      <c r="H42" s="1102"/>
      <c r="I42" s="1101">
        <f>Refkalkulation!K113+Refkalkulation!K116/Refkalkulation!K61</f>
        <v>3.2506872407407412</v>
      </c>
      <c r="J42" s="999"/>
      <c r="K42" s="1099" t="str">
        <f t="shared" si="1"/>
        <v xml:space="preserve">               Prüfen</v>
      </c>
      <c r="L42" s="1102"/>
      <c r="M42" s="1101">
        <f>Refkalkulation!N113+Refkalkulation!N116/Refkalkulation!N61</f>
        <v>4.4772743518518521</v>
      </c>
      <c r="N42" s="999"/>
      <c r="O42" s="953"/>
    </row>
    <row r="43" spans="1:16" x14ac:dyDescent="0.2">
      <c r="A43" s="951"/>
      <c r="B43" s="954"/>
      <c r="C43" s="1099" t="str">
        <f>CONCATENATE("               ",Refkalkulation!D118)</f>
        <v xml:space="preserve">               Fertigungsgemeinkosten</v>
      </c>
      <c r="D43" s="1102"/>
      <c r="E43" s="1101" t="e">
        <f>Refkalkulation!H118</f>
        <v>#N/A</v>
      </c>
      <c r="F43" s="999"/>
      <c r="G43" s="1099" t="str">
        <f t="shared" si="0"/>
        <v xml:space="preserve">               Fertigungsgemeinkosten</v>
      </c>
      <c r="H43" s="1102"/>
      <c r="I43" s="1101" t="e">
        <f>Refkalkulation!K118</f>
        <v>#N/A</v>
      </c>
      <c r="J43" s="999"/>
      <c r="K43" s="1099" t="str">
        <f t="shared" si="1"/>
        <v xml:space="preserve">               Fertigungsgemeinkosten</v>
      </c>
      <c r="L43" s="1102"/>
      <c r="M43" s="1101" t="e">
        <f>Refkalkulation!N118</f>
        <v>#N/A</v>
      </c>
      <c r="N43" s="999"/>
      <c r="O43" s="953"/>
    </row>
    <row r="44" spans="1:16" x14ac:dyDescent="0.2">
      <c r="A44" s="951"/>
      <c r="B44" s="954"/>
      <c r="C44" s="1103" t="str">
        <f>Refkalkulation!D126</f>
        <v>Gesamtgemeinkosten</v>
      </c>
      <c r="D44" s="1104" t="e">
        <f>Refkalkulation!H126</f>
        <v>#N/A</v>
      </c>
      <c r="E44" s="1105" t="e">
        <f>D44/D46</f>
        <v>#N/A</v>
      </c>
      <c r="F44" s="999"/>
      <c r="G44" s="1103" t="str">
        <f t="shared" si="0"/>
        <v>Gesamtgemeinkosten</v>
      </c>
      <c r="H44" s="1104" t="e">
        <f>Refkalkulation!K126</f>
        <v>#N/A</v>
      </c>
      <c r="I44" s="1105" t="e">
        <f>H44/H46</f>
        <v>#N/A</v>
      </c>
      <c r="J44" s="954"/>
      <c r="K44" s="1103" t="str">
        <f t="shared" si="1"/>
        <v>Gesamtgemeinkosten</v>
      </c>
      <c r="L44" s="1104" t="e">
        <f>Refkalkulation!N126</f>
        <v>#N/A</v>
      </c>
      <c r="M44" s="1105" t="e">
        <f>L44/L46</f>
        <v>#N/A</v>
      </c>
      <c r="N44" s="954"/>
      <c r="O44" s="953"/>
    </row>
    <row r="45" spans="1:16" ht="18" customHeight="1" x14ac:dyDescent="0.25">
      <c r="A45" s="951"/>
      <c r="B45" s="954"/>
      <c r="C45" s="1106" t="str">
        <f>Refkalkulation!D129</f>
        <v>Gesamtgewinn</v>
      </c>
      <c r="D45" s="1104" t="e">
        <f>Refkalkulation!H129</f>
        <v>#N/A</v>
      </c>
      <c r="E45" s="1107" t="e">
        <f>D45/D46</f>
        <v>#N/A</v>
      </c>
      <c r="F45" s="999"/>
      <c r="G45" s="1106" t="str">
        <f t="shared" si="0"/>
        <v>Gesamtgewinn</v>
      </c>
      <c r="H45" s="1104" t="e">
        <f>Refkalkulation!K129</f>
        <v>#N/A</v>
      </c>
      <c r="I45" s="1107" t="e">
        <f>H45/H46</f>
        <v>#N/A</v>
      </c>
      <c r="J45" s="954"/>
      <c r="K45" s="1106" t="str">
        <f t="shared" si="1"/>
        <v>Gesamtgewinn</v>
      </c>
      <c r="L45" s="1104" t="e">
        <f>Refkalkulation!N129</f>
        <v>#N/A</v>
      </c>
      <c r="M45" s="1107" t="e">
        <f>L45/L46</f>
        <v>#N/A</v>
      </c>
      <c r="N45" s="954"/>
      <c r="O45" s="953"/>
    </row>
    <row r="46" spans="1:16" ht="15" x14ac:dyDescent="0.2">
      <c r="A46" s="951"/>
      <c r="B46" s="954"/>
      <c r="C46" s="1112" t="str">
        <f>Refkalkulation!D131</f>
        <v>Bauteilpreis gesamt</v>
      </c>
      <c r="D46" s="1108" t="e">
        <f>SUM(D33:D45)</f>
        <v>#N/A</v>
      </c>
      <c r="E46" s="1109" t="s">
        <v>908</v>
      </c>
      <c r="F46" s="1071"/>
      <c r="G46" s="1112" t="str">
        <f t="shared" si="0"/>
        <v>Bauteilpreis gesamt</v>
      </c>
      <c r="H46" s="1108" t="e">
        <f>SUM(H33:H45)</f>
        <v>#N/A</v>
      </c>
      <c r="I46" s="1109" t="s">
        <v>908</v>
      </c>
      <c r="J46" s="1071"/>
      <c r="K46" s="1112" t="str">
        <f t="shared" si="1"/>
        <v>Bauteilpreis gesamt</v>
      </c>
      <c r="L46" s="1108" t="e">
        <f>SUM(L33:L45)</f>
        <v>#N/A</v>
      </c>
      <c r="M46" s="1109" t="s">
        <v>908</v>
      </c>
      <c r="N46" s="1010"/>
      <c r="O46" s="953"/>
    </row>
    <row r="47" spans="1:16" x14ac:dyDescent="0.2">
      <c r="A47" s="951"/>
      <c r="B47" s="954"/>
      <c r="C47" s="1113" t="str">
        <f>Refkalkulation!D135</f>
        <v>Zielpreis Bauteil</v>
      </c>
      <c r="D47" s="1110">
        <f>Refkalkulation!H135</f>
        <v>55</v>
      </c>
      <c r="E47" s="1111" t="e">
        <f>(D47-D46)*D13</f>
        <v>#N/A</v>
      </c>
      <c r="F47" s="1071"/>
      <c r="G47" s="1113" t="str">
        <f>C47</f>
        <v>Zielpreis Bauteil</v>
      </c>
      <c r="H47" s="1110">
        <f>Refkalkulation!K135</f>
        <v>55</v>
      </c>
      <c r="I47" s="1111" t="e">
        <f>(H47-H46)*H13</f>
        <v>#N/A</v>
      </c>
      <c r="J47" s="1071"/>
      <c r="K47" s="1113" t="str">
        <f>C47</f>
        <v>Zielpreis Bauteil</v>
      </c>
      <c r="L47" s="1110">
        <f>Refkalkulation!N135</f>
        <v>55</v>
      </c>
      <c r="M47" s="1111" t="e">
        <f>(L47-L46)*L13</f>
        <v>#N/A</v>
      </c>
      <c r="N47" s="1010"/>
      <c r="O47" s="953"/>
    </row>
    <row r="48" spans="1:16" ht="15" x14ac:dyDescent="0.2">
      <c r="A48" s="951"/>
      <c r="B48" s="954"/>
      <c r="C48" s="1112" t="str">
        <f>IF(Deutsch,"Modellkosten geschätzt","Pattern Cost estimated")</f>
        <v>Modellkosten geschätzt</v>
      </c>
      <c r="D48" s="1108" t="e">
        <f>Refkalkulation!H139+Refkalkulation!H140</f>
        <v>#N/A</v>
      </c>
      <c r="E48" s="1109" t="s">
        <v>909</v>
      </c>
      <c r="F48" s="1071"/>
      <c r="G48" s="1112" t="str">
        <f>C48</f>
        <v>Modellkosten geschätzt</v>
      </c>
      <c r="H48" s="1108" t="e">
        <f>Refkalkulation!K139+Refkalkulation!K140</f>
        <v>#N/A</v>
      </c>
      <c r="I48" s="1109" t="s">
        <v>909</v>
      </c>
      <c r="J48" s="1071"/>
      <c r="K48" s="1112" t="str">
        <f>C48</f>
        <v>Modellkosten geschätzt</v>
      </c>
      <c r="L48" s="1108" t="e">
        <f>Refkalkulation!N139+Refkalkulation!N140</f>
        <v>#N/A</v>
      </c>
      <c r="M48" s="1109" t="s">
        <v>909</v>
      </c>
      <c r="N48" s="1010"/>
      <c r="O48" s="953"/>
      <c r="P48" s="1141"/>
    </row>
    <row r="49" spans="1:15" x14ac:dyDescent="0.2">
      <c r="A49" s="951"/>
      <c r="B49" s="954"/>
      <c r="C49" s="1113" t="str">
        <f>Refkalkulation!D141</f>
        <v>Modellkosten Angebot</v>
      </c>
      <c r="D49" s="1110" t="e">
        <f>Refkalkulation!H141</f>
        <v>#N/A</v>
      </c>
      <c r="E49" s="1111" t="e">
        <f>D49-D48</f>
        <v>#N/A</v>
      </c>
      <c r="F49" s="1071"/>
      <c r="G49" s="1113" t="str">
        <f>C49</f>
        <v>Modellkosten Angebot</v>
      </c>
      <c r="H49" s="1110" t="e">
        <f>Refkalkulation!K141</f>
        <v>#N/A</v>
      </c>
      <c r="I49" s="1111" t="e">
        <f>H49-H48</f>
        <v>#N/A</v>
      </c>
      <c r="J49" s="1071"/>
      <c r="K49" s="1113" t="str">
        <f>C49</f>
        <v>Modellkosten Angebot</v>
      </c>
      <c r="L49" s="1110" t="e">
        <f>Refkalkulation!N141</f>
        <v>#N/A</v>
      </c>
      <c r="M49" s="1111" t="e">
        <f>L49-L48</f>
        <v>#N/A</v>
      </c>
      <c r="N49" s="1010"/>
      <c r="O49" s="953"/>
    </row>
    <row r="50" spans="1:15" x14ac:dyDescent="0.2">
      <c r="A50" s="963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1011"/>
    </row>
    <row r="56" spans="1:15" ht="0.2" customHeight="1" x14ac:dyDescent="0.2">
      <c r="A56" s="950" t="str">
        <f>C10</f>
        <v>Deutschland</v>
      </c>
      <c r="C56" s="950" t="s">
        <v>910</v>
      </c>
      <c r="D56" s="950" t="s">
        <v>911</v>
      </c>
      <c r="E56" s="950" t="s">
        <v>912</v>
      </c>
      <c r="F56" s="950" t="s">
        <v>913</v>
      </c>
      <c r="G56" s="950" t="s">
        <v>916</v>
      </c>
      <c r="H56" s="950" t="s">
        <v>915</v>
      </c>
      <c r="I56" s="950" t="s">
        <v>917</v>
      </c>
    </row>
    <row r="57" spans="1:15" ht="0.2" customHeight="1" x14ac:dyDescent="0.2">
      <c r="C57" s="1078" t="e">
        <f>D33</f>
        <v>#N/A</v>
      </c>
      <c r="D57" s="1078" t="e">
        <f>D38</f>
        <v>#N/A</v>
      </c>
      <c r="E57" s="1078" t="e">
        <f>D44</f>
        <v>#N/A</v>
      </c>
      <c r="F57" s="1078" t="e">
        <f>D45</f>
        <v>#N/A</v>
      </c>
      <c r="G57" s="1078" t="e">
        <f>D46</f>
        <v>#N/A</v>
      </c>
      <c r="H57" s="1078" t="e">
        <f>I57-G57</f>
        <v>#N/A</v>
      </c>
      <c r="I57" s="1078">
        <f>D47</f>
        <v>55</v>
      </c>
    </row>
    <row r="58" spans="1:15" ht="0.2" customHeight="1" x14ac:dyDescent="0.2">
      <c r="C58" s="1078"/>
      <c r="D58" s="1078" t="e">
        <f>C57</f>
        <v>#N/A</v>
      </c>
      <c r="E58" s="1078" t="e">
        <f>D57+D58</f>
        <v>#N/A</v>
      </c>
      <c r="F58" s="1078" t="e">
        <f>E57+E58</f>
        <v>#N/A</v>
      </c>
      <c r="G58" s="1078"/>
      <c r="H58" s="1078"/>
      <c r="I58" s="1078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0" t="str">
        <f>G10</f>
        <v>Polen</v>
      </c>
      <c r="C62" s="950" t="s">
        <v>910</v>
      </c>
      <c r="D62" s="950" t="s">
        <v>911</v>
      </c>
      <c r="E62" s="950" t="s">
        <v>912</v>
      </c>
      <c r="F62" s="950" t="s">
        <v>913</v>
      </c>
      <c r="G62" s="950" t="s">
        <v>916</v>
      </c>
      <c r="H62" s="950" t="s">
        <v>915</v>
      </c>
      <c r="I62" s="950" t="s">
        <v>917</v>
      </c>
    </row>
    <row r="63" spans="1:15" ht="0.2" customHeight="1" x14ac:dyDescent="0.2">
      <c r="C63" s="1078" t="e">
        <f>H33</f>
        <v>#N/A</v>
      </c>
      <c r="D63" s="1078" t="e">
        <f>H38</f>
        <v>#N/A</v>
      </c>
      <c r="E63" s="1078" t="e">
        <f>H44</f>
        <v>#N/A</v>
      </c>
      <c r="F63" s="1078" t="e">
        <f>H45</f>
        <v>#N/A</v>
      </c>
      <c r="G63" s="1078" t="e">
        <f>H46</f>
        <v>#N/A</v>
      </c>
      <c r="H63" s="1078" t="e">
        <f>I63-G63</f>
        <v>#N/A</v>
      </c>
      <c r="I63" s="1078">
        <f>H47</f>
        <v>55</v>
      </c>
    </row>
    <row r="64" spans="1:15" ht="0.2" customHeight="1" x14ac:dyDescent="0.2">
      <c r="C64" s="1078"/>
      <c r="D64" s="1078" t="e">
        <f>C63</f>
        <v>#N/A</v>
      </c>
      <c r="E64" s="1078" t="e">
        <f>D63+D64</f>
        <v>#N/A</v>
      </c>
      <c r="F64" s="1078" t="e">
        <f>E63+E64</f>
        <v>#N/A</v>
      </c>
      <c r="G64" s="1078"/>
      <c r="H64" s="1078"/>
      <c r="I64" s="1078"/>
    </row>
    <row r="65" spans="1:9" ht="0.2" customHeight="1" x14ac:dyDescent="0.2"/>
    <row r="66" spans="1:9" ht="0.2" customHeight="1" x14ac:dyDescent="0.2"/>
    <row r="67" spans="1:9" ht="0.2" customHeight="1" x14ac:dyDescent="0.2">
      <c r="A67" s="950" t="str">
        <f>K10</f>
        <v>Deutschland</v>
      </c>
      <c r="C67" s="950" t="s">
        <v>910</v>
      </c>
      <c r="D67" s="950" t="s">
        <v>911</v>
      </c>
      <c r="E67" s="950" t="s">
        <v>912</v>
      </c>
      <c r="F67" s="950" t="s">
        <v>913</v>
      </c>
      <c r="G67" s="950" t="s">
        <v>916</v>
      </c>
      <c r="H67" s="950" t="s">
        <v>915</v>
      </c>
      <c r="I67" s="950" t="s">
        <v>917</v>
      </c>
    </row>
    <row r="68" spans="1:9" ht="0.2" customHeight="1" x14ac:dyDescent="0.2">
      <c r="C68" s="1078" t="e">
        <f>L33</f>
        <v>#N/A</v>
      </c>
      <c r="D68" s="1078" t="e">
        <f>L38</f>
        <v>#N/A</v>
      </c>
      <c r="E68" s="1078" t="e">
        <f>L44</f>
        <v>#N/A</v>
      </c>
      <c r="F68" s="1078" t="e">
        <f>L45</f>
        <v>#N/A</v>
      </c>
      <c r="G68" s="1078" t="e">
        <f>L46</f>
        <v>#N/A</v>
      </c>
      <c r="H68" s="1078" t="e">
        <f>I68-G68</f>
        <v>#N/A</v>
      </c>
      <c r="I68" s="1078">
        <f>L47</f>
        <v>55</v>
      </c>
    </row>
    <row r="69" spans="1:9" ht="0.2" customHeight="1" x14ac:dyDescent="0.2">
      <c r="C69" s="1078"/>
      <c r="D69" s="1078" t="e">
        <f>C68</f>
        <v>#N/A</v>
      </c>
      <c r="E69" s="1078" t="e">
        <f>D68+D69</f>
        <v>#N/A</v>
      </c>
      <c r="F69" s="1078" t="e">
        <f>E68+E69</f>
        <v>#N/A</v>
      </c>
      <c r="G69" s="1078"/>
      <c r="H69" s="1078"/>
      <c r="I69" s="1078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0" customWidth="1"/>
    <col min="2" max="2" width="0.875" style="950" customWidth="1"/>
    <col min="3" max="3" width="31.75" style="950" customWidth="1"/>
    <col min="4" max="5" width="11" style="950"/>
    <col min="6" max="6" width="10.625" style="950" customWidth="1"/>
    <col min="7" max="7" width="31.75" style="950" customWidth="1"/>
    <col min="8" max="9" width="11" style="950"/>
    <col min="10" max="10" width="10.625" style="950" customWidth="1"/>
    <col min="11" max="11" width="31.75" style="950" customWidth="1"/>
    <col min="12" max="13" width="11" style="950"/>
    <col min="14" max="14" width="0.875" style="950" customWidth="1"/>
    <col min="15" max="15" width="8.125" style="950" customWidth="1"/>
    <col min="16" max="16384" width="11" style="950"/>
  </cols>
  <sheetData>
    <row r="1" spans="1:28" x14ac:dyDescent="0.2">
      <c r="A1" s="946"/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8"/>
      <c r="N1" s="948"/>
      <c r="O1" s="949"/>
    </row>
    <row r="2" spans="1:28" ht="5.0999999999999996" customHeight="1" x14ac:dyDescent="0.2">
      <c r="A2" s="951"/>
      <c r="B2" s="946"/>
      <c r="C2" s="947"/>
      <c r="D2" s="947"/>
      <c r="E2" s="947"/>
      <c r="F2" s="947"/>
      <c r="G2" s="947"/>
      <c r="H2" s="947"/>
      <c r="I2" s="947"/>
      <c r="J2" s="947"/>
      <c r="K2" s="947"/>
      <c r="L2" s="947"/>
      <c r="M2" s="948"/>
      <c r="N2" s="952"/>
      <c r="O2" s="953"/>
    </row>
    <row r="3" spans="1:28" x14ac:dyDescent="0.2">
      <c r="A3" s="951"/>
      <c r="B3" s="951"/>
      <c r="C3" s="954"/>
      <c r="D3" s="954"/>
      <c r="E3" s="954"/>
      <c r="F3" s="954"/>
      <c r="G3" s="954"/>
      <c r="H3" s="954"/>
      <c r="I3" s="954"/>
      <c r="J3" s="954"/>
      <c r="K3" s="954"/>
      <c r="L3" s="954"/>
      <c r="M3" s="955">
        <f ca="1">TODAY()</f>
        <v>44620</v>
      </c>
      <c r="N3" s="956"/>
      <c r="O3" s="953"/>
    </row>
    <row r="4" spans="1:28" x14ac:dyDescent="0.2">
      <c r="A4" s="951"/>
      <c r="B4" s="951"/>
      <c r="C4" s="954"/>
      <c r="D4" s="954"/>
      <c r="E4" s="954"/>
      <c r="F4" s="954"/>
      <c r="G4" s="954"/>
      <c r="H4" s="954"/>
      <c r="I4" s="954"/>
      <c r="J4" s="954"/>
      <c r="K4" s="954"/>
      <c r="L4" s="954"/>
      <c r="M4" s="1013" t="str">
        <f>'Quick Input'!L3</f>
        <v>Dr.P. Pawar</v>
      </c>
      <c r="N4" s="957"/>
      <c r="O4" s="953"/>
    </row>
    <row r="5" spans="1:28" ht="20.25" x14ac:dyDescent="0.3">
      <c r="A5" s="951"/>
      <c r="B5" s="951"/>
      <c r="C5" s="958"/>
      <c r="D5" s="959"/>
      <c r="E5" s="954"/>
      <c r="F5" s="954"/>
      <c r="G5" s="960" t="str">
        <f>'Quick Input'!R2</f>
        <v>Siemens Standort</v>
      </c>
      <c r="H5" s="1012" t="str">
        <f>'Quick Input'!U2</f>
        <v>Erlangen</v>
      </c>
      <c r="I5" s="954"/>
      <c r="J5" s="954"/>
      <c r="K5" s="954"/>
      <c r="L5" s="954"/>
      <c r="M5" s="954"/>
      <c r="N5" s="953"/>
      <c r="O5" s="953"/>
    </row>
    <row r="6" spans="1:28" x14ac:dyDescent="0.2">
      <c r="A6" s="951"/>
      <c r="B6" s="951"/>
      <c r="C6" s="954"/>
      <c r="D6" s="954"/>
      <c r="E6" s="954"/>
      <c r="F6" s="962"/>
      <c r="G6" s="960" t="str">
        <f>'Quick Input'!R3</f>
        <v>Lieferant</v>
      </c>
      <c r="H6" s="1012" t="str">
        <f>'Quick Input'!U3</f>
        <v>MGG</v>
      </c>
      <c r="I6" s="954"/>
      <c r="J6" s="954"/>
      <c r="K6" s="954"/>
      <c r="L6" s="954"/>
      <c r="M6" s="955"/>
      <c r="N6" s="956"/>
      <c r="O6" s="953"/>
    </row>
    <row r="7" spans="1:28" x14ac:dyDescent="0.2">
      <c r="A7" s="951"/>
      <c r="B7" s="951"/>
      <c r="C7" s="954"/>
      <c r="D7" s="954"/>
      <c r="E7" s="954"/>
      <c r="F7" s="954"/>
      <c r="G7" s="960" t="str">
        <f>'Quick Input'!R4</f>
        <v>Werk</v>
      </c>
      <c r="H7" s="1012" t="str">
        <f>'Quick Input'!U4</f>
        <v>DI MC</v>
      </c>
      <c r="I7" s="954"/>
      <c r="J7" s="954"/>
      <c r="K7" s="954"/>
      <c r="L7" s="954"/>
      <c r="M7" s="955"/>
      <c r="N7" s="956"/>
      <c r="O7" s="953"/>
    </row>
    <row r="8" spans="1:28" x14ac:dyDescent="0.2">
      <c r="A8" s="951"/>
      <c r="B8" s="951"/>
      <c r="C8" s="954"/>
      <c r="D8" s="954"/>
      <c r="E8" s="954"/>
      <c r="F8" s="954"/>
      <c r="G8" s="961"/>
      <c r="H8" s="954"/>
      <c r="I8" s="954"/>
      <c r="J8" s="954"/>
      <c r="K8" s="954"/>
      <c r="L8" s="954"/>
      <c r="M8" s="955"/>
      <c r="N8" s="956"/>
      <c r="O8" s="953"/>
    </row>
    <row r="9" spans="1:28" x14ac:dyDescent="0.2">
      <c r="A9" s="951"/>
      <c r="B9" s="951"/>
      <c r="C9" s="954"/>
      <c r="D9" s="954"/>
      <c r="E9" s="954"/>
      <c r="F9" s="954"/>
      <c r="G9" s="961"/>
      <c r="H9" s="954"/>
      <c r="I9" s="954"/>
      <c r="J9" s="954"/>
      <c r="K9" s="954"/>
      <c r="L9" s="954"/>
      <c r="M9" s="955"/>
      <c r="N9" s="956"/>
      <c r="O9" s="953"/>
    </row>
    <row r="10" spans="1:28" ht="5.0999999999999996" customHeight="1" x14ac:dyDescent="0.2">
      <c r="A10" s="951"/>
      <c r="B10" s="963"/>
      <c r="C10" s="964"/>
      <c r="D10" s="964"/>
      <c r="E10" s="964"/>
      <c r="F10" s="964"/>
      <c r="G10" s="965"/>
      <c r="H10" s="964"/>
      <c r="I10" s="964"/>
      <c r="J10" s="964"/>
      <c r="K10" s="964"/>
      <c r="L10" s="964"/>
      <c r="M10" s="966"/>
      <c r="N10" s="967"/>
      <c r="O10" s="953"/>
    </row>
    <row r="11" spans="1:28" x14ac:dyDescent="0.2">
      <c r="A11" s="951"/>
      <c r="B11" s="954"/>
      <c r="C11" s="962"/>
      <c r="D11" s="954"/>
      <c r="E11" s="954"/>
      <c r="F11" s="954"/>
      <c r="G11" s="961"/>
      <c r="H11" s="954"/>
      <c r="I11" s="954"/>
      <c r="J11" s="954"/>
      <c r="K11" s="954"/>
      <c r="L11" s="954"/>
      <c r="M11" s="955"/>
      <c r="N11" s="955"/>
      <c r="O11" s="953"/>
      <c r="AB11" s="968"/>
    </row>
    <row r="12" spans="1:28" ht="15" x14ac:dyDescent="0.2">
      <c r="A12" s="951"/>
      <c r="B12" s="954"/>
      <c r="C12" s="969" t="str">
        <f>Refkalkulation!H7</f>
        <v>Deutschland</v>
      </c>
      <c r="D12" s="970" t="str">
        <f>Refkalkulation!H$6</f>
        <v>Housing</v>
      </c>
      <c r="E12" s="971"/>
      <c r="F12" s="972"/>
      <c r="G12" s="969" t="str">
        <f>Refkalkulation!K7</f>
        <v>Polen</v>
      </c>
      <c r="H12" s="970" t="str">
        <f>Refkalkulation!K$6</f>
        <v>Housing</v>
      </c>
      <c r="I12" s="971"/>
      <c r="J12" s="972"/>
      <c r="K12" s="969" t="str">
        <f>Refkalkulation!N7</f>
        <v>Deutschland</v>
      </c>
      <c r="L12" s="970" t="str">
        <f>Refkalkulation!N$6</f>
        <v>Housing</v>
      </c>
      <c r="M12" s="949"/>
      <c r="N12" s="954"/>
      <c r="O12" s="953"/>
    </row>
    <row r="13" spans="1:28" x14ac:dyDescent="0.2">
      <c r="A13" s="951"/>
      <c r="B13" s="954"/>
      <c r="C13" s="951" t="str">
        <f>CONCATENATE('Quick Input'!$I22," ",'Quick Input'!L22)</f>
        <v>Giesstechnik Niederdruck</v>
      </c>
      <c r="D13" s="954">
        <f>'Quick Input'!L19</f>
        <v>40</v>
      </c>
      <c r="E13" s="953" t="s">
        <v>70</v>
      </c>
      <c r="F13" s="954"/>
      <c r="G13" s="951" t="str">
        <f>CONCATENATE('Quick Input'!$I22," ",'Quick Input'!O22)</f>
        <v>Giesstechnik Kippgiessen</v>
      </c>
      <c r="H13" s="954">
        <f>'Quick Input'!O19</f>
        <v>5</v>
      </c>
      <c r="I13" s="953" t="s">
        <v>70</v>
      </c>
      <c r="J13" s="954"/>
      <c r="K13" s="951" t="str">
        <f>CONCATENATE('Quick Input'!$I22," ",'Quick Input'!R22)</f>
        <v>Giesstechnik Schwerkaft</v>
      </c>
      <c r="L13" s="954">
        <f>'Quick Input'!R19</f>
        <v>5</v>
      </c>
      <c r="M13" s="953" t="s">
        <v>70</v>
      </c>
      <c r="N13" s="954"/>
      <c r="O13" s="953"/>
    </row>
    <row r="14" spans="1:28" x14ac:dyDescent="0.2">
      <c r="A14" s="951"/>
      <c r="B14" s="954"/>
      <c r="C14" s="951" t="str">
        <f>CONCATENATE('Quick Input'!$I23," ",'Quick Input'!L23,": ",Refkalkulation!H67," ltr")</f>
        <v>Automatisierungsgrad Handbedienung: 20 ltr</v>
      </c>
      <c r="D14" s="954"/>
      <c r="E14" s="953"/>
      <c r="F14" s="954"/>
      <c r="G14" s="951" t="str">
        <f>CONCATENATE('Quick Input'!$I23," ",'Quick Input'!O23,": ",Refkalkulation!K67," ltr")</f>
        <v>Automatisierungsgrad Dosiergerät: 0 ltr</v>
      </c>
      <c r="H14" s="954"/>
      <c r="I14" s="953"/>
      <c r="J14" s="954"/>
      <c r="K14" s="951" t="str">
        <f>CONCATENATE('Quick Input'!$I23," ",'Quick Input'!R23,": ",Refkalkulation!N67," ltr")</f>
        <v>Automatisierungsgrad Entnahmegerät: 0 ltr</v>
      </c>
      <c r="L14" s="954"/>
      <c r="M14" s="953"/>
      <c r="N14" s="954"/>
      <c r="O14" s="953"/>
    </row>
    <row r="15" spans="1:28" x14ac:dyDescent="0.2">
      <c r="A15" s="951"/>
      <c r="B15" s="954"/>
      <c r="C15" s="951" t="str">
        <f>Refkalkulation!H73</f>
        <v>Sandstrahlen Gleitschleifen</v>
      </c>
      <c r="D15" s="954"/>
      <c r="E15" s="953"/>
      <c r="F15" s="954"/>
      <c r="G15" s="951" t="str">
        <f>Refkalkulation!K73</f>
        <v>Sandstrahlen Gleitschleifen</v>
      </c>
      <c r="H15" s="954"/>
      <c r="I15" s="953"/>
      <c r="J15" s="954"/>
      <c r="K15" s="951" t="str">
        <f>Refkalkulation!N73</f>
        <v>Sandstrahlen Gleitschleifen</v>
      </c>
      <c r="L15" s="954"/>
      <c r="M15" s="953"/>
      <c r="N15" s="954"/>
      <c r="O15" s="953"/>
    </row>
    <row r="16" spans="1:28" x14ac:dyDescent="0.2">
      <c r="A16" s="951"/>
      <c r="B16" s="954"/>
      <c r="C16" s="951" t="str">
        <f>Refkalkulation!H94</f>
        <v>US PT Röntgen prüfen</v>
      </c>
      <c r="D16" s="954"/>
      <c r="E16" s="953"/>
      <c r="F16" s="954"/>
      <c r="G16" s="951" t="str">
        <f>Refkalkulation!K94</f>
        <v>US PT Röntgen prüfen</v>
      </c>
      <c r="H16" s="954"/>
      <c r="I16" s="953"/>
      <c r="J16" s="954"/>
      <c r="K16" s="951" t="str">
        <f>Refkalkulation!N94</f>
        <v>US PT Röntgen prüfen</v>
      </c>
      <c r="L16" s="954"/>
      <c r="M16" s="953"/>
      <c r="N16" s="954"/>
      <c r="O16" s="953"/>
    </row>
    <row r="17" spans="1:15" x14ac:dyDescent="0.2">
      <c r="A17" s="951"/>
      <c r="B17" s="954"/>
      <c r="C17" s="951"/>
      <c r="D17" s="954"/>
      <c r="E17" s="953"/>
      <c r="F17" s="954"/>
      <c r="G17" s="951"/>
      <c r="H17" s="954"/>
      <c r="I17" s="953"/>
      <c r="J17" s="954"/>
      <c r="K17" s="951"/>
      <c r="L17" s="954"/>
      <c r="M17" s="953"/>
      <c r="N17" s="954"/>
      <c r="O17" s="953"/>
    </row>
    <row r="18" spans="1:15" x14ac:dyDescent="0.2">
      <c r="A18" s="951"/>
      <c r="B18" s="954"/>
      <c r="C18" s="951"/>
      <c r="D18" s="954"/>
      <c r="E18" s="953"/>
      <c r="F18" s="954"/>
      <c r="G18" s="951"/>
      <c r="H18" s="954"/>
      <c r="I18" s="953"/>
      <c r="J18" s="954"/>
      <c r="K18" s="951"/>
      <c r="L18" s="954"/>
      <c r="M18" s="953"/>
      <c r="N18" s="954"/>
      <c r="O18" s="953"/>
    </row>
    <row r="19" spans="1:15" x14ac:dyDescent="0.2">
      <c r="A19" s="951"/>
      <c r="B19" s="954"/>
      <c r="C19" s="951"/>
      <c r="D19" s="954"/>
      <c r="E19" s="953"/>
      <c r="F19" s="954"/>
      <c r="G19" s="951"/>
      <c r="H19" s="954"/>
      <c r="I19" s="953"/>
      <c r="J19" s="954"/>
      <c r="K19" s="951"/>
      <c r="L19" s="954"/>
      <c r="M19" s="953"/>
      <c r="N19" s="954"/>
      <c r="O19" s="953"/>
    </row>
    <row r="20" spans="1:15" x14ac:dyDescent="0.2">
      <c r="A20" s="951"/>
      <c r="B20" s="954"/>
      <c r="C20" s="951"/>
      <c r="D20" s="954"/>
      <c r="E20" s="953"/>
      <c r="F20" s="954"/>
      <c r="G20" s="951"/>
      <c r="H20" s="954"/>
      <c r="I20" s="953"/>
      <c r="J20" s="954"/>
      <c r="K20" s="951"/>
      <c r="L20" s="954"/>
      <c r="M20" s="953"/>
      <c r="N20" s="954"/>
      <c r="O20" s="953"/>
    </row>
    <row r="21" spans="1:15" x14ac:dyDescent="0.2">
      <c r="A21" s="951"/>
      <c r="B21" s="954"/>
      <c r="C21" s="951"/>
      <c r="D21" s="954"/>
      <c r="E21" s="953"/>
      <c r="F21" s="954"/>
      <c r="G21" s="951"/>
      <c r="H21" s="954"/>
      <c r="I21" s="953"/>
      <c r="J21" s="954"/>
      <c r="K21" s="951"/>
      <c r="L21" s="954"/>
      <c r="M21" s="953"/>
      <c r="N21" s="954"/>
      <c r="O21" s="953"/>
    </row>
    <row r="22" spans="1:15" x14ac:dyDescent="0.2">
      <c r="A22" s="951"/>
      <c r="B22" s="954"/>
      <c r="C22" s="951"/>
      <c r="D22" s="954"/>
      <c r="E22" s="953"/>
      <c r="F22" s="954"/>
      <c r="G22" s="951"/>
      <c r="H22" s="954"/>
      <c r="I22" s="953"/>
      <c r="J22" s="954"/>
      <c r="K22" s="951"/>
      <c r="L22" s="954"/>
      <c r="M22" s="953"/>
      <c r="N22" s="954"/>
      <c r="O22" s="953"/>
    </row>
    <row r="23" spans="1:15" x14ac:dyDescent="0.2">
      <c r="A23" s="951"/>
      <c r="B23" s="954"/>
      <c r="C23" s="951"/>
      <c r="D23" s="954"/>
      <c r="E23" s="953"/>
      <c r="F23" s="954"/>
      <c r="G23" s="951"/>
      <c r="H23" s="954"/>
      <c r="I23" s="953"/>
      <c r="J23" s="954"/>
      <c r="K23" s="951"/>
      <c r="L23" s="954"/>
      <c r="M23" s="953"/>
      <c r="N23" s="954"/>
      <c r="O23" s="953"/>
    </row>
    <row r="24" spans="1:15" x14ac:dyDescent="0.2">
      <c r="A24" s="951"/>
      <c r="B24" s="954"/>
      <c r="C24" s="951"/>
      <c r="D24" s="954"/>
      <c r="E24" s="953"/>
      <c r="F24" s="954"/>
      <c r="G24" s="951"/>
      <c r="H24" s="954"/>
      <c r="I24" s="953"/>
      <c r="J24" s="954"/>
      <c r="K24" s="951"/>
      <c r="L24" s="954"/>
      <c r="M24" s="953"/>
      <c r="N24" s="954"/>
      <c r="O24" s="953"/>
    </row>
    <row r="25" spans="1:15" x14ac:dyDescent="0.2">
      <c r="A25" s="951"/>
      <c r="B25" s="954"/>
      <c r="C25" s="951"/>
      <c r="D25" s="954"/>
      <c r="E25" s="953"/>
      <c r="F25" s="954"/>
      <c r="G25" s="951"/>
      <c r="H25" s="954"/>
      <c r="I25" s="953"/>
      <c r="J25" s="954"/>
      <c r="K25" s="951"/>
      <c r="L25" s="954"/>
      <c r="M25" s="953"/>
      <c r="N25" s="954"/>
      <c r="O25" s="953"/>
    </row>
    <row r="26" spans="1:15" x14ac:dyDescent="0.2">
      <c r="A26" s="951"/>
      <c r="B26" s="954"/>
      <c r="C26" s="951"/>
      <c r="D26" s="954"/>
      <c r="E26" s="953"/>
      <c r="F26" s="954"/>
      <c r="G26" s="951"/>
      <c r="H26" s="954"/>
      <c r="I26" s="953"/>
      <c r="J26" s="954"/>
      <c r="K26" s="951"/>
      <c r="L26" s="954"/>
      <c r="M26" s="953"/>
      <c r="N26" s="954"/>
      <c r="O26" s="953"/>
    </row>
    <row r="27" spans="1:15" x14ac:dyDescent="0.2">
      <c r="A27" s="951"/>
      <c r="B27" s="954"/>
      <c r="C27" s="951"/>
      <c r="D27" s="954"/>
      <c r="E27" s="953"/>
      <c r="F27" s="954"/>
      <c r="G27" s="951"/>
      <c r="H27" s="954"/>
      <c r="I27" s="953"/>
      <c r="J27" s="954"/>
      <c r="K27" s="951"/>
      <c r="L27" s="954"/>
      <c r="M27" s="953"/>
      <c r="N27" s="954"/>
      <c r="O27" s="953"/>
    </row>
    <row r="28" spans="1:15" x14ac:dyDescent="0.2">
      <c r="A28" s="951"/>
      <c r="B28" s="954"/>
      <c r="C28" s="951"/>
      <c r="D28" s="954"/>
      <c r="E28" s="953"/>
      <c r="F28" s="954"/>
      <c r="G28" s="951"/>
      <c r="H28" s="954"/>
      <c r="I28" s="953"/>
      <c r="J28" s="954"/>
      <c r="K28" s="951"/>
      <c r="L28" s="954"/>
      <c r="M28" s="953"/>
      <c r="N28" s="954"/>
      <c r="O28" s="953"/>
    </row>
    <row r="29" spans="1:15" x14ac:dyDescent="0.2">
      <c r="A29" s="951"/>
      <c r="B29" s="954"/>
      <c r="C29" s="951"/>
      <c r="D29" s="954"/>
      <c r="E29" s="953"/>
      <c r="F29" s="954"/>
      <c r="G29" s="951"/>
      <c r="H29" s="954"/>
      <c r="I29" s="953"/>
      <c r="J29" s="954"/>
      <c r="K29" s="951"/>
      <c r="L29" s="954"/>
      <c r="M29" s="953"/>
      <c r="N29" s="954"/>
      <c r="O29" s="953"/>
    </row>
    <row r="30" spans="1:15" x14ac:dyDescent="0.2">
      <c r="A30" s="951"/>
      <c r="B30" s="954"/>
      <c r="C30" s="951"/>
      <c r="D30" s="954"/>
      <c r="E30" s="953"/>
      <c r="F30" s="954"/>
      <c r="G30" s="951"/>
      <c r="H30" s="954"/>
      <c r="I30" s="953"/>
      <c r="J30" s="954"/>
      <c r="K30" s="951"/>
      <c r="L30" s="954"/>
      <c r="M30" s="953"/>
      <c r="N30" s="954"/>
      <c r="O30" s="953"/>
    </row>
    <row r="31" spans="1:15" x14ac:dyDescent="0.2">
      <c r="A31" s="951"/>
      <c r="B31" s="954"/>
      <c r="C31" s="951"/>
      <c r="D31" s="954"/>
      <c r="E31" s="953"/>
      <c r="F31" s="954"/>
      <c r="G31" s="951"/>
      <c r="H31" s="954"/>
      <c r="I31" s="953"/>
      <c r="J31" s="954"/>
      <c r="K31" s="951"/>
      <c r="L31" s="954"/>
      <c r="M31" s="953"/>
      <c r="N31" s="954"/>
      <c r="O31" s="953"/>
    </row>
    <row r="32" spans="1:15" x14ac:dyDescent="0.2">
      <c r="A32" s="951"/>
      <c r="B32" s="954"/>
      <c r="C32" s="973" t="str">
        <f>IF(Deutsch,"Material - Information:","material information:")</f>
        <v>Material - Information:</v>
      </c>
      <c r="D32" s="974"/>
      <c r="E32" s="949"/>
      <c r="F32" s="954"/>
      <c r="G32" s="973" t="str">
        <f>C32</f>
        <v>Material - Information:</v>
      </c>
      <c r="H32" s="974"/>
      <c r="I32" s="949"/>
      <c r="J32" s="954"/>
      <c r="K32" s="973" t="str">
        <f>C32</f>
        <v>Material - Information:</v>
      </c>
      <c r="L32" s="974"/>
      <c r="M32" s="949"/>
      <c r="N32" s="954"/>
      <c r="O32" s="953"/>
    </row>
    <row r="33" spans="1:15" x14ac:dyDescent="0.2">
      <c r="A33" s="951"/>
      <c r="B33" s="954"/>
      <c r="C33" s="975" t="str">
        <f>CONCATENATE("               ",'Quick Input'!$I$11)</f>
        <v xml:space="preserve">               Bezeichnung</v>
      </c>
      <c r="D33" s="976" t="str">
        <f>'Quick Input'!M11</f>
        <v>Al Si10Cu2(Fe)</v>
      </c>
      <c r="E33" s="977"/>
      <c r="F33" s="954"/>
      <c r="G33" s="975" t="str">
        <f t="shared" ref="G33:G48" si="0">C33</f>
        <v xml:space="preserve">               Bezeichnung</v>
      </c>
      <c r="H33" s="976" t="str">
        <f>'Quick Input'!P11</f>
        <v>Al Si10Mg(b)</v>
      </c>
      <c r="I33" s="977"/>
      <c r="J33" s="954"/>
      <c r="K33" s="975" t="str">
        <f t="shared" ref="K33:K48" si="1">C33</f>
        <v xml:space="preserve">               Bezeichnung</v>
      </c>
      <c r="L33" s="976" t="str">
        <f>'Quick Input'!S11</f>
        <v>Al Si10Mg(b)</v>
      </c>
      <c r="M33" s="977"/>
      <c r="N33" s="954"/>
      <c r="O33" s="953"/>
    </row>
    <row r="34" spans="1:15" x14ac:dyDescent="0.2">
      <c r="A34" s="951"/>
      <c r="B34" s="954"/>
      <c r="C34" s="978" t="str">
        <f>CONCATENATE("               ",'Quick Input'!$I$13)</f>
        <v xml:space="preserve">               Al-Materialpreis (€/kg)</v>
      </c>
      <c r="D34" s="979">
        <f>'Quick Input'!M13</f>
        <v>2.0002526724975707</v>
      </c>
      <c r="E34" s="980"/>
      <c r="F34" s="981"/>
      <c r="G34" s="978" t="str">
        <f t="shared" si="0"/>
        <v xml:space="preserve">               Al-Materialpreis (€/kg)</v>
      </c>
      <c r="H34" s="979">
        <f>'Quick Input'!P13</f>
        <v>1.9670528580208975</v>
      </c>
      <c r="I34" s="980"/>
      <c r="J34" s="981"/>
      <c r="K34" s="978" t="str">
        <f t="shared" si="1"/>
        <v xml:space="preserve">               Al-Materialpreis (€/kg)</v>
      </c>
      <c r="L34" s="979">
        <f>'Quick Input'!S13</f>
        <v>1.9670528580208975</v>
      </c>
      <c r="M34" s="980"/>
      <c r="N34" s="954"/>
      <c r="O34" s="953"/>
    </row>
    <row r="35" spans="1:15" ht="15" x14ac:dyDescent="0.25">
      <c r="A35" s="951"/>
      <c r="B35" s="954"/>
      <c r="C35" s="982" t="str">
        <f>Refkalkulation!D26</f>
        <v>Materialkosten gesamt</v>
      </c>
      <c r="D35" s="983" t="e">
        <f>Refkalkulation!H26</f>
        <v>#N/A</v>
      </c>
      <c r="E35" s="984"/>
      <c r="F35" s="954"/>
      <c r="G35" s="982" t="str">
        <f t="shared" si="0"/>
        <v>Materialkosten gesamt</v>
      </c>
      <c r="H35" s="983" t="e">
        <f>Refkalkulation!K26</f>
        <v>#N/A</v>
      </c>
      <c r="I35" s="984"/>
      <c r="J35" s="954"/>
      <c r="K35" s="982" t="str">
        <f t="shared" si="1"/>
        <v>Materialkosten gesamt</v>
      </c>
      <c r="L35" s="983" t="e">
        <f>Refkalkulation!N26</f>
        <v>#N/A</v>
      </c>
      <c r="M35" s="984"/>
      <c r="N35" s="954"/>
      <c r="O35" s="953"/>
    </row>
    <row r="36" spans="1:15" x14ac:dyDescent="0.2">
      <c r="A36" s="951"/>
      <c r="B36" s="954"/>
      <c r="C36" s="985" t="str">
        <f>CONCATENATE("               ",Refkalkulation!D15)</f>
        <v xml:space="preserve">               Materialkosten Rohteil</v>
      </c>
      <c r="D36" s="986"/>
      <c r="E36" s="987">
        <f>Refkalkulation!H15</f>
        <v>80.010106899902823</v>
      </c>
      <c r="F36" s="988"/>
      <c r="G36" s="985" t="str">
        <f t="shared" si="0"/>
        <v xml:space="preserve">               Materialkosten Rohteil</v>
      </c>
      <c r="H36" s="986"/>
      <c r="I36" s="987">
        <f>Refkalkulation!K15</f>
        <v>9.8352642901044867</v>
      </c>
      <c r="J36" s="988"/>
      <c r="K36" s="985" t="str">
        <f t="shared" si="1"/>
        <v xml:space="preserve">               Materialkosten Rohteil</v>
      </c>
      <c r="L36" s="986"/>
      <c r="M36" s="987">
        <f>Refkalkulation!N15</f>
        <v>9.8352642901044867</v>
      </c>
      <c r="N36" s="988"/>
      <c r="O36" s="953"/>
    </row>
    <row r="37" spans="1:15" x14ac:dyDescent="0.2">
      <c r="A37" s="951"/>
      <c r="B37" s="954"/>
      <c r="C37" s="985" t="str">
        <f>CONCATENATE("               ",Refkalkulation!$D$17)</f>
        <v xml:space="preserve">               Kosten Schmelzverlust</v>
      </c>
      <c r="D37" s="986"/>
      <c r="E37" s="987">
        <f>Refkalkulation!H17</f>
        <v>6.4250804826333319</v>
      </c>
      <c r="F37" s="988"/>
      <c r="G37" s="985" t="str">
        <f t="shared" si="0"/>
        <v xml:space="preserve">               Kosten Schmelzverlust</v>
      </c>
      <c r="H37" s="986"/>
      <c r="I37" s="987">
        <f>Refkalkulation!K17</f>
        <v>0.79761274096399459</v>
      </c>
      <c r="J37" s="988"/>
      <c r="K37" s="985" t="str">
        <f t="shared" si="1"/>
        <v xml:space="preserve">               Kosten Schmelzverlust</v>
      </c>
      <c r="L37" s="986"/>
      <c r="M37" s="987">
        <f>Refkalkulation!N17</f>
        <v>0.79730417641915385</v>
      </c>
      <c r="N37" s="988"/>
      <c r="O37" s="953"/>
    </row>
    <row r="38" spans="1:15" x14ac:dyDescent="0.2">
      <c r="A38" s="951"/>
      <c r="B38" s="954"/>
      <c r="C38" s="985" t="str">
        <f>CONCATENATE("               ",Refkalkulation!D23)</f>
        <v xml:space="preserve">               Kosten Hilfsstoffe (€/Stk.)</v>
      </c>
      <c r="D38" s="986"/>
      <c r="E38" s="987" t="e">
        <f>Refkalkulation!H23</f>
        <v>#N/A</v>
      </c>
      <c r="F38" s="988"/>
      <c r="G38" s="985" t="str">
        <f t="shared" si="0"/>
        <v xml:space="preserve">               Kosten Hilfsstoffe (€/Stk.)</v>
      </c>
      <c r="H38" s="986"/>
      <c r="I38" s="987" t="e">
        <f>Refkalkulation!K23</f>
        <v>#N/A</v>
      </c>
      <c r="J38" s="988"/>
      <c r="K38" s="985" t="str">
        <f t="shared" si="1"/>
        <v xml:space="preserve">               Kosten Hilfsstoffe (€/Stk.)</v>
      </c>
      <c r="L38" s="986"/>
      <c r="M38" s="987" t="e">
        <f>Refkalkulation!N23</f>
        <v>#N/A</v>
      </c>
      <c r="N38" s="988"/>
      <c r="O38" s="953"/>
    </row>
    <row r="39" spans="1:15" x14ac:dyDescent="0.2">
      <c r="A39" s="951"/>
      <c r="B39" s="954"/>
      <c r="C39" s="989" t="str">
        <f>CONCATENATE("               ",Refkalkulation!D25)</f>
        <v xml:space="preserve">               Materialgemeinkosten</v>
      </c>
      <c r="D39" s="990"/>
      <c r="E39" s="991" t="e">
        <f>Refkalkulation!H25</f>
        <v>#N/A</v>
      </c>
      <c r="F39" s="988"/>
      <c r="G39" s="989" t="str">
        <f t="shared" si="0"/>
        <v xml:space="preserve">               Materialgemeinkosten</v>
      </c>
      <c r="H39" s="990"/>
      <c r="I39" s="991" t="e">
        <f>Refkalkulation!K25</f>
        <v>#N/A</v>
      </c>
      <c r="J39" s="988"/>
      <c r="K39" s="989" t="str">
        <f t="shared" si="1"/>
        <v xml:space="preserve">               Materialgemeinkosten</v>
      </c>
      <c r="L39" s="990"/>
      <c r="M39" s="991" t="e">
        <f>Refkalkulation!N25</f>
        <v>#N/A</v>
      </c>
      <c r="N39" s="988"/>
      <c r="O39" s="953"/>
    </row>
    <row r="40" spans="1:15" ht="15" x14ac:dyDescent="0.25">
      <c r="A40" s="951"/>
      <c r="B40" s="954"/>
      <c r="C40" s="992" t="s">
        <v>901</v>
      </c>
      <c r="D40" s="993" t="e">
        <f>Refkalkulation!H119</f>
        <v>#N/A</v>
      </c>
      <c r="E40" s="994"/>
      <c r="F40" s="995"/>
      <c r="G40" s="992" t="str">
        <f t="shared" si="0"/>
        <v>Fertigungskosten</v>
      </c>
      <c r="H40" s="993" t="e">
        <f>Refkalkulation!K119</f>
        <v>#N/A</v>
      </c>
      <c r="I40" s="994"/>
      <c r="J40" s="995"/>
      <c r="K40" s="992" t="str">
        <f t="shared" si="1"/>
        <v>Fertigungskosten</v>
      </c>
      <c r="L40" s="993" t="e">
        <f>Refkalkulation!N119</f>
        <v>#N/A</v>
      </c>
      <c r="M40" s="994"/>
      <c r="N40" s="995"/>
      <c r="O40" s="953"/>
    </row>
    <row r="41" spans="1:15" x14ac:dyDescent="0.2">
      <c r="A41" s="951"/>
      <c r="B41" s="954"/>
      <c r="C41" s="996" t="str">
        <f>CONCATENATE("               ",Refkalkulation!D28)</f>
        <v xml:space="preserve">               Prozess Schmelzen</v>
      </c>
      <c r="D41" s="997"/>
      <c r="E41" s="998">
        <f>Refkalkulation!H47</f>
        <v>3.777419724057113</v>
      </c>
      <c r="F41" s="999"/>
      <c r="G41" s="996" t="str">
        <f t="shared" si="0"/>
        <v xml:space="preserve">               Prozess Schmelzen</v>
      </c>
      <c r="H41" s="997"/>
      <c r="I41" s="998">
        <f>Refkalkulation!K47</f>
        <v>0.78911874062115539</v>
      </c>
      <c r="J41" s="999"/>
      <c r="K41" s="996" t="str">
        <f t="shared" si="1"/>
        <v xml:space="preserve">               Prozess Schmelzen</v>
      </c>
      <c r="L41" s="997"/>
      <c r="M41" s="998">
        <f>Refkalkulation!N47</f>
        <v>0.53701698514157759</v>
      </c>
      <c r="N41" s="999"/>
      <c r="O41" s="953"/>
    </row>
    <row r="42" spans="1:15" x14ac:dyDescent="0.2">
      <c r="A42" s="951"/>
      <c r="B42" s="954"/>
      <c r="C42" s="996" t="str">
        <f>CONCATENATE("               ",Refkalkulation!D48)</f>
        <v xml:space="preserve">               Prozess Formen</v>
      </c>
      <c r="D42" s="1000"/>
      <c r="E42" s="998" t="e">
        <f>Refkalkulation!H72</f>
        <v>#N/A</v>
      </c>
      <c r="F42" s="999"/>
      <c r="G42" s="996" t="str">
        <f t="shared" si="0"/>
        <v xml:space="preserve">               Prozess Formen</v>
      </c>
      <c r="H42" s="1000"/>
      <c r="I42" s="998" t="e">
        <f>Refkalkulation!K72</f>
        <v>#N/A</v>
      </c>
      <c r="J42" s="999"/>
      <c r="K42" s="996" t="str">
        <f t="shared" si="1"/>
        <v xml:space="preserve">               Prozess Formen</v>
      </c>
      <c r="L42" s="1000"/>
      <c r="M42" s="998" t="e">
        <f>Refkalkulation!N72</f>
        <v>#N/A</v>
      </c>
      <c r="N42" s="999"/>
      <c r="O42" s="953"/>
    </row>
    <row r="43" spans="1:15" x14ac:dyDescent="0.2">
      <c r="A43" s="951"/>
      <c r="B43" s="954"/>
      <c r="C43" s="996" t="s">
        <v>902</v>
      </c>
      <c r="D43" s="1000"/>
      <c r="E43" s="998" t="e">
        <f>Refkalkulation!H93</f>
        <v>#N/A</v>
      </c>
      <c r="F43" s="999"/>
      <c r="G43" s="996" t="str">
        <f t="shared" si="0"/>
        <v xml:space="preserve">               Nachbehandlung</v>
      </c>
      <c r="H43" s="1000"/>
      <c r="I43" s="998" t="e">
        <f>Refkalkulation!K93</f>
        <v>#N/A</v>
      </c>
      <c r="J43" s="999"/>
      <c r="K43" s="996" t="str">
        <f t="shared" si="1"/>
        <v xml:space="preserve">               Nachbehandlung</v>
      </c>
      <c r="L43" s="1000"/>
      <c r="M43" s="998" t="e">
        <f>Refkalkulation!N93</f>
        <v>#N/A</v>
      </c>
      <c r="N43" s="999"/>
      <c r="O43" s="953"/>
    </row>
    <row r="44" spans="1:15" x14ac:dyDescent="0.2">
      <c r="A44" s="951"/>
      <c r="B44" s="954"/>
      <c r="C44" s="996" t="s">
        <v>903</v>
      </c>
      <c r="D44" s="1000"/>
      <c r="E44" s="998">
        <f>Refkalkulation!H113</f>
        <v>6.3502320254629634</v>
      </c>
      <c r="F44" s="999"/>
      <c r="G44" s="996" t="str">
        <f t="shared" si="0"/>
        <v xml:space="preserve">               Prüfen</v>
      </c>
      <c r="H44" s="1000"/>
      <c r="I44" s="998">
        <f>Refkalkulation!K113</f>
        <v>3.2506872407407412</v>
      </c>
      <c r="J44" s="999"/>
      <c r="K44" s="996" t="str">
        <f t="shared" si="1"/>
        <v xml:space="preserve">               Prüfen</v>
      </c>
      <c r="L44" s="1000"/>
      <c r="M44" s="998">
        <f>Refkalkulation!N113</f>
        <v>4.4772743518518521</v>
      </c>
      <c r="N44" s="999"/>
      <c r="O44" s="953"/>
    </row>
    <row r="45" spans="1:15" x14ac:dyDescent="0.2">
      <c r="A45" s="951"/>
      <c r="B45" s="954"/>
      <c r="C45" s="996" t="s">
        <v>904</v>
      </c>
      <c r="D45" s="1000"/>
      <c r="E45" s="998" t="e">
        <f>Refkalkulation!H119-Refkalkulation!H115</f>
        <v>#N/A</v>
      </c>
      <c r="F45" s="999"/>
      <c r="G45" s="996" t="str">
        <f t="shared" si="0"/>
        <v xml:space="preserve">               Fertigungsnebenkosten</v>
      </c>
      <c r="H45" s="1000"/>
      <c r="I45" s="998" t="e">
        <f>Refkalkulation!K119-Refkalkulation!K115</f>
        <v>#N/A</v>
      </c>
      <c r="J45" s="999"/>
      <c r="K45" s="996" t="str">
        <f t="shared" si="1"/>
        <v xml:space="preserve">               Fertigungsnebenkosten</v>
      </c>
      <c r="L45" s="1000"/>
      <c r="M45" s="998" t="e">
        <f>Refkalkulation!N119-Refkalkulation!N115</f>
        <v>#N/A</v>
      </c>
      <c r="N45" s="999"/>
      <c r="O45" s="953"/>
    </row>
    <row r="46" spans="1:15" ht="15" x14ac:dyDescent="0.25">
      <c r="A46" s="951"/>
      <c r="B46" s="954"/>
      <c r="C46" s="1001" t="str">
        <f>Refkalkulation!D126</f>
        <v>Gesamtgemeinkosten</v>
      </c>
      <c r="D46" s="1002" t="e">
        <f>Refkalkulation!H126</f>
        <v>#N/A</v>
      </c>
      <c r="E46" s="1003" t="e">
        <f>D46/D48</f>
        <v>#N/A</v>
      </c>
      <c r="F46" s="999"/>
      <c r="G46" s="1001" t="str">
        <f t="shared" si="0"/>
        <v>Gesamtgemeinkosten</v>
      </c>
      <c r="H46" s="1002" t="e">
        <f>Refkalkulation!K126</f>
        <v>#N/A</v>
      </c>
      <c r="I46" s="1003" t="e">
        <f>H46/H48</f>
        <v>#N/A</v>
      </c>
      <c r="J46" s="954"/>
      <c r="K46" s="1001" t="str">
        <f t="shared" si="1"/>
        <v>Gesamtgemeinkosten</v>
      </c>
      <c r="L46" s="1002" t="e">
        <f>Refkalkulation!N126</f>
        <v>#N/A</v>
      </c>
      <c r="M46" s="1003" t="e">
        <f>L46/L48</f>
        <v>#N/A</v>
      </c>
      <c r="N46" s="954"/>
      <c r="O46" s="953"/>
    </row>
    <row r="47" spans="1:15" ht="18" customHeight="1" x14ac:dyDescent="0.25">
      <c r="A47" s="951"/>
      <c r="B47" s="954"/>
      <c r="C47" s="1004" t="str">
        <f>Refkalkulation!D129</f>
        <v>Gesamtgewinn</v>
      </c>
      <c r="D47" s="1005" t="e">
        <f>Refkalkulation!H129</f>
        <v>#N/A</v>
      </c>
      <c r="E47" s="1006" t="e">
        <f>D47/D48</f>
        <v>#N/A</v>
      </c>
      <c r="F47" s="999"/>
      <c r="G47" s="1004" t="str">
        <f t="shared" si="0"/>
        <v>Gesamtgewinn</v>
      </c>
      <c r="H47" s="1005" t="e">
        <f>Refkalkulation!K129</f>
        <v>#N/A</v>
      </c>
      <c r="I47" s="1006" t="e">
        <f>H47/H48</f>
        <v>#N/A</v>
      </c>
      <c r="J47" s="954"/>
      <c r="K47" s="1004" t="str">
        <f t="shared" si="1"/>
        <v>Gesamtgewinn</v>
      </c>
      <c r="L47" s="1005" t="e">
        <f>Refkalkulation!N129</f>
        <v>#N/A</v>
      </c>
      <c r="M47" s="1006" t="e">
        <f>L47/L48</f>
        <v>#N/A</v>
      </c>
      <c r="N47" s="954"/>
      <c r="O47" s="953"/>
    </row>
    <row r="48" spans="1:15" ht="33" customHeight="1" x14ac:dyDescent="0.2">
      <c r="A48" s="951"/>
      <c r="B48" s="954"/>
      <c r="C48" s="1007" t="str">
        <f>Refkalkulation!D131</f>
        <v>Bauteilpreis gesamt</v>
      </c>
      <c r="D48" s="1008" t="e">
        <f>SUM(D35:D47)</f>
        <v>#N/A</v>
      </c>
      <c r="E48" s="1009"/>
      <c r="F48" s="1010"/>
      <c r="G48" s="1007" t="str">
        <f t="shared" si="0"/>
        <v>Bauteilpreis gesamt</v>
      </c>
      <c r="H48" s="1008" t="e">
        <f>SUM(H35:H47)</f>
        <v>#N/A</v>
      </c>
      <c r="I48" s="1009"/>
      <c r="J48" s="1010"/>
      <c r="K48" s="1007" t="str">
        <f t="shared" si="1"/>
        <v>Bauteilpreis gesamt</v>
      </c>
      <c r="L48" s="1008" t="e">
        <f>SUM(L35:L47)</f>
        <v>#N/A</v>
      </c>
      <c r="M48" s="1009"/>
      <c r="N48" s="1010"/>
      <c r="O48" s="953"/>
    </row>
    <row r="49" spans="1:15" x14ac:dyDescent="0.2">
      <c r="A49" s="963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1011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tabSelected="1"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L26" sqref="L26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3" t="s">
        <v>92</v>
      </c>
      <c r="M2" s="372"/>
      <c r="N2" s="373"/>
      <c r="O2" s="862" t="str">
        <f>IF(Deutsch,"Kokillenguss","die casting")</f>
        <v>Kokillenguss</v>
      </c>
      <c r="P2" s="7"/>
      <c r="Q2" s="7"/>
      <c r="R2" s="366" t="str">
        <f>IF(Deutsch,"Siemens Standort","Siemens site")</f>
        <v>Siemens Standort</v>
      </c>
      <c r="S2" s="916" t="s">
        <v>230</v>
      </c>
      <c r="T2" s="7"/>
      <c r="U2" s="369" t="s">
        <v>554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3" t="str">
        <f>IF($G$2,"Version ","release ")</f>
        <v xml:space="preserve">Version </v>
      </c>
      <c r="AB2" s="37"/>
      <c r="AC2" s="843" t="s">
        <v>33</v>
      </c>
    </row>
    <row r="3" spans="1:702" ht="15" thickBot="1" x14ac:dyDescent="0.25">
      <c r="A3" s="26"/>
      <c r="B3" s="319"/>
      <c r="C3" s="317" t="s">
        <v>71</v>
      </c>
      <c r="D3" s="317" t="s">
        <v>545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2" t="s">
        <v>906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17" t="s">
        <v>230</v>
      </c>
      <c r="T3" s="4"/>
      <c r="U3" s="189" t="s">
        <v>944</v>
      </c>
      <c r="V3" s="4"/>
      <c r="W3" s="4"/>
      <c r="X3" s="654" t="s">
        <v>891</v>
      </c>
      <c r="Y3" s="10"/>
      <c r="Z3" s="4"/>
      <c r="AA3" s="845" t="s">
        <v>993</v>
      </c>
      <c r="AB3" s="846"/>
      <c r="AC3" s="843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44620</v>
      </c>
      <c r="H4" s="125"/>
      <c r="I4" s="255" t="str">
        <f>IF(Deutsch,C4,D4)</f>
        <v>Datum</v>
      </c>
      <c r="J4" s="257" t="s">
        <v>230</v>
      </c>
      <c r="K4" s="34">
        <f ca="1">TODAY()</f>
        <v>44620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17" t="s">
        <v>230</v>
      </c>
      <c r="T4" s="10"/>
      <c r="U4" s="189" t="s">
        <v>946</v>
      </c>
      <c r="V4" s="4"/>
      <c r="W4" s="4"/>
      <c r="X4" s="186" t="b">
        <f>ISERROR('Artikel-DB'!$B$2)</f>
        <v>0</v>
      </c>
      <c r="Y4" s="10"/>
      <c r="Z4" s="4"/>
      <c r="AA4" s="847" t="s">
        <v>994</v>
      </c>
      <c r="AB4" s="844"/>
      <c r="AC4" s="843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18" t="s">
        <v>230</v>
      </c>
      <c r="T5" s="10"/>
      <c r="U5" s="1182" t="s">
        <v>945</v>
      </c>
      <c r="V5" s="4"/>
      <c r="W5" s="4"/>
      <c r="X5" s="1183" t="b">
        <f>X4</f>
        <v>0</v>
      </c>
      <c r="Y5" s="4"/>
      <c r="Z5" s="4"/>
      <c r="AA5" s="1213" t="s">
        <v>995</v>
      </c>
      <c r="AB5" s="834"/>
      <c r="AC5" s="843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46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79"/>
      <c r="T7" s="846"/>
      <c r="AB7" s="4"/>
      <c r="AC7" s="1181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46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952</v>
      </c>
      <c r="M9" s="104" t="str">
        <f>L$9</f>
        <v>Housing</v>
      </c>
      <c r="N9" s="104"/>
      <c r="O9" s="52" t="s">
        <v>952</v>
      </c>
      <c r="P9" s="104" t="str">
        <f>O$9</f>
        <v>Housing</v>
      </c>
      <c r="Q9" s="104"/>
      <c r="R9" s="52" t="s">
        <v>952</v>
      </c>
      <c r="S9" s="104" t="str">
        <f>R$9</f>
        <v>Housing</v>
      </c>
      <c r="T9" s="846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4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46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67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67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67" t="str">
        <f>CONCATENATE(S11,"  ",IFERROR(VLOOKUP(S$10,DB_Material,4,FALSE),""))</f>
        <v>Al Si10Mg(b)  L239 (b)</v>
      </c>
      <c r="R11" s="674"/>
      <c r="S11" s="1180" t="str">
        <f>IF(ISERROR(VLOOKUP(S$10,DB_Material,2,FALSE)),S11,VLOOKUP(S$10,DB_Material,2,FALSE))</f>
        <v>Al Si10Mg(b)</v>
      </c>
      <c r="T11" s="846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46"/>
      <c r="V12" t="s">
        <v>33</v>
      </c>
    </row>
    <row r="13" spans="1:702" ht="15" thickBot="1" x14ac:dyDescent="0.25">
      <c r="A13" s="26"/>
      <c r="B13" s="320">
        <v>36</v>
      </c>
      <c r="C13" s="318" t="s">
        <v>797</v>
      </c>
      <c r="D13" s="318" t="s">
        <v>798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46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46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46"/>
      <c r="V15" t="s">
        <v>33</v>
      </c>
    </row>
    <row r="16" spans="1:702" ht="15.75" thickBot="1" x14ac:dyDescent="0.3">
      <c r="A16" s="26"/>
      <c r="B16" s="320">
        <v>33</v>
      </c>
      <c r="C16" s="318" t="s">
        <v>385</v>
      </c>
      <c r="D16" s="318" t="s">
        <v>386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46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46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46"/>
      <c r="V18" t="s">
        <v>33</v>
      </c>
    </row>
    <row r="19" spans="1:22" ht="15.75" thickBot="1" x14ac:dyDescent="0.3">
      <c r="A19" s="26"/>
      <c r="B19" s="320">
        <v>2</v>
      </c>
      <c r="C19" s="318" t="s">
        <v>362</v>
      </c>
      <c r="D19" s="318" t="s">
        <v>363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46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46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446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432</v>
      </c>
      <c r="M21" s="104" t="str">
        <f>IFERROR(VLOOKUP(L$21,Auswahlfelder!$D$16:$D$19,1,FALSE),VLOOKUP(L$21,Auswahlfelder!$C$16:$D$19,2,FALSE))</f>
        <v>mäßig</v>
      </c>
      <c r="N21" s="104"/>
      <c r="O21" s="52" t="s">
        <v>432</v>
      </c>
      <c r="P21" s="104" t="str">
        <f>IFERROR(VLOOKUP(O$21,Auswahlfelder!$D$16:$D$19,1,FALSE),VLOOKUP(O$21,Auswahlfelder!$C$16:$D$19,2,FALSE))</f>
        <v>mäßig</v>
      </c>
      <c r="Q21" s="104"/>
      <c r="R21" s="52" t="s">
        <v>432</v>
      </c>
      <c r="S21" s="104" t="str">
        <f>IFERROR(VLOOKUP(R$21,Auswahlfelder!$D$16:$D$19,1,FALSE),VLOOKUP(R$21,Auswahlfelder!$C$16:$D$19,2,FALSE))</f>
        <v>mäßig</v>
      </c>
      <c r="T21" s="846"/>
      <c r="V21" t="s">
        <v>33</v>
      </c>
    </row>
    <row r="22" spans="1:22" ht="15.75" thickBot="1" x14ac:dyDescent="0.3">
      <c r="A22" s="26"/>
      <c r="B22" s="320">
        <v>7</v>
      </c>
      <c r="C22" s="318" t="s">
        <v>1002</v>
      </c>
      <c r="D22" s="318" t="s">
        <v>1003</v>
      </c>
      <c r="E22" s="333"/>
      <c r="F22" s="334"/>
      <c r="G22" s="42" t="str">
        <f>INDEX(AW_Gusstechnik,Auswahlfelder!C35,1)</f>
        <v>Schwerkaft</v>
      </c>
      <c r="H22" s="17"/>
      <c r="I22" s="535" t="str">
        <f>IF($G$2,C22,D22)</f>
        <v>Giesstechnik</v>
      </c>
      <c r="J22" s="648"/>
      <c r="K22" s="104" t="e">
        <f>IF(K$32=$G32,0,L22)</f>
        <v>#N/A</v>
      </c>
      <c r="L22" s="539" t="s">
        <v>999</v>
      </c>
      <c r="M22" s="104" t="str">
        <f>IFERROR(VLOOKUP(L$22,Auswahlfelder!$D$36:$D$38,1,FALSE),VLOOKUP(L$22,Auswahlfelder!$C$36:$D$38,2,FALSE))</f>
        <v>Niederdruck</v>
      </c>
      <c r="N22" s="104"/>
      <c r="O22" s="528" t="s">
        <v>1000</v>
      </c>
      <c r="P22" s="104" t="str">
        <f>IFERROR(VLOOKUP(O$22,Auswahlfelder!$D$36:$D$38,1,FALSE),VLOOKUP(O$22,Auswahlfelder!$C$36:$D$38,2,FALSE))</f>
        <v>Kippgiessen</v>
      </c>
      <c r="Q22" s="104"/>
      <c r="R22" s="528" t="s">
        <v>1001</v>
      </c>
      <c r="S22" s="104" t="str">
        <f>IFERROR(VLOOKUP(R$22,Auswahlfelder!$D$36:$D$38,1,FALSE),VLOOKUP(R$22,Auswahlfelder!$C$36:$D$38,2,FALSE))</f>
        <v>Schwerkaft</v>
      </c>
      <c r="T22" s="846"/>
      <c r="V22" t="s">
        <v>33</v>
      </c>
    </row>
    <row r="23" spans="1:22" ht="15.75" thickBot="1" x14ac:dyDescent="0.3">
      <c r="A23" s="26"/>
      <c r="B23" s="529" t="s">
        <v>444</v>
      </c>
      <c r="C23" s="318" t="s">
        <v>3</v>
      </c>
      <c r="D23" s="318" t="s">
        <v>969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Automatisierungsgrad</v>
      </c>
      <c r="J23" s="39"/>
      <c r="K23" s="104"/>
      <c r="L23" s="294" t="s">
        <v>1005</v>
      </c>
      <c r="M23" s="104" t="e">
        <f>IFERROR(VLOOKUP(L$23,Auswahlfelder!$D$49:$D$51,1,FALSE),VLOOKUP(L$23,Auswahlfelder!$C$49:$D$51,2,FALSE))</f>
        <v>#N/A</v>
      </c>
      <c r="N23" s="104"/>
      <c r="O23" s="294" t="s">
        <v>1007</v>
      </c>
      <c r="P23" s="104" t="e">
        <f>IFERROR(VLOOKUP(O$23,Auswahlfelder!$D$49:$D$51,1,FALSE),VLOOKUP(O$23,Auswahlfelder!$C$49:$D$51,2,FALSE))</f>
        <v>#N/A</v>
      </c>
      <c r="Q23" s="104"/>
      <c r="R23" s="294" t="s">
        <v>1009</v>
      </c>
      <c r="S23" s="104" t="e">
        <f>IFERROR(VLOOKUP(R$23,Auswahlfelder!$D$49:$D$51,1,FALSE),VLOOKUP(R$23,Auswahlfelder!$C$49:$D$51,2,FALSE))</f>
        <v>#N/A</v>
      </c>
      <c r="T23" s="846"/>
      <c r="V23" t="s">
        <v>33</v>
      </c>
    </row>
    <row r="24" spans="1:22" ht="15.75" thickBot="1" x14ac:dyDescent="0.3">
      <c r="A24" s="26"/>
      <c r="B24" s="529"/>
      <c r="C24" s="318" t="s">
        <v>1018</v>
      </c>
      <c r="D24" s="318" t="s">
        <v>1019</v>
      </c>
      <c r="E24" s="333"/>
      <c r="F24" s="334"/>
      <c r="G24" s="43"/>
      <c r="H24" s="17"/>
      <c r="I24" s="535" t="str">
        <f t="shared" si="0"/>
        <v>Art Einlegekerne</v>
      </c>
      <c r="J24" s="39"/>
      <c r="K24" s="104"/>
      <c r="L24" s="294" t="s">
        <v>262</v>
      </c>
      <c r="M24" s="104"/>
      <c r="N24" s="104"/>
      <c r="O24" s="294" t="s">
        <v>370</v>
      </c>
      <c r="P24" s="104"/>
      <c r="Q24" s="104"/>
      <c r="R24" s="294" t="s">
        <v>369</v>
      </c>
      <c r="S24" s="104"/>
      <c r="T24" s="846"/>
    </row>
    <row r="25" spans="1:22" ht="15.75" thickBot="1" x14ac:dyDescent="0.3">
      <c r="A25" s="26"/>
      <c r="B25" s="320">
        <v>11</v>
      </c>
      <c r="C25" s="318" t="s">
        <v>760</v>
      </c>
      <c r="D25" s="318" t="s">
        <v>759</v>
      </c>
      <c r="E25" s="333"/>
      <c r="F25" s="334"/>
      <c r="G25" s="43" t="str">
        <f>INDEX(AW_Kernschiessen,Auswahlfelder!C53,1)</f>
        <v>Cold Box</v>
      </c>
      <c r="H25" s="17"/>
      <c r="I25" s="535" t="str">
        <f t="shared" si="0"/>
        <v>Kernherstellverfahren</v>
      </c>
      <c r="J25" s="39"/>
      <c r="K25" s="104"/>
      <c r="L25" s="290" t="s">
        <v>756</v>
      </c>
      <c r="M25" s="104" t="str">
        <f>IFERROR(VLOOKUP(L$25,Auswahlfelder!$D$54:$D$57,1,FALSE),VLOOKUP(L$25,Auswahlfelder!$C$54:$D$57,2,FALSE))</f>
        <v>Cold Box</v>
      </c>
      <c r="N25" s="104"/>
      <c r="O25" s="47" t="s">
        <v>754</v>
      </c>
      <c r="P25" s="104" t="str">
        <f>IFERROR(VLOOKUP(O$25,Auswahlfelder!$D$54:$D$57,1,FALSE),VLOOKUP(O$25,Auswahlfelder!$C$54:$D$57,2,FALSE))</f>
        <v>Hot Box</v>
      </c>
      <c r="Q25" s="104"/>
      <c r="R25" s="47" t="s">
        <v>761</v>
      </c>
      <c r="S25" s="104" t="str">
        <f>IFERROR(VLOOKUP(R$25,Auswahlfelder!$D$54:$D$57,1,FALSE),VLOOKUP(R$25,Auswahlfelder!$C$54:$D$57,2,FALSE))</f>
        <v>Co2-Kerne</v>
      </c>
      <c r="T25" s="846"/>
      <c r="V25" t="s">
        <v>33</v>
      </c>
    </row>
    <row r="26" spans="1:22" ht="15.75" thickBot="1" x14ac:dyDescent="0.3">
      <c r="A26" s="26"/>
      <c r="B26" s="320">
        <v>27</v>
      </c>
      <c r="C26" s="318" t="s">
        <v>763</v>
      </c>
      <c r="D26" s="318" t="s">
        <v>764</v>
      </c>
      <c r="E26" s="333"/>
      <c r="F26" s="334"/>
      <c r="G26" s="43" t="str">
        <f>INDEX(AW_JaNein,2)</f>
        <v>ja</v>
      </c>
      <c r="H26" s="17"/>
      <c r="I26" s="535" t="str">
        <f t="shared" si="0"/>
        <v>Oberfläche Sandstrahlen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46"/>
      <c r="V26" t="s">
        <v>33</v>
      </c>
    </row>
    <row r="27" spans="1:22" ht="15.75" thickBot="1" x14ac:dyDescent="0.3">
      <c r="A27" s="26"/>
      <c r="B27" s="320">
        <v>27</v>
      </c>
      <c r="C27" s="318" t="s">
        <v>765</v>
      </c>
      <c r="D27" s="318" t="s">
        <v>766</v>
      </c>
      <c r="E27" s="333"/>
      <c r="F27" s="334"/>
      <c r="G27" s="43" t="str">
        <f>INDEX(AW_JaNein,1)</f>
        <v>nein</v>
      </c>
      <c r="H27" s="17"/>
      <c r="I27" s="535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46"/>
      <c r="V27" t="s">
        <v>33</v>
      </c>
    </row>
    <row r="28" spans="1:22" ht="15.75" thickBot="1" x14ac:dyDescent="0.3">
      <c r="A28" s="26"/>
      <c r="B28" s="320">
        <v>27</v>
      </c>
      <c r="C28" s="318" t="s">
        <v>767</v>
      </c>
      <c r="D28" s="318" t="s">
        <v>768</v>
      </c>
      <c r="E28" s="333"/>
      <c r="F28" s="334"/>
      <c r="G28" s="43" t="str">
        <f>INDEX(AW_JaNein,1)</f>
        <v>nein</v>
      </c>
      <c r="H28" s="17"/>
      <c r="I28" s="535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46"/>
      <c r="V28" t="s">
        <v>33</v>
      </c>
    </row>
    <row r="29" spans="1:22" ht="15.75" thickBot="1" x14ac:dyDescent="0.3">
      <c r="A29" s="26"/>
      <c r="B29" s="320">
        <v>39</v>
      </c>
      <c r="C29" s="318" t="s">
        <v>595</v>
      </c>
      <c r="D29" s="318" t="s">
        <v>596</v>
      </c>
      <c r="E29" s="333"/>
      <c r="F29" s="334"/>
      <c r="G29" s="43" t="str">
        <f>INDEX(AW_JaNein,1)</f>
        <v>nein</v>
      </c>
      <c r="H29" s="17"/>
      <c r="I29" s="535" t="str">
        <f>IF($G$2,C29,D29)</f>
        <v>Ultraschall Prüfung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46"/>
      <c r="V29" t="s">
        <v>33</v>
      </c>
    </row>
    <row r="30" spans="1:22" ht="15.75" thickBot="1" x14ac:dyDescent="0.3">
      <c r="A30" s="26"/>
      <c r="B30" s="320">
        <v>39</v>
      </c>
      <c r="C30" s="318" t="s">
        <v>597</v>
      </c>
      <c r="D30" s="318" t="s">
        <v>598</v>
      </c>
      <c r="E30" s="333"/>
      <c r="F30" s="334"/>
      <c r="G30" s="43" t="str">
        <f>INDEX(AW_JaNein,1)</f>
        <v>nein</v>
      </c>
      <c r="H30" s="17"/>
      <c r="I30" s="535" t="s">
        <v>987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46"/>
      <c r="V30" t="s">
        <v>33</v>
      </c>
    </row>
    <row r="31" spans="1:22" ht="15.75" thickBot="1" x14ac:dyDescent="0.3">
      <c r="A31" s="26"/>
      <c r="B31" s="320">
        <v>39</v>
      </c>
      <c r="C31" s="318" t="s">
        <v>599</v>
      </c>
      <c r="D31" s="318" t="s">
        <v>600</v>
      </c>
      <c r="E31" s="333"/>
      <c r="F31" s="334"/>
      <c r="G31" s="43" t="str">
        <f>INDEX(AW_JaNein,1)</f>
        <v>nein</v>
      </c>
      <c r="H31" s="17"/>
      <c r="I31" s="535" t="str">
        <f t="shared" ref="I31:I35" si="4">IF($G$2,C31,D31)</f>
        <v>Röntgen Prüfung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46"/>
      <c r="V31" t="s">
        <v>33</v>
      </c>
    </row>
    <row r="32" spans="1:22" ht="15.75" thickBot="1" x14ac:dyDescent="0.3">
      <c r="A32" s="26"/>
      <c r="B32" s="320">
        <v>38</v>
      </c>
      <c r="C32" s="318" t="s">
        <v>260</v>
      </c>
      <c r="D32" s="318" t="s">
        <v>263</v>
      </c>
      <c r="E32" s="333"/>
      <c r="F32" s="334"/>
      <c r="G32" s="42" t="str">
        <f>INDEX(AW_Prüfbescheinigung,Auswahlfelder!C30,1)</f>
        <v>ohne</v>
      </c>
      <c r="H32" s="17"/>
      <c r="I32" s="535" t="str">
        <f t="shared" si="4"/>
        <v>Materialprüfzertifikat</v>
      </c>
      <c r="J32" s="39"/>
      <c r="K32" s="104" t="e">
        <f>VLOOKUP(IF(L29=0,$G32,L32),Auswahlfelder!$B$22:$G$23,2,FALSE)</f>
        <v>#N/A</v>
      </c>
      <c r="L32" s="290" t="s">
        <v>262</v>
      </c>
      <c r="M32" s="104" t="str">
        <f>IFERROR(VLOOKUP(L$32,Auswahlfelder!$D$31:$D$33,1,FALSE),VLOOKUP(L$32,Auswahlfelder!$C$31:$D$33,2,FALSE))</f>
        <v>ohne</v>
      </c>
      <c r="N32" s="104"/>
      <c r="O32" s="47" t="s">
        <v>262</v>
      </c>
      <c r="P32" s="104" t="str">
        <f>IFERROR(VLOOKUP(O$32,Auswahlfelder!$D$31:$D$33,1,FALSE),VLOOKUP(O$32,Auswahlfelder!$C$31:$D$33,2,FALSE))</f>
        <v>ohne</v>
      </c>
      <c r="Q32" s="104"/>
      <c r="R32" s="47" t="s">
        <v>262</v>
      </c>
      <c r="S32" s="104" t="str">
        <f>IFERROR(VLOOKUP(R$32,Auswahlfelder!$D$31:$D$33,1,FALSE),VLOOKUP(R$32,Auswahlfelder!$C$31:$D$33,2,FALSE))</f>
        <v>ohne</v>
      </c>
      <c r="T32" s="846"/>
      <c r="V32" t="s">
        <v>33</v>
      </c>
    </row>
    <row r="33" spans="1:22" ht="15.75" thickBot="1" x14ac:dyDescent="0.3">
      <c r="A33" s="26"/>
      <c r="B33" s="320">
        <v>13</v>
      </c>
      <c r="C33" s="318" t="s">
        <v>293</v>
      </c>
      <c r="D33" s="318" t="s">
        <v>297</v>
      </c>
      <c r="E33" s="333"/>
      <c r="F33" s="334"/>
      <c r="G33" s="42" t="str">
        <f>INDEX(AW_Wärmebehandlung,Auswahlfelder!C40,1)</f>
        <v>ohne (F)</v>
      </c>
      <c r="H33" s="17"/>
      <c r="I33" s="535" t="str">
        <f t="shared" si="4"/>
        <v>Wärmebehandlung</v>
      </c>
      <c r="J33" s="39"/>
      <c r="K33" s="104"/>
      <c r="L33" s="290" t="s">
        <v>561</v>
      </c>
      <c r="M33" s="104" t="str">
        <f>IFERROR(VLOOKUP(L$33,Auswahlfelder!$D$41:$D$46,1,FALSE),VLOOKUP(L$33,Auswahlfelder!$C$41:$D$46,2,FALSE))</f>
        <v>T7</v>
      </c>
      <c r="N33" s="104"/>
      <c r="O33" s="47" t="s">
        <v>294</v>
      </c>
      <c r="P33" s="104" t="str">
        <f>IFERROR(VLOOKUP(O$33,Auswahlfelder!$D$41:$D$46,1,FALSE),VLOOKUP(O$33,Auswahlfelder!$C$41:$D$46,2,FALSE))</f>
        <v>T4</v>
      </c>
      <c r="Q33" s="104"/>
      <c r="R33" s="47" t="s">
        <v>562</v>
      </c>
      <c r="S33" s="104" t="str">
        <f>IFERROR(VLOOKUP(R$33,Auswahlfelder!$D$41:$D$46,1,FALSE),VLOOKUP(R$33,Auswahlfelder!$C$41:$D$46,2,FALSE))</f>
        <v>T5</v>
      </c>
      <c r="T33" s="846"/>
      <c r="V33" t="s">
        <v>33</v>
      </c>
    </row>
    <row r="34" spans="1:22" ht="15.75" thickBot="1" x14ac:dyDescent="0.3">
      <c r="A34" s="26"/>
      <c r="B34" s="320">
        <v>34</v>
      </c>
      <c r="C34" s="318" t="s">
        <v>454</v>
      </c>
      <c r="D34" s="318" t="s">
        <v>449</v>
      </c>
      <c r="E34" s="333"/>
      <c r="F34" s="334"/>
      <c r="G34" s="42" t="str">
        <f>INDEX(AW_Reparaturschweißen,Auswahlfelder!C59,1)</f>
        <v>ohne</v>
      </c>
      <c r="H34" s="285"/>
      <c r="I34" s="537" t="str">
        <f t="shared" si="4"/>
        <v>Reparaturschweißung</v>
      </c>
      <c r="J34" s="451"/>
      <c r="K34" s="104"/>
      <c r="L34" s="437" t="s">
        <v>262</v>
      </c>
      <c r="M34" s="104" t="str">
        <f>IFERROR(VLOOKUP(L$34,Auswahlfelder!$D$60:$D$62,1,FALSE),VLOOKUP(L$34,Auswahlfelder!$C$60:$D$62,2,FALSE))</f>
        <v>ohne</v>
      </c>
      <c r="N34" s="438"/>
      <c r="O34" s="437" t="s">
        <v>262</v>
      </c>
      <c r="P34" s="104" t="str">
        <f>IFERROR(VLOOKUP(O$34,Auswahlfelder!$D$60:$D$62,1,FALSE),VLOOKUP(O$34,Auswahlfelder!$C$60:$D$62,2,FALSE))</f>
        <v>ohne</v>
      </c>
      <c r="Q34" s="438"/>
      <c r="R34" s="437" t="s">
        <v>262</v>
      </c>
      <c r="S34" s="104" t="str">
        <f>IFERROR(VLOOKUP(R$34,Auswahlfelder!$D$60:$D$62,1,FALSE),VLOOKUP(R$34,Auswahlfelder!$C$60:$D$62,2,FALSE))</f>
        <v>ohne</v>
      </c>
      <c r="T34" s="1197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9">
        <f>$L$4</f>
        <v>43993</v>
      </c>
      <c r="H35" s="17"/>
      <c r="I35" s="535" t="str">
        <f t="shared" si="4"/>
        <v>Datum</v>
      </c>
      <c r="J35" s="18"/>
      <c r="K35" s="109">
        <f>L35</f>
        <v>43531</v>
      </c>
      <c r="L35" s="660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98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35" t="str">
        <f t="shared" ref="I36:I44" si="5">IF($G$2,C36,D36)</f>
        <v>Laufzeit (Jahre)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46"/>
      <c r="V36" t="s">
        <v>33</v>
      </c>
    </row>
    <row r="37" spans="1:22" ht="15.75" thickBot="1" x14ac:dyDescent="0.3">
      <c r="A37" s="26"/>
      <c r="B37" s="320">
        <v>26</v>
      </c>
      <c r="C37" s="374" t="s">
        <v>42</v>
      </c>
      <c r="D37" s="374" t="s">
        <v>58</v>
      </c>
      <c r="E37" s="333">
        <v>40</v>
      </c>
      <c r="F37" s="341">
        <v>40000</v>
      </c>
      <c r="G37" s="490" t="s">
        <v>69</v>
      </c>
      <c r="H37" s="17"/>
      <c r="I37" s="535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46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36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4" t="str">
        <f t="shared" ref="N38:N45" si="8">TEXT(P38,"0.0")</f>
        <v>2.500</v>
      </c>
      <c r="O38" s="133"/>
      <c r="P38" s="132">
        <f>IF(O$38&lt;&gt;"",O$38,0.5*O$37)</f>
        <v>2500</v>
      </c>
      <c r="Q38" s="454" t="str">
        <f t="shared" ref="Q38:Q45" si="9">TEXT(S38,"0.0")</f>
        <v>2.500</v>
      </c>
      <c r="R38" s="133"/>
      <c r="S38" s="132">
        <f>IF(R$38&lt;&gt;"",R$38,0.5*R$37)</f>
        <v>2500</v>
      </c>
      <c r="T38" s="846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36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4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4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46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36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4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4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46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36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4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4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46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36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4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4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46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36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4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4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46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36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4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4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46"/>
      <c r="V44" t="s">
        <v>33</v>
      </c>
    </row>
    <row r="45" spans="1:22" ht="15.75" thickBot="1" x14ac:dyDescent="0.3">
      <c r="A45" s="26"/>
      <c r="B45" s="322">
        <v>26</v>
      </c>
      <c r="C45" s="318" t="s">
        <v>279</v>
      </c>
      <c r="D45" s="318" t="s">
        <v>54</v>
      </c>
      <c r="E45" s="333"/>
      <c r="F45" s="334"/>
      <c r="G45" s="237"/>
      <c r="H45" s="17"/>
      <c r="I45" s="535" t="str">
        <f>IF($G$2,C45,D45)</f>
        <v>Gesamt</v>
      </c>
      <c r="J45" s="18"/>
      <c r="K45" s="655" t="str">
        <f t="shared" si="7"/>
        <v>30.000</v>
      </c>
      <c r="L45" s="538"/>
      <c r="M45" s="230">
        <f>MAX(SUM(M$38:M$44),M$37*M$36,L$45,1)</f>
        <v>30000</v>
      </c>
      <c r="N45" s="658" t="str">
        <f t="shared" si="8"/>
        <v>30.000</v>
      </c>
      <c r="O45" s="659"/>
      <c r="P45" s="230">
        <f>MAX(SUM(P$38:P$44),P$37*P$36,O$45,1)</f>
        <v>30000</v>
      </c>
      <c r="Q45" s="658" t="str">
        <f t="shared" si="9"/>
        <v>30.000</v>
      </c>
      <c r="R45" s="659"/>
      <c r="S45" s="230">
        <f t="shared" ref="S45" si="10">MAX(SUM(S$38:S$44),S$37*S$36,R$45,1)</f>
        <v>30000</v>
      </c>
      <c r="T45" s="846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Deutschland</v>
      </c>
      <c r="H46" s="17"/>
      <c r="I46" s="535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46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46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46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46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117</v>
      </c>
      <c r="E50" s="333"/>
      <c r="F50" s="334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46"/>
      <c r="V50" t="s">
        <v>33</v>
      </c>
    </row>
    <row r="51" spans="1:22" ht="15" thickBot="1" x14ac:dyDescent="0.25">
      <c r="A51" s="26"/>
      <c r="B51" s="321">
        <v>30</v>
      </c>
      <c r="C51" s="318" t="s">
        <v>578</v>
      </c>
      <c r="D51" s="318" t="s">
        <v>185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46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Zielpreis Bauteil</v>
      </c>
      <c r="J52" s="648" t="str">
        <f>CONCATENATE("FY ",RIGHT(YEAR(L$35-110),2),"/",RIGHT(YEAR(L$35-110)+1,2))</f>
        <v>FY 18/19</v>
      </c>
      <c r="K52" s="112"/>
      <c r="L52" s="934"/>
      <c r="M52" s="231" t="str">
        <f ca="1">$C$38</f>
        <v>FY 21/22</v>
      </c>
      <c r="N52" s="232"/>
      <c r="O52" s="661"/>
      <c r="P52" s="231" t="str">
        <f ca="1">$C$38</f>
        <v>FY 21/22</v>
      </c>
      <c r="Q52" s="232"/>
      <c r="R52" s="661"/>
      <c r="S52" s="231" t="str">
        <f ca="1">$C$38</f>
        <v>FY 21/22</v>
      </c>
      <c r="T52" s="846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46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8" t="str">
        <f>TEXT(M54,"0,00")</f>
        <v>55,00</v>
      </c>
      <c r="L54" s="293"/>
      <c r="M54" s="39">
        <f>IF(L$54&lt;&gt;"",L$54,M$53)</f>
        <v>55</v>
      </c>
      <c r="N54" s="478" t="str">
        <f>TEXT(P54,"0,00")</f>
        <v>55,00</v>
      </c>
      <c r="O54" s="293"/>
      <c r="P54" s="39">
        <f>IF(O$54&lt;&gt;"",O$54,P$53)</f>
        <v>55</v>
      </c>
      <c r="Q54" s="478" t="str">
        <f>TEXT(S54,"0,00")</f>
        <v>55,00</v>
      </c>
      <c r="R54" s="293"/>
      <c r="S54" s="39">
        <f>IF(R$54&lt;&gt;"",R$54,S$53)</f>
        <v>55</v>
      </c>
      <c r="T54" s="846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46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46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46"/>
      <c r="V57" t="s">
        <v>33</v>
      </c>
    </row>
    <row r="58" spans="1:22" ht="15" thickBot="1" x14ac:dyDescent="0.25">
      <c r="A58" s="26"/>
      <c r="B58" s="319"/>
      <c r="C58" s="318" t="s">
        <v>770</v>
      </c>
      <c r="D58" s="318" t="s">
        <v>235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8">
        <v>10000</v>
      </c>
      <c r="M58" s="651">
        <f>L$58</f>
        <v>10000</v>
      </c>
      <c r="N58" s="39"/>
      <c r="O58" s="188">
        <v>5600</v>
      </c>
      <c r="P58" s="651">
        <f>O$58</f>
        <v>5600</v>
      </c>
      <c r="Q58" s="39"/>
      <c r="R58" s="188">
        <v>7500</v>
      </c>
      <c r="S58" s="651">
        <f t="shared" ref="S58" si="14">R$58</f>
        <v>7500</v>
      </c>
      <c r="T58" s="846"/>
      <c r="V58" t="s">
        <v>33</v>
      </c>
    </row>
    <row r="59" spans="1:22" ht="15" thickBot="1" x14ac:dyDescent="0.25">
      <c r="A59" s="26"/>
      <c r="B59" s="323"/>
      <c r="C59" s="324" t="s">
        <v>771</v>
      </c>
      <c r="D59" s="324" t="s">
        <v>769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8">
        <v>500</v>
      </c>
      <c r="M59" s="651" t="e">
        <f>IF(M23=Auswahlfelder!$D$49,0,L$59)</f>
        <v>#N/A</v>
      </c>
      <c r="N59" s="39"/>
      <c r="O59" s="188">
        <v>400</v>
      </c>
      <c r="P59" s="651" t="e">
        <f>IF(P23=Auswahlfelder!$D$49,0,O$59)</f>
        <v>#N/A</v>
      </c>
      <c r="Q59" s="39"/>
      <c r="R59" s="188">
        <v>550</v>
      </c>
      <c r="S59" s="651" t="e">
        <f>IF(S23=Auswahlfelder!$D$49,0,R$59)</f>
        <v>#N/A</v>
      </c>
      <c r="T59" s="846"/>
      <c r="V59" t="s">
        <v>33</v>
      </c>
    </row>
    <row r="60" spans="1:22" ht="15" hidden="1" thickBot="1" x14ac:dyDescent="0.25">
      <c r="A60" s="26"/>
      <c r="B60" s="321">
        <v>15</v>
      </c>
      <c r="C60" s="325" t="s">
        <v>227</v>
      </c>
      <c r="D60" s="325" t="s">
        <v>168</v>
      </c>
      <c r="E60" s="339">
        <v>0.01</v>
      </c>
      <c r="F60" s="340">
        <v>0.09</v>
      </c>
      <c r="G60" s="238" t="s">
        <v>186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46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815</v>
      </c>
      <c r="E61" s="335">
        <v>0.05</v>
      </c>
      <c r="F61" s="336">
        <v>0.12</v>
      </c>
      <c r="G61" s="238" t="s">
        <v>186</v>
      </c>
      <c r="H61" s="17"/>
      <c r="I61" s="21" t="str">
        <f t="shared" si="13"/>
        <v>Materialgemeinkostensatz</v>
      </c>
      <c r="J61" s="18"/>
      <c r="K61" s="111">
        <f>Refkalkulation!H$24</f>
        <v>7.0000000000000007E-2</v>
      </c>
      <c r="L61" s="135">
        <f>M$61</f>
        <v>7.0000000000000007E-2</v>
      </c>
      <c r="M61" s="233">
        <f>Refkalkulation!H$24</f>
        <v>7.0000000000000007E-2</v>
      </c>
      <c r="N61" s="233"/>
      <c r="O61" s="135">
        <f>P$61</f>
        <v>7.0000000000000007E-2</v>
      </c>
      <c r="P61" s="233">
        <f>Refkalkulation!K$24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46"/>
    </row>
    <row r="62" spans="1:22" ht="15" hidden="1" thickBot="1" x14ac:dyDescent="0.25">
      <c r="A62" s="26"/>
      <c r="B62" s="321" t="s">
        <v>69</v>
      </c>
      <c r="C62" s="318" t="s">
        <v>804</v>
      </c>
      <c r="D62" s="318" t="s">
        <v>803</v>
      </c>
      <c r="E62" s="335"/>
      <c r="F62" s="336"/>
      <c r="G62" s="756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Refkalkulation!I32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Refkalkulation!L32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46"/>
      <c r="V62" t="s">
        <v>33</v>
      </c>
    </row>
    <row r="63" spans="1:22" ht="15" hidden="1" thickBot="1" x14ac:dyDescent="0.25">
      <c r="A63" s="26"/>
      <c r="B63" s="321">
        <v>20</v>
      </c>
      <c r="C63" s="318" t="s">
        <v>899</v>
      </c>
      <c r="D63" s="318" t="s">
        <v>900</v>
      </c>
      <c r="E63" s="335"/>
      <c r="F63" s="336"/>
      <c r="G63" s="1022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Refkalkulation!H$31</f>
        <v>2000</v>
      </c>
      <c r="N63" s="233"/>
      <c r="O63" s="187">
        <f>P$63</f>
        <v>2000</v>
      </c>
      <c r="P63" s="233">
        <f>Refkalkulation!K$31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46"/>
      <c r="V63" t="s">
        <v>33</v>
      </c>
    </row>
    <row r="64" spans="1:22" ht="15" hidden="1" thickBot="1" x14ac:dyDescent="0.25">
      <c r="A64" s="26"/>
      <c r="B64" s="321">
        <v>4</v>
      </c>
      <c r="C64" s="318" t="s">
        <v>378</v>
      </c>
      <c r="D64" s="318" t="s">
        <v>379</v>
      </c>
      <c r="E64" s="333">
        <v>1</v>
      </c>
      <c r="F64" s="334">
        <v>12</v>
      </c>
      <c r="G64" s="238" t="s">
        <v>186</v>
      </c>
      <c r="H64" s="17"/>
      <c r="I64" s="21" t="str">
        <f t="shared" si="13"/>
        <v>Modelle/Platte</v>
      </c>
      <c r="J64" s="18"/>
      <c r="K64" s="120">
        <f>Refkalkulation!H$50</f>
        <v>1</v>
      </c>
      <c r="L64" s="187">
        <f>M$64</f>
        <v>1</v>
      </c>
      <c r="M64" s="272">
        <f>Refkalkulation!H$50</f>
        <v>1</v>
      </c>
      <c r="N64" s="273"/>
      <c r="O64" s="187">
        <f>P$64</f>
        <v>1</v>
      </c>
      <c r="P64" s="272">
        <f>Refkalkulation!K$50</f>
        <v>1</v>
      </c>
      <c r="Q64" s="273"/>
      <c r="R64" s="187">
        <f>S$64</f>
        <v>1</v>
      </c>
      <c r="S64" s="272">
        <f>[2]Refkalkulation!N$50</f>
        <v>1</v>
      </c>
      <c r="T64" s="846"/>
    </row>
    <row r="65" spans="1:22" ht="15" hidden="1" thickBot="1" x14ac:dyDescent="0.25">
      <c r="A65" s="26"/>
      <c r="B65" s="321">
        <v>25</v>
      </c>
      <c r="C65" s="318" t="s">
        <v>249</v>
      </c>
      <c r="D65" s="318" t="s">
        <v>250</v>
      </c>
      <c r="E65" s="333">
        <v>1</v>
      </c>
      <c r="F65" s="334"/>
      <c r="G65" s="238" t="s">
        <v>186</v>
      </c>
      <c r="H65" s="17"/>
      <c r="I65" s="21" t="str">
        <f t="shared" si="13"/>
        <v>Maschine Nr.</v>
      </c>
      <c r="J65" s="18"/>
      <c r="K65" s="120"/>
      <c r="L65" s="187">
        <f>M$65</f>
        <v>9</v>
      </c>
      <c r="M65" s="272">
        <f>Refkalkulation!H$52</f>
        <v>9</v>
      </c>
      <c r="N65" s="273"/>
      <c r="O65" s="187">
        <f>P$65</f>
        <v>3</v>
      </c>
      <c r="P65" s="272">
        <f>Refkalkulation!K$52</f>
        <v>3</v>
      </c>
      <c r="Q65" s="273"/>
      <c r="R65" s="187">
        <f>S$65</f>
        <v>3</v>
      </c>
      <c r="S65" s="272">
        <f>[2]Refkalkulation!N$52</f>
        <v>3</v>
      </c>
      <c r="T65" s="846"/>
    </row>
    <row r="66" spans="1:22" ht="15" hidden="1" thickBot="1" x14ac:dyDescent="0.25">
      <c r="A66" s="26"/>
      <c r="B66" s="321">
        <v>62</v>
      </c>
      <c r="C66" s="318" t="s">
        <v>559</v>
      </c>
      <c r="D66" s="318" t="s">
        <v>560</v>
      </c>
      <c r="E66" s="333"/>
      <c r="F66" s="341"/>
      <c r="G66" s="756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84" t="str">
        <f>VLOOKUP(VLOOKUP(M66,Auswahlfelder!$D$65:$E$68,2,FALSE),Auswahlfelder!$A$65:$B$68,2,FALSE)</f>
        <v>ohne</v>
      </c>
      <c r="M66" s="272" t="str">
        <f>Refkalkulation!I$59</f>
        <v>ohne</v>
      </c>
      <c r="N66" s="273"/>
      <c r="O66" s="684" t="str">
        <f>VLOOKUP(VLOOKUP(P66,Auswahlfelder!$D$65:$E$68,2,FALSE),Auswahlfelder!$A$65:$B$68,2,FALSE)</f>
        <v>ohne</v>
      </c>
      <c r="P66" s="272" t="str">
        <f>Refkalkulation!L$59</f>
        <v>ohne</v>
      </c>
      <c r="Q66" s="273"/>
      <c r="R66" s="684" t="str">
        <f>VLOOKUP(VLOOKUP(S66,Auswahlfelder!$D$65:$E$68,2,FALSE),Auswahlfelder!$A$65:$B$68,2,FALSE)</f>
        <v>ohne</v>
      </c>
      <c r="S66" s="272" t="str">
        <f>[2]Refkalkulation!O$59</f>
        <v>ohne</v>
      </c>
      <c r="T66" s="846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190</v>
      </c>
      <c r="E67" s="333">
        <v>1</v>
      </c>
      <c r="F67" s="341">
        <v>10000</v>
      </c>
      <c r="G67" s="238" t="s">
        <v>186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Refkalkulation!H$61</f>
        <v>100</v>
      </c>
      <c r="N67" s="273"/>
      <c r="O67" s="187">
        <f>P$67</f>
        <v>100</v>
      </c>
      <c r="P67" s="272">
        <f>Refkalkulation!K$61</f>
        <v>100</v>
      </c>
      <c r="Q67" s="273"/>
      <c r="R67" s="187">
        <f>S$67</f>
        <v>100</v>
      </c>
      <c r="S67" s="272">
        <f>[2]Refkalkulation!N$61</f>
        <v>100</v>
      </c>
      <c r="T67" s="846"/>
    </row>
    <row r="68" spans="1:22" ht="15" hidden="1" thickBot="1" x14ac:dyDescent="0.25">
      <c r="A68" s="26"/>
      <c r="B68" s="321">
        <v>52</v>
      </c>
      <c r="C68" s="318" t="s">
        <v>354</v>
      </c>
      <c r="D68" s="318" t="s">
        <v>355</v>
      </c>
      <c r="E68" s="333">
        <v>0</v>
      </c>
      <c r="F68" s="341">
        <v>60</v>
      </c>
      <c r="G68" s="238" t="s">
        <v>186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Refkalkulation!H$67</f>
        <v>20</v>
      </c>
      <c r="N68" s="273"/>
      <c r="O68" s="187">
        <f>P$68</f>
        <v>0</v>
      </c>
      <c r="P68" s="272">
        <f>Refkalkulation!K$67</f>
        <v>0</v>
      </c>
      <c r="Q68" s="273"/>
      <c r="R68" s="187">
        <f>S$68</f>
        <v>0</v>
      </c>
      <c r="S68" s="272">
        <f>[2]Refkalkulation!N$67</f>
        <v>0</v>
      </c>
      <c r="T68" s="846"/>
    </row>
    <row r="69" spans="1:22" ht="15" hidden="1" thickBot="1" x14ac:dyDescent="0.25">
      <c r="A69" s="26"/>
      <c r="B69" s="321">
        <v>37</v>
      </c>
      <c r="C69" s="318" t="s">
        <v>828</v>
      </c>
      <c r="D69" s="318" t="s">
        <v>829</v>
      </c>
      <c r="E69" s="335">
        <v>0</v>
      </c>
      <c r="F69" s="336">
        <v>0.08</v>
      </c>
      <c r="G69" s="238" t="s">
        <v>186</v>
      </c>
      <c r="H69" s="17"/>
      <c r="I69" s="21" t="str">
        <f>IF($G$2,C69,D69)</f>
        <v>Fertigungsausschuss Formen</v>
      </c>
      <c r="J69" s="18"/>
      <c r="K69" s="120"/>
      <c r="L69" s="135">
        <f>M$69</f>
        <v>0</v>
      </c>
      <c r="M69" s="233">
        <f>Refkalkulation!H$70</f>
        <v>0</v>
      </c>
      <c r="N69" s="273"/>
      <c r="O69" s="135">
        <f>P$69</f>
        <v>0</v>
      </c>
      <c r="P69" s="233">
        <f>Refkalkulation!K$70</f>
        <v>0</v>
      </c>
      <c r="Q69" s="273"/>
      <c r="R69" s="135">
        <f>S$69</f>
        <v>0</v>
      </c>
      <c r="S69" s="233">
        <f>[2]Refkalkulation!N$70</f>
        <v>0</v>
      </c>
      <c r="T69" s="846"/>
    </row>
    <row r="70" spans="1:22" ht="15" hidden="1" thickBot="1" x14ac:dyDescent="0.25">
      <c r="A70" s="26"/>
      <c r="B70" s="321"/>
      <c r="C70" s="318" t="s">
        <v>825</v>
      </c>
      <c r="D70" s="318" t="s">
        <v>824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18">IF($G$2,C70,D70)</f>
        <v>Zeit Auspacken (min)</v>
      </c>
      <c r="J70" s="18"/>
      <c r="K70" s="120"/>
      <c r="L70" s="919">
        <f>M$70</f>
        <v>0</v>
      </c>
      <c r="M70" s="272">
        <f>Refkalkulation!H$74</f>
        <v>0</v>
      </c>
      <c r="N70" s="273"/>
      <c r="O70" s="919">
        <f>P$70</f>
        <v>0</v>
      </c>
      <c r="P70" s="272">
        <f>Refkalkulation!K$74</f>
        <v>0</v>
      </c>
      <c r="Q70" s="273"/>
      <c r="R70" s="919">
        <f t="shared" ref="R70" si="19">S$70</f>
        <v>0</v>
      </c>
      <c r="S70" s="272">
        <f>[2]Refkalkulation!N$74</f>
        <v>0</v>
      </c>
      <c r="T70" s="846"/>
    </row>
    <row r="71" spans="1:22" ht="15" hidden="1" thickBot="1" x14ac:dyDescent="0.25">
      <c r="A71" s="26"/>
      <c r="B71" s="321"/>
      <c r="C71" s="318" t="s">
        <v>826</v>
      </c>
      <c r="D71" s="318" t="s">
        <v>827</v>
      </c>
      <c r="E71" s="333">
        <v>0</v>
      </c>
      <c r="F71" s="341">
        <v>60</v>
      </c>
      <c r="G71" s="238" t="s">
        <v>186</v>
      </c>
      <c r="H71" s="17"/>
      <c r="I71" s="21" t="str">
        <f t="shared" ref="I71" si="20">IF($G$2,C71,D71)</f>
        <v>Anschnitt trennen (min)</v>
      </c>
      <c r="J71" s="18"/>
      <c r="K71" s="120"/>
      <c r="L71" s="919">
        <f>M$71</f>
        <v>60</v>
      </c>
      <c r="M71" s="272">
        <f>Refkalkulation!H$75</f>
        <v>60</v>
      </c>
      <c r="N71" s="273"/>
      <c r="O71" s="919">
        <f>P$71</f>
        <v>5</v>
      </c>
      <c r="P71" s="272">
        <f>Refkalkulation!K$75</f>
        <v>5</v>
      </c>
      <c r="Q71" s="273"/>
      <c r="R71" s="919">
        <f>S$71</f>
        <v>5</v>
      </c>
      <c r="S71" s="272">
        <f>[2]Refkalkulation!N$75</f>
        <v>5</v>
      </c>
      <c r="T71" s="846"/>
    </row>
    <row r="72" spans="1:22" ht="15" hidden="1" thickBot="1" x14ac:dyDescent="0.25">
      <c r="A72" s="26"/>
      <c r="B72" s="644">
        <v>13</v>
      </c>
      <c r="C72" s="318" t="s">
        <v>293</v>
      </c>
      <c r="D72" s="318" t="s">
        <v>297</v>
      </c>
      <c r="E72" s="333">
        <v>0</v>
      </c>
      <c r="F72" s="334">
        <v>2</v>
      </c>
      <c r="G72" s="238" t="s">
        <v>186</v>
      </c>
      <c r="H72" s="17"/>
      <c r="I72" s="21" t="str">
        <f>IF($G$2,C72,D72)</f>
        <v>Wärmebehandlung</v>
      </c>
      <c r="J72" s="18"/>
      <c r="K72" s="112"/>
      <c r="L72" s="920">
        <f>M$72</f>
        <v>0.7</v>
      </c>
      <c r="M72" s="122">
        <f>Refkalkulation!H$90</f>
        <v>0.7</v>
      </c>
      <c r="N72" s="122"/>
      <c r="O72" s="920">
        <f>P$72</f>
        <v>0.4</v>
      </c>
      <c r="P72" s="122">
        <f>Refkalkulation!K$90</f>
        <v>0.4</v>
      </c>
      <c r="Q72" s="273"/>
      <c r="R72" s="920">
        <f>S$72</f>
        <v>0</v>
      </c>
      <c r="S72" s="122">
        <f>[2]Refkalkulation!N$84</f>
        <v>0</v>
      </c>
      <c r="T72" s="846"/>
      <c r="V72" t="s">
        <v>33</v>
      </c>
    </row>
    <row r="73" spans="1:22" ht="15" hidden="1" thickBot="1" x14ac:dyDescent="0.25">
      <c r="A73" s="26"/>
      <c r="B73" s="321">
        <v>37</v>
      </c>
      <c r="C73" s="318" t="s">
        <v>830</v>
      </c>
      <c r="D73" s="318" t="s">
        <v>831</v>
      </c>
      <c r="E73" s="335">
        <v>0</v>
      </c>
      <c r="F73" s="336">
        <v>0.04</v>
      </c>
      <c r="G73" s="238" t="s">
        <v>186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Refkalkulation!H$92</f>
        <v>0.02</v>
      </c>
      <c r="N73" s="273"/>
      <c r="O73" s="135">
        <f>P$73</f>
        <v>0.02</v>
      </c>
      <c r="P73" s="233">
        <f>Refkalkulation!K$92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46"/>
    </row>
    <row r="74" spans="1:22" ht="15" hidden="1" thickBot="1" x14ac:dyDescent="0.25">
      <c r="A74" s="26"/>
      <c r="B74" s="321">
        <v>60</v>
      </c>
      <c r="C74" s="318" t="s">
        <v>982</v>
      </c>
      <c r="D74" s="318" t="s">
        <v>983</v>
      </c>
      <c r="E74" s="333">
        <v>0</v>
      </c>
      <c r="F74" s="341">
        <v>20000</v>
      </c>
      <c r="G74" s="238" t="s">
        <v>186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Refkalkulation!H$95</f>
        <v>400</v>
      </c>
      <c r="N74" s="273"/>
      <c r="O74" s="187">
        <f>P$74</f>
        <v>300</v>
      </c>
      <c r="P74" s="272">
        <f>Refkalkulation!K$95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46"/>
    </row>
    <row r="75" spans="1:22" ht="15" hidden="1" thickBot="1" x14ac:dyDescent="0.25">
      <c r="A75" s="26"/>
      <c r="B75" s="321">
        <v>39</v>
      </c>
      <c r="C75" s="318" t="s">
        <v>601</v>
      </c>
      <c r="D75" s="318" t="s">
        <v>602</v>
      </c>
      <c r="E75" s="333"/>
      <c r="F75" s="341"/>
      <c r="G75" s="756">
        <v>0</v>
      </c>
      <c r="H75" s="17"/>
      <c r="I75" s="21" t="str">
        <f>IF($G$2,C75,D75)</f>
        <v>Kosten US-Prüfung</v>
      </c>
      <c r="J75" s="18"/>
      <c r="K75" s="120"/>
      <c r="L75" s="920">
        <f>M$75</f>
        <v>0.41742621527777779</v>
      </c>
      <c r="M75" s="272">
        <f>Refkalkulation!H$101</f>
        <v>0.41742621527777779</v>
      </c>
      <c r="N75" s="273"/>
      <c r="O75" s="920">
        <f>P$75</f>
        <v>0.30864583333333334</v>
      </c>
      <c r="P75" s="272">
        <f>Refkalkulation!K$101</f>
        <v>0.30864583333333334</v>
      </c>
      <c r="Q75" s="273"/>
      <c r="R75" s="920">
        <f t="shared" ref="R75" si="23">S$75</f>
        <v>0</v>
      </c>
      <c r="S75" s="272">
        <f>[2]Refkalkulation!N$91</f>
        <v>0</v>
      </c>
      <c r="T75" s="846"/>
    </row>
    <row r="76" spans="1:22" ht="15" hidden="1" thickBot="1" x14ac:dyDescent="0.25">
      <c r="A76" s="26"/>
      <c r="B76" s="321">
        <v>39</v>
      </c>
      <c r="C76" s="318" t="s">
        <v>603</v>
      </c>
      <c r="D76" s="318" t="s">
        <v>604</v>
      </c>
      <c r="E76" s="335">
        <v>0</v>
      </c>
      <c r="F76" s="336">
        <v>0.12</v>
      </c>
      <c r="G76" s="756">
        <v>0</v>
      </c>
      <c r="H76" s="17"/>
      <c r="I76" s="21" t="str">
        <f t="shared" ref="I76:I77" si="24">IF($G$2,C76,D76)</f>
        <v>Kosten FE-Prüfung</v>
      </c>
      <c r="J76" s="18"/>
      <c r="K76" s="120"/>
      <c r="L76" s="920">
        <f>M$76</f>
        <v>0.37082465277777776</v>
      </c>
      <c r="M76" s="233">
        <f>Refkalkulation!H$105</f>
        <v>0.37082465277777776</v>
      </c>
      <c r="N76" s="273"/>
      <c r="O76" s="920">
        <f>P$76</f>
        <v>0.34611111111111109</v>
      </c>
      <c r="P76" s="233">
        <f>Refkalkulation!K$105</f>
        <v>0.34611111111111109</v>
      </c>
      <c r="Q76" s="273"/>
      <c r="R76" s="920">
        <f t="shared" ref="R76" si="25">S$76</f>
        <v>0</v>
      </c>
      <c r="S76" s="233">
        <f>[2]Refkalkulation!N$92</f>
        <v>0</v>
      </c>
      <c r="T76" s="846"/>
    </row>
    <row r="77" spans="1:22" ht="15" hidden="1" thickBot="1" x14ac:dyDescent="0.25">
      <c r="A77" s="26"/>
      <c r="B77" s="321">
        <v>39</v>
      </c>
      <c r="C77" s="318" t="s">
        <v>605</v>
      </c>
      <c r="D77" s="318" t="s">
        <v>606</v>
      </c>
      <c r="E77" s="335"/>
      <c r="F77" s="336"/>
      <c r="G77" s="756">
        <v>0</v>
      </c>
      <c r="H77" s="17"/>
      <c r="I77" s="21" t="str">
        <f t="shared" si="24"/>
        <v>Kosten X-Prüfung</v>
      </c>
      <c r="J77" s="18"/>
      <c r="K77" s="120"/>
      <c r="L77" s="920">
        <f>M$77</f>
        <v>1.8357928240740744</v>
      </c>
      <c r="M77" s="233">
        <f>Refkalkulation!H$108</f>
        <v>1.8357928240740744</v>
      </c>
      <c r="N77" s="273"/>
      <c r="O77" s="920">
        <f>P$77</f>
        <v>1.7619212962962969</v>
      </c>
      <c r="P77" s="233">
        <f>Refkalkulation!K$108</f>
        <v>1.7619212962962969</v>
      </c>
      <c r="Q77" s="273"/>
      <c r="R77" s="920">
        <f t="shared" ref="R77" si="26">S$77</f>
        <v>0</v>
      </c>
      <c r="S77" s="233">
        <f>[2]Refkalkulation!N$93</f>
        <v>0</v>
      </c>
      <c r="T77" s="846"/>
    </row>
    <row r="78" spans="1:22" ht="15" hidden="1" thickBot="1" x14ac:dyDescent="0.25">
      <c r="A78" s="26"/>
      <c r="B78" s="321">
        <v>39</v>
      </c>
      <c r="C78" s="318" t="s">
        <v>619</v>
      </c>
      <c r="D78" s="318" t="s">
        <v>620</v>
      </c>
      <c r="E78" s="335">
        <v>0</v>
      </c>
      <c r="F78" s="336">
        <v>1</v>
      </c>
      <c r="G78" s="757">
        <v>0.5</v>
      </c>
      <c r="H78" s="17"/>
      <c r="I78" s="21" t="str">
        <f>IF($G$2,C78,D78)</f>
        <v>Anteil Nachprüfung</v>
      </c>
      <c r="J78" s="18"/>
      <c r="K78" s="120"/>
      <c r="L78" s="758">
        <f>M$78</f>
        <v>0.5</v>
      </c>
      <c r="M78" s="233">
        <f>Refkalkulation!H$111</f>
        <v>0.5</v>
      </c>
      <c r="N78" s="273"/>
      <c r="O78" s="758">
        <f>P$78</f>
        <v>0.5</v>
      </c>
      <c r="P78" s="233">
        <f>Refkalkulation!K$111</f>
        <v>0.5</v>
      </c>
      <c r="Q78" s="273"/>
      <c r="R78" s="758">
        <f>S$78</f>
        <v>0.5</v>
      </c>
      <c r="S78" s="233">
        <f>[2]Refkalkulation!N$96</f>
        <v>0.5</v>
      </c>
      <c r="T78" s="846"/>
    </row>
    <row r="79" spans="1:22" ht="15" hidden="1" thickBot="1" x14ac:dyDescent="0.25">
      <c r="A79" s="26"/>
      <c r="B79" s="644">
        <v>13</v>
      </c>
      <c r="C79" s="318" t="s">
        <v>546</v>
      </c>
      <c r="D79" s="318" t="s">
        <v>547</v>
      </c>
      <c r="E79" s="333">
        <v>0</v>
      </c>
      <c r="F79" s="652">
        <v>0.5</v>
      </c>
      <c r="G79" s="757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Refkalkulation!H$110</f>
        <v>0</v>
      </c>
      <c r="N79" s="122"/>
      <c r="O79" s="135">
        <f>P$79</f>
        <v>0</v>
      </c>
      <c r="P79" s="122">
        <f>Refkalkulation!K$110</f>
        <v>0</v>
      </c>
      <c r="Q79" s="273"/>
      <c r="R79" s="135">
        <f>S$79</f>
        <v>0</v>
      </c>
      <c r="S79" s="122">
        <f>[2]Refkalkulation!N$95</f>
        <v>0</v>
      </c>
      <c r="T79" s="846"/>
      <c r="V79" t="s">
        <v>33</v>
      </c>
    </row>
    <row r="80" spans="1:22" ht="15" hidden="1" thickBot="1" x14ac:dyDescent="0.25">
      <c r="A80" s="26"/>
      <c r="B80" s="321">
        <v>43</v>
      </c>
      <c r="C80" s="318" t="s">
        <v>129</v>
      </c>
      <c r="D80" s="318" t="s">
        <v>246</v>
      </c>
      <c r="E80" s="335">
        <v>0.05</v>
      </c>
      <c r="F80" s="336">
        <v>0.3</v>
      </c>
      <c r="G80" s="238" t="s">
        <v>186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Refkalkulation!H$117</f>
        <v>0.1</v>
      </c>
      <c r="N80" s="273"/>
      <c r="O80" s="135">
        <f>P$80</f>
        <v>0.1</v>
      </c>
      <c r="P80" s="233">
        <f>Refkalkulation!K$117</f>
        <v>0.1</v>
      </c>
      <c r="Q80" s="273"/>
      <c r="R80" s="135">
        <f>S$80</f>
        <v>0.1</v>
      </c>
      <c r="S80" s="233">
        <f>[2]Refkalkulation!N$102</f>
        <v>0.1</v>
      </c>
      <c r="T80" s="846"/>
    </row>
    <row r="81" spans="1:22" ht="15" hidden="1" thickBot="1" x14ac:dyDescent="0.25">
      <c r="A81" s="26"/>
      <c r="B81" s="321"/>
      <c r="C81" s="318" t="s">
        <v>823</v>
      </c>
      <c r="D81" s="318" t="s">
        <v>822</v>
      </c>
      <c r="E81" s="335">
        <v>0</v>
      </c>
      <c r="F81" s="336">
        <v>0.2</v>
      </c>
      <c r="G81" s="757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Refkalkulation!H$123</f>
        <v>0.12</v>
      </c>
      <c r="N81" s="273"/>
      <c r="O81" s="135">
        <f>P$81</f>
        <v>0.12</v>
      </c>
      <c r="P81" s="233">
        <f>Refkalkulation!K$123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46"/>
    </row>
    <row r="82" spans="1:22" ht="15" hidden="1" thickBot="1" x14ac:dyDescent="0.25">
      <c r="A82" s="26"/>
      <c r="B82" s="321">
        <v>32</v>
      </c>
      <c r="C82" s="318" t="s">
        <v>236</v>
      </c>
      <c r="D82" s="318" t="s">
        <v>247</v>
      </c>
      <c r="E82" s="335">
        <v>0</v>
      </c>
      <c r="F82" s="336">
        <v>0.12</v>
      </c>
      <c r="G82" s="757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Refkalkulation!H$127</f>
        <v>0</v>
      </c>
      <c r="N82" s="273"/>
      <c r="O82" s="135">
        <f>P$82</f>
        <v>0</v>
      </c>
      <c r="P82" s="233">
        <f>Refkalkulation!K$127</f>
        <v>0</v>
      </c>
      <c r="Q82" s="273"/>
      <c r="R82" s="135">
        <f t="shared" ref="R82" si="29">S$82</f>
        <v>0</v>
      </c>
      <c r="S82" s="233">
        <f>[2]Refkalkulation!N$112</f>
        <v>0</v>
      </c>
      <c r="T82" s="846"/>
    </row>
    <row r="83" spans="1:22" ht="15" hidden="1" thickBot="1" x14ac:dyDescent="0.25">
      <c r="A83" s="26"/>
      <c r="B83" s="321">
        <v>32</v>
      </c>
      <c r="C83" s="318" t="s">
        <v>232</v>
      </c>
      <c r="D83" s="318" t="s">
        <v>248</v>
      </c>
      <c r="E83" s="335">
        <v>0</v>
      </c>
      <c r="F83" s="336">
        <v>0.12</v>
      </c>
      <c r="G83" s="238" t="s">
        <v>186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Refkalkulation!H$128</f>
        <v>0</v>
      </c>
      <c r="N83" s="273"/>
      <c r="O83" s="135">
        <f>P$83</f>
        <v>0</v>
      </c>
      <c r="P83" s="233">
        <f>Refkalkulation!K$128</f>
        <v>0</v>
      </c>
      <c r="Q83" s="273"/>
      <c r="R83" s="135">
        <f>S$83</f>
        <v>0</v>
      </c>
      <c r="S83" s="233">
        <f>[2]Refkalkulation!N$113</f>
        <v>0</v>
      </c>
      <c r="T83" s="846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186</v>
      </c>
      <c r="H84" s="17"/>
      <c r="I84" s="21" t="str">
        <f>IF($G$2,C84,D84)</f>
        <v>Bearbeiter</v>
      </c>
      <c r="J84" s="18"/>
      <c r="K84" s="1023" t="str">
        <f>L84</f>
        <v>P. Pawar</v>
      </c>
      <c r="L84" s="135" t="s">
        <v>872</v>
      </c>
      <c r="M84" s="1024" t="str">
        <f>$L$3</f>
        <v>Dr.P. Pawar</v>
      </c>
      <c r="N84" s="1024"/>
      <c r="O84" s="135" t="str">
        <f>P$84</f>
        <v>Dr.P. Pawar</v>
      </c>
      <c r="P84" s="1024" t="str">
        <f>$L$3</f>
        <v>Dr.P. Pawar</v>
      </c>
      <c r="Q84" s="1024"/>
      <c r="R84" s="135" t="str">
        <f>S$84</f>
        <v>Dr.P. Pawar</v>
      </c>
      <c r="S84" s="1024" t="str">
        <f>$L$3</f>
        <v>Dr.P. Pawar</v>
      </c>
      <c r="T84" s="846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2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97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62" priority="65" stopIfTrue="1">
      <formula>VALUE(L12="Materialdatenbank")</formula>
    </cfRule>
  </conditionalFormatting>
  <conditionalFormatting sqref="O37 R37 L37">
    <cfRule type="cellIs" dxfId="161" priority="66" stopIfTrue="1" operator="notBetween">
      <formula>$E$37</formula>
      <formula>$F$37</formula>
    </cfRule>
  </conditionalFormatting>
  <conditionalFormatting sqref="L11 L20 O20 R20 O11 R11">
    <cfRule type="expression" dxfId="160" priority="70" stopIfTrue="1">
      <formula>K$11=0</formula>
    </cfRule>
  </conditionalFormatting>
  <conditionalFormatting sqref="L45">
    <cfRule type="cellIs" dxfId="159" priority="71" stopIfTrue="1" operator="lessThan">
      <formula>$E45</formula>
    </cfRule>
  </conditionalFormatting>
  <conditionalFormatting sqref="R38:R44 O38:O44 L38:L44">
    <cfRule type="cellIs" dxfId="158" priority="72" stopIfTrue="1" operator="greaterThan">
      <formula>M$37</formula>
    </cfRule>
  </conditionalFormatting>
  <conditionalFormatting sqref="O8:O9 R8:R9 L9">
    <cfRule type="cellIs" dxfId="157" priority="73" operator="equal">
      <formula>"?"</formula>
    </cfRule>
  </conditionalFormatting>
  <conditionalFormatting sqref="X4:X5">
    <cfRule type="cellIs" dxfId="156" priority="74" operator="equal">
      <formula>FALSE</formula>
    </cfRule>
  </conditionalFormatting>
  <conditionalFormatting sqref="L13 O13 R13">
    <cfRule type="cellIs" dxfId="155" priority="431" operator="notBetween">
      <formula>$E13</formula>
      <formula>$F13</formula>
    </cfRule>
  </conditionalFormatting>
  <conditionalFormatting sqref="L29">
    <cfRule type="expression" dxfId="154" priority="60" stopIfTrue="1">
      <formula>VALUE(#REF!="Materialdatenbank")</formula>
    </cfRule>
  </conditionalFormatting>
  <conditionalFormatting sqref="L30">
    <cfRule type="expression" dxfId="153" priority="59" stopIfTrue="1">
      <formula>VALUE(#REF!="Materialdatenbank")</formula>
    </cfRule>
  </conditionalFormatting>
  <conditionalFormatting sqref="L31">
    <cfRule type="expression" dxfId="152" priority="58" stopIfTrue="1">
      <formula>VALUE(#REF!="Materialdatenbank")</formula>
    </cfRule>
  </conditionalFormatting>
  <conditionalFormatting sqref="O29">
    <cfRule type="expression" dxfId="151" priority="57" stopIfTrue="1">
      <formula>VALUE(#REF!="Materialdatenbank")</formula>
    </cfRule>
  </conditionalFormatting>
  <conditionalFormatting sqref="O30">
    <cfRule type="expression" dxfId="150" priority="56" stopIfTrue="1">
      <formula>VALUE(#REF!="Materialdatenbank")</formula>
    </cfRule>
  </conditionalFormatting>
  <conditionalFormatting sqref="O31">
    <cfRule type="expression" dxfId="149" priority="55" stopIfTrue="1">
      <formula>VALUE(#REF!="Materialdatenbank")</formula>
    </cfRule>
  </conditionalFormatting>
  <conditionalFormatting sqref="R29">
    <cfRule type="expression" dxfId="148" priority="42" stopIfTrue="1">
      <formula>VALUE(#REF!="Materialdatenbank")</formula>
    </cfRule>
  </conditionalFormatting>
  <conditionalFormatting sqref="R30">
    <cfRule type="expression" dxfId="147" priority="41" stopIfTrue="1">
      <formula>VALUE(#REF!="Materialdatenbank")</formula>
    </cfRule>
  </conditionalFormatting>
  <conditionalFormatting sqref="R31">
    <cfRule type="expression" dxfId="146" priority="40" stopIfTrue="1">
      <formula>VALUE(#REF!="Materialdatenbank")</formula>
    </cfRule>
  </conditionalFormatting>
  <conditionalFormatting sqref="L26">
    <cfRule type="expression" dxfId="145" priority="23" stopIfTrue="1">
      <formula>VALUE(#REF!="Materialdatenbank")</formula>
    </cfRule>
  </conditionalFormatting>
  <conditionalFormatting sqref="O26">
    <cfRule type="expression" dxfId="144" priority="22" stopIfTrue="1">
      <formula>VALUE(#REF!="Materialdatenbank")</formula>
    </cfRule>
  </conditionalFormatting>
  <conditionalFormatting sqref="R26">
    <cfRule type="expression" dxfId="143" priority="21" stopIfTrue="1">
      <formula>VALUE(#REF!="Materialdatenbank")</formula>
    </cfRule>
  </conditionalFormatting>
  <conditionalFormatting sqref="L27">
    <cfRule type="expression" dxfId="142" priority="17" stopIfTrue="1">
      <formula>VALUE(#REF!="Materialdatenbank")</formula>
    </cfRule>
  </conditionalFormatting>
  <conditionalFormatting sqref="O27">
    <cfRule type="expression" dxfId="141" priority="16" stopIfTrue="1">
      <formula>VALUE(#REF!="Materialdatenbank")</formula>
    </cfRule>
  </conditionalFormatting>
  <conditionalFormatting sqref="R27">
    <cfRule type="expression" dxfId="140" priority="15" stopIfTrue="1">
      <formula>VALUE(#REF!="Materialdatenbank")</formula>
    </cfRule>
  </conditionalFormatting>
  <conditionalFormatting sqref="L28">
    <cfRule type="expression" dxfId="139" priority="11" stopIfTrue="1">
      <formula>VALUE(#REF!="Materialdatenbank")</formula>
    </cfRule>
  </conditionalFormatting>
  <conditionalFormatting sqref="O28">
    <cfRule type="expression" dxfId="138" priority="10" stopIfTrue="1">
      <formula>VALUE(#REF!="Materialdatenbank")</formula>
    </cfRule>
  </conditionalFormatting>
  <conditionalFormatting sqref="R28">
    <cfRule type="expression" dxfId="137" priority="9" stopIfTrue="1">
      <formula>VALUE(#REF!="Materialdatenbank")</formula>
    </cfRule>
  </conditionalFormatting>
  <conditionalFormatting sqref="L8">
    <cfRule type="cellIs" dxfId="136" priority="1" operator="equal">
      <formula>"?"</formula>
    </cfRule>
  </conditionalFormatting>
  <dataValidations count="28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L24 O24 R24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zoomScaleNormal="100" workbookViewId="0">
      <pane xSplit="6" ySplit="8" topLeftCell="G9" activePane="bottomRight" state="frozenSplit"/>
      <selection activeCell="L30" sqref="L30"/>
      <selection pane="topRight" activeCell="L30" sqref="L30"/>
      <selection pane="bottomLeft" activeCell="L30" sqref="L30"/>
      <selection pane="bottomRight" activeCell="W1" sqref="W1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67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89" t="str">
        <f>CONCATENATE('Quick Input'!AA2,'Quick Input'!AA3," ",'Quick Input'!AA4)</f>
        <v>Version V4.0 30.12.2021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OR(ISERROR(H131),H5="?",H5=0,H12=0,H16=0,H24=0)</f>
        <v>1</v>
      </c>
      <c r="I2" s="67"/>
      <c r="J2" s="67"/>
      <c r="K2" s="376" t="b">
        <f>OR(ISERROR(K131),K5="?",K5=0,K12=0,K16=0,K24=0)</f>
        <v>1</v>
      </c>
      <c r="L2" s="67"/>
      <c r="M2" s="67"/>
      <c r="N2" s="376" t="b">
        <f>OR(ISERROR(N131),N5="?",N5=0,N12=0,N16=0,N24=0)</f>
        <v>1</v>
      </c>
      <c r="O2" s="67"/>
      <c r="P2" s="67"/>
      <c r="Q2" s="67"/>
      <c r="R2" s="67"/>
      <c r="S2" s="67"/>
      <c r="T2" s="67"/>
      <c r="U2" s="67"/>
      <c r="V2" s="67"/>
      <c r="W2" s="1190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1</v>
      </c>
      <c r="I3" s="67"/>
      <c r="J3" s="67"/>
      <c r="K3" s="913" t="b">
        <f>K2</f>
        <v>1</v>
      </c>
      <c r="L3" s="67"/>
      <c r="M3" s="67"/>
      <c r="N3" s="377" t="b">
        <f>N2</f>
        <v>1</v>
      </c>
      <c r="O3" s="67"/>
      <c r="P3" s="67"/>
      <c r="Q3" s="67"/>
      <c r="R3" s="67"/>
      <c r="S3" s="67"/>
      <c r="T3" s="67"/>
      <c r="U3" s="67"/>
      <c r="V3" s="67"/>
      <c r="W3" s="1190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1</v>
      </c>
      <c r="I4" s="90"/>
      <c r="J4" s="90"/>
      <c r="K4" s="378" t="b">
        <f>K3</f>
        <v>1</v>
      </c>
      <c r="L4" s="90"/>
      <c r="M4" s="90"/>
      <c r="N4" s="378" t="b">
        <f>N3</f>
        <v>1</v>
      </c>
      <c r="O4" s="90"/>
      <c r="P4" s="90"/>
      <c r="Q4" s="90"/>
      <c r="R4" s="90"/>
      <c r="S4" s="90"/>
      <c r="T4" s="90"/>
      <c r="U4" s="90"/>
      <c r="V4" s="90"/>
      <c r="W4" s="1191">
        <f>W3</f>
        <v>0</v>
      </c>
      <c r="X4" s="356"/>
      <c r="Y4" s="78"/>
    </row>
    <row r="5" spans="1:25" ht="15.75" customHeight="1" thickBot="1" x14ac:dyDescent="0.25">
      <c r="D5" s="1234" t="str">
        <f>IF(Deutsch,"Artikel (Nr.  /  Bezeichnung)","part (no. / name)")</f>
        <v>Artikel (Nr.  /  Bezeichnung)</v>
      </c>
      <c r="E5" s="1235"/>
      <c r="F5" s="1236"/>
      <c r="G5" s="610"/>
      <c r="H5" s="769">
        <f>'Quick Input'!M$8</f>
        <v>58622</v>
      </c>
      <c r="I5" s="618" t="s">
        <v>285</v>
      </c>
      <c r="J5" s="618"/>
      <c r="K5" s="769">
        <f>'Quick Input'!P$8</f>
        <v>58622</v>
      </c>
      <c r="L5" s="618" t="s">
        <v>285</v>
      </c>
      <c r="M5" s="618"/>
      <c r="N5" s="769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37"/>
      <c r="E6" s="1238"/>
      <c r="F6" s="1239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743</v>
      </c>
      <c r="M6" s="78"/>
      <c r="N6" s="70" t="str">
        <f>'Quick Input'!S9</f>
        <v>Housing</v>
      </c>
      <c r="O6" s="1184" t="s">
        <v>743</v>
      </c>
      <c r="Y6" s="55" t="s">
        <v>33</v>
      </c>
    </row>
    <row r="7" spans="1:25" ht="15.75" customHeight="1" thickBot="1" x14ac:dyDescent="0.25">
      <c r="D7" s="1254" t="str">
        <f>'Quick Input'!$I$46</f>
        <v>Produktionsregion</v>
      </c>
      <c r="E7" s="1255"/>
      <c r="F7" s="1256"/>
      <c r="G7" s="611"/>
      <c r="H7" s="68" t="str">
        <f>VLOOKUP('Quick Input'!M$46,DB_Länder,IF(Deutsch,1,2),FALSE)</f>
        <v>Deutschland</v>
      </c>
      <c r="I7" s="619" t="s">
        <v>743</v>
      </c>
      <c r="J7" s="619"/>
      <c r="K7" s="68" t="str">
        <f>VLOOKUP('Quick Input'!P$46,DB_Länder,IF(Deutsch,1,2),FALSE)</f>
        <v>Polen</v>
      </c>
      <c r="L7" s="78" t="s">
        <v>285</v>
      </c>
      <c r="M7" s="78"/>
      <c r="N7" s="68" t="str">
        <f>VLOOKUP('Quick Input'!S$46,DB_Länder,IF(Deutsch,1,2),FALSE)</f>
        <v>Deutschland</v>
      </c>
      <c r="O7" s="1184" t="s">
        <v>285</v>
      </c>
      <c r="Y7" s="55" t="s">
        <v>33</v>
      </c>
    </row>
    <row r="8" spans="1:25" ht="16.5" customHeight="1" thickBot="1" x14ac:dyDescent="0.25">
      <c r="D8" s="1257" t="str">
        <f>'Quick Input'!$I$4</f>
        <v>Datum</v>
      </c>
      <c r="E8" s="1258"/>
      <c r="F8" s="1259"/>
      <c r="G8" s="615"/>
      <c r="H8" s="663">
        <f>'Quick Input'!M$35</f>
        <v>43531</v>
      </c>
      <c r="I8" s="625" t="s">
        <v>285</v>
      </c>
      <c r="J8" s="625"/>
      <c r="K8" s="663">
        <f>'Quick Input'!P$35</f>
        <v>43531</v>
      </c>
      <c r="L8" s="87" t="s">
        <v>285</v>
      </c>
      <c r="M8" s="87"/>
      <c r="N8" s="663">
        <f>'Quick Input'!S$35</f>
        <v>43531</v>
      </c>
      <c r="O8" s="1184" t="s">
        <v>285</v>
      </c>
      <c r="Y8" s="55" t="s">
        <v>33</v>
      </c>
    </row>
    <row r="9" spans="1:25" ht="14.25" customHeight="1" thickBot="1" x14ac:dyDescent="0.25">
      <c r="D9" s="1251" t="str">
        <f>IF(Deutsch,"Materialien","materials")</f>
        <v>Materialien</v>
      </c>
      <c r="E9" s="1252"/>
      <c r="F9" s="1253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86" t="str">
        <f>'Quick Input'!S$10</f>
        <v>EN AC-43100</v>
      </c>
      <c r="O9" s="1187" t="s">
        <v>285</v>
      </c>
      <c r="Y9" s="55" t="s">
        <v>33</v>
      </c>
    </row>
    <row r="10" spans="1:25" ht="13.5" customHeight="1" thickBot="1" x14ac:dyDescent="0.25">
      <c r="D10" s="1251"/>
      <c r="E10" s="1252"/>
      <c r="F10" s="1253"/>
      <c r="G10" s="611"/>
      <c r="H10" s="662" t="str">
        <f>'Quick Input'!M$11</f>
        <v>Al Si10Cu2(Fe)</v>
      </c>
      <c r="I10" s="619" t="s">
        <v>743</v>
      </c>
      <c r="J10" s="619"/>
      <c r="K10" s="662" t="str">
        <f>'Quick Input'!P$11</f>
        <v>Al Si10Mg(b)</v>
      </c>
      <c r="L10" s="865" t="s">
        <v>743</v>
      </c>
      <c r="M10" s="78"/>
      <c r="N10" s="662" t="str">
        <f>'Quick Input'!S$11</f>
        <v>Al Si10Mg(b)</v>
      </c>
      <c r="O10" s="1184" t="s">
        <v>743</v>
      </c>
      <c r="Y10" s="55" t="s">
        <v>33</v>
      </c>
    </row>
    <row r="11" spans="1:25" ht="13.5" customHeight="1" thickBot="1" x14ac:dyDescent="0.25">
      <c r="D11" s="1243"/>
      <c r="E11" s="1244"/>
      <c r="F11" s="1245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4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68">
        <f>'Quick Input'!M$13</f>
        <v>2.0002526724975707</v>
      </c>
      <c r="I12" s="619" t="s">
        <v>285</v>
      </c>
      <c r="J12" s="619"/>
      <c r="K12" s="868">
        <f>'Quick Input'!P$13</f>
        <v>1.9670528580208975</v>
      </c>
      <c r="L12" s="78" t="s">
        <v>285</v>
      </c>
      <c r="M12" s="78"/>
      <c r="N12" s="868">
        <f>'Quick Input'!S$13</f>
        <v>1.9670528580208975</v>
      </c>
      <c r="O12" s="1184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4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f>'Quick Input'!M$19</f>
        <v>40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4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80.010106899902823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4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Input'!I60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66"/>
      <c r="M16" s="355"/>
      <c r="N16" s="119">
        <v>5.5500000000000001E-2</v>
      </c>
      <c r="O16" s="1184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6.4250804826333319</v>
      </c>
      <c r="I17" s="619" t="s">
        <v>285</v>
      </c>
      <c r="J17" s="619"/>
      <c r="K17" s="74">
        <f>K$15*(1+Parametrikber!I$42)*K$16</f>
        <v>0.79761274096399459</v>
      </c>
      <c r="L17" s="78" t="s">
        <v>285</v>
      </c>
      <c r="M17" s="78"/>
      <c r="N17" s="74">
        <f>N$15*(1+Parametrikber!L$42)*N$16</f>
        <v>0.79730417641915385</v>
      </c>
      <c r="O17" s="1184" t="s">
        <v>285</v>
      </c>
      <c r="Y17" s="55" t="s">
        <v>33</v>
      </c>
    </row>
    <row r="18" spans="1:25" ht="15" thickBot="1" x14ac:dyDescent="0.25">
      <c r="A18" s="689" t="s">
        <v>33</v>
      </c>
      <c r="D18" s="915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86.435187382536157</v>
      </c>
      <c r="I18" s="619" t="s">
        <v>285</v>
      </c>
      <c r="J18" s="619"/>
      <c r="K18" s="85">
        <f>K15+K17</f>
        <v>10.632877031068482</v>
      </c>
      <c r="L18" s="619" t="s">
        <v>285</v>
      </c>
      <c r="M18" s="619"/>
      <c r="N18" s="85">
        <f>N15+N17</f>
        <v>10.63256846652364</v>
      </c>
      <c r="O18" s="1184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 t="e">
        <f>Parametrikber!F$75</f>
        <v>#N/A</v>
      </c>
      <c r="I19" s="619" t="s">
        <v>285</v>
      </c>
      <c r="J19" s="619"/>
      <c r="K19" s="579" t="e">
        <f>Parametrikber!I$75</f>
        <v>#N/A</v>
      </c>
      <c r="L19" s="619" t="s">
        <v>285</v>
      </c>
      <c r="M19" s="619"/>
      <c r="N19" s="579" t="e">
        <f>Parametrikber!L$75</f>
        <v>#N/A</v>
      </c>
      <c r="O19" s="1184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 t="e">
        <f>H$19*('Länder-DB'!$M$23*'Länder-DB'!$M$25/1000+Parametrikber!F$79)</f>
        <v>#N/A</v>
      </c>
      <c r="I20" s="619" t="s">
        <v>285</v>
      </c>
      <c r="J20" s="619"/>
      <c r="K20" s="74" t="e">
        <f>K$19*('Länder-DB'!$M$23*'Länder-DB'!$M$25/1000+Parametrikber!I$79)</f>
        <v>#N/A</v>
      </c>
      <c r="L20" s="619" t="s">
        <v>285</v>
      </c>
      <c r="M20" s="619"/>
      <c r="N20" s="74" t="e">
        <f>N$19*('Länder-DB'!$M$23*'Länder-DB'!$M$25/1000+Parametrikber!L$79)</f>
        <v>#N/A</v>
      </c>
      <c r="O20" s="1184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0.53624849698226207</v>
      </c>
      <c r="I21" s="619" t="s">
        <v>285</v>
      </c>
      <c r="J21" s="619"/>
      <c r="K21" s="74">
        <f>'Länder-DB'!$M$39*K$33/1000*(1+Parametrikber!I224)</f>
        <v>0.11663632272707655</v>
      </c>
      <c r="L21" s="503" t="s">
        <v>285</v>
      </c>
      <c r="M21" s="503"/>
      <c r="N21" s="74">
        <f>'Länder-DB'!$M$39*N$33/1000*(1+Parametrikber!L224)</f>
        <v>0.1165912007875866</v>
      </c>
      <c r="O21" s="1184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4" t="s">
        <v>285</v>
      </c>
      <c r="Y22" s="55" t="s">
        <v>33</v>
      </c>
    </row>
    <row r="23" spans="1:25" ht="15" thickBot="1" x14ac:dyDescent="0.25">
      <c r="D23" s="915" t="str">
        <f>IF(Deutsch,"Kosten Hilfsstoffe (€/Stk.)","cost sum auxiliaries (€/pc.)")</f>
        <v>Kosten Hilfsstoffe (€/Stk.)</v>
      </c>
      <c r="E23" s="73"/>
      <c r="F23" s="75"/>
      <c r="G23" s="611"/>
      <c r="H23" s="85" t="e">
        <f>H$20+H$21+H$22</f>
        <v>#N/A</v>
      </c>
      <c r="I23" s="619" t="s">
        <v>285</v>
      </c>
      <c r="J23" s="619"/>
      <c r="K23" s="85" t="e">
        <f>K$20+K$21+K$22</f>
        <v>#N/A</v>
      </c>
      <c r="L23" s="619" t="s">
        <v>285</v>
      </c>
      <c r="M23" s="619"/>
      <c r="N23" s="85" t="e">
        <f t="shared" ref="N23" si="0">N$20+N$21+N$22</f>
        <v>#N/A</v>
      </c>
      <c r="O23" s="1184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Input'!I61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4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 t="e">
        <f>(H$18+H$23)*H$24</f>
        <v>#N/A</v>
      </c>
      <c r="I25" s="619" t="s">
        <v>285</v>
      </c>
      <c r="J25" s="619"/>
      <c r="K25" s="85" t="e">
        <f>(K$18+K$23)*K$24</f>
        <v>#N/A</v>
      </c>
      <c r="L25" s="619" t="s">
        <v>285</v>
      </c>
      <c r="M25" s="619"/>
      <c r="N25" s="85" t="e">
        <f t="shared" ref="N25" si="1">(N$18+N$23)*N$24</f>
        <v>#N/A</v>
      </c>
      <c r="O25" s="1184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2"/>
      <c r="H26" s="77" t="e">
        <f>H$18+H$23+H$25</f>
        <v>#N/A</v>
      </c>
      <c r="I26" s="853" t="s">
        <v>285</v>
      </c>
      <c r="J26" s="854"/>
      <c r="K26" s="77" t="e">
        <f>K$18+K$23+K$25</f>
        <v>#N/A</v>
      </c>
      <c r="L26" s="853" t="s">
        <v>285</v>
      </c>
      <c r="M26" s="854"/>
      <c r="N26" s="77" t="e">
        <f>N$18+N$23+N$25</f>
        <v>#N/A</v>
      </c>
      <c r="O26" s="1184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48"/>
      <c r="I27" s="625" t="s">
        <v>285</v>
      </c>
      <c r="J27" s="625"/>
      <c r="K27" s="848"/>
      <c r="L27" s="87" t="s">
        <v>285</v>
      </c>
      <c r="M27" s="87"/>
      <c r="N27" s="848"/>
      <c r="O27" s="1188" t="s">
        <v>285</v>
      </c>
      <c r="Y27" s="55" t="s">
        <v>33</v>
      </c>
    </row>
    <row r="28" spans="1:25" ht="14.25" customHeight="1" thickBot="1" x14ac:dyDescent="0.25">
      <c r="D28" s="1240" t="str">
        <f>IF(Deutsch,"Prozess Schmelzen","melting process")</f>
        <v>Prozess Schmelzen</v>
      </c>
      <c r="E28" s="1246"/>
      <c r="F28" s="1247"/>
      <c r="G28" s="896"/>
      <c r="H28" s="897" t="str">
        <f>CONCATENATE(VLOOKUP(Parametrikber!F$98,DB_Ofen,11,FALSE),"-",IF(Deutsch,"Ofen","oven"))</f>
        <v>Schacht-Ofen</v>
      </c>
      <c r="I28" s="618" t="s">
        <v>285</v>
      </c>
      <c r="J28" s="618"/>
      <c r="K28" s="897" t="str">
        <f>CONCATENATE(VLOOKUP(Parametrikber!I$98,DB_Ofen,11,FALSE),"-",IF(Deutsch,"Ofen","oven"))</f>
        <v>Schacht-Ofen</v>
      </c>
      <c r="L28" s="266" t="s">
        <v>285</v>
      </c>
      <c r="M28" s="266"/>
      <c r="N28" s="897" t="str">
        <f>CONCATENATE(VLOOKUP(Parametrikber!L$98,DB_Ofen,11,FALSE),"-",IF(Deutsch,"Ofen","oven"))</f>
        <v>Schacht-Ofen</v>
      </c>
      <c r="O28" s="1185" t="s">
        <v>285</v>
      </c>
      <c r="Y28" s="55" t="s">
        <v>33</v>
      </c>
    </row>
    <row r="29" spans="1:25" ht="12.75" customHeight="1" thickBot="1" x14ac:dyDescent="0.25">
      <c r="D29" s="1248"/>
      <c r="E29" s="1249"/>
      <c r="F29" s="1250"/>
      <c r="G29" s="855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4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898" t="e">
        <f>Parametrikber!F$114</f>
        <v>#N/A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4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898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4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5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4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5"/>
      <c r="H33" s="493">
        <f>Parametrikber!F$40/H$50*(1+H$16)</f>
        <v>61.08843050981352</v>
      </c>
      <c r="I33" s="619" t="s">
        <v>285</v>
      </c>
      <c r="J33" s="619"/>
      <c r="K33" s="493">
        <f>Parametrikber!I$40/K$50*(1+K$16)</f>
        <v>7.7115433971184304</v>
      </c>
      <c r="L33" s="78" t="s">
        <v>285</v>
      </c>
      <c r="M33" s="78"/>
      <c r="N33" s="493">
        <f>Parametrikber!L$40/N$50*(1+N$16)</f>
        <v>7.7085601086676023</v>
      </c>
      <c r="O33" s="1184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5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4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5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4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5"/>
      <c r="H36" s="85">
        <f>H$34/60*H$33/Parametrikber!F$101*H$35</f>
        <v>0.51401448225516921</v>
      </c>
      <c r="I36" s="619" t="s">
        <v>285</v>
      </c>
      <c r="J36" s="619"/>
      <c r="K36" s="85">
        <f>K$34/60*K$33/Parametrikber!I$101*K$35</f>
        <v>7.9055363847621407E-2</v>
      </c>
      <c r="L36" s="619" t="s">
        <v>285</v>
      </c>
      <c r="M36" s="619"/>
      <c r="N36" s="85">
        <f>N$34/60*N$33/Parametrikber!L$101*N$35</f>
        <v>0.11751449709270778</v>
      </c>
      <c r="O36" s="1184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5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4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5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4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5"/>
      <c r="H39" s="85">
        <f>H$33*H$37*H$38</f>
        <v>2.2242908432928199</v>
      </c>
      <c r="I39" s="619" t="s">
        <v>285</v>
      </c>
      <c r="J39" s="619"/>
      <c r="K39" s="85">
        <f>K$33*K$37*K$38</f>
        <v>0.65534160981957879</v>
      </c>
      <c r="L39" s="78" t="s">
        <v>285</v>
      </c>
      <c r="M39" s="78"/>
      <c r="N39" s="85">
        <f>N$33*N$37*N$38</f>
        <v>0.2806763821166961</v>
      </c>
      <c r="O39" s="1184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5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4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5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4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5"/>
      <c r="H42" s="85">
        <f>H$33*(1+H$16)/Parametrikber!F$101*H$34/60*H$40*H$41</f>
        <v>0.89290494693585987</v>
      </c>
      <c r="I42" s="619" t="s">
        <v>285</v>
      </c>
      <c r="J42" s="619"/>
      <c r="K42" s="85">
        <f>K$33*(1+K$16)/Parametrikber!I$101*K$34/60*K$40*K$41</f>
        <v>2.8564577645351731E-2</v>
      </c>
      <c r="L42" s="78" t="s">
        <v>285</v>
      </c>
      <c r="M42" s="78"/>
      <c r="N42" s="85">
        <f>N$33*(1+N$16)/Parametrikber!L$101*N$34/60*N$40*N$41</f>
        <v>0.11267291363257421</v>
      </c>
      <c r="O42" s="1184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5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4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5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4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5"/>
      <c r="H45" s="85">
        <f>H$43/60*H$44*H$33/Parametrikber!F$101</f>
        <v>7.2142398160379248E-2</v>
      </c>
      <c r="I45" s="619" t="s">
        <v>285</v>
      </c>
      <c r="J45" s="619"/>
      <c r="K45" s="85">
        <f>K$43/60*K$44*K$33/Parametrikber!I$101</f>
        <v>1.0684272825835728E-2</v>
      </c>
      <c r="L45" s="78" t="s">
        <v>285</v>
      </c>
      <c r="M45" s="78"/>
      <c r="N45" s="85">
        <f>N$43/60*N$44*N$33/Parametrikber!L$101</f>
        <v>1.5623447492901732E-2</v>
      </c>
      <c r="O45" s="1184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4">
        <f>H$70+H$92</f>
        <v>0.02</v>
      </c>
      <c r="I46" s="620"/>
      <c r="J46" s="620"/>
      <c r="K46" s="914">
        <f>K$70+K$92</f>
        <v>0.02</v>
      </c>
      <c r="L46" s="620"/>
      <c r="M46" s="620"/>
      <c r="N46" s="914">
        <f>N$70+N$92</f>
        <v>0.02</v>
      </c>
      <c r="O46" s="1184"/>
    </row>
    <row r="47" spans="2:15" ht="16.5" customHeight="1" thickBot="1" x14ac:dyDescent="0.25">
      <c r="D47" s="1014" t="str">
        <f>IF(Deutsch,"Schmelzkosten pro Stück","melting cost per part")</f>
        <v>Schmelzkosten pro Stück</v>
      </c>
      <c r="E47" s="164"/>
      <c r="F47" s="165"/>
      <c r="G47" s="851"/>
      <c r="H47" s="1015">
        <f>(H42+H36+H39+H45)*(1+H46)</f>
        <v>3.777419724057113</v>
      </c>
      <c r="I47" s="1016" t="s">
        <v>285</v>
      </c>
      <c r="J47" s="1016"/>
      <c r="K47" s="1015">
        <f>(K42+K36+K39+K45)*(1+K46)</f>
        <v>0.78911874062115539</v>
      </c>
      <c r="L47" s="1017" t="s">
        <v>285</v>
      </c>
      <c r="M47" s="1017"/>
      <c r="N47" s="1015">
        <f>(N42+N36+N39+N45)*(1+N46)</f>
        <v>0.53701698514157759</v>
      </c>
      <c r="O47" s="1188" t="s">
        <v>285</v>
      </c>
    </row>
    <row r="48" spans="2:15" ht="18.75" thickBot="1" x14ac:dyDescent="0.25">
      <c r="D48" s="1248" t="str">
        <f>IF(Deutsch,"Prozess Formen","sand forming process")</f>
        <v>Prozess Formen</v>
      </c>
      <c r="E48" s="1249"/>
      <c r="F48" s="1250"/>
      <c r="G48" s="611"/>
      <c r="H48" s="910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mäßig</v>
      </c>
      <c r="I48" s="909" t="s">
        <v>285</v>
      </c>
      <c r="J48" s="909"/>
      <c r="K48" s="910" t="str">
        <f>CONCATENATE(INDEX(AW_Gusstechnik,VLOOKUP('Quick Input'!P$22,Auswahlfelder!$D$36:$E$38,2,FALSE))," / ",'Quick Input'!$I21," ",INDEX(AW_Komplexität,VLOOKUP('Quick Input'!P$21,Auswahlfelder!$D$16:$E$19,2,FALSE)))</f>
        <v>Kippgiessen / Bauteilkomplexität mäßig</v>
      </c>
      <c r="L48" s="909" t="s">
        <v>285</v>
      </c>
      <c r="M48" s="909"/>
      <c r="N48" s="910" t="str">
        <f>CONCATENATE(INDEX(AW_Gusstechnik,VLOOKUP('Quick Input'!S$22,Auswahlfelder!$D$36:$E$38,2,FALSE))," / ",'Quick Input'!$I21," ",INDEX(AW_Komplexität,VLOOKUP('Quick Input'!S$21,Auswahlfelder!$D$16:$E$19,2,FALSE)))</f>
        <v>Schwerkaft / Bauteilkomplexität mäßig</v>
      </c>
      <c r="O48" s="1185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 t="e">
        <f>Parametrikber!F70</f>
        <v>#N/A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2</v>
      </c>
      <c r="L49" s="78" t="s">
        <v>285</v>
      </c>
      <c r="M49" s="78"/>
      <c r="N49" s="114">
        <f>IFERROR(Parametrikber!L$131,1)</f>
        <v>2</v>
      </c>
      <c r="O49" s="1184" t="s">
        <v>285</v>
      </c>
    </row>
    <row r="50" spans="2:15" ht="15" thickBot="1" x14ac:dyDescent="0.25">
      <c r="B50" s="55" t="s">
        <v>127</v>
      </c>
      <c r="C50" s="78"/>
      <c r="D50" s="72" t="str">
        <f>'Quick Input'!I64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4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 t="e">
        <f>Parametrikber!F$61</f>
        <v>#N/A</v>
      </c>
      <c r="H51" s="114" t="e">
        <f>Parametrikber!F$70</f>
        <v>#N/A</v>
      </c>
      <c r="I51" s="619" t="s">
        <v>285</v>
      </c>
      <c r="J51" s="619"/>
      <c r="K51" s="114" t="e">
        <f>Parametrikber!I$70</f>
        <v>#N/A</v>
      </c>
      <c r="L51" s="619" t="s">
        <v>285</v>
      </c>
      <c r="M51" s="619"/>
      <c r="N51" s="114" t="e">
        <f>Parametrikber!L$70</f>
        <v>#N/A</v>
      </c>
      <c r="O51" s="1184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4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4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4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 t="e">
        <f>Parametrikber!F$135</f>
        <v>#N/A</v>
      </c>
      <c r="I55" s="619" t="s">
        <v>285</v>
      </c>
      <c r="J55" s="619"/>
      <c r="K55" s="262" t="e">
        <f>Parametrikber!I$135</f>
        <v>#N/A</v>
      </c>
      <c r="L55" s="78" t="s">
        <v>285</v>
      </c>
      <c r="M55" s="67"/>
      <c r="N55" s="262" t="e">
        <f>Parametrikber!L$135</f>
        <v>#N/A</v>
      </c>
      <c r="O55" s="1184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4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 t="e">
        <f>H$54+H$55*H$56</f>
        <v>#N/A</v>
      </c>
      <c r="I57" s="619" t="s">
        <v>285</v>
      </c>
      <c r="J57" s="619"/>
      <c r="K57" s="74" t="e">
        <f>K$54+K$55*K$56</f>
        <v>#N/A</v>
      </c>
      <c r="L57" s="619" t="s">
        <v>285</v>
      </c>
      <c r="M57" s="607"/>
      <c r="N57" s="74" t="e">
        <f t="shared" ref="N57" si="2">N$54+N$55*N$56</f>
        <v>#N/A</v>
      </c>
      <c r="O57" s="1184" t="s">
        <v>285</v>
      </c>
    </row>
    <row r="58" spans="2:15" ht="14.25" customHeight="1" thickBot="1" x14ac:dyDescent="0.25">
      <c r="C58" s="78"/>
      <c r="D58" s="72" t="str">
        <f>'Quick Input'!$I$66</f>
        <v>Anteil Kühleisen Volumen</v>
      </c>
      <c r="E58" s="73"/>
      <c r="F58" s="75"/>
      <c r="G58" s="614" t="e">
        <f>Parametrikber!F$114</f>
        <v>#N/A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4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 t="e">
        <f>ROUND(Parametrikber!F$156,0)</f>
        <v>#N/A</v>
      </c>
      <c r="I59" s="683" t="str">
        <f>IFERROR(VLOOKUP(H$58,Auswahlfelder!$D$65:$D$68,1),VLOOKUP(H$58,Auswahlfelder!$C$65:$D$68,2,FALSE))</f>
        <v>ohne</v>
      </c>
      <c r="J59" s="607"/>
      <c r="K59" s="140" t="e">
        <f>ROUND(Parametrikber!I$156,0)</f>
        <v>#N/A</v>
      </c>
      <c r="L59" s="683" t="str">
        <f>IFERROR(VLOOKUP(K$58,Auswahlfelder!$D$65:$D$68,1),VLOOKUP(K$58,Auswahlfelder!$C$65:$D$68,2,FALSE))</f>
        <v>ohne</v>
      </c>
      <c r="M59" s="67"/>
      <c r="N59" s="140" t="e">
        <f>ROUND(Parametrikber!L$156,0)</f>
        <v>#N/A</v>
      </c>
      <c r="O59" s="1184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 t="e">
        <f>H$57/3600*H$59/H$50</f>
        <v>#N/A</v>
      </c>
      <c r="I60" s="619" t="s">
        <v>285</v>
      </c>
      <c r="J60" s="608">
        <f>K$50</f>
        <v>1</v>
      </c>
      <c r="K60" s="85" t="e">
        <f>K$57/3600*K$59/K$50</f>
        <v>#N/A</v>
      </c>
      <c r="L60" s="78" t="s">
        <v>285</v>
      </c>
      <c r="M60" s="584">
        <f>N$50</f>
        <v>1</v>
      </c>
      <c r="N60" s="85" t="e">
        <f>N$57/3600*N$59/N$50</f>
        <v>#N/A</v>
      </c>
      <c r="O60" s="1184" t="s">
        <v>285</v>
      </c>
    </row>
    <row r="61" spans="2:15" ht="15" thickBot="1" x14ac:dyDescent="0.25">
      <c r="B61" s="55" t="s">
        <v>127</v>
      </c>
      <c r="C61" s="78"/>
      <c r="D61" s="72" t="str">
        <f>'Quick Input'!I67</f>
        <v>Fertigungslosgröße</v>
      </c>
      <c r="E61" s="73"/>
      <c r="F61" s="75"/>
      <c r="G61" s="611"/>
      <c r="H61" s="121">
        <v>100</v>
      </c>
      <c r="I61" s="620"/>
      <c r="J61" s="905"/>
      <c r="K61" s="121">
        <v>100</v>
      </c>
      <c r="L61" s="355"/>
      <c r="M61" s="288"/>
      <c r="N61" s="121">
        <v>100</v>
      </c>
      <c r="O61" s="1184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 t="e">
        <f>Parametrikber!F$109</f>
        <v>#N/A</v>
      </c>
      <c r="J62" s="607"/>
      <c r="K62" s="114" t="e">
        <f>Parametrikber!I$109</f>
        <v>#N/A</v>
      </c>
      <c r="M62" s="67"/>
      <c r="N62" s="114" t="e">
        <f>Parametrikber!L$109</f>
        <v>#N/A</v>
      </c>
      <c r="O62" s="1184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1</v>
      </c>
      <c r="O63" s="1184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4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 t="e">
        <f>H$62/60*(H$57+H$63*H$64)</f>
        <v>#N/A</v>
      </c>
      <c r="I65" s="619" t="s">
        <v>285</v>
      </c>
      <c r="J65" s="607"/>
      <c r="K65" s="74" t="e">
        <f>K$62/60*(K$57+K$63*K$64)</f>
        <v>#N/A</v>
      </c>
      <c r="L65" s="78" t="s">
        <v>285</v>
      </c>
      <c r="M65" s="67"/>
      <c r="N65" s="74" t="e">
        <f>N$62/60*(N$57+N$63*N$64)</f>
        <v>#N/A</v>
      </c>
      <c r="O65" s="1184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 t="e">
        <f>H$65/ROUNDUP(H$61,0)</f>
        <v>#N/A</v>
      </c>
      <c r="I66" s="619" t="s">
        <v>285</v>
      </c>
      <c r="J66" s="607"/>
      <c r="K66" s="85" t="e">
        <f>K$65/ROUNDUP(K$61,0)</f>
        <v>#N/A</v>
      </c>
      <c r="L66" s="619" t="s">
        <v>285</v>
      </c>
      <c r="M66" s="607"/>
      <c r="N66" s="85" t="e">
        <f>N$65/ROUNDUP(N$61,0)</f>
        <v>#N/A</v>
      </c>
      <c r="O66" s="1184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0">
        <v>20</v>
      </c>
      <c r="I67" s="906"/>
      <c r="J67" s="940"/>
      <c r="K67" s="900">
        <v>0</v>
      </c>
      <c r="L67" s="941"/>
      <c r="M67" s="942"/>
      <c r="N67" s="900">
        <v>0</v>
      </c>
      <c r="O67" s="1184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 t="e">
        <f>Parametrikber!F$114</f>
        <v>#N/A</v>
      </c>
      <c r="H68" s="74" t="e">
        <f>Parametrikber!F$117</f>
        <v>#N/A</v>
      </c>
      <c r="I68" s="609" t="e">
        <f>Parametrikber!F$115</f>
        <v>#N/A</v>
      </c>
      <c r="J68" s="609" t="e">
        <f>Parametrikber!I$114</f>
        <v>#N/A</v>
      </c>
      <c r="K68" s="74" t="e">
        <f>Parametrikber!I$117</f>
        <v>#N/A</v>
      </c>
      <c r="L68" s="470" t="e">
        <f>Parametrikber!I115</f>
        <v>#N/A</v>
      </c>
      <c r="M68" s="470" t="e">
        <f>Parametrikber!L114</f>
        <v>#N/A</v>
      </c>
      <c r="N68" s="74" t="e">
        <f>Parametrikber!L$117</f>
        <v>#N/A</v>
      </c>
      <c r="O68" s="1184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 t="e">
        <f>H$67*H$68</f>
        <v>#N/A</v>
      </c>
      <c r="I69" s="609"/>
      <c r="J69" s="609"/>
      <c r="K69" s="85" t="e">
        <f>K$67*K$68</f>
        <v>#N/A</v>
      </c>
      <c r="L69" s="609"/>
      <c r="M69" s="609"/>
      <c r="N69" s="85" t="e">
        <f t="shared" ref="N69" si="3">N$67*N$68</f>
        <v>#N/A</v>
      </c>
      <c r="O69" s="1184"/>
    </row>
    <row r="70" spans="2:15" ht="15" thickBot="1" x14ac:dyDescent="0.25">
      <c r="B70" s="55" t="s">
        <v>127</v>
      </c>
      <c r="C70" s="78"/>
      <c r="D70" s="236" t="str">
        <f>'Quick Input'!I69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4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 t="e">
        <f t="shared" ref="H71" si="4">H$70*H$60</f>
        <v>#N/A</v>
      </c>
      <c r="I71" s="619" t="s">
        <v>285</v>
      </c>
      <c r="J71" s="619"/>
      <c r="K71" s="74" t="e">
        <f t="shared" ref="K71" si="5">K$70*K$60</f>
        <v>#N/A</v>
      </c>
      <c r="L71" s="619" t="s">
        <v>285</v>
      </c>
      <c r="M71" s="619"/>
      <c r="N71" s="74" t="e">
        <f t="shared" ref="N71" si="6">N$70*N$60</f>
        <v>#N/A</v>
      </c>
      <c r="O71" s="1184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49" t="e">
        <f>H$60+H$66+H$69+H$71</f>
        <v>#N/A</v>
      </c>
      <c r="I72" s="625" t="s">
        <v>285</v>
      </c>
      <c r="J72" s="850"/>
      <c r="K72" s="849" t="e">
        <f>K$60+K$66+K$69+K$71</f>
        <v>#N/A</v>
      </c>
      <c r="L72" s="625" t="s">
        <v>285</v>
      </c>
      <c r="M72" s="850"/>
      <c r="N72" s="849" t="e">
        <f t="shared" ref="N72" si="7">N$60+N$66+N$69+N$71</f>
        <v>#N/A</v>
      </c>
      <c r="O72" s="1188" t="s">
        <v>285</v>
      </c>
    </row>
    <row r="73" spans="2:15" ht="33" customHeight="1" thickBot="1" x14ac:dyDescent="0.25">
      <c r="D73" s="1260" t="str">
        <f>IF(Deutsch,"Nachbehandlung","after care")</f>
        <v>Nachbehandlung</v>
      </c>
      <c r="E73" s="1261"/>
      <c r="F73" s="1262"/>
      <c r="G73" s="611"/>
      <c r="H73" s="904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3" s="619" t="s">
        <v>285</v>
      </c>
      <c r="J73" s="619"/>
      <c r="K73" s="904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3" s="619" t="s">
        <v>285</v>
      </c>
      <c r="M73" s="619"/>
      <c r="N73" s="904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3" s="1185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0">
        <v>0</v>
      </c>
      <c r="I74" s="906"/>
      <c r="J74" s="906"/>
      <c r="K74" s="900">
        <v>0</v>
      </c>
      <c r="L74" s="907"/>
      <c r="M74" s="907"/>
      <c r="N74" s="900">
        <v>0</v>
      </c>
      <c r="O74" s="1184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196">
        <v>60</v>
      </c>
      <c r="I75" s="906"/>
      <c r="J75" s="906"/>
      <c r="K75" s="900">
        <v>5</v>
      </c>
      <c r="L75" s="907"/>
      <c r="M75" s="907"/>
      <c r="N75" s="900">
        <v>5</v>
      </c>
      <c r="O75" s="1184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4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4" t="s">
        <v>285</v>
      </c>
    </row>
    <row r="78" spans="2:15" ht="15" thickBot="1" x14ac:dyDescent="0.25">
      <c r="C78" s="78"/>
      <c r="D78" s="1201" t="str">
        <f>IF(Deutsch,"Prozesszeit Strahlen (sec)","process time sand blasting (sec)")</f>
        <v>Prozesszeit Strahlen (sec)</v>
      </c>
      <c r="E78" s="1202"/>
      <c r="F78" s="1200"/>
      <c r="G78" s="611"/>
      <c r="H78" s="1212">
        <v>0</v>
      </c>
      <c r="I78" s="619" t="s">
        <v>285</v>
      </c>
      <c r="J78" s="619"/>
      <c r="K78" s="1212">
        <v>0</v>
      </c>
      <c r="L78" s="619" t="s">
        <v>285</v>
      </c>
      <c r="M78" s="619"/>
      <c r="N78" s="1212">
        <v>0</v>
      </c>
      <c r="O78" s="1184" t="s">
        <v>285</v>
      </c>
    </row>
    <row r="79" spans="2:15" ht="15" thickBot="1" x14ac:dyDescent="0.25">
      <c r="C79" s="78"/>
      <c r="D79" s="1201" t="str">
        <f>IF(Deutsch,"Strahlkosten (€/Std.)","blasting costs (€/h)")</f>
        <v>Strahlkosten (€/Std.)</v>
      </c>
      <c r="E79" s="1202"/>
      <c r="F79" s="1200"/>
      <c r="G79" s="611"/>
      <c r="H79" s="74">
        <f>IF(H78&lt;&gt;0,H80/H78*3600,0)</f>
        <v>0</v>
      </c>
      <c r="I79" s="619"/>
      <c r="J79" s="619"/>
      <c r="K79" s="74">
        <f>IF(K78&lt;&gt;0,K80/K78*3600,0)</f>
        <v>0</v>
      </c>
      <c r="L79" s="619"/>
      <c r="M79" s="619"/>
      <c r="N79" s="74">
        <f>IF(N78&lt;&gt;0,N80/N78*3600,0)</f>
        <v>0</v>
      </c>
      <c r="O79" s="1184"/>
    </row>
    <row r="80" spans="2:15" ht="15" thickBot="1" x14ac:dyDescent="0.25">
      <c r="C80" s="78"/>
      <c r="D80" s="1201" t="str">
        <f>IF(Deutsch,"Strahlkosten (€/Stk.)","blasting costs (€/Stk.)")</f>
        <v>Strahlkosten (€/Stk.)</v>
      </c>
      <c r="E80" s="1202"/>
      <c r="F80" s="1200"/>
      <c r="G80" s="611"/>
      <c r="H80" s="85">
        <f>IF('Quick Input'!L26="ja",(H$78/3600*H$76)+'Maschinen-DB'!E72*(1+'Maschinen-DB'!F72)/'Länder-DB'!I27/Parametrikber!F146/3600*H78+'Maschinen-DB'!G72/3600*H78*VLOOKUP('Quick Input'!M$46,DB_Länder,7,FALSE) + 'Maschinen-DB'!H72*VLOOKUP('Quick Input'!M$46,DB_Länder,8,FALSE)*12/Parametrikber!F146/3600*H78,0)</f>
        <v>0</v>
      </c>
      <c r="I80" s="619"/>
      <c r="J80" s="619"/>
      <c r="K80" s="85">
        <f>IF('Quick Input'!O26="ja",(K$78/3600*K$76)+'Maschinen-DB'!E72*(1+'Maschinen-DB'!F72)/'Länder-DB'!I27/Parametrikber!I146/3600*K78+'Maschinen-DB'!G72/3600*K78*VLOOKUP('Quick Input'!P$46,DB_Länder,7,FALSE) + 'Maschinen-DB'!H72*VLOOKUP('Quick Input'!P$46,DB_Länder,8,FALSE)*12/Parametrikber!I146/3600*K78,0)</f>
        <v>0</v>
      </c>
      <c r="L80" s="619"/>
      <c r="M80" s="619"/>
      <c r="N80" s="85">
        <f>IF('Quick Input'!R26="ja",(N$78/3600*N$76)+'Maschinen-DB'!E72*(1+'Maschinen-DB'!F72)/'Länder-DB'!I27/Parametrikber!L146/3600*N78+'Maschinen-DB'!G72/3600*N78*VLOOKUP('Quick Input'!S$46,DB_Länder,7,FALSE) + 'Maschinen-DB'!H72*VLOOKUP('Quick Input'!S$46,DB_Länder,8,FALSE)*12/Parametrikber!L146/3600*N78,0)</f>
        <v>0</v>
      </c>
      <c r="O80" s="1184"/>
    </row>
    <row r="81" spans="2:23" ht="15" thickBot="1" x14ac:dyDescent="0.25">
      <c r="C81" s="78"/>
      <c r="D81" s="1201" t="str">
        <f>IF(Deutsch,"Prozesszeit Gleitschleifen (sec)","process time Slide grinding (sec)")</f>
        <v>Prozesszeit Gleitschleifen (sec)</v>
      </c>
      <c r="E81" s="1202"/>
      <c r="F81" s="1200"/>
      <c r="G81" s="611"/>
      <c r="H81" s="1212">
        <v>0</v>
      </c>
      <c r="I81" s="619"/>
      <c r="J81" s="619"/>
      <c r="K81" s="1212">
        <v>0</v>
      </c>
      <c r="L81" s="619"/>
      <c r="M81" s="619"/>
      <c r="N81" s="1212">
        <v>0</v>
      </c>
      <c r="O81" s="1184"/>
    </row>
    <row r="82" spans="2:23" ht="15" thickBot="1" x14ac:dyDescent="0.25">
      <c r="C82" s="78"/>
      <c r="D82" s="1201" t="str">
        <f>IF(Deutsch,"Kosten Gleitschleifen (€/Std.)","costs Slide grinding (€/h)")</f>
        <v>Kosten Gleitschleifen (€/Std.)</v>
      </c>
      <c r="E82" s="1202"/>
      <c r="F82" s="1200"/>
      <c r="G82" s="611"/>
      <c r="H82" s="74">
        <f>IF(H81&lt;&gt;0,H83/H81*3600,0)</f>
        <v>0</v>
      </c>
      <c r="I82" s="619"/>
      <c r="J82" s="619"/>
      <c r="K82" s="74">
        <f>IF(K81&lt;&gt;0,K83/K81*3600,0)</f>
        <v>0</v>
      </c>
      <c r="L82" s="619"/>
      <c r="M82" s="619"/>
      <c r="N82" s="74">
        <f>IF(N81&lt;&gt;0,N83/N81*3600,0)</f>
        <v>0</v>
      </c>
      <c r="O82" s="1184"/>
    </row>
    <row r="83" spans="2:23" ht="15" thickBot="1" x14ac:dyDescent="0.25">
      <c r="C83" s="78"/>
      <c r="D83" s="1201" t="str">
        <f>IF(Deutsch,"Kosten Gleitschleifen (€/Stk.)","costs Slide grinding (€/Stk.)")</f>
        <v>Kosten Gleitschleifen (€/Stk.)</v>
      </c>
      <c r="E83" s="1202"/>
      <c r="F83" s="1200"/>
      <c r="G83" s="611"/>
      <c r="H83" s="85">
        <f>IF('Quick Input'!L27="ja",(H$81/3600*H$76)+'Maschinen-DB'!E73*(1+'Maschinen-DB'!F73)/'Länder-DB'!I27/Parametrikber!F146/3600*H81+'Maschinen-DB'!G73/3600*H81*VLOOKUP('Quick Input'!M$46,DB_Länder,7,FALSE) + 'Maschinen-DB'!H73*VLOOKUP('Quick Input'!M$46,DB_Länder,8,FALSE)*12/Parametrikber!F146/3600*H81,0)</f>
        <v>0</v>
      </c>
      <c r="I83" s="683"/>
      <c r="J83" s="683"/>
      <c r="K83" s="85">
        <f>IF('Quick Input'!L27="ja",(K$81/3600*K$76)+'Maschinen-DB'!E73*(1+'Maschinen-DB'!F73)/'Länder-DB'!I27/Parametrikber!I146/3600*K81+'Maschinen-DB'!G73/3600*K81*VLOOKUP('Quick Input'!P$46,DB_Länder,7,FALSE) + 'Maschinen-DB'!H73*VLOOKUP('Quick Input'!P$46,DB_Länder,8,FALSE)*12/Parametrikber!F146/3600*K81,0)</f>
        <v>0</v>
      </c>
      <c r="L83" s="683"/>
      <c r="M83" s="683"/>
      <c r="N83" s="85">
        <f>IF('Quick Input'!R27="ja",(N$81/3600*N$76)+'Maschinen-DB'!E73*(1+'Maschinen-DB'!F73)/'Länder-DB'!I27/Parametrikber!F146/3600*N81+'Maschinen-DB'!G73/3600*N81*VLOOKUP('Quick Input'!S$46,DB_Länder,7,FALSE) + 'Maschinen-DB'!H73*VLOOKUP('Quick Input'!S$46,DB_Länder,8,FALSE)*12/Parametrikber!F146/3600*N81,0)</f>
        <v>0</v>
      </c>
      <c r="O83" s="1184"/>
    </row>
    <row r="84" spans="2:23" ht="15" thickBot="1" x14ac:dyDescent="0.25">
      <c r="C84" s="78"/>
      <c r="D84" s="72" t="str">
        <f>IF(Deutsch,"Prozesszeit Feinputzen (sec)","process time fine grinding (sec)")</f>
        <v>Prozesszeit Feinputzen (sec)</v>
      </c>
      <c r="E84" s="73"/>
      <c r="F84" s="75"/>
      <c r="G84" s="611"/>
      <c r="H84" s="140">
        <f>Parametrikber!F$243</f>
        <v>0</v>
      </c>
      <c r="I84" s="619" t="s">
        <v>285</v>
      </c>
      <c r="J84" s="619"/>
      <c r="K84" s="140">
        <f>Parametrikber!I$243</f>
        <v>0</v>
      </c>
      <c r="L84" s="619" t="s">
        <v>285</v>
      </c>
      <c r="M84" s="619"/>
      <c r="N84" s="140">
        <f>Parametrikber!L$243</f>
        <v>0</v>
      </c>
      <c r="O84" s="1184" t="s">
        <v>285</v>
      </c>
    </row>
    <row r="85" spans="2:23" ht="15" thickBot="1" x14ac:dyDescent="0.25">
      <c r="C85" s="78"/>
      <c r="D85" s="1201" t="str">
        <f>IF(Deutsch,"Kosten Feinputzen (€/Std.)"," costs fine grinding (€/h)")</f>
        <v>Kosten Feinputzen (€/Std.)</v>
      </c>
      <c r="E85" s="1202"/>
      <c r="F85" s="1200"/>
      <c r="G85" s="611"/>
      <c r="H85" s="1195">
        <f>IF(H84&gt;0,H86/H84*3600,0)</f>
        <v>0</v>
      </c>
      <c r="I85" s="619"/>
      <c r="J85" s="619"/>
      <c r="K85" s="1195">
        <f>IF(K84&gt;0,K86/K84*3600,0)</f>
        <v>0</v>
      </c>
      <c r="L85" s="619"/>
      <c r="M85" s="619"/>
      <c r="N85" s="1195">
        <f>IF(N84&gt;0,N86/N84*3600,0)</f>
        <v>0</v>
      </c>
      <c r="O85" s="1184"/>
    </row>
    <row r="86" spans="2:23" ht="15" thickBot="1" x14ac:dyDescent="0.25">
      <c r="C86" s="78"/>
      <c r="D86" s="1201" t="str">
        <f>IF(Deutsch,"Kosten Feinputzen (€/Stk.)"," costs fine grinding (€/pc.)")</f>
        <v>Kosten Feinputzen (€/Stk.)</v>
      </c>
      <c r="E86" s="1202"/>
      <c r="F86" s="1200"/>
      <c r="G86" s="611"/>
      <c r="H86" s="1195">
        <f>'Maschinen-DB'!E75*(1+'Maschinen-DB'!F75)/'Länder-DB'!I27/Parametrikber!F146/3600*H84+'Maschinen-DB'!G75/3600*H84*VLOOKUP('Quick Input'!M$46,DB_Länder,7,FALSE)
+'Maschinen-DB'!H75*VLOOKUP('Quick Input'!M$46,DB_Länder,8,FALSE)*12/Parametrikber!F146/3600*H84</f>
        <v>0</v>
      </c>
      <c r="I86" s="619"/>
      <c r="J86" s="619"/>
      <c r="K86" s="1195">
        <f>'Maschinen-DB'!E75*(1+'Maschinen-DB'!F75)/'Länder-DB'!I27/Parametrikber!I146/3600*K84+'Maschinen-DB'!G75/3600*K84*VLOOKUP('Quick Input'!P$46,DB_Länder,7,FALSE)
+'Maschinen-DB'!H75*VLOOKUP('Quick Input'!P$46,DB_Länder,8,FALSE)*12/Parametrikber!I146/3600*K84</f>
        <v>0</v>
      </c>
      <c r="L86" s="619"/>
      <c r="M86" s="619"/>
      <c r="N86" s="1195">
        <f>'Maschinen-DB'!E75*(1+'Maschinen-DB'!F75)/'Länder-DB'!I27/Parametrikber!L146/3600*N84+'Maschinen-DB'!G75/3600*N84*VLOOKUP('Quick Input'!S$46,DB_Länder,7,FALSE)
+'Maschinen-DB'!H75*VLOOKUP('Quick Input'!S$46,DB_Länder,8,FALSE)*12/Parametrikber!L146/3600*N84</f>
        <v>0</v>
      </c>
      <c r="O86" s="1184"/>
    </row>
    <row r="87" spans="2:23" ht="15" thickBot="1" x14ac:dyDescent="0.25">
      <c r="C87" s="78"/>
      <c r="D87" s="82" t="str">
        <f>IF(Deutsch,"Oberflächenkosten (€/Stk.)","surfaces cost (€/pc.)")</f>
        <v>Oberflächenkosten (€/Stk.)</v>
      </c>
      <c r="E87" s="73"/>
      <c r="F87" s="75"/>
      <c r="G87" s="611"/>
      <c r="H87" s="85">
        <f>H$80+H$83+H86+(H$84/3600*H$76)</f>
        <v>0</v>
      </c>
      <c r="I87" s="619" t="s">
        <v>285</v>
      </c>
      <c r="J87" s="619"/>
      <c r="K87" s="85">
        <f>K$80+K$83+(K$84/3600*K$76)</f>
        <v>0</v>
      </c>
      <c r="L87" s="619" t="s">
        <v>285</v>
      </c>
      <c r="M87" s="619"/>
      <c r="N87" s="85">
        <f>N$80+N$83+(N$84/3600*N$76)</f>
        <v>0</v>
      </c>
      <c r="O87" s="1184" t="s">
        <v>285</v>
      </c>
      <c r="T87" s="1206"/>
    </row>
    <row r="88" spans="2:23" ht="15" thickBot="1" x14ac:dyDescent="0.25">
      <c r="C88" s="78"/>
      <c r="D88" s="72" t="str">
        <f>IF(Deutsch,"Sandaufbereitung (€/t)","sand regeneration (€/to)")</f>
        <v>Sandaufbereitung (€/t)</v>
      </c>
      <c r="E88" s="73"/>
      <c r="F88" s="75"/>
      <c r="G88" s="611"/>
      <c r="H88" s="74">
        <f>Parametrikber!F$122</f>
        <v>1.4142135623730949</v>
      </c>
      <c r="I88" s="619" t="s">
        <v>285</v>
      </c>
      <c r="J88" s="619"/>
      <c r="K88" s="74">
        <f>Parametrikber!I$122</f>
        <v>1.2477080261564104</v>
      </c>
      <c r="L88" s="78" t="s">
        <v>285</v>
      </c>
      <c r="M88" s="78"/>
      <c r="N88" s="74">
        <f>Parametrikber!L$122</f>
        <v>1.4142135623730949</v>
      </c>
      <c r="O88" s="1184" t="s">
        <v>285</v>
      </c>
      <c r="W88" s="689"/>
    </row>
    <row r="89" spans="2:23" ht="15" thickBot="1" x14ac:dyDescent="0.25">
      <c r="C89" s="78"/>
      <c r="D89" s="82" t="str">
        <f>IF(Deutsch,"Sandaufbereitung (€/Stk.)","sand regeneration (€/pc.)")</f>
        <v>Sandaufbereitung (€/Stk.)</v>
      </c>
      <c r="E89" s="73"/>
      <c r="F89" s="75"/>
      <c r="G89" s="611"/>
      <c r="H89" s="85" t="e">
        <f>H$88*Parametrikber!F$75/1000</f>
        <v>#N/A</v>
      </c>
      <c r="I89" s="619" t="s">
        <v>285</v>
      </c>
      <c r="J89" s="619"/>
      <c r="K89" s="85" t="e">
        <f>K$88*Parametrikber!I$75/1000</f>
        <v>#N/A</v>
      </c>
      <c r="L89" s="78" t="s">
        <v>285</v>
      </c>
      <c r="M89" s="78"/>
      <c r="N89" s="85" t="e">
        <f>N$88*Parametrikber!L$75/1000</f>
        <v>#N/A</v>
      </c>
      <c r="O89" s="1184" t="s">
        <v>285</v>
      </c>
    </row>
    <row r="90" spans="2:23" ht="15" thickBot="1" x14ac:dyDescent="0.25">
      <c r="C90" s="78"/>
      <c r="D90" s="1201" t="str">
        <f>CONCATENATE(IF(Deutsch,'Quick Input'!C72,'Quick Input'!D72)," (€/kg)")</f>
        <v>Wärmebehandlung (€/kg)</v>
      </c>
      <c r="E90" s="1203"/>
      <c r="F90" s="1204"/>
      <c r="G90" s="611"/>
      <c r="H90" s="74">
        <f>VLOOKUP('Quick Input'!L33,Auswahlfelder!B41:F46,5,FALSE)</f>
        <v>0.7</v>
      </c>
      <c r="I90" s="620"/>
      <c r="J90" s="620"/>
      <c r="K90" s="74">
        <f>VLOOKUP('Quick Input'!O33,Auswahlfelder!B41:F46,5,FALSE)</f>
        <v>0.4</v>
      </c>
      <c r="L90" s="355"/>
      <c r="M90" s="355"/>
      <c r="N90" s="74">
        <f>VLOOKUP('Quick Input'!R33,Auswahlfelder!B41:F46,5,FALSE)</f>
        <v>0.5</v>
      </c>
      <c r="O90" s="1184"/>
    </row>
    <row r="91" spans="2:23" ht="15" thickBot="1" x14ac:dyDescent="0.25">
      <c r="C91" s="78"/>
      <c r="D91" s="82" t="str">
        <f>IF(Deutsch,"Wärmebehandlung (€/Stk.)","heat treatment (€/pc.")</f>
        <v>Wärmebehandlung (€/Stk.)</v>
      </c>
      <c r="E91" s="73"/>
      <c r="F91" s="75"/>
      <c r="G91" s="611"/>
      <c r="H91" s="85">
        <f>H$90*H$14</f>
        <v>28</v>
      </c>
      <c r="I91" s="619"/>
      <c r="J91" s="619"/>
      <c r="K91" s="85">
        <f>K$90*K$14</f>
        <v>2</v>
      </c>
      <c r="L91" s="78"/>
      <c r="M91" s="78"/>
      <c r="N91" s="85">
        <f>N$90*N$14</f>
        <v>2.5</v>
      </c>
      <c r="O91" s="1184"/>
    </row>
    <row r="92" spans="2:23" ht="15" thickBot="1" x14ac:dyDescent="0.25">
      <c r="B92" s="55" t="s">
        <v>127</v>
      </c>
      <c r="C92" s="78"/>
      <c r="D92" s="236" t="str">
        <f>'Quick Input'!I73</f>
        <v>Fertigungsausschuss 2</v>
      </c>
      <c r="E92" s="73"/>
      <c r="F92" s="75"/>
      <c r="G92" s="611"/>
      <c r="H92" s="119">
        <v>0.02</v>
      </c>
      <c r="I92" s="620"/>
      <c r="J92" s="620"/>
      <c r="K92" s="119">
        <v>0.02</v>
      </c>
      <c r="L92" s="355"/>
      <c r="M92" s="355"/>
      <c r="N92" s="119">
        <v>0.02</v>
      </c>
      <c r="O92" s="1184"/>
    </row>
    <row r="93" spans="2:23" ht="15" thickBot="1" x14ac:dyDescent="0.25">
      <c r="C93" s="78"/>
      <c r="D93" s="116" t="str">
        <f>IF(Deutsch,"Prozesskosten pro Stück","process cost per part")</f>
        <v>Prozesskosten pro Stück</v>
      </c>
      <c r="E93" s="73"/>
      <c r="F93" s="75"/>
      <c r="G93" s="851"/>
      <c r="H93" s="849" t="e">
        <f>(1+H92)*(H77+H87+H$89+H$91)</f>
        <v>#N/A</v>
      </c>
      <c r="I93" s="625" t="s">
        <v>285</v>
      </c>
      <c r="J93" s="625"/>
      <c r="K93" s="849" t="e">
        <f>(1+K92)*(K77+K87+K$89+K$91)</f>
        <v>#N/A</v>
      </c>
      <c r="L93" s="625" t="s">
        <v>285</v>
      </c>
      <c r="M93" s="625"/>
      <c r="N93" s="849" t="e">
        <f>(1+N92)*(N77+N87+N$89+N$91)</f>
        <v>#N/A</v>
      </c>
      <c r="O93" s="1188" t="s">
        <v>285</v>
      </c>
    </row>
    <row r="94" spans="2:23" ht="28.5" customHeight="1" thickBot="1" x14ac:dyDescent="0.25">
      <c r="C94" s="78"/>
      <c r="D94" s="1260" t="str">
        <f>IF(Deutsch,"Prüfen","testing")</f>
        <v>Prüfen</v>
      </c>
      <c r="E94" s="1261"/>
      <c r="F94" s="1262"/>
      <c r="G94" s="611"/>
      <c r="H94" s="908" t="str">
        <f>Parametrikber!F$253</f>
        <v>US PT Röntgen prüfen</v>
      </c>
      <c r="I94" s="909" t="s">
        <v>285</v>
      </c>
      <c r="J94" s="909"/>
      <c r="K94" s="908" t="str">
        <f>Parametrikber!I$253</f>
        <v>US PT Röntgen prüfen</v>
      </c>
      <c r="L94" s="909" t="s">
        <v>285</v>
      </c>
      <c r="M94" s="909"/>
      <c r="N94" s="908" t="str">
        <f>Parametrikber!L$253</f>
        <v>US PT Röntgen prüfen</v>
      </c>
      <c r="O94" s="1185" t="s">
        <v>285</v>
      </c>
      <c r="T94" s="1205"/>
    </row>
    <row r="95" spans="2:23" ht="15" thickBot="1" x14ac:dyDescent="0.25">
      <c r="B95" s="55" t="s">
        <v>127</v>
      </c>
      <c r="C95" s="78"/>
      <c r="D95" s="72" t="str">
        <f>'Quick Input'!I74</f>
        <v>VT Prüfzeit/Teil (sec)</v>
      </c>
      <c r="E95" s="73"/>
      <c r="F95" s="75"/>
      <c r="G95" s="611"/>
      <c r="H95" s="121">
        <v>400</v>
      </c>
      <c r="I95" s="620"/>
      <c r="J95" s="620"/>
      <c r="K95" s="121">
        <v>300</v>
      </c>
      <c r="L95" s="355"/>
      <c r="M95" s="355"/>
      <c r="N95" s="121">
        <v>300</v>
      </c>
      <c r="O95" s="1184"/>
    </row>
    <row r="96" spans="2:23" ht="15" thickBot="1" x14ac:dyDescent="0.25">
      <c r="C96" s="78"/>
      <c r="D96" s="1201" t="str">
        <f>IF(Deutsch,"VT Prüfung (€/Std.)","vt testing (€/h)")</f>
        <v>VT Prüfung (€/Std.)</v>
      </c>
      <c r="E96" s="1200"/>
      <c r="F96" s="1200"/>
      <c r="G96" s="611"/>
      <c r="H96" s="1194">
        <f>IF(H95&lt;&gt;0,H97/H95*3600,0)</f>
        <v>1.21171875</v>
      </c>
      <c r="I96" s="619"/>
      <c r="J96" s="619"/>
      <c r="K96" s="1194">
        <f>IF(K95&lt;&gt;0,K97/K95*3600,0)</f>
        <v>1.0840625000000002</v>
      </c>
      <c r="L96" s="619"/>
      <c r="M96" s="619"/>
      <c r="N96" s="1194">
        <f>IF(N95&lt;&gt;0,N97/N95*3600,0)</f>
        <v>1.2117187500000002</v>
      </c>
      <c r="O96" s="1184"/>
    </row>
    <row r="97" spans="3:20" ht="15" thickBot="1" x14ac:dyDescent="0.25">
      <c r="C97" s="78"/>
      <c r="D97" s="1201" t="str">
        <f>IF(Deutsch,"VT Prüfung (€/Stk.)","vt testing (€/pc.)")</f>
        <v>VT Prüfung (€/Stk.)</v>
      </c>
      <c r="E97" s="1202"/>
      <c r="F97" s="1200"/>
      <c r="G97" s="611"/>
      <c r="H97" s="1194">
        <f>'Maschinen-DB'!E74*(1+'Maschinen-DB'!F74)/'Länder-DB'!I27/Parametrikber!F146/3600*H95+'Maschinen-DB'!G74/3600*H95*VLOOKUP('Quick Input'!M$46,DB_Länder,7,FALSE) + 'Maschinen-DB'!H74*VLOOKUP('Quick Input'!M$46,DB_Länder,8,FALSE)*12/Parametrikber!F146/3600*H95</f>
        <v>0.13463541666666667</v>
      </c>
      <c r="I97" s="620"/>
      <c r="J97" s="620"/>
      <c r="K97" s="1194">
        <f>'Maschinen-DB'!E74*(1+'Maschinen-DB'!F74)/'Länder-DB'!I27/Parametrikber!I146/3600*K95+'Maschinen-DB'!G74/3600*K95*VLOOKUP('Quick Input'!P$46,DB_Länder,7,FALSE) + 'Maschinen-DB'!H74*VLOOKUP('Quick Input'!P$46,DB_Länder,8,FALSE)*12/Parametrikber!I146/3600*K95</f>
        <v>9.0338541666666675E-2</v>
      </c>
      <c r="L97" s="355"/>
      <c r="M97" s="355"/>
      <c r="N97" s="1194">
        <f>'Maschinen-DB'!E74*(1+'Maschinen-DB'!F74)/'Länder-DB'!I27/Parametrikber!L146/3600*N95+'Maschinen-DB'!G74/3600*N95*VLOOKUP('Quick Input'!S$46,DB_Länder,7,FALSE)
+ 'Maschinen-DB'!H74*VLOOKUP('Quick Input'!S$46,DB_Länder,8,FALSE)*12/Parametrikber!L146/3600*N95</f>
        <v>0.10097656250000002</v>
      </c>
      <c r="O97" s="1184"/>
      <c r="T97" s="1206"/>
    </row>
    <row r="98" spans="3:20" ht="15" thickBot="1" x14ac:dyDescent="0.25">
      <c r="C98" s="78"/>
      <c r="D98" s="72" t="str">
        <f>IF(Deutsch,"Personalkosten Prüfer","personal cost testing")</f>
        <v>Personalkosten Prüfer</v>
      </c>
      <c r="E98" s="73"/>
      <c r="F98" s="75"/>
      <c r="G98" s="611"/>
      <c r="H98" s="74">
        <f>Parametrikber!F$22</f>
        <v>33.535694999999997</v>
      </c>
      <c r="I98" s="619" t="s">
        <v>285</v>
      </c>
      <c r="J98" s="619"/>
      <c r="K98" s="74">
        <f>Parametrikber!I$22</f>
        <v>10.008107999999998</v>
      </c>
      <c r="L98" s="78" t="s">
        <v>285</v>
      </c>
      <c r="M98" s="78"/>
      <c r="N98" s="74">
        <f>Parametrikber!L$22</f>
        <v>33.535694999999997</v>
      </c>
      <c r="O98" s="1184" t="s">
        <v>285</v>
      </c>
    </row>
    <row r="99" spans="3:20" ht="15" thickBot="1" x14ac:dyDescent="0.25">
      <c r="C99" s="78"/>
      <c r="D99" s="1201" t="str">
        <f>IF(Deutsch,"Ultraschall Prüfzeit (sec)","ultrasonic testing time (sec)")</f>
        <v>Ultraschall Prüfzeit (sec)</v>
      </c>
      <c r="E99" s="1200"/>
      <c r="F99" s="1200"/>
      <c r="G99" s="611"/>
      <c r="H99" s="1212">
        <v>500</v>
      </c>
      <c r="I99" s="619"/>
      <c r="J99" s="619"/>
      <c r="K99" s="1212">
        <v>400</v>
      </c>
      <c r="L99" s="78"/>
      <c r="M99" s="78"/>
      <c r="N99" s="1212">
        <v>400</v>
      </c>
      <c r="O99" s="1184"/>
    </row>
    <row r="100" spans="3:20" ht="15" thickBot="1" x14ac:dyDescent="0.25">
      <c r="C100" s="78"/>
      <c r="D100" s="1201" t="str">
        <f>IF(Deutsch,"Ultraschall Prüfung (€/Std.)","ultrasonic testing (€/h)")</f>
        <v>Ultraschall Prüfung (€/Std.)</v>
      </c>
      <c r="E100" s="1200"/>
      <c r="F100" s="1200"/>
      <c r="G100" s="611"/>
      <c r="H100" s="1194">
        <f>IF(H99&lt;&gt;0,H101/H99*3600,0)</f>
        <v>3.0054687499999999</v>
      </c>
      <c r="I100" s="619"/>
      <c r="J100" s="619"/>
      <c r="K100" s="1194">
        <f>IF(K99&lt;&gt;0,K101/K99*3600,0)</f>
        <v>2.7778125</v>
      </c>
      <c r="L100" s="619"/>
      <c r="M100" s="619"/>
      <c r="N100" s="1194">
        <f>IF(N99&lt;&gt;0,N101/N99*3600,0)</f>
        <v>3.0054687499999999</v>
      </c>
      <c r="O100" s="1184"/>
    </row>
    <row r="101" spans="3:20" ht="15" thickBot="1" x14ac:dyDescent="0.25">
      <c r="C101" s="78"/>
      <c r="D101" s="1201" t="str">
        <f>IF(Deutsch,"Ultraschall Prüfung (€/Stk.)","ultrasonic testing (€/pc.)")</f>
        <v>Ultraschall Prüfung (€/Stk.)</v>
      </c>
      <c r="E101" s="1200"/>
      <c r="F101" s="1200"/>
      <c r="G101" s="611"/>
      <c r="H101" s="1194">
        <f>IF('Quick Input'!L29="ja",'Maschinen-DB'!E66*(1+'Maschinen-DB'!F66)/'Länder-DB'!I27/Parametrikber!F146/3600*H99+'Maschinen-DB'!G66/3600*H99*VLOOKUP('Quick Input'!M$46,DB_Länder,7,FALSE) + 'Maschinen-DB'!H66*VLOOKUP('Quick Input'!M$46,DB_Länder,8,FALSE)*12/Parametrikber!F146/3600*H99,0)</f>
        <v>0.41742621527777779</v>
      </c>
      <c r="I101" s="620"/>
      <c r="J101" s="620"/>
      <c r="K101" s="1194">
        <f>IF('Quick Input'!O29="ja",'Maschinen-DB'!E66*(1+'Maschinen-DB'!F66)/'Länder-DB'!I27/Parametrikber!I146/3600*K99+'Maschinen-DB'!G66/3600*K99*VLOOKUP('Quick Input'!P$46,DB_Länder,7,FALSE) + 'Maschinen-DB'!H66*VLOOKUP('Quick Input'!P$46,DB_Länder,8,FALSE)*12/Parametrikber!I146/3600*K99,0)</f>
        <v>0.30864583333333334</v>
      </c>
      <c r="L101" s="355"/>
      <c r="M101" s="355"/>
      <c r="N101" s="1194">
        <f>IF('Quick Input'!R29="ja",'Maschinen-DB'!E66*(1+'Maschinen-DB'!F66)/'Länder-DB'!I27/Parametrikber!L146/3600*N99+'Maschinen-DB'!G66/3600*N99*VLOOKUP('Quick Input'!S$46,DB_Länder,7,FALSE) + 'Maschinen-DB'!H66*VLOOKUP('Quick Input'!S$46,DB_Länder,8,FALSE)*12/Parametrikber!L146/3600*N99,0)</f>
        <v>0.33394097222222224</v>
      </c>
      <c r="O101" s="1184"/>
    </row>
    <row r="102" spans="3:20" ht="15" thickBot="1" x14ac:dyDescent="0.25">
      <c r="C102" s="78"/>
      <c r="D102" s="1201" t="str">
        <f>IF(Deutsch,"Farbeindring (Anlage)","PT (system)")</f>
        <v>Farbeindring (Anlage)</v>
      </c>
      <c r="E102" s="1200"/>
      <c r="F102" s="1200"/>
      <c r="G102" s="611"/>
      <c r="H102" s="342" t="s">
        <v>984</v>
      </c>
      <c r="I102" s="620"/>
      <c r="J102" s="620"/>
      <c r="K102" s="342" t="s">
        <v>984</v>
      </c>
      <c r="L102" s="355"/>
      <c r="M102" s="355"/>
      <c r="N102" s="342" t="s">
        <v>984</v>
      </c>
      <c r="O102" s="1184"/>
    </row>
    <row r="103" spans="3:20" ht="15" thickBot="1" x14ac:dyDescent="0.25">
      <c r="C103" s="78"/>
      <c r="D103" s="1201" t="str">
        <f>IF(Deutsch,"Farbeindring Prüfzeit (sec)","PT testing time (sec)")</f>
        <v>Farbeindring Prüfzeit (sec)</v>
      </c>
      <c r="E103" s="1200"/>
      <c r="F103" s="1200"/>
      <c r="G103" s="611"/>
      <c r="H103" s="1212">
        <v>600</v>
      </c>
      <c r="I103" s="620"/>
      <c r="J103" s="620"/>
      <c r="K103" s="1212">
        <v>600</v>
      </c>
      <c r="L103" s="355"/>
      <c r="M103" s="355"/>
      <c r="N103" s="1212">
        <v>400</v>
      </c>
      <c r="O103" s="1184"/>
    </row>
    <row r="104" spans="3:20" ht="15" thickBot="1" x14ac:dyDescent="0.25">
      <c r="C104" s="78"/>
      <c r="D104" s="1201" t="str">
        <f>IF(Deutsch,"Farbeindring Prüfung (€/Std.)","PT testing (€/h)")</f>
        <v>Farbeindring Prüfung (€/Std.)</v>
      </c>
      <c r="E104" s="1200"/>
      <c r="F104" s="1200"/>
      <c r="G104" s="611"/>
      <c r="H104" s="1194">
        <f>IF(H103&lt;&gt;0,H105/H103*3600,0)</f>
        <v>2.2249479166666664</v>
      </c>
      <c r="I104" s="620"/>
      <c r="J104" s="620"/>
      <c r="K104" s="1194">
        <f>IF(K103&lt;&gt;0,K105/K103*3600,0)</f>
        <v>2.0766666666666667</v>
      </c>
      <c r="L104" s="355"/>
      <c r="M104" s="355"/>
      <c r="N104" s="1194">
        <f>IF(N103&lt;&gt;0,N105/N103*3600,0)</f>
        <v>2.2249479166666664</v>
      </c>
      <c r="O104" s="1184"/>
    </row>
    <row r="105" spans="3:20" ht="15" thickBot="1" x14ac:dyDescent="0.25">
      <c r="C105" s="78"/>
      <c r="D105" s="1201" t="str">
        <f>IF(Deutsch,"Farbeindring Prüfung (€/Stk.)","PT testing (€/pc.)")</f>
        <v>Farbeindring Prüfung (€/Stk.)</v>
      </c>
      <c r="E105" s="1200"/>
      <c r="F105" s="1200"/>
      <c r="G105" s="611"/>
      <c r="H105" s="1194">
        <f>IF('Quick Input'!L30="ja",VLOOKUP(Refkalkulation!H102,'Maschinen-DB'!B67:H69,4,FALSE)*(1+VLOOKUP(Refkalkulation!H102,'Maschinen-DB'!B67:H69,5,FALSE))/'Länder-DB'!I27/Parametrikber!F146/3600*H103+VLOOKUP(Refkalkulation!H102,'Maschinen-DB'!B67:H69,6,FALSE)/3600*H103*VLOOKUP('Quick Input'!M$46,DB_Länder,7,FALSE) + VLOOKUP(Refkalkulation!H102,'Maschinen-DB'!B67:H69,7,FALSE)*VLOOKUP('Quick Input'!M$46,DB_Länder,8,FALSE)*12/Parametrikber!F146/3600*H103,0)</f>
        <v>0.37082465277777776</v>
      </c>
      <c r="I105" s="620"/>
      <c r="J105" s="620"/>
      <c r="K105" s="1194">
        <f>IF('Quick Input'!O30="ja",VLOOKUP(Refkalkulation!K102,'Maschinen-DB'!B67:K69,4,FALSE)*(1+VLOOKUP(Refkalkulation!K102,'Maschinen-DB'!B67:K69,5,FALSE))/'Länder-DB'!I27/Parametrikber!I146/3600*K103+VLOOKUP(Refkalkulation!K102,'Maschinen-DB'!B67:K69,6,FALSE)/3600*K103*VLOOKUP('Quick Input'!P$46,DB_Länder,7,FALSE) + VLOOKUP(Refkalkulation!K102,'Maschinen-DB'!B67:K69,7,FALSE)*VLOOKUP('Quick Input'!P$46,DB_Länder,8,FALSE)*12/Parametrikber!I146/3600*K103,0)</f>
        <v>0.34611111111111109</v>
      </c>
      <c r="L105" s="355"/>
      <c r="M105" s="355"/>
      <c r="N105" s="1194">
        <f>IF('Quick Input'!R30="ja",VLOOKUP(Refkalkulation!N102,'Maschinen-DB'!B67:N69,4,FALSE)*(1+VLOOKUP(Refkalkulation!N102,'Maschinen-DB'!B67:N69,5,FALSE))/'Länder-DB'!I27/Parametrikber!L146/3600*N103+VLOOKUP(Refkalkulation!N102,'Maschinen-DB'!B67:N69,6,FALSE)/3600*N103*VLOOKUP('Quick Input'!S$46,DB_Länder,7,FALSE) + VLOOKUP(Refkalkulation!N102,'Maschinen-DB'!B67:N69,7,FALSE)*VLOOKUP('Quick Input'!S$46,DB_Länder,8,FALSE)*12/Parametrikber!L146/3600*N103,0)</f>
        <v>0.24721643518518516</v>
      </c>
      <c r="O105" s="1184"/>
    </row>
    <row r="106" spans="3:20" ht="15" thickBot="1" x14ac:dyDescent="0.25">
      <c r="C106" s="78"/>
      <c r="D106" s="1201" t="str">
        <f>IF(Deutsch,"Röntgen Prüfzeit (sec)","X-ray testing time (sec)")</f>
        <v>Röntgen Prüfzeit (sec)</v>
      </c>
      <c r="E106" s="1200"/>
      <c r="F106" s="1200"/>
      <c r="G106" s="611"/>
      <c r="H106" s="1212">
        <v>1000</v>
      </c>
      <c r="I106" s="620"/>
      <c r="J106" s="620"/>
      <c r="K106" s="1212">
        <v>1000</v>
      </c>
      <c r="L106" s="355"/>
      <c r="M106" s="355"/>
      <c r="N106" s="1212">
        <v>600</v>
      </c>
      <c r="O106" s="1184"/>
    </row>
    <row r="107" spans="3:20" ht="15" thickBot="1" x14ac:dyDescent="0.25">
      <c r="C107" s="78"/>
      <c r="D107" s="1201" t="str">
        <f>IF(Deutsch,"Röntgen Prüfung (€/Std.)","X-ray testing (€/h)")</f>
        <v>Röntgen Prüfung (€/Std.)</v>
      </c>
      <c r="E107" s="1200"/>
      <c r="F107" s="1200"/>
      <c r="G107" s="611"/>
      <c r="H107" s="1194">
        <f>IF(H106&lt;&gt;0,H108/H106*3600,0)</f>
        <v>6.6088541666666671</v>
      </c>
      <c r="I107" s="620"/>
      <c r="J107" s="620"/>
      <c r="K107" s="1194">
        <f>IF(K106&lt;&gt;0,K108/K106*3600,0)</f>
        <v>6.3429166666666683</v>
      </c>
      <c r="L107" s="355"/>
      <c r="M107" s="355"/>
      <c r="N107" s="1194">
        <f>IF(N106&lt;&gt;0,N108/N106*3600,0)</f>
        <v>6.6088541666666689</v>
      </c>
      <c r="O107" s="1184"/>
    </row>
    <row r="108" spans="3:20" ht="15" thickBot="1" x14ac:dyDescent="0.25">
      <c r="C108" s="78"/>
      <c r="D108" s="1201" t="str">
        <f>IF(Deutsch,"Röntgen Prüfung (€/Stk.)","X-ray testing (€/pc.)")</f>
        <v>Röntgen Prüfung (€/Stk.)</v>
      </c>
      <c r="E108" s="1200"/>
      <c r="F108" s="1200"/>
      <c r="G108" s="611"/>
      <c r="H108" s="1194">
        <f>IF('Quick Input'!L31="ja",'Maschinen-DB'!E63*(1+'Maschinen-DB'!F63)/'Länder-DB'!I27/Parametrikber!F146/3600*H106+'Maschinen-DB'!G63/3600*H106*VLOOKUP('Quick Input'!M$46,DB_Länder,7,FALSE) + 'Maschinen-DB'!H63*VLOOKUP('Quick Input'!M$46,DB_Länder,8,FALSE)*12/Parametrikber!F146/3600*H106,0)</f>
        <v>1.8357928240740744</v>
      </c>
      <c r="I108" s="620"/>
      <c r="J108" s="620"/>
      <c r="K108" s="1194">
        <f>IF('Quick Input'!O31="ja",'Maschinen-DB'!E63*(1+'Maschinen-DB'!F63)/'Länder-DB'!I27/Parametrikber!F146/3600*K106+'Maschinen-DB'!G63/3600*K106*VLOOKUP('Quick Input'!P$46,DB_Länder,7,FALSE) + 'Maschinen-DB'!H63*VLOOKUP('Quick Input'!P$46,DB_Länder,8,FALSE)*12/Parametrikber!F146/3600*K106,0)</f>
        <v>1.7619212962962969</v>
      </c>
      <c r="L108" s="355"/>
      <c r="M108" s="355"/>
      <c r="N108" s="1194">
        <f>IF('Quick Input'!R31="ja",'Maschinen-DB'!E63*(1+'Maschinen-DB'!F63)/'Länder-DB'!I27/Parametrikber!F146/3600*N106+'Maschinen-DB'!G63/3600*N106*VLOOKUP('Quick Input'!S$46,DB_Länder,7,FALSE) + 'Maschinen-DB'!H63*VLOOKUP('Quick Input'!S$46,DB_Länder,8,FALSE)*12/Parametrikber!F146/3600*N106,0)</f>
        <v>1.1014756944444448</v>
      </c>
      <c r="O108" s="1184"/>
    </row>
    <row r="109" spans="3:20" ht="15" thickBot="1" x14ac:dyDescent="0.25">
      <c r="C109" s="78"/>
      <c r="D109" s="72" t="str">
        <f>IF(Deutsch,Auswahlfelder!$B$59,Auswahlfelder!$D$59)</f>
        <v>Reparaturschweißen</v>
      </c>
      <c r="E109" s="73"/>
      <c r="F109" s="75"/>
      <c r="G109" s="611"/>
      <c r="H109" s="80" t="str">
        <f>'Quick Input'!L$34</f>
        <v>ohne</v>
      </c>
      <c r="I109" s="619"/>
      <c r="J109" s="619"/>
      <c r="K109" s="80" t="str">
        <f>'Quick Input'!O$34</f>
        <v>ohne</v>
      </c>
      <c r="L109" s="78"/>
      <c r="M109" s="78"/>
      <c r="N109" s="80" t="str">
        <f>'Quick Input'!R$34</f>
        <v>ohne</v>
      </c>
      <c r="O109" s="1184"/>
    </row>
    <row r="110" spans="3:20" ht="15" thickBot="1" x14ac:dyDescent="0.25">
      <c r="C110" s="78"/>
      <c r="D110" s="72" t="str">
        <f>IF(Deutsch,"Reparaturanteil (%)","repair proportion (%)")</f>
        <v>Reparaturanteil (%)</v>
      </c>
      <c r="E110" s="73"/>
      <c r="F110" s="75"/>
      <c r="G110" s="611"/>
      <c r="H110" s="534">
        <v>0</v>
      </c>
      <c r="I110" s="620"/>
      <c r="J110" s="620"/>
      <c r="K110" s="534">
        <v>0</v>
      </c>
      <c r="L110" s="355"/>
      <c r="M110" s="355"/>
      <c r="N110" s="534">
        <v>0</v>
      </c>
      <c r="O110" s="1184"/>
    </row>
    <row r="111" spans="3:20" ht="15" thickBot="1" x14ac:dyDescent="0.25">
      <c r="C111" s="78"/>
      <c r="D111" s="72" t="str">
        <f>'Quick Input'!$I$78</f>
        <v>Anteil Nachprüfung</v>
      </c>
      <c r="E111" s="73"/>
      <c r="F111" s="75"/>
      <c r="G111" s="611"/>
      <c r="H111" s="688">
        <v>0.5</v>
      </c>
      <c r="I111" s="620"/>
      <c r="J111" s="620"/>
      <c r="K111" s="688">
        <v>0.5</v>
      </c>
      <c r="L111" s="355"/>
      <c r="M111" s="355"/>
      <c r="N111" s="688">
        <v>0.5</v>
      </c>
      <c r="O111" s="1184"/>
    </row>
    <row r="112" spans="3:20" ht="15" thickBot="1" x14ac:dyDescent="0.25">
      <c r="C112" s="78"/>
      <c r="D112" s="72" t="str">
        <f>IF(Deutsch,"Kosten je Reparatur (€)","cost per repair (€)")</f>
        <v>Kosten je Reparatur (€)</v>
      </c>
      <c r="E112" s="73"/>
      <c r="F112" s="75"/>
      <c r="G112" s="611"/>
      <c r="H112" s="85">
        <f>IF('Quick Input'!M$34=Auswahlfelder!$D$60,0,Parametrikber!F$187)</f>
        <v>0</v>
      </c>
      <c r="I112" s="619"/>
      <c r="J112" s="619"/>
      <c r="K112" s="85">
        <f>IF('Quick Input'!P$34=Auswahlfelder!$D$60,0,Parametrikber!I$187)</f>
        <v>0</v>
      </c>
      <c r="L112" s="78"/>
      <c r="M112" s="78"/>
      <c r="N112" s="85">
        <f>IF('Quick Input'!S$34=Auswahlfelder!$D$60,0,Parametrikber!L$187)</f>
        <v>0</v>
      </c>
      <c r="O112" s="1184"/>
    </row>
    <row r="113" spans="2:15" ht="15" thickBot="1" x14ac:dyDescent="0.25">
      <c r="C113" s="78"/>
      <c r="D113" s="116" t="str">
        <f>IF(Deutsch,"Prüfkosten pro Stück","testing cost per part")</f>
        <v>Prüfkosten pro Stück</v>
      </c>
      <c r="E113" s="73"/>
      <c r="F113" s="75"/>
      <c r="G113" s="851"/>
      <c r="H113" s="849">
        <f>H$95/3600*H$98+(H$101+H$105+H$108)*(1+H$111*H$110)+H$110*H$112</f>
        <v>6.3502320254629634</v>
      </c>
      <c r="I113" s="625" t="s">
        <v>285</v>
      </c>
      <c r="J113" s="625"/>
      <c r="K113" s="849">
        <f>K$95/3600*K$98+(K$101+K$105+K$108)*(1+K$111*K$110)+K$110*K$112</f>
        <v>3.2506872407407412</v>
      </c>
      <c r="L113" s="625" t="s">
        <v>285</v>
      </c>
      <c r="M113" s="625"/>
      <c r="N113" s="849">
        <f>N$95/3600*N$98+(N$101+N$105+N$108)*(1+N$111*N$110)+N$110*N$112</f>
        <v>4.4772743518518521</v>
      </c>
      <c r="O113" s="1188" t="s">
        <v>285</v>
      </c>
    </row>
    <row r="114" spans="2:15" ht="11.25" customHeight="1" thickBot="1" x14ac:dyDescent="0.25">
      <c r="C114" s="78"/>
      <c r="D114" s="1240" t="str">
        <f>IF(Deutsch,"Fertigungsnebenkosten","production cost")</f>
        <v>Fertigungsnebenkosten</v>
      </c>
      <c r="E114" s="1241"/>
      <c r="F114" s="1242"/>
      <c r="G114" s="611"/>
      <c r="H114" s="79"/>
      <c r="I114" s="619" t="s">
        <v>285</v>
      </c>
      <c r="J114" s="619"/>
      <c r="K114" s="79"/>
      <c r="L114" s="78" t="s">
        <v>285</v>
      </c>
      <c r="M114" s="78"/>
      <c r="N114" s="79"/>
      <c r="O114" s="1185" t="s">
        <v>285</v>
      </c>
    </row>
    <row r="115" spans="2:15" ht="14.25" customHeight="1" thickBot="1" x14ac:dyDescent="0.25">
      <c r="C115" s="78"/>
      <c r="D115" s="1243"/>
      <c r="E115" s="1244"/>
      <c r="F115" s="1245"/>
      <c r="G115" s="611"/>
      <c r="H115" s="924" t="e">
        <f>H$47+H$72+H93+H$113</f>
        <v>#N/A</v>
      </c>
      <c r="I115" s="619" t="s">
        <v>285</v>
      </c>
      <c r="J115" s="619"/>
      <c r="K115" s="924" t="e">
        <f>K$47+K$72+K93+K$113</f>
        <v>#N/A</v>
      </c>
      <c r="L115" s="619" t="s">
        <v>285</v>
      </c>
      <c r="M115" s="619"/>
      <c r="N115" s="924" t="e">
        <f>N$47+N$72+N93+N$113</f>
        <v>#N/A</v>
      </c>
      <c r="O115" s="1184" t="s">
        <v>285</v>
      </c>
    </row>
    <row r="116" spans="2:15" ht="15" thickBot="1" x14ac:dyDescent="0.25">
      <c r="C116" s="78"/>
      <c r="D116" s="72" t="str">
        <f>CONCATENATE(IF(Deutsch,'Quick Input'!C32,'Quick Input'!D32)," (per lot)")</f>
        <v>Materialprüfzertifikat (per lot)</v>
      </c>
      <c r="E116" s="73"/>
      <c r="F116" s="75"/>
      <c r="G116" s="611"/>
      <c r="H116" s="74">
        <f>Parametrikber!F$192</f>
        <v>0</v>
      </c>
      <c r="I116" s="619" t="s">
        <v>285</v>
      </c>
      <c r="J116" s="619"/>
      <c r="K116" s="74">
        <f>Parametrikber!I$192</f>
        <v>0</v>
      </c>
      <c r="L116" s="619" t="s">
        <v>285</v>
      </c>
      <c r="M116" s="619"/>
      <c r="N116" s="74">
        <f>Parametrikber!L$192</f>
        <v>0</v>
      </c>
      <c r="O116" s="1184" t="s">
        <v>285</v>
      </c>
    </row>
    <row r="117" spans="2:15" ht="14.25" customHeight="1" thickBot="1" x14ac:dyDescent="0.25">
      <c r="B117" s="55" t="s">
        <v>127</v>
      </c>
      <c r="C117" s="78"/>
      <c r="D117" s="236" t="str">
        <f>'Quick Input'!I80</f>
        <v>Fertigungsgemeinkosten</v>
      </c>
      <c r="E117" s="73"/>
      <c r="F117" s="75"/>
      <c r="G117" s="611"/>
      <c r="H117" s="119">
        <v>0.1</v>
      </c>
      <c r="I117" s="620"/>
      <c r="J117" s="620"/>
      <c r="K117" s="119">
        <v>0.1</v>
      </c>
      <c r="L117" s="355"/>
      <c r="M117" s="355"/>
      <c r="N117" s="119">
        <v>0.1</v>
      </c>
      <c r="O117" s="1184"/>
    </row>
    <row r="118" spans="2:15" ht="15" thickBot="1" x14ac:dyDescent="0.25">
      <c r="C118" s="78"/>
      <c r="D118" s="236" t="str">
        <f>IF(Deutsch,'Quick Input'!C80,'Quick Input'!D80)</f>
        <v>Fertigungsgemeinkosten</v>
      </c>
      <c r="E118" s="73"/>
      <c r="F118" s="75"/>
      <c r="G118" s="611"/>
      <c r="H118" s="74" t="e">
        <f>H$117*H$115</f>
        <v>#N/A</v>
      </c>
      <c r="I118" s="619" t="s">
        <v>285</v>
      </c>
      <c r="J118" s="619"/>
      <c r="K118" s="74" t="e">
        <f>K$117*K$115</f>
        <v>#N/A</v>
      </c>
      <c r="L118" s="78" t="s">
        <v>285</v>
      </c>
      <c r="M118" s="78"/>
      <c r="N118" s="74" t="e">
        <f>N$117*N$115</f>
        <v>#N/A</v>
      </c>
      <c r="O118" s="1184" t="s">
        <v>285</v>
      </c>
    </row>
    <row r="119" spans="2:15" ht="15" customHeight="1" thickBot="1" x14ac:dyDescent="0.25">
      <c r="C119" s="78"/>
      <c r="D119" s="116" t="str">
        <f>IF(Deutsch,"Fertigungskosten gesamt","manufacturing cost total")</f>
        <v>Fertigungskosten gesamt</v>
      </c>
      <c r="E119" s="73"/>
      <c r="F119" s="75"/>
      <c r="G119" s="611"/>
      <c r="H119" s="113" t="e">
        <f>H$115+H$116/H$61+H$118</f>
        <v>#N/A</v>
      </c>
      <c r="I119" s="619" t="s">
        <v>285</v>
      </c>
      <c r="J119" s="619"/>
      <c r="K119" s="113" t="e">
        <f>K$115+K$116/K$61+K$118</f>
        <v>#N/A</v>
      </c>
      <c r="L119" s="619" t="s">
        <v>285</v>
      </c>
      <c r="M119" s="619"/>
      <c r="N119" s="113" t="e">
        <f>N$115+N$116/N$61+N$118</f>
        <v>#N/A</v>
      </c>
      <c r="O119" s="1184" t="s">
        <v>285</v>
      </c>
    </row>
    <row r="120" spans="2:15" ht="4.5" customHeight="1" thickBot="1" x14ac:dyDescent="0.25">
      <c r="C120" s="87"/>
      <c r="D120" s="88"/>
      <c r="E120" s="87"/>
      <c r="F120" s="89"/>
      <c r="G120" s="611"/>
      <c r="H120" s="91"/>
      <c r="I120" s="619" t="s">
        <v>285</v>
      </c>
      <c r="J120" s="619"/>
      <c r="K120" s="91"/>
      <c r="L120" s="78" t="s">
        <v>285</v>
      </c>
      <c r="M120" s="78"/>
      <c r="N120" s="91"/>
      <c r="O120" s="1188" t="s">
        <v>285</v>
      </c>
    </row>
    <row r="121" spans="2:15" ht="7.5" customHeight="1" thickBot="1" x14ac:dyDescent="0.25">
      <c r="D121" s="1240" t="str">
        <f>IF(Deutsch,"Gemeinkosten &amp; Gewinn","common cost &amp; profit")</f>
        <v>Gemeinkosten &amp; Gewinn</v>
      </c>
      <c r="E121" s="1241"/>
      <c r="F121" s="1242"/>
      <c r="G121" s="611"/>
      <c r="H121" s="79"/>
      <c r="I121" s="619" t="s">
        <v>285</v>
      </c>
      <c r="J121" s="619"/>
      <c r="K121" s="79"/>
      <c r="L121" s="78" t="s">
        <v>285</v>
      </c>
      <c r="M121" s="78"/>
      <c r="N121" s="79"/>
      <c r="O121" s="1185" t="s">
        <v>285</v>
      </c>
    </row>
    <row r="122" spans="2:15" ht="15" thickBot="1" x14ac:dyDescent="0.25">
      <c r="D122" s="1243"/>
      <c r="E122" s="1244"/>
      <c r="F122" s="1245"/>
      <c r="G122" s="611"/>
      <c r="H122" s="74" t="e">
        <f>H$26+H$119</f>
        <v>#N/A</v>
      </c>
      <c r="I122" s="619" t="s">
        <v>285</v>
      </c>
      <c r="J122" s="619"/>
      <c r="K122" s="85" t="e">
        <f>K$26+K$119</f>
        <v>#N/A</v>
      </c>
      <c r="L122" s="619" t="s">
        <v>285</v>
      </c>
      <c r="M122" s="619"/>
      <c r="N122" s="85" t="e">
        <f>N$26+N$119</f>
        <v>#N/A</v>
      </c>
      <c r="O122" s="1184" t="s">
        <v>285</v>
      </c>
    </row>
    <row r="123" spans="2:15" ht="15" thickBot="1" x14ac:dyDescent="0.25">
      <c r="B123" s="55" t="s">
        <v>127</v>
      </c>
      <c r="D123" s="72" t="str">
        <f>IF(Deutsch,"Vertriebs- und Verw.-gemeinkostensatz","administration cost rate")</f>
        <v>Vertriebs- und Verw.-gemeinkostensatz</v>
      </c>
      <c r="E123" s="67"/>
      <c r="F123" s="75"/>
      <c r="G123" s="611"/>
      <c r="H123" s="119">
        <v>0.12</v>
      </c>
      <c r="I123" s="620"/>
      <c r="J123" s="620"/>
      <c r="K123" s="119">
        <v>0.12</v>
      </c>
      <c r="L123" s="355"/>
      <c r="M123" s="355"/>
      <c r="N123" s="119">
        <v>0.12</v>
      </c>
      <c r="O123" s="1184"/>
    </row>
    <row r="124" spans="2:15" ht="15" thickBot="1" x14ac:dyDescent="0.25">
      <c r="D124" s="72" t="str">
        <f>IF(Deutsch,"Vertriebs- und Verw.-gemeinkosten","administration costs")</f>
        <v>Vertriebs- und Verw.-gemeinkosten</v>
      </c>
      <c r="E124" s="67"/>
      <c r="F124" s="75"/>
      <c r="G124" s="611"/>
      <c r="H124" s="74" t="e">
        <f>H$122*H123</f>
        <v>#N/A</v>
      </c>
      <c r="I124" s="619" t="s">
        <v>285</v>
      </c>
      <c r="J124" s="619"/>
      <c r="K124" s="74" t="e">
        <f>K$122*K123</f>
        <v>#N/A</v>
      </c>
      <c r="L124" s="619" t="s">
        <v>285</v>
      </c>
      <c r="M124" s="619"/>
      <c r="N124" s="74" t="e">
        <f t="shared" ref="N124" si="9">N$122*N123</f>
        <v>#N/A</v>
      </c>
      <c r="O124" s="1184" t="s">
        <v>285</v>
      </c>
    </row>
    <row r="125" spans="2:15" ht="15" thickBot="1" x14ac:dyDescent="0.25">
      <c r="D125" s="72" t="str">
        <f>CONCATENATE(IF(Deutsch,"F&amp;E- Kosten (","design and development cost ("),'Länder-DB'!I35*100,"%)")</f>
        <v>F&amp;E- Kosten (8%)</v>
      </c>
      <c r="E125" s="67"/>
      <c r="F125" s="75"/>
      <c r="G125" s="611"/>
      <c r="H125" s="74" t="e">
        <f>H$119*'Länder-DB'!$I$35</f>
        <v>#N/A</v>
      </c>
      <c r="I125" s="619" t="s">
        <v>285</v>
      </c>
      <c r="J125" s="619"/>
      <c r="K125" s="74" t="e">
        <f>K$119*'Länder-DB'!$I$35</f>
        <v>#N/A</v>
      </c>
      <c r="L125" s="78" t="s">
        <v>285</v>
      </c>
      <c r="M125" s="78"/>
      <c r="N125" s="74" t="e">
        <f>N$119*'Länder-DB'!$I$35</f>
        <v>#N/A</v>
      </c>
      <c r="O125" s="1184" t="s">
        <v>285</v>
      </c>
    </row>
    <row r="126" spans="2:15" ht="15" thickBot="1" x14ac:dyDescent="0.25">
      <c r="D126" s="82" t="str">
        <f>IF(Deutsch,"Gesamtgemeinkosten","administration cost total")</f>
        <v>Gesamtgemeinkosten</v>
      </c>
      <c r="E126" s="67"/>
      <c r="F126" s="75"/>
      <c r="G126" s="611"/>
      <c r="H126" s="1027" t="e">
        <f>H$124+H$125</f>
        <v>#N/A</v>
      </c>
      <c r="I126" s="619" t="s">
        <v>285</v>
      </c>
      <c r="J126" s="619"/>
      <c r="K126" s="1027" t="e">
        <f>K$124+K$125</f>
        <v>#N/A</v>
      </c>
      <c r="L126" s="619" t="s">
        <v>285</v>
      </c>
      <c r="M126" s="619"/>
      <c r="N126" s="1027" t="e">
        <f t="shared" ref="N126" si="10">N$124+N$125</f>
        <v>#N/A</v>
      </c>
      <c r="O126" s="1184" t="s">
        <v>285</v>
      </c>
    </row>
    <row r="127" spans="2:15" ht="15" thickBot="1" x14ac:dyDescent="0.25">
      <c r="B127" s="55" t="s">
        <v>127</v>
      </c>
      <c r="D127" s="72" t="str">
        <f>'Quick Input'!I82</f>
        <v>Gewinn auf Material</v>
      </c>
      <c r="E127" s="67"/>
      <c r="F127" s="75"/>
      <c r="G127" s="611"/>
      <c r="H127" s="119">
        <v>0</v>
      </c>
      <c r="I127" s="620"/>
      <c r="J127" s="620"/>
      <c r="K127" s="119">
        <v>0</v>
      </c>
      <c r="L127" s="620"/>
      <c r="M127" s="620"/>
      <c r="N127" s="119">
        <v>0</v>
      </c>
      <c r="O127" s="1184"/>
    </row>
    <row r="128" spans="2:15" ht="15" thickBot="1" x14ac:dyDescent="0.25">
      <c r="B128" s="55" t="s">
        <v>127</v>
      </c>
      <c r="D128" s="72" t="str">
        <f>'Quick Input'!I83</f>
        <v>Gewinn auf Wertschöpfung</v>
      </c>
      <c r="E128" s="67"/>
      <c r="F128" s="75"/>
      <c r="G128" s="611"/>
      <c r="H128" s="119">
        <v>0</v>
      </c>
      <c r="I128" s="620"/>
      <c r="J128" s="620"/>
      <c r="K128" s="119">
        <v>0</v>
      </c>
      <c r="L128" s="620"/>
      <c r="M128" s="620"/>
      <c r="N128" s="119">
        <v>0</v>
      </c>
      <c r="O128" s="1184"/>
    </row>
    <row r="129" spans="2:15" ht="15" thickBot="1" x14ac:dyDescent="0.25">
      <c r="D129" s="82" t="str">
        <f>IF(Deutsch,"Gesamtgewinn","profit total")</f>
        <v>Gesamtgewinn</v>
      </c>
      <c r="E129" s="67"/>
      <c r="F129" s="75"/>
      <c r="G129" s="611"/>
      <c r="H129" s="1026" t="e">
        <f>H$127*H$26+H$128*H$115</f>
        <v>#N/A</v>
      </c>
      <c r="I129" s="619" t="s">
        <v>285</v>
      </c>
      <c r="J129" s="619"/>
      <c r="K129" s="1026" t="e">
        <f>K$127*K$26+K$128*K$115</f>
        <v>#N/A</v>
      </c>
      <c r="L129" s="619" t="s">
        <v>285</v>
      </c>
      <c r="M129" s="619"/>
      <c r="N129" s="1026" t="e">
        <f>N$127*N$26+N$128*N$115</f>
        <v>#N/A</v>
      </c>
      <c r="O129" s="1184" t="s">
        <v>285</v>
      </c>
    </row>
    <row r="130" spans="2:15" ht="6" customHeight="1" thickBot="1" x14ac:dyDescent="0.25">
      <c r="D130" s="72"/>
      <c r="E130" s="67"/>
      <c r="F130" s="75"/>
      <c r="G130" s="611"/>
      <c r="H130" s="86"/>
      <c r="I130" s="619" t="s">
        <v>285</v>
      </c>
      <c r="J130" s="619"/>
      <c r="K130" s="86"/>
      <c r="L130" s="78" t="s">
        <v>285</v>
      </c>
      <c r="M130" s="78"/>
      <c r="N130" s="86"/>
      <c r="O130" s="1184" t="s">
        <v>285</v>
      </c>
    </row>
    <row r="131" spans="2:15" ht="15" thickBot="1" x14ac:dyDescent="0.25">
      <c r="D131" s="772" t="str">
        <f>IF(Deutsch,"Bauteilpreis gesamt","part cost total")</f>
        <v>Bauteilpreis gesamt</v>
      </c>
      <c r="E131" s="67"/>
      <c r="F131" s="75"/>
      <c r="G131" s="611"/>
      <c r="H131" s="1028" t="e">
        <f>H$122+H$126+H$129</f>
        <v>#N/A</v>
      </c>
      <c r="I131" s="619" t="s">
        <v>285</v>
      </c>
      <c r="J131" s="619"/>
      <c r="K131" s="1028" t="e">
        <f>K$122+K$126+K$129</f>
        <v>#N/A</v>
      </c>
      <c r="L131" s="619" t="s">
        <v>285</v>
      </c>
      <c r="M131" s="619"/>
      <c r="N131" s="1028" t="e">
        <f>N$122+N$126+N$129</f>
        <v>#N/A</v>
      </c>
      <c r="O131" s="1184" t="s">
        <v>285</v>
      </c>
    </row>
    <row r="132" spans="2:15" ht="6" customHeight="1" thickBot="1" x14ac:dyDescent="0.25">
      <c r="D132" s="82"/>
      <c r="E132" s="67"/>
      <c r="F132" s="75"/>
      <c r="G132" s="611"/>
      <c r="H132" s="92"/>
      <c r="I132" s="619" t="s">
        <v>285</v>
      </c>
      <c r="J132" s="619"/>
      <c r="K132" s="92"/>
      <c r="L132" s="78" t="s">
        <v>285</v>
      </c>
      <c r="M132" s="78"/>
      <c r="N132" s="92"/>
      <c r="O132" s="1188" t="s">
        <v>285</v>
      </c>
    </row>
    <row r="133" spans="2:15" ht="14.25" customHeight="1" thickBot="1" x14ac:dyDescent="0.25">
      <c r="D133" s="1240" t="str">
        <f>IF(Deutsch,"Potenziabschätzung","estimation potential")</f>
        <v>Potenziabschätzung</v>
      </c>
      <c r="E133" s="1241"/>
      <c r="F133" s="1242"/>
      <c r="G133" s="611"/>
      <c r="H133" s="280" t="e">
        <f>IF(H50=Parametrikber!F126,IF(H51=#REF!,TRUE,FALSE),FALSE)</f>
        <v>#N/A</v>
      </c>
      <c r="I133" s="619" t="s">
        <v>285</v>
      </c>
      <c r="J133" s="619"/>
      <c r="K133" s="280" t="e">
        <f>IF(K50=Parametrikber!I126,IF(K51=#REF!,TRUE,FALSE),FALSE)</f>
        <v>#N/A</v>
      </c>
      <c r="L133" s="78" t="s">
        <v>285</v>
      </c>
      <c r="M133" s="357"/>
      <c r="N133" s="280" t="e">
        <f>IF(N50=Parametrikber!L126,IF(N51=#REF!,TRUE,FALSE),FALSE)</f>
        <v>#N/A</v>
      </c>
      <c r="O133" s="1185" t="s">
        <v>285</v>
      </c>
    </row>
    <row r="134" spans="2:15" ht="15" thickBot="1" x14ac:dyDescent="0.25">
      <c r="D134" s="1243"/>
      <c r="E134" s="1244"/>
      <c r="F134" s="1245"/>
      <c r="G134" s="611"/>
      <c r="H134" s="143"/>
      <c r="I134" s="619" t="s">
        <v>285</v>
      </c>
      <c r="J134" s="623"/>
      <c r="K134" s="143"/>
      <c r="L134" s="78" t="s">
        <v>285</v>
      </c>
      <c r="M134" s="144"/>
      <c r="N134" s="143"/>
      <c r="O134" s="1184" t="s">
        <v>285</v>
      </c>
    </row>
    <row r="135" spans="2:15" ht="15" thickBot="1" x14ac:dyDescent="0.25">
      <c r="B135" s="55" t="s">
        <v>127</v>
      </c>
      <c r="D135" s="72" t="str">
        <f>'Quick Input'!I52</f>
        <v>Zielpreis Bauteil</v>
      </c>
      <c r="E135" s="73"/>
      <c r="F135" s="75"/>
      <c r="G135" s="611"/>
      <c r="H135" s="85">
        <f>AVERAGE('Quick Input'!M$53:M$57)</f>
        <v>55</v>
      </c>
      <c r="I135" s="619" t="s">
        <v>285</v>
      </c>
      <c r="J135" s="623"/>
      <c r="K135" s="85">
        <f>AVERAGE('Quick Input'!P53:P57)</f>
        <v>55</v>
      </c>
      <c r="L135" s="78" t="s">
        <v>285</v>
      </c>
      <c r="M135" s="358"/>
      <c r="N135" s="85">
        <f>AVERAGE('Quick Input'!S53:S57)</f>
        <v>55</v>
      </c>
      <c r="O135" s="1184" t="s">
        <v>285</v>
      </c>
    </row>
    <row r="136" spans="2:15" ht="15" thickBot="1" x14ac:dyDescent="0.25">
      <c r="D136" s="72" t="str">
        <f>IF(Deutsch,"Potenzial pro Bauteil","earning per part")</f>
        <v>Potenzial pro Bauteil</v>
      </c>
      <c r="E136" s="73"/>
      <c r="F136" s="75"/>
      <c r="G136" s="611"/>
      <c r="H136" s="85" t="e">
        <f>H$135-H$131</f>
        <v>#N/A</v>
      </c>
      <c r="I136" s="619" t="s">
        <v>285</v>
      </c>
      <c r="J136" s="619"/>
      <c r="K136" s="85" t="e">
        <f>K135-K131</f>
        <v>#N/A</v>
      </c>
      <c r="L136" s="78" t="s">
        <v>285</v>
      </c>
      <c r="M136" s="78"/>
      <c r="N136" s="85" t="e">
        <f>N135-N131</f>
        <v>#N/A</v>
      </c>
      <c r="O136" s="1184" t="s">
        <v>285</v>
      </c>
    </row>
    <row r="137" spans="2:15" ht="15" thickBot="1" x14ac:dyDescent="0.25">
      <c r="D137" s="72" t="str">
        <f>IF(Deutsch,"Potenzial über Lebenszyklus","earnig per live time")</f>
        <v>Potenzial über Lebenszyklus</v>
      </c>
      <c r="E137" s="73"/>
      <c r="F137" s="75"/>
      <c r="G137" s="611"/>
      <c r="H137" s="93" t="e">
        <f>IF(H$136&gt;0,H$136*'Quick Input'!M$45,0)</f>
        <v>#N/A</v>
      </c>
      <c r="I137" s="619" t="s">
        <v>285</v>
      </c>
      <c r="J137" s="619"/>
      <c r="K137" s="93" t="e">
        <f>IF(K136&gt;0,K136*'Quick Input'!P45,0)</f>
        <v>#N/A</v>
      </c>
      <c r="L137" s="78" t="s">
        <v>285</v>
      </c>
      <c r="M137" s="78"/>
      <c r="N137" s="93" t="e">
        <f>IF(N136&gt;0,N136*'Quick Input'!S45,0)</f>
        <v>#N/A</v>
      </c>
      <c r="O137" s="1184" t="s">
        <v>285</v>
      </c>
    </row>
    <row r="138" spans="2:15" ht="15" thickBot="1" x14ac:dyDescent="0.25">
      <c r="D138" s="72" t="str">
        <f>IF(Deutsch,"Anzahl notwendiger Gieß-WKZ","tool sets")</f>
        <v>Anzahl notwendiger Gieß-WKZ</v>
      </c>
      <c r="E138" s="73"/>
      <c r="F138" s="75"/>
      <c r="G138" s="611"/>
      <c r="H138" s="140" t="str">
        <f>CONCATENATE(Parametrikber!F$260," x ",Parametrikber!F$259)</f>
        <v>2 x Alu</v>
      </c>
      <c r="I138" s="619" t="s">
        <v>285</v>
      </c>
      <c r="J138" s="619"/>
      <c r="K138" s="140" t="str">
        <f>CONCATENATE(Parametrikber!I$260," x ",Parametrikber!I$259)</f>
        <v>2 x Alu</v>
      </c>
      <c r="L138" s="78" t="s">
        <v>285</v>
      </c>
      <c r="M138" s="78"/>
      <c r="N138" s="140" t="str">
        <f>CONCATENATE(Parametrikber!L$260," x ",Parametrikber!L$259)</f>
        <v>2 x Alu</v>
      </c>
      <c r="O138" s="1184" t="s">
        <v>285</v>
      </c>
    </row>
    <row r="139" spans="2:15" ht="15" thickBot="1" x14ac:dyDescent="0.25">
      <c r="D139" s="72" t="str">
        <f>IF(Deutsch,"Werkzeuginvest geschätzt","tool invest - calculated")</f>
        <v>Werkzeuginvest geschätzt</v>
      </c>
      <c r="E139" s="73"/>
      <c r="F139" s="75"/>
      <c r="G139" s="611"/>
      <c r="H139" s="93">
        <f>Parametrikber!F$264</f>
        <v>10600</v>
      </c>
      <c r="I139" s="619" t="s">
        <v>285</v>
      </c>
      <c r="J139" s="619"/>
      <c r="K139" s="93">
        <f>Parametrikber!I$264</f>
        <v>8800</v>
      </c>
      <c r="L139" s="619" t="s">
        <v>285</v>
      </c>
      <c r="M139" s="619"/>
      <c r="N139" s="93">
        <f>Parametrikber!L$264</f>
        <v>10100</v>
      </c>
      <c r="O139" s="1184" t="s">
        <v>285</v>
      </c>
    </row>
    <row r="140" spans="2:15" ht="15" thickBot="1" x14ac:dyDescent="0.25">
      <c r="D140" s="72" t="str">
        <f>IF(Deutsch,"Kernkasteninvest geschätzt","tool invest - calculated")</f>
        <v>Kernkasteninvest geschätzt</v>
      </c>
      <c r="E140" s="73"/>
      <c r="F140" s="75"/>
      <c r="G140" s="611"/>
      <c r="H140" s="93" t="e">
        <f>Parametrikber!F$269</f>
        <v>#N/A</v>
      </c>
      <c r="I140" s="619" t="s">
        <v>285</v>
      </c>
      <c r="J140" s="619"/>
      <c r="K140" s="93" t="e">
        <f>Parametrikber!I$269</f>
        <v>#N/A</v>
      </c>
      <c r="L140" s="619" t="s">
        <v>285</v>
      </c>
      <c r="M140" s="619"/>
      <c r="N140" s="93" t="e">
        <f>Parametrikber!L$269</f>
        <v>#N/A</v>
      </c>
      <c r="O140" s="1184" t="s">
        <v>285</v>
      </c>
    </row>
    <row r="141" spans="2:15" ht="15" thickBot="1" x14ac:dyDescent="0.25">
      <c r="D141" s="771" t="str">
        <f>IF(Deutsch,"Modellkosten Angebot","tool invest - supplier")</f>
        <v>Modellkosten Angebot</v>
      </c>
      <c r="E141" s="94"/>
      <c r="F141" s="89"/>
      <c r="G141" s="615"/>
      <c r="H141" s="359" t="e">
        <f>'Quick Input'!M58+'Quick Input'!M59</f>
        <v>#N/A</v>
      </c>
      <c r="I141" s="624" t="s">
        <v>285</v>
      </c>
      <c r="J141" s="625"/>
      <c r="K141" s="359" t="e">
        <f>'Quick Input'!P58+'Quick Input'!P59</f>
        <v>#N/A</v>
      </c>
      <c r="L141" s="624" t="s">
        <v>285</v>
      </c>
      <c r="M141" s="625"/>
      <c r="N141" s="359" t="e">
        <f>'Quick Input'!S58+'Quick Input'!S59</f>
        <v>#N/A</v>
      </c>
      <c r="O141" s="1188" t="s">
        <v>285</v>
      </c>
    </row>
    <row r="142" spans="2:15" ht="9" customHeight="1" thickBot="1" x14ac:dyDescent="0.25">
      <c r="G142" s="271"/>
    </row>
    <row r="143" spans="2:15" ht="11.25" customHeight="1" x14ac:dyDescent="0.2">
      <c r="D143" s="1228" t="str">
        <f>IF(Deutsch,"Empfehlungen / Info"," suggestion, infos")</f>
        <v>Empfehlungen / Info</v>
      </c>
      <c r="E143" s="1229"/>
      <c r="F143" s="1230"/>
      <c r="G143" s="190"/>
    </row>
    <row r="144" spans="2:15" ht="9.75" customHeight="1" thickBot="1" x14ac:dyDescent="0.25">
      <c r="D144" s="1231"/>
      <c r="E144" s="1232"/>
      <c r="F144" s="1233"/>
      <c r="G144" s="190"/>
      <c r="O144" s="87"/>
    </row>
    <row r="145" spans="2:15" ht="26.25" customHeight="1" thickBot="1" x14ac:dyDescent="0.25">
      <c r="B145" s="55" t="s">
        <v>127</v>
      </c>
      <c r="D145" s="588" t="str">
        <f>IF(Deutsch,"Parameter","parameter")</f>
        <v>Parameter</v>
      </c>
      <c r="E145" s="585"/>
      <c r="F145" s="586"/>
      <c r="G145" s="616"/>
      <c r="H145" s="675" t="str">
        <f>VLOOKUP(1,Parametrikber!E$276:$X$292,IF(Deutsch,19,20),FALSE)</f>
        <v>Empfehlung Giesstechnik</v>
      </c>
      <c r="I145" s="266" t="s">
        <v>285</v>
      </c>
      <c r="J145" s="587"/>
      <c r="K145" s="675" t="str">
        <f>VLOOKUP(1,Parametrikber!H$276:$X$292,IF(Deutsch,16,17),FALSE)</f>
        <v>Empfehlung Giesstechnik</v>
      </c>
      <c r="L145" s="266" t="s">
        <v>285</v>
      </c>
      <c r="M145" s="587"/>
      <c r="N145" s="675" t="str">
        <f>VLOOKUP(1,Parametrikber!K$276:$X$292,IF(Deutsch,13,14),FALSE)</f>
        <v>Empfehlung Giesstechnik</v>
      </c>
      <c r="O145" s="1185" t="s">
        <v>285</v>
      </c>
    </row>
    <row r="146" spans="2:15" ht="15" thickBot="1" x14ac:dyDescent="0.25">
      <c r="D146" s="142"/>
      <c r="E146" s="94"/>
      <c r="F146" s="89"/>
      <c r="G146" s="617"/>
      <c r="H146" s="692" t="e">
        <f>VLOOKUP(2,Parametrikber!E$276:$X$293,2,FALSE)</f>
        <v>#N/A</v>
      </c>
      <c r="I146" s="87" t="s">
        <v>285</v>
      </c>
      <c r="J146" s="87"/>
      <c r="K146" s="676" t="e">
        <f>VLOOKUP(2,Parametrikber!H$276:$X$293,2,FALSE)</f>
        <v>#N/A</v>
      </c>
      <c r="L146" s="87" t="s">
        <v>285</v>
      </c>
      <c r="M146" s="87"/>
      <c r="N146" s="676" t="e">
        <f>VLOOKUP(2,Parametrikber!K$276:$X$293,2,FALSE)</f>
        <v>#N/A</v>
      </c>
      <c r="O146" s="1188" t="s">
        <v>285</v>
      </c>
    </row>
    <row r="147" spans="2:15" ht="25.5" customHeight="1" thickBot="1" x14ac:dyDescent="0.25">
      <c r="D147" s="588" t="str">
        <f>IF(Deutsch,"Parameter","parameter")</f>
        <v>Parameter</v>
      </c>
      <c r="E147" s="585"/>
      <c r="F147" s="586"/>
      <c r="G147" s="616"/>
      <c r="H147" s="675" t="str">
        <f>VLOOKUP(3,Parametrikber!E$276:$X$292,IF(Deutsch,19,20),FALSE)</f>
        <v>Anzahl Modelle &gt;1</v>
      </c>
      <c r="I147" s="266" t="s">
        <v>285</v>
      </c>
      <c r="J147" s="587"/>
      <c r="K147" s="675" t="str">
        <f>VLOOKUP(3,Parametrikber!H$276:$X$292,IF(Deutsch,16,17),FALSE)</f>
        <v>Anzahl Modelle &gt;1</v>
      </c>
      <c r="L147" s="266" t="s">
        <v>285</v>
      </c>
      <c r="M147" s="587"/>
      <c r="N147" s="675" t="str">
        <f>VLOOKUP(3,Parametrikber!K$276:$X$292,IF(Deutsch,13,14),FALSE)</f>
        <v>Anzahl Modelle &gt;1</v>
      </c>
      <c r="O147" s="1185" t="s">
        <v>285</v>
      </c>
    </row>
    <row r="148" spans="2:15" ht="15" thickBot="1" x14ac:dyDescent="0.25">
      <c r="D148" s="142"/>
      <c r="E148" s="94"/>
      <c r="F148" s="89"/>
      <c r="G148" s="617"/>
      <c r="H148" s="691" t="str">
        <f>VLOOKUP(4,Parametrikber!E$276:$X$293,2,FALSE)</f>
        <v>2 WKZ aus Alu</v>
      </c>
      <c r="I148" s="87" t="s">
        <v>285</v>
      </c>
      <c r="J148" s="87"/>
      <c r="K148" s="691" t="str">
        <f>VLOOKUP(4,Parametrikber!H$276:$X$293,2,FALSE)</f>
        <v>2 WKZ aus Alu</v>
      </c>
      <c r="L148" s="87" t="s">
        <v>285</v>
      </c>
      <c r="M148" s="87"/>
      <c r="N148" s="691" t="str">
        <f>VLOOKUP(4,Parametrikber!K$276:$X$293,2,FALSE)</f>
        <v>2 WKZ aus Alu</v>
      </c>
      <c r="O148" s="1188" t="s">
        <v>285</v>
      </c>
    </row>
    <row r="149" spans="2:15" ht="26.25" customHeight="1" thickBot="1" x14ac:dyDescent="0.25">
      <c r="D149" s="588" t="str">
        <f>IF(Deutsch,"Parameter","parameter")</f>
        <v>Parameter</v>
      </c>
      <c r="E149" s="585"/>
      <c r="F149" s="586"/>
      <c r="G149" s="616"/>
      <c r="H149" s="675" t="str">
        <f>VLOOKUP(5,Parametrikber!E$276:$X$292,IF(Deutsch,19,20),FALSE)</f>
        <v xml:space="preserve"> </v>
      </c>
      <c r="I149" s="266" t="s">
        <v>285</v>
      </c>
      <c r="J149" s="587"/>
      <c r="K149" s="675" t="str">
        <f>VLOOKUP(5,Parametrikber!H$276:$X$292,IF(Deutsch,16,17),FALSE)</f>
        <v xml:space="preserve"> </v>
      </c>
      <c r="L149" s="266" t="s">
        <v>285</v>
      </c>
      <c r="M149" s="587"/>
      <c r="N149" s="675" t="str">
        <f>VLOOKUP(5,Parametrikber!K$276:$X$292,IF(Deutsch,13,14),FALSE)</f>
        <v xml:space="preserve"> </v>
      </c>
      <c r="O149" s="1185" t="s">
        <v>285</v>
      </c>
    </row>
    <row r="150" spans="2:15" ht="15" thickBot="1" x14ac:dyDescent="0.25">
      <c r="D150" s="142"/>
      <c r="E150" s="94"/>
      <c r="F150" s="89"/>
      <c r="G150" s="617"/>
      <c r="H150" s="676" t="str">
        <f>VLOOKUP(6,Parametrikber!E$276:$X$293,2,FALSE)</f>
        <v xml:space="preserve"> </v>
      </c>
      <c r="I150" s="87" t="s">
        <v>285</v>
      </c>
      <c r="J150" s="87"/>
      <c r="K150" s="676" t="str">
        <f>VLOOKUP(6,Parametrikber!H$276:$X$293,2,FALSE)</f>
        <v xml:space="preserve"> </v>
      </c>
      <c r="L150" s="87" t="s">
        <v>285</v>
      </c>
      <c r="M150" s="87"/>
      <c r="N150" s="676" t="str">
        <f>VLOOKUP(6,Parametrikber!K$276:$X$293,2,FALSE)</f>
        <v xml:space="preserve"> </v>
      </c>
      <c r="O150" s="1188" t="s">
        <v>285</v>
      </c>
    </row>
    <row r="151" spans="2:15" x14ac:dyDescent="0.2">
      <c r="G151" s="67"/>
    </row>
    <row r="152" spans="2:15" x14ac:dyDescent="0.2">
      <c r="G152" s="67"/>
    </row>
    <row r="153" spans="2:15" x14ac:dyDescent="0.2">
      <c r="G153" s="67"/>
    </row>
    <row r="154" spans="2:15" x14ac:dyDescent="0.2">
      <c r="G154" s="67"/>
    </row>
    <row r="155" spans="2:15" x14ac:dyDescent="0.2">
      <c r="G155" s="67"/>
    </row>
    <row r="156" spans="2:15" x14ac:dyDescent="0.2">
      <c r="G156" s="67"/>
    </row>
    <row r="157" spans="2:15" x14ac:dyDescent="0.2">
      <c r="G157" s="67"/>
    </row>
    <row r="158" spans="2:15" x14ac:dyDescent="0.2">
      <c r="G158" s="67"/>
    </row>
    <row r="159" spans="2:15" x14ac:dyDescent="0.2">
      <c r="G159" s="67"/>
    </row>
    <row r="160" spans="2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  <row r="254" spans="7:7" x14ac:dyDescent="0.2">
      <c r="G25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31" priority="497" stopIfTrue="1">
      <formula>VALUE(H16="Materialdatenbank")</formula>
    </cfRule>
  </conditionalFormatting>
  <conditionalFormatting sqref="H130 K130 N130 K54 N54 H54">
    <cfRule type="expression" dxfId="130" priority="498" stopIfTrue="1">
      <formula>VALUE(H56="Materialdatenbank")</formula>
    </cfRule>
  </conditionalFormatting>
  <conditionalFormatting sqref="N60 K60">
    <cfRule type="expression" dxfId="129" priority="500" stopIfTrue="1">
      <formula>VALUE(K128="Materialdatenbank")</formula>
    </cfRule>
  </conditionalFormatting>
  <conditionalFormatting sqref="H34">
    <cfRule type="expression" dxfId="128" priority="502" stopIfTrue="1">
      <formula>VALUE(H33="Materialdatenbank")</formula>
    </cfRule>
  </conditionalFormatting>
  <conditionalFormatting sqref="H56 K56 N56">
    <cfRule type="expression" dxfId="127" priority="503" stopIfTrue="1">
      <formula>VALUE(#REF!="Materialdatenbank")</formula>
    </cfRule>
  </conditionalFormatting>
  <conditionalFormatting sqref="H60">
    <cfRule type="expression" dxfId="126" priority="504" stopIfTrue="1">
      <formula>VALUE(H128="Materialdatenbank")</formula>
    </cfRule>
  </conditionalFormatting>
  <conditionalFormatting sqref="K76 N76 H76">
    <cfRule type="expression" dxfId="125" priority="505" stopIfTrue="1">
      <formula>VALUE(H66="Materialdatenbank")</formula>
    </cfRule>
  </conditionalFormatting>
  <conditionalFormatting sqref="H131 H98 H33 N98 K131 N131 H91 H116 K91 K116 N90:N91 N116 K98 H101:H102 K101:K102 N101:N102">
    <cfRule type="expression" dxfId="124" priority="506" stopIfTrue="1">
      <formula>VALUE(#REF!="Materialdatenbank")</formula>
    </cfRule>
  </conditionalFormatting>
  <conditionalFormatting sqref="H134:H137 K134:K137 N134:N137 H139 H57 H25 H68 K14 N14 K68 N68 H9:H12 K9:K12 N9:N12 K25 N25 K57 N57 K141 H141 K139 N139 N141 H14">
    <cfRule type="expression" dxfId="123" priority="507" stopIfTrue="1">
      <formula>VALUE(#REF!="Materialdatenbank")</formula>
    </cfRule>
  </conditionalFormatting>
  <conditionalFormatting sqref="H122 K122 N122">
    <cfRule type="expression" dxfId="122" priority="509" stopIfTrue="1">
      <formula>VALUE(#REF!="Materialdatenbank")</formula>
    </cfRule>
  </conditionalFormatting>
  <conditionalFormatting sqref="H42">
    <cfRule type="expression" dxfId="121" priority="510" stopIfTrue="1">
      <formula>VALUE(#REF!="Materialdatenbank")</formula>
    </cfRule>
  </conditionalFormatting>
  <conditionalFormatting sqref="H37">
    <cfRule type="expression" dxfId="120" priority="511" stopIfTrue="1">
      <formula>VALUE(#REF!="Materialdatenbank")</formula>
    </cfRule>
  </conditionalFormatting>
  <conditionalFormatting sqref="K2:K4 N2:N4 W4 H2:H4">
    <cfRule type="cellIs" dxfId="119" priority="512" operator="equal">
      <formula>FALSE</formula>
    </cfRule>
  </conditionalFormatting>
  <conditionalFormatting sqref="H17">
    <cfRule type="expression" dxfId="118" priority="513" stopIfTrue="1">
      <formula>VALUE(H24="Materialdatenbank")</formula>
    </cfRule>
  </conditionalFormatting>
  <conditionalFormatting sqref="H20">
    <cfRule type="expression" dxfId="117" priority="493" stopIfTrue="1">
      <formula>VALUE(H26="Materialdatenbank")</formula>
    </cfRule>
  </conditionalFormatting>
  <conditionalFormatting sqref="H21">
    <cfRule type="expression" dxfId="116" priority="492" stopIfTrue="1">
      <formula>VALUE(H25="Materialdatenbank")</formula>
    </cfRule>
  </conditionalFormatting>
  <conditionalFormatting sqref="K17">
    <cfRule type="expression" dxfId="115" priority="465" stopIfTrue="1">
      <formula>VALUE(K24="Materialdatenbank")</formula>
    </cfRule>
  </conditionalFormatting>
  <conditionalFormatting sqref="H112 H110 K112 K110 N112 N110">
    <cfRule type="expression" dxfId="114" priority="476" stopIfTrue="1">
      <formula>VALUE(#REF!="Materialdatenbank")</formula>
    </cfRule>
  </conditionalFormatting>
  <conditionalFormatting sqref="H36">
    <cfRule type="expression" dxfId="113" priority="514" stopIfTrue="1">
      <formula>VALUE(#REF!="Materialdatenbank")</formula>
    </cfRule>
  </conditionalFormatting>
  <conditionalFormatting sqref="H40">
    <cfRule type="expression" dxfId="112" priority="520" stopIfTrue="1">
      <formula>VALUE(H34="Materialdatenbank")</formula>
    </cfRule>
  </conditionalFormatting>
  <conditionalFormatting sqref="N17">
    <cfRule type="expression" dxfId="111" priority="464" stopIfTrue="1">
      <formula>VALUE(N24="Materialdatenbank")</formula>
    </cfRule>
  </conditionalFormatting>
  <conditionalFormatting sqref="H39 K39">
    <cfRule type="expression" dxfId="110" priority="449" stopIfTrue="1">
      <formula>VALUE(H47="Materialdatenbank")</formula>
    </cfRule>
  </conditionalFormatting>
  <conditionalFormatting sqref="K40">
    <cfRule type="expression" dxfId="109" priority="455" stopIfTrue="1">
      <formula>VALUE(K34="Materialdatenbank")</formula>
    </cfRule>
  </conditionalFormatting>
  <conditionalFormatting sqref="N40">
    <cfRule type="expression" dxfId="108" priority="447" stopIfTrue="1">
      <formula>VALUE(N34="Materialdatenbank")</formula>
    </cfRule>
  </conditionalFormatting>
  <conditionalFormatting sqref="K42">
    <cfRule type="expression" dxfId="107" priority="405" stopIfTrue="1">
      <formula>VALUE(#REF!="Materialdatenbank")</formula>
    </cfRule>
  </conditionalFormatting>
  <conditionalFormatting sqref="N42">
    <cfRule type="expression" dxfId="106" priority="404" stopIfTrue="1">
      <formula>VALUE(#REF!="Materialdatenbank")</formula>
    </cfRule>
  </conditionalFormatting>
  <conditionalFormatting sqref="K65">
    <cfRule type="expression" dxfId="105" priority="397" stopIfTrue="1">
      <formula>VALUE(K66="Materialdatenbank")</formula>
    </cfRule>
  </conditionalFormatting>
  <conditionalFormatting sqref="N65">
    <cfRule type="expression" dxfId="104" priority="395" stopIfTrue="1">
      <formula>VALUE(N66="Materialdatenbank")</formula>
    </cfRule>
  </conditionalFormatting>
  <conditionalFormatting sqref="K146">
    <cfRule type="expression" dxfId="103" priority="279" stopIfTrue="1">
      <formula>K146=" "</formula>
    </cfRule>
  </conditionalFormatting>
  <conditionalFormatting sqref="K145">
    <cfRule type="expression" dxfId="102" priority="278" stopIfTrue="1">
      <formula>K145=" "</formula>
    </cfRule>
  </conditionalFormatting>
  <conditionalFormatting sqref="N145">
    <cfRule type="expression" dxfId="101" priority="265" stopIfTrue="1">
      <formula>N145=" "</formula>
    </cfRule>
  </conditionalFormatting>
  <conditionalFormatting sqref="K150">
    <cfRule type="expression" dxfId="100" priority="274" stopIfTrue="1">
      <formula>K150=" "</formula>
    </cfRule>
  </conditionalFormatting>
  <conditionalFormatting sqref="N148">
    <cfRule type="expression" dxfId="99" priority="264" stopIfTrue="1">
      <formula>N148=" "</formula>
    </cfRule>
  </conditionalFormatting>
  <conditionalFormatting sqref="H146">
    <cfRule type="expression" dxfId="98" priority="272" stopIfTrue="1">
      <formula>H146=" "</formula>
    </cfRule>
  </conditionalFormatting>
  <conditionalFormatting sqref="H145">
    <cfRule type="expression" dxfId="97" priority="271" stopIfTrue="1">
      <formula>H145=" "</formula>
    </cfRule>
  </conditionalFormatting>
  <conditionalFormatting sqref="H150">
    <cfRule type="expression" dxfId="96" priority="268" stopIfTrue="1">
      <formula>H150=" "</formula>
    </cfRule>
  </conditionalFormatting>
  <conditionalFormatting sqref="N146">
    <cfRule type="expression" dxfId="95" priority="266" stopIfTrue="1">
      <formula>N146=" "</formula>
    </cfRule>
  </conditionalFormatting>
  <conditionalFormatting sqref="N150">
    <cfRule type="expression" dxfId="94" priority="262" stopIfTrue="1">
      <formula>N150=" "</formula>
    </cfRule>
  </conditionalFormatting>
  <conditionalFormatting sqref="H22">
    <cfRule type="expression" dxfId="93" priority="242" stopIfTrue="1">
      <formula>VALUE(H131="Materialdatenbank")</formula>
    </cfRule>
  </conditionalFormatting>
  <conditionalFormatting sqref="K22">
    <cfRule type="expression" dxfId="92" priority="231" stopIfTrue="1">
      <formula>VALUE(K131="Materialdatenbank")</formula>
    </cfRule>
  </conditionalFormatting>
  <conditionalFormatting sqref="N22">
    <cfRule type="expression" dxfId="91" priority="230" stopIfTrue="1">
      <formula>VALUE(N131="Materialdatenbank")</formula>
    </cfRule>
  </conditionalFormatting>
  <conditionalFormatting sqref="H147">
    <cfRule type="expression" dxfId="90" priority="225" stopIfTrue="1">
      <formula>H147=" "</formula>
    </cfRule>
  </conditionalFormatting>
  <conditionalFormatting sqref="H149">
    <cfRule type="expression" dxfId="89" priority="224" stopIfTrue="1">
      <formula>H149=" "</formula>
    </cfRule>
  </conditionalFormatting>
  <conditionalFormatting sqref="K147">
    <cfRule type="expression" dxfId="88" priority="223" stopIfTrue="1">
      <formula>K147=" "</formula>
    </cfRule>
  </conditionalFormatting>
  <conditionalFormatting sqref="K149">
    <cfRule type="expression" dxfId="87" priority="222" stopIfTrue="1">
      <formula>K149=" "</formula>
    </cfRule>
  </conditionalFormatting>
  <conditionalFormatting sqref="N147">
    <cfRule type="expression" dxfId="86" priority="221" stopIfTrue="1">
      <formula>N147=" "</formula>
    </cfRule>
  </conditionalFormatting>
  <conditionalFormatting sqref="N149">
    <cfRule type="expression" dxfId="85" priority="220" stopIfTrue="1">
      <formula>N149=" "</formula>
    </cfRule>
  </conditionalFormatting>
  <conditionalFormatting sqref="H111 K111 N111">
    <cfRule type="expression" dxfId="84" priority="213" stopIfTrue="1">
      <formula>VALUE(#REF!="Materialdatenbank")</formula>
    </cfRule>
  </conditionalFormatting>
  <conditionalFormatting sqref="H148">
    <cfRule type="expression" dxfId="83" priority="205" stopIfTrue="1">
      <formula>H148=" "</formula>
    </cfRule>
  </conditionalFormatting>
  <conditionalFormatting sqref="K148">
    <cfRule type="expression" dxfId="82" priority="203" stopIfTrue="1">
      <formula>K148=" "</formula>
    </cfRule>
  </conditionalFormatting>
  <conditionalFormatting sqref="H105 K105">
    <cfRule type="expression" dxfId="81" priority="197" stopIfTrue="1">
      <formula>VALUE(#REF!="Materialdatenbank")</formula>
    </cfRule>
  </conditionalFormatting>
  <conditionalFormatting sqref="H108 K108 N108">
    <cfRule type="expression" dxfId="80" priority="196" stopIfTrue="1">
      <formula>VALUE(#REF!="Materialdatenbank")</formula>
    </cfRule>
  </conditionalFormatting>
  <conditionalFormatting sqref="K33">
    <cfRule type="expression" dxfId="79" priority="191" stopIfTrue="1">
      <formula>VALUE(#REF!="Materialdatenbank")</formula>
    </cfRule>
  </conditionalFormatting>
  <conditionalFormatting sqref="N33">
    <cfRule type="expression" dxfId="78" priority="189" stopIfTrue="1">
      <formula>VALUE(#REF!="Materialdatenbank")</formula>
    </cfRule>
  </conditionalFormatting>
  <conditionalFormatting sqref="K37 N37">
    <cfRule type="expression" dxfId="77" priority="181" stopIfTrue="1">
      <formula>VALUE(#REF!="Materialdatenbank")</formula>
    </cfRule>
  </conditionalFormatting>
  <conditionalFormatting sqref="K34">
    <cfRule type="expression" dxfId="76" priority="178" stopIfTrue="1">
      <formula>VALUE(K33="Materialdatenbank")</formula>
    </cfRule>
  </conditionalFormatting>
  <conditionalFormatting sqref="N34">
    <cfRule type="expression" dxfId="75" priority="177" stopIfTrue="1">
      <formula>VALUE(N33="Materialdatenbank")</formula>
    </cfRule>
  </conditionalFormatting>
  <conditionalFormatting sqref="H45">
    <cfRule type="expression" dxfId="74" priority="172" stopIfTrue="1">
      <formula>VALUE(#REF!="Materialdatenbank")</formula>
    </cfRule>
  </conditionalFormatting>
  <conditionalFormatting sqref="H43">
    <cfRule type="expression" dxfId="73" priority="173" stopIfTrue="1">
      <formula>VALUE(H37="Materialdatenbank")</formula>
    </cfRule>
  </conditionalFormatting>
  <conditionalFormatting sqref="K43">
    <cfRule type="expression" dxfId="72" priority="151" stopIfTrue="1">
      <formula>VALUE(K37="Materialdatenbank")</formula>
    </cfRule>
  </conditionalFormatting>
  <conditionalFormatting sqref="N43">
    <cfRule type="expression" dxfId="71" priority="150" stopIfTrue="1">
      <formula>VALUE(N37="Materialdatenbank")</formula>
    </cfRule>
  </conditionalFormatting>
  <conditionalFormatting sqref="K21">
    <cfRule type="expression" dxfId="70" priority="136" stopIfTrue="1">
      <formula>VALUE(K25="Materialdatenbank")</formula>
    </cfRule>
  </conditionalFormatting>
  <conditionalFormatting sqref="N21">
    <cfRule type="expression" dxfId="69" priority="135" stopIfTrue="1">
      <formula>VALUE(N25="Materialdatenbank")</formula>
    </cfRule>
  </conditionalFormatting>
  <conditionalFormatting sqref="K115 H115 N115">
    <cfRule type="expression" dxfId="68" priority="123" stopIfTrue="1">
      <formula>VALUE(H118="Materialdatenbank")</formula>
    </cfRule>
  </conditionalFormatting>
  <conditionalFormatting sqref="H26 K26 N26">
    <cfRule type="expression" dxfId="67" priority="522" stopIfTrue="1">
      <formula>VALUE(#REF!="Materialdatenbank")</formula>
    </cfRule>
  </conditionalFormatting>
  <conditionalFormatting sqref="H18 N18 K18">
    <cfRule type="expression" dxfId="66" priority="120" stopIfTrue="1">
      <formula>VALUE(H21="Materialdatenbank")</formula>
    </cfRule>
  </conditionalFormatting>
  <conditionalFormatting sqref="H23">
    <cfRule type="expression" dxfId="65" priority="119" stopIfTrue="1">
      <formula>VALUE(H27="Materialdatenbank")</formula>
    </cfRule>
  </conditionalFormatting>
  <conditionalFormatting sqref="H19">
    <cfRule type="expression" dxfId="64" priority="106" stopIfTrue="1">
      <formula>VALUE(#REF!="Materialdatenbank")</formula>
    </cfRule>
  </conditionalFormatting>
  <conditionalFormatting sqref="K19 N19">
    <cfRule type="expression" dxfId="63" priority="105" stopIfTrue="1">
      <formula>VALUE(#REF!="Materialdatenbank")</formula>
    </cfRule>
  </conditionalFormatting>
  <conditionalFormatting sqref="K20 N20">
    <cfRule type="expression" dxfId="62" priority="104" stopIfTrue="1">
      <formula>VALUE(K26="Materialdatenbank")</formula>
    </cfRule>
  </conditionalFormatting>
  <conditionalFormatting sqref="K23 N23">
    <cfRule type="expression" dxfId="61" priority="103" stopIfTrue="1">
      <formula>VALUE(K27="Materialdatenbank")</formula>
    </cfRule>
  </conditionalFormatting>
  <conditionalFormatting sqref="K45">
    <cfRule type="expression" dxfId="60" priority="102" stopIfTrue="1">
      <formula>VALUE(#REF!="Materialdatenbank")</formula>
    </cfRule>
  </conditionalFormatting>
  <conditionalFormatting sqref="N45">
    <cfRule type="expression" dxfId="59" priority="101" stopIfTrue="1">
      <formula>VALUE(#REF!="Materialdatenbank")</formula>
    </cfRule>
  </conditionalFormatting>
  <conditionalFormatting sqref="K36 N36">
    <cfRule type="expression" dxfId="58" priority="98" stopIfTrue="1">
      <formula>VALUE(#REF!="Materialdatenbank")</formula>
    </cfRule>
  </conditionalFormatting>
  <conditionalFormatting sqref="N39">
    <cfRule type="expression" dxfId="57" priority="97" stopIfTrue="1">
      <formula>VALUE(N47="Materialdatenbank")</formula>
    </cfRule>
  </conditionalFormatting>
  <conditionalFormatting sqref="K93 N93 H93">
    <cfRule type="expression" dxfId="56" priority="529" stopIfTrue="1">
      <formula>VALUE(H65="Materialdatenbank")</formula>
    </cfRule>
  </conditionalFormatting>
  <conditionalFormatting sqref="H64 K64 N64">
    <cfRule type="expression" dxfId="55" priority="541" stopIfTrue="1">
      <formula>VALUE(H53="Materialdatenbank")</formula>
    </cfRule>
  </conditionalFormatting>
  <conditionalFormatting sqref="H89 K89 N89">
    <cfRule type="expression" dxfId="54" priority="543" stopIfTrue="1">
      <formula>VALUE(H63="Materialdatenbank")</formula>
    </cfRule>
  </conditionalFormatting>
  <conditionalFormatting sqref="K66 N66 H66 N69">
    <cfRule type="expression" dxfId="53" priority="91" stopIfTrue="1">
      <formula>VALUE(H132="Materialdatenbank")</formula>
    </cfRule>
  </conditionalFormatting>
  <conditionalFormatting sqref="H125 K125 N125">
    <cfRule type="expression" dxfId="52" priority="545" stopIfTrue="1">
      <formula>VALUE(#REF!="Materialdatenbank")</formula>
    </cfRule>
  </conditionalFormatting>
  <conditionalFormatting sqref="N126">
    <cfRule type="expression" dxfId="51" priority="568" stopIfTrue="1">
      <formula>VALUE(N113="Materialdatenbank")</formula>
    </cfRule>
  </conditionalFormatting>
  <conditionalFormatting sqref="K118 N118 H118">
    <cfRule type="expression" dxfId="50" priority="569" stopIfTrue="1">
      <formula>VALUE(H70="Materialdatenbank")</formula>
    </cfRule>
  </conditionalFormatting>
  <conditionalFormatting sqref="K47">
    <cfRule type="expression" dxfId="49" priority="83" stopIfTrue="1">
      <formula>VALUE(K48="Materialdatenbank")</formula>
    </cfRule>
  </conditionalFormatting>
  <conditionalFormatting sqref="N47">
    <cfRule type="expression" dxfId="48" priority="82" stopIfTrue="1">
      <formula>VALUE(N48="Materialdatenbank")</formula>
    </cfRule>
  </conditionalFormatting>
  <conditionalFormatting sqref="H72">
    <cfRule type="expression" dxfId="47" priority="74" stopIfTrue="1">
      <formula>VALUE(H68="Materialdatenbank")</formula>
    </cfRule>
  </conditionalFormatting>
  <conditionalFormatting sqref="H126">
    <cfRule type="expression" dxfId="46" priority="71" stopIfTrue="1">
      <formula>VALUE(H113="Materialdatenbank")</formula>
    </cfRule>
  </conditionalFormatting>
  <conditionalFormatting sqref="H129">
    <cfRule type="expression" dxfId="45" priority="70" stopIfTrue="1">
      <formula>VALUE(H116="Materialdatenbank")</formula>
    </cfRule>
  </conditionalFormatting>
  <conditionalFormatting sqref="K126">
    <cfRule type="expression" dxfId="44" priority="68" stopIfTrue="1">
      <formula>VALUE(K113="Materialdatenbank")</formula>
    </cfRule>
  </conditionalFormatting>
  <conditionalFormatting sqref="N71 K71 H71">
    <cfRule type="expression" dxfId="43" priority="574" stopIfTrue="1">
      <formula>VALUE(#REF!="Materialdatenbank")</formula>
    </cfRule>
  </conditionalFormatting>
  <conditionalFormatting sqref="H119">
    <cfRule type="expression" dxfId="42" priority="66" stopIfTrue="1">
      <formula>VALUE(H122="Materialdatenbank")</formula>
    </cfRule>
  </conditionalFormatting>
  <conditionalFormatting sqref="K119 N119">
    <cfRule type="expression" dxfId="41" priority="65" stopIfTrue="1">
      <formula>VALUE(K122="Materialdatenbank")</formula>
    </cfRule>
  </conditionalFormatting>
  <conditionalFormatting sqref="H88 K88 N88">
    <cfRule type="expression" dxfId="40" priority="598" stopIfTrue="1">
      <formula>VALUE(H64="Materialdatenbank")</formula>
    </cfRule>
  </conditionalFormatting>
  <conditionalFormatting sqref="H113 K113 N113">
    <cfRule type="expression" dxfId="39" priority="603" stopIfTrue="1">
      <formula>VALUE(H76="Materialdatenbank")</formula>
    </cfRule>
  </conditionalFormatting>
  <conditionalFormatting sqref="H77 N77">
    <cfRule type="expression" dxfId="38" priority="64" stopIfTrue="1">
      <formula>VALUE(H60="Materialdatenbank")</formula>
    </cfRule>
  </conditionalFormatting>
  <conditionalFormatting sqref="K77">
    <cfRule type="expression" dxfId="37" priority="63" stopIfTrue="1">
      <formula>VALUE(K60="Materialdatenbank")</formula>
    </cfRule>
  </conditionalFormatting>
  <conditionalFormatting sqref="H87 N87">
    <cfRule type="expression" dxfId="36" priority="60" stopIfTrue="1">
      <formula>VALUE(H64="Materialdatenbank")</formula>
    </cfRule>
  </conditionalFormatting>
  <conditionalFormatting sqref="K87">
    <cfRule type="expression" dxfId="35" priority="52" stopIfTrue="1">
      <formula>VALUE(K64="Materialdatenbank")</formula>
    </cfRule>
  </conditionalFormatting>
  <conditionalFormatting sqref="H69">
    <cfRule type="expression" dxfId="34" priority="50" stopIfTrue="1">
      <formula>VALUE(H135="Materialdatenbank")</formula>
    </cfRule>
  </conditionalFormatting>
  <conditionalFormatting sqref="K69">
    <cfRule type="expression" dxfId="33" priority="49" stopIfTrue="1">
      <formula>VALUE(K135="Materialdatenbank")</formula>
    </cfRule>
  </conditionalFormatting>
  <conditionalFormatting sqref="K72 N72">
    <cfRule type="expression" dxfId="32" priority="48" stopIfTrue="1">
      <formula>VALUE(K68="Materialdatenbank")</formula>
    </cfRule>
  </conditionalFormatting>
  <conditionalFormatting sqref="K129 N129">
    <cfRule type="expression" dxfId="31" priority="47" stopIfTrue="1">
      <formula>VALUE(K116="Materialdatenbank")</formula>
    </cfRule>
  </conditionalFormatting>
  <conditionalFormatting sqref="H140 K140 N140">
    <cfRule type="expression" dxfId="30" priority="46" stopIfTrue="1">
      <formula>VALUE(#REF!="Materialdatenbank")</formula>
    </cfRule>
  </conditionalFormatting>
  <conditionalFormatting sqref="H80">
    <cfRule type="expression" dxfId="29" priority="45" stopIfTrue="1">
      <formula>VALUE(H62="Materialdatenbank")</formula>
    </cfRule>
  </conditionalFormatting>
  <conditionalFormatting sqref="K80">
    <cfRule type="expression" dxfId="28" priority="44" stopIfTrue="1">
      <formula>VALUE(K62="Materialdatenbank")</formula>
    </cfRule>
  </conditionalFormatting>
  <conditionalFormatting sqref="N80">
    <cfRule type="expression" dxfId="27" priority="43" stopIfTrue="1">
      <formula>VALUE(N62="Materialdatenbank")</formula>
    </cfRule>
  </conditionalFormatting>
  <conditionalFormatting sqref="H83">
    <cfRule type="expression" dxfId="26" priority="42" stopIfTrue="1">
      <formula>VALUE(H64="Materialdatenbank")</formula>
    </cfRule>
  </conditionalFormatting>
  <conditionalFormatting sqref="K83">
    <cfRule type="expression" dxfId="25" priority="41" stopIfTrue="1">
      <formula>VALUE(K64="Materialdatenbank")</formula>
    </cfRule>
  </conditionalFormatting>
  <conditionalFormatting sqref="N83">
    <cfRule type="expression" dxfId="24" priority="40" stopIfTrue="1">
      <formula>VALUE(N64="Materialdatenbank")</formula>
    </cfRule>
  </conditionalFormatting>
  <conditionalFormatting sqref="H97">
    <cfRule type="expression" dxfId="23" priority="39" stopIfTrue="1">
      <formula>VALUE(#REF!="Materialdatenbank")</formula>
    </cfRule>
  </conditionalFormatting>
  <conditionalFormatting sqref="K97">
    <cfRule type="expression" dxfId="22" priority="38" stopIfTrue="1">
      <formula>VALUE(#REF!="Materialdatenbank")</formula>
    </cfRule>
  </conditionalFormatting>
  <conditionalFormatting sqref="H90">
    <cfRule type="expression" dxfId="21" priority="36" stopIfTrue="1">
      <formula>VALUE(H64="Materialdatenbank")</formula>
    </cfRule>
  </conditionalFormatting>
  <conditionalFormatting sqref="K90">
    <cfRule type="expression" dxfId="20" priority="35" stopIfTrue="1">
      <formula>VALUE(K64="Materialdatenbank")</formula>
    </cfRule>
  </conditionalFormatting>
  <conditionalFormatting sqref="H100 K100 N100">
    <cfRule type="expression" dxfId="19" priority="34" stopIfTrue="1">
      <formula>VALUE(#REF!="Materialdatenbank")</formula>
    </cfRule>
  </conditionalFormatting>
  <conditionalFormatting sqref="N105">
    <cfRule type="expression" dxfId="18" priority="33" stopIfTrue="1">
      <formula>VALUE(#REF!="Materialdatenbank")</formula>
    </cfRule>
  </conditionalFormatting>
  <conditionalFormatting sqref="H104">
    <cfRule type="expression" dxfId="17" priority="32" stopIfTrue="1">
      <formula>VALUE(#REF!="Materialdatenbank")</formula>
    </cfRule>
  </conditionalFormatting>
  <conditionalFormatting sqref="H107">
    <cfRule type="expression" dxfId="16" priority="27" stopIfTrue="1">
      <formula>VALUE(#REF!="Materialdatenbank")</formula>
    </cfRule>
  </conditionalFormatting>
  <conditionalFormatting sqref="H79">
    <cfRule type="expression" dxfId="15" priority="22" stopIfTrue="1">
      <formula>VALUE(H61="Materialdatenbank")</formula>
    </cfRule>
  </conditionalFormatting>
  <conditionalFormatting sqref="H82">
    <cfRule type="expression" dxfId="14" priority="19" stopIfTrue="1">
      <formula>VALUE(H63="Materialdatenbank")</formula>
    </cfRule>
  </conditionalFormatting>
  <conditionalFormatting sqref="H96 K96 N96">
    <cfRule type="expression" dxfId="13" priority="13" stopIfTrue="1">
      <formula>VALUE(#REF!="Materialdatenbank")</formula>
    </cfRule>
  </conditionalFormatting>
  <conditionalFormatting sqref="K79">
    <cfRule type="expression" dxfId="12" priority="12" stopIfTrue="1">
      <formula>VALUE(K61="Materialdatenbank")</formula>
    </cfRule>
  </conditionalFormatting>
  <conditionalFormatting sqref="N79">
    <cfRule type="expression" dxfId="11" priority="10" stopIfTrue="1">
      <formula>VALUE(N61="Materialdatenbank")</formula>
    </cfRule>
  </conditionalFormatting>
  <conditionalFormatting sqref="K82">
    <cfRule type="expression" dxfId="10" priority="7" stopIfTrue="1">
      <formula>VALUE(K63="Materialdatenbank")</formula>
    </cfRule>
  </conditionalFormatting>
  <conditionalFormatting sqref="N82">
    <cfRule type="expression" dxfId="9" priority="6" stopIfTrue="1">
      <formula>VALUE(N63="Materialdatenbank")</formula>
    </cfRule>
  </conditionalFormatting>
  <conditionalFormatting sqref="N97">
    <cfRule type="expression" dxfId="8" priority="5" stopIfTrue="1">
      <formula>VALUE(#REF!="Materialdatenbank")</formula>
    </cfRule>
  </conditionalFormatting>
  <conditionalFormatting sqref="K104">
    <cfRule type="expression" dxfId="7" priority="4" stopIfTrue="1">
      <formula>VALUE(#REF!="Materialdatenbank")</formula>
    </cfRule>
  </conditionalFormatting>
  <conditionalFormatting sqref="N104">
    <cfRule type="expression" dxfId="6" priority="3" stopIfTrue="1">
      <formula>VALUE(#REF!="Materialdatenbank")</formula>
    </cfRule>
  </conditionalFormatting>
  <conditionalFormatting sqref="K107">
    <cfRule type="expression" dxfId="5" priority="2" stopIfTrue="1">
      <formula>VALUE(#REF!="Materialdatenbank")</formula>
    </cfRule>
  </conditionalFormatting>
  <conditionalFormatting sqref="N107">
    <cfRule type="expression" dxfId="4" priority="1" stopIfTrue="1">
      <formula>VALUE(#REF!="Materialdatenbank")</formula>
    </cfRule>
  </conditionalFormatting>
  <dataValidations disablePrompts="1"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I101:J101 H109:N111 I108:J108 H114:N114 H112:M113 H132:N132 H115:M131 I97:J97 I105:J105 H103:J103 I102:J102 L97:M97 L105:M105 H98:M99 L102:M103 L101:M101 L108:M108" unlockedFormula="1"/>
    <ignoredError sqref="N92:N95 H135:N141 N145:N150 N8:N16 N87:N89 N20:N77" evalError="1"/>
    <ignoredError sqref="N112:N113 N115:N131 H133:N134 N103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K31 N31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429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1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353</v>
      </c>
      <c r="D24" s="469">
        <f>'Quick Input'!M37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540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541</v>
      </c>
      <c r="H30" s="406"/>
      <c r="I30" s="11"/>
    </row>
    <row r="31" spans="2:9" x14ac:dyDescent="0.2">
      <c r="B31" s="9"/>
      <c r="C31" s="405" t="s">
        <v>652</v>
      </c>
      <c r="D31" s="408"/>
      <c r="E31" s="388"/>
      <c r="F31" s="389"/>
      <c r="G31" s="405" t="s">
        <v>541</v>
      </c>
      <c r="H31" s="406"/>
      <c r="I31" s="11"/>
    </row>
    <row r="32" spans="2:9" x14ac:dyDescent="0.2">
      <c r="B32" s="9"/>
      <c r="C32" s="405" t="s">
        <v>430</v>
      </c>
      <c r="D32" s="409"/>
      <c r="E32" s="388"/>
      <c r="F32" s="389"/>
      <c r="G32" s="405" t="s">
        <v>352</v>
      </c>
      <c r="H32" s="406"/>
      <c r="I32" s="11"/>
    </row>
    <row r="33" spans="2:9" x14ac:dyDescent="0.2">
      <c r="B33" s="9"/>
      <c r="C33" s="405" t="s">
        <v>653</v>
      </c>
      <c r="D33" s="406"/>
      <c r="E33" s="388"/>
      <c r="F33" s="389"/>
      <c r="G33" s="405" t="s">
        <v>352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543</v>
      </c>
      <c r="D38" s="391"/>
      <c r="E38" s="288"/>
      <c r="F38" s="389"/>
      <c r="G38" s="410" t="s">
        <v>654</v>
      </c>
      <c r="H38" s="411"/>
      <c r="I38" s="11"/>
    </row>
    <row r="39" spans="2:9" x14ac:dyDescent="0.2">
      <c r="B39" s="9"/>
      <c r="C39" s="405" t="s">
        <v>542</v>
      </c>
      <c r="D39" s="391"/>
      <c r="E39" s="288"/>
      <c r="F39" s="389"/>
      <c r="G39" s="410" t="s">
        <v>655</v>
      </c>
      <c r="H39" s="411"/>
      <c r="I39" s="11"/>
    </row>
    <row r="40" spans="2:9" x14ac:dyDescent="0.2">
      <c r="B40" s="9"/>
      <c r="C40" s="405" t="s">
        <v>544</v>
      </c>
      <c r="D40" s="391"/>
      <c r="E40" s="288"/>
      <c r="F40" s="389"/>
      <c r="G40" s="410" t="s">
        <v>656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657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658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37" zoomScale="75" workbookViewId="0">
      <selection activeCell="B49" sqref="B49:B5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1220"/>
      <c r="J2" s="1221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7">
        <v>1</v>
      </c>
      <c r="G3" s="1174" t="str">
        <f t="shared" ref="G3:G15" si="0">IF(Deutsch,I3,H3)</f>
        <v>Deutschland</v>
      </c>
      <c r="H3" s="1222" t="str">
        <f>'[3]Länder-DB'!B2</f>
        <v>Germany</v>
      </c>
      <c r="I3" s="1223" t="str">
        <f>'[3]Länder-DB'!A2</f>
        <v>Deutschland</v>
      </c>
      <c r="J3" s="1224">
        <f t="shared" ref="J3:J15" si="1">F3</f>
        <v>1</v>
      </c>
      <c r="L3" s="511"/>
    </row>
    <row r="4" spans="1:12" ht="15" thickBot="1" x14ac:dyDescent="0.25">
      <c r="B4" s="46"/>
      <c r="C4" s="32"/>
      <c r="D4" s="32"/>
      <c r="F4" s="718">
        <v>2</v>
      </c>
      <c r="G4" s="1174" t="str">
        <f t="shared" si="0"/>
        <v>Frankreich</v>
      </c>
      <c r="H4" s="1222" t="str">
        <f>'[3]Länder-DB'!B3</f>
        <v>France</v>
      </c>
      <c r="I4" s="1222" t="str">
        <f>'[3]Länder-DB'!A3</f>
        <v>Frankreich</v>
      </c>
      <c r="J4" s="1224">
        <f t="shared" si="1"/>
        <v>2</v>
      </c>
    </row>
    <row r="5" spans="1:12" ht="15" thickBot="1" x14ac:dyDescent="0.25">
      <c r="F5" s="718">
        <v>3</v>
      </c>
      <c r="G5" s="1174" t="str">
        <f t="shared" si="0"/>
        <v>Italien</v>
      </c>
      <c r="H5" s="1222" t="str">
        <f>'[3]Länder-DB'!B4</f>
        <v>Italy</v>
      </c>
      <c r="I5" s="1222" t="str">
        <f>'[3]Länder-DB'!A4</f>
        <v>Italien</v>
      </c>
      <c r="J5" s="1224">
        <f t="shared" si="1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Input'!D47</f>
        <v>shift model</v>
      </c>
      <c r="E6" s="28"/>
      <c r="F6" s="718">
        <v>4</v>
      </c>
      <c r="G6" s="1174" t="str">
        <f t="shared" si="0"/>
        <v>Tschechien</v>
      </c>
      <c r="H6" s="1222" t="str">
        <f>'[3]Länder-DB'!B5</f>
        <v>Czech Republic</v>
      </c>
      <c r="I6" s="1222" t="str">
        <f>'[3]Länder-DB'!A5</f>
        <v>Tschechien</v>
      </c>
      <c r="J6" s="1224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18">
        <v>5</v>
      </c>
      <c r="G7" s="1174" t="str">
        <f t="shared" si="0"/>
        <v>Polen</v>
      </c>
      <c r="H7" s="1222" t="str">
        <f>'[3]Länder-DB'!B6</f>
        <v>Poland</v>
      </c>
      <c r="I7" s="1222" t="str">
        <f>'[3]Länder-DB'!A6</f>
        <v>Polen</v>
      </c>
      <c r="J7" s="1224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18">
        <v>6</v>
      </c>
      <c r="G8" s="1174" t="str">
        <f t="shared" si="0"/>
        <v>Bulgarien</v>
      </c>
      <c r="H8" s="1222" t="str">
        <f>'[3]Länder-DB'!B7</f>
        <v>Bulgaria</v>
      </c>
      <c r="I8" s="1222" t="str">
        <f>'[3]Länder-DB'!A7</f>
        <v>Bulgarien</v>
      </c>
      <c r="J8" s="1224">
        <f t="shared" si="1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18">
        <v>7</v>
      </c>
      <c r="G9" s="1174" t="str">
        <f t="shared" si="0"/>
        <v>Rumänien</v>
      </c>
      <c r="H9" s="1222" t="str">
        <f>'[3]Länder-DB'!B8</f>
        <v>Romania</v>
      </c>
      <c r="I9" s="1222" t="str">
        <f>'[3]Länder-DB'!A8</f>
        <v>Rumänien</v>
      </c>
      <c r="J9" s="1224">
        <f t="shared" si="1"/>
        <v>7</v>
      </c>
    </row>
    <row r="10" spans="1:12" ht="15" thickBot="1" x14ac:dyDescent="0.25">
      <c r="F10" s="718">
        <v>8</v>
      </c>
      <c r="G10" s="1174" t="str">
        <f t="shared" si="0"/>
        <v>Türkei</v>
      </c>
      <c r="H10" s="1222" t="str">
        <f>'[3]Länder-DB'!B9</f>
        <v>Turkey</v>
      </c>
      <c r="I10" s="1222" t="str">
        <f>'[3]Länder-DB'!A9</f>
        <v>Türkei</v>
      </c>
      <c r="J10" s="1224">
        <f t="shared" si="1"/>
        <v>8</v>
      </c>
    </row>
    <row r="11" spans="1:12" ht="15" thickBot="1" x14ac:dyDescent="0.25">
      <c r="B11" s="35" t="s">
        <v>576</v>
      </c>
      <c r="C11" s="37"/>
      <c r="D11" s="37" t="str">
        <f>'Quick Input'!D12</f>
        <v>pricing source</v>
      </c>
      <c r="E11" s="141"/>
      <c r="F11" s="718">
        <v>9</v>
      </c>
      <c r="G11" s="1174" t="str">
        <f t="shared" si="0"/>
        <v>Indien</v>
      </c>
      <c r="H11" s="1222" t="str">
        <f>'[3]Länder-DB'!B10</f>
        <v>India</v>
      </c>
      <c r="I11" s="1222" t="str">
        <f>'[3]Länder-DB'!A10</f>
        <v>Indien</v>
      </c>
      <c r="J11" s="1224">
        <f t="shared" si="1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2">A12</f>
        <v>1</v>
      </c>
      <c r="F12" s="718">
        <v>10</v>
      </c>
      <c r="G12" s="1174" t="str">
        <f t="shared" si="0"/>
        <v>China</v>
      </c>
      <c r="H12" s="1222" t="str">
        <f>'[3]Länder-DB'!B11</f>
        <v>China</v>
      </c>
      <c r="I12" s="1222" t="str">
        <f>'[3]Länder-DB'!A11</f>
        <v>China</v>
      </c>
      <c r="J12" s="1224">
        <f t="shared" si="1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718">
        <v>11</v>
      </c>
      <c r="G13" s="1174" t="str">
        <f t="shared" si="0"/>
        <v>USA - Illinois</v>
      </c>
      <c r="H13" s="1222" t="str">
        <f>'[3]Länder-DB'!B12</f>
        <v>USA - Illinois</v>
      </c>
      <c r="I13" s="1222" t="str">
        <f>'[3]Länder-DB'!A12</f>
        <v>USA - Illinois</v>
      </c>
      <c r="J13" s="1224">
        <f t="shared" si="1"/>
        <v>11</v>
      </c>
    </row>
    <row r="14" spans="1:12" ht="15" thickBot="1" x14ac:dyDescent="0.25">
      <c r="F14" s="718">
        <v>12</v>
      </c>
      <c r="G14" s="1174" t="str">
        <f t="shared" si="0"/>
        <v>Spanien</v>
      </c>
      <c r="H14" s="1222" t="str">
        <f>'[3]Länder-DB'!B13</f>
        <v>Spain</v>
      </c>
      <c r="I14" s="1222" t="str">
        <f>'[3]Länder-DB'!A13</f>
        <v>Spanien</v>
      </c>
      <c r="J14" s="1224">
        <f t="shared" si="1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19">
        <v>13</v>
      </c>
      <c r="G15" s="1225" t="str">
        <f t="shared" si="0"/>
        <v>Mexiko</v>
      </c>
      <c r="H15" s="1226" t="str">
        <f>'[3]Länder-DB'!B14</f>
        <v>Mexico</v>
      </c>
      <c r="I15" s="1226" t="str">
        <f>'[3]Länder-DB'!A14</f>
        <v>Mexiko</v>
      </c>
      <c r="J15" s="1227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433</v>
      </c>
      <c r="D16" s="486" t="s">
        <v>431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436</v>
      </c>
      <c r="D17" s="486" t="s">
        <v>432</v>
      </c>
      <c r="E17" s="31">
        <f t="shared" si="2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438</v>
      </c>
      <c r="D18" s="486" t="s">
        <v>435</v>
      </c>
      <c r="E18" s="31">
        <f t="shared" si="2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437</v>
      </c>
      <c r="D19" s="487" t="s">
        <v>434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814</v>
      </c>
      <c r="D26" s="5" t="s">
        <v>118</v>
      </c>
      <c r="E26" s="31">
        <f t="shared" si="2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2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453</v>
      </c>
      <c r="C30" s="441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440</v>
      </c>
      <c r="D32" s="486" t="s">
        <v>442</v>
      </c>
      <c r="E32" s="31">
        <f t="shared" si="2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441</v>
      </c>
      <c r="D33" s="487" t="s">
        <v>439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30" t="str">
        <f>IF(C$2,D36,C36)</f>
        <v>Niederdruck</v>
      </c>
      <c r="C36" s="1214" t="s">
        <v>996</v>
      </c>
      <c r="D36" s="5" t="s">
        <v>999</v>
      </c>
      <c r="E36" s="61">
        <f t="shared" si="2"/>
        <v>1</v>
      </c>
      <c r="G36" s="511"/>
    </row>
    <row r="37" spans="1:7" x14ac:dyDescent="0.2">
      <c r="A37" s="146">
        <v>2</v>
      </c>
      <c r="B37" s="60" t="str">
        <f>IF(C$2,D37,C37)</f>
        <v>Kippgiessen</v>
      </c>
      <c r="C37" s="1215" t="s">
        <v>997</v>
      </c>
      <c r="D37" s="5" t="s">
        <v>1000</v>
      </c>
      <c r="E37" s="31">
        <f t="shared" si="2"/>
        <v>2</v>
      </c>
    </row>
    <row r="38" spans="1:7" ht="15.75" thickBot="1" x14ac:dyDescent="0.3">
      <c r="A38" s="714">
        <v>3</v>
      </c>
      <c r="B38" s="575" t="str">
        <f>IF(C$2,D38,C38)</f>
        <v>Schwerkaft</v>
      </c>
      <c r="C38" s="1216" t="s">
        <v>998</v>
      </c>
      <c r="D38" s="32" t="s">
        <v>1001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10" t="s">
        <v>992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6" t="s">
        <v>564</v>
      </c>
      <c r="D41" s="486" t="s">
        <v>563</v>
      </c>
      <c r="E41" s="61">
        <f t="shared" si="2"/>
        <v>1</v>
      </c>
      <c r="F41" s="1211">
        <v>0</v>
      </c>
      <c r="G41" s="511"/>
    </row>
    <row r="42" spans="1:7" x14ac:dyDescent="0.2">
      <c r="A42" s="146">
        <v>2</v>
      </c>
      <c r="B42" s="45" t="str">
        <f t="shared" si="3"/>
        <v>T5</v>
      </c>
      <c r="C42" s="486" t="s">
        <v>562</v>
      </c>
      <c r="D42" s="486" t="s">
        <v>562</v>
      </c>
      <c r="E42" s="31">
        <f t="shared" si="2"/>
        <v>2</v>
      </c>
      <c r="F42" s="1211">
        <v>0.5</v>
      </c>
    </row>
    <row r="43" spans="1:7" x14ac:dyDescent="0.2">
      <c r="A43" s="146">
        <v>3</v>
      </c>
      <c r="B43" s="45" t="str">
        <f t="shared" si="3"/>
        <v>T4</v>
      </c>
      <c r="C43" s="486" t="s">
        <v>294</v>
      </c>
      <c r="D43" s="486" t="s">
        <v>294</v>
      </c>
      <c r="E43" s="31">
        <f t="shared" si="2"/>
        <v>3</v>
      </c>
      <c r="F43" s="1211">
        <v>0.4</v>
      </c>
    </row>
    <row r="44" spans="1:7" x14ac:dyDescent="0.2">
      <c r="A44" s="146">
        <v>4</v>
      </c>
      <c r="B44" s="45" t="str">
        <f t="shared" si="3"/>
        <v>T6</v>
      </c>
      <c r="C44" s="475" t="s">
        <v>296</v>
      </c>
      <c r="D44" s="5" t="s">
        <v>296</v>
      </c>
      <c r="E44" s="31">
        <f t="shared" si="2"/>
        <v>4</v>
      </c>
      <c r="F44" s="1211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295</v>
      </c>
      <c r="D45" s="5" t="s">
        <v>295</v>
      </c>
      <c r="E45" s="31">
        <f t="shared" si="2"/>
        <v>5</v>
      </c>
      <c r="F45" s="1211">
        <v>0.64</v>
      </c>
    </row>
    <row r="46" spans="1:7" ht="15" thickBot="1" x14ac:dyDescent="0.25">
      <c r="A46" s="714">
        <v>6</v>
      </c>
      <c r="B46" s="46" t="str">
        <f t="shared" si="3"/>
        <v>T7</v>
      </c>
      <c r="C46" s="487" t="s">
        <v>561</v>
      </c>
      <c r="D46" s="487" t="s">
        <v>561</v>
      </c>
      <c r="E46" s="62">
        <f t="shared" si="2"/>
        <v>6</v>
      </c>
      <c r="F46" s="1211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371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2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373</v>
      </c>
      <c r="D50" s="486" t="s">
        <v>370</v>
      </c>
      <c r="E50" s="31">
        <f t="shared" si="2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368</v>
      </c>
      <c r="D51" s="487" t="s">
        <v>369</v>
      </c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752</v>
      </c>
      <c r="C53" s="441">
        <v>1</v>
      </c>
      <c r="D53" s="489" t="s">
        <v>753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757</v>
      </c>
      <c r="D54" s="486" t="s">
        <v>756</v>
      </c>
      <c r="E54" s="61">
        <f t="shared" ref="E54:E57" si="4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755</v>
      </c>
      <c r="D55" s="679" t="s">
        <v>754</v>
      </c>
      <c r="E55" s="31">
        <f t="shared" si="4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762</v>
      </c>
      <c r="D56" s="679" t="s">
        <v>761</v>
      </c>
      <c r="E56" s="31">
        <f t="shared" si="4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758</v>
      </c>
      <c r="D57" s="680" t="s">
        <v>758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448</v>
      </c>
      <c r="C59" s="441">
        <v>1</v>
      </c>
      <c r="D59" s="489" t="s">
        <v>449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2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450</v>
      </c>
      <c r="E61" s="31">
        <f t="shared" si="2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451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555</v>
      </c>
      <c r="C64" s="441">
        <v>1</v>
      </c>
      <c r="D64" s="489" t="s">
        <v>556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2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2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2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804</v>
      </c>
      <c r="C70" s="441">
        <v>2</v>
      </c>
      <c r="D70" s="489" t="s">
        <v>803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799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800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802</v>
      </c>
      <c r="D73" s="487" t="s">
        <v>801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372</v>
      </c>
      <c r="D76" s="486" t="s">
        <v>817</v>
      </c>
      <c r="E76" s="41"/>
    </row>
    <row r="77" spans="1:7" ht="15" x14ac:dyDescent="0.25">
      <c r="B77" s="59" t="str">
        <f>IF(C$2,C77,D77)</f>
        <v>Gleitschleifen</v>
      </c>
      <c r="C77" s="486" t="s">
        <v>707</v>
      </c>
      <c r="D77" s="486" t="s">
        <v>708</v>
      </c>
      <c r="E77" s="41"/>
    </row>
    <row r="78" spans="1:7" ht="15" thickBot="1" x14ac:dyDescent="0.25">
      <c r="B78" s="46" t="str">
        <f>IF(C$2,C78,D78)</f>
        <v>Feinputzen</v>
      </c>
      <c r="C78" s="487" t="s">
        <v>709</v>
      </c>
      <c r="D78" s="487" t="s">
        <v>710</v>
      </c>
      <c r="E78" s="1025"/>
    </row>
    <row r="79" spans="1:7" ht="6.75" customHeight="1" thickBot="1" x14ac:dyDescent="0.25"/>
    <row r="80" spans="1:7" ht="15" thickBot="1" x14ac:dyDescent="0.25">
      <c r="B80" s="35" t="s">
        <v>3</v>
      </c>
      <c r="C80" s="441">
        <v>6</v>
      </c>
      <c r="D80" s="37" t="s">
        <v>1004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214" t="s">
        <v>177</v>
      </c>
      <c r="D81" s="1217" t="s">
        <v>1005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215" t="s">
        <v>1006</v>
      </c>
      <c r="D82" t="s">
        <v>1007</v>
      </c>
      <c r="E82" s="61">
        <f t="shared" si="6"/>
        <v>2</v>
      </c>
    </row>
    <row r="83" spans="1:5" x14ac:dyDescent="0.2">
      <c r="A83" s="3">
        <v>3</v>
      </c>
      <c r="B83" s="530" t="str">
        <f t="shared" si="5"/>
        <v>Entnahmegerät</v>
      </c>
      <c r="C83" s="1215" t="s">
        <v>1008</v>
      </c>
      <c r="D83" t="s">
        <v>1009</v>
      </c>
      <c r="E83" s="61">
        <f t="shared" si="6"/>
        <v>3</v>
      </c>
    </row>
    <row r="84" spans="1:5" x14ac:dyDescent="0.2">
      <c r="A84" s="3">
        <v>4</v>
      </c>
      <c r="B84" s="530" t="str">
        <f t="shared" si="5"/>
        <v>Fertigungszelle mit Stanze</v>
      </c>
      <c r="C84" s="1215" t="s">
        <v>1010</v>
      </c>
      <c r="D84" t="s">
        <v>1011</v>
      </c>
      <c r="E84" s="61">
        <f t="shared" si="6"/>
        <v>4</v>
      </c>
    </row>
    <row r="85" spans="1:5" x14ac:dyDescent="0.2">
      <c r="A85" s="3">
        <v>5</v>
      </c>
      <c r="B85" s="530" t="str">
        <f t="shared" si="5"/>
        <v>Fertigungszelle mit Entgratung</v>
      </c>
      <c r="C85" s="1215" t="s">
        <v>1012</v>
      </c>
      <c r="D85" t="s">
        <v>1013</v>
      </c>
      <c r="E85" s="61">
        <f t="shared" si="6"/>
        <v>5</v>
      </c>
    </row>
    <row r="86" spans="1:5" x14ac:dyDescent="0.2">
      <c r="A86" s="3">
        <v>6</v>
      </c>
      <c r="B86" s="530" t="str">
        <f t="shared" si="5"/>
        <v>Roboterzelle mit Prüfstation</v>
      </c>
      <c r="C86" s="1215" t="s">
        <v>1014</v>
      </c>
      <c r="D86" t="s">
        <v>1015</v>
      </c>
      <c r="E86" s="61">
        <f t="shared" si="6"/>
        <v>6</v>
      </c>
    </row>
    <row r="87" spans="1:5" ht="15" thickBot="1" x14ac:dyDescent="0.25">
      <c r="A87" s="242">
        <v>7</v>
      </c>
      <c r="B87" s="1218" t="str">
        <f t="shared" si="5"/>
        <v>Roboterzelle mit Verpackung</v>
      </c>
      <c r="C87" s="1219" t="s">
        <v>1016</v>
      </c>
      <c r="D87" s="27" t="s">
        <v>1017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452</v>
      </c>
      <c r="N1" s="65" t="s">
        <v>290</v>
      </c>
      <c r="O1" s="65" t="s">
        <v>291</v>
      </c>
    </row>
    <row r="2" spans="1:15" ht="15" x14ac:dyDescent="0.25">
      <c r="A2" s="733" t="s">
        <v>14</v>
      </c>
      <c r="B2" s="734" t="s">
        <v>67</v>
      </c>
      <c r="C2" s="1029">
        <v>18.940000000000001</v>
      </c>
      <c r="D2" s="1030">
        <v>22.45</v>
      </c>
      <c r="E2" s="1030">
        <v>25.59</v>
      </c>
      <c r="F2" s="1031">
        <v>3.2300000000000002E-2</v>
      </c>
      <c r="G2" s="1142">
        <v>7.0000000000000007E-2</v>
      </c>
      <c r="H2" s="1030">
        <v>6.5</v>
      </c>
      <c r="I2" s="1142">
        <v>5.2999999999999999E-2</v>
      </c>
      <c r="J2" s="720">
        <v>0</v>
      </c>
      <c r="K2" s="720">
        <v>0</v>
      </c>
      <c r="L2" s="720">
        <v>0</v>
      </c>
      <c r="M2" s="721">
        <v>0</v>
      </c>
      <c r="N2" s="1041">
        <v>0.621</v>
      </c>
      <c r="O2" s="1042">
        <v>0.71899999999999997</v>
      </c>
    </row>
    <row r="3" spans="1:15" x14ac:dyDescent="0.2">
      <c r="A3" s="735" t="s">
        <v>15</v>
      </c>
      <c r="B3" s="736" t="s">
        <v>586</v>
      </c>
      <c r="C3" s="1029">
        <v>13.61</v>
      </c>
      <c r="D3" s="1032">
        <v>16.489999999999998</v>
      </c>
      <c r="E3" s="1032">
        <v>17.350000000000001</v>
      </c>
      <c r="F3" s="1033">
        <v>3.2000000000000001E-2</v>
      </c>
      <c r="G3" s="1143">
        <v>7.0000000000000007E-2</v>
      </c>
      <c r="H3" s="1032">
        <v>6.7</v>
      </c>
      <c r="I3" s="1143">
        <v>0.05</v>
      </c>
      <c r="J3" s="722">
        <v>0</v>
      </c>
      <c r="K3" s="722">
        <v>-5.0000000000000001E-3</v>
      </c>
      <c r="L3" s="722">
        <v>0</v>
      </c>
      <c r="M3" s="723">
        <v>0</v>
      </c>
      <c r="N3" s="1043">
        <v>1.0464</v>
      </c>
      <c r="O3" s="1044">
        <v>1.1064000000000001</v>
      </c>
    </row>
    <row r="4" spans="1:15" x14ac:dyDescent="0.2">
      <c r="A4" s="735" t="s">
        <v>13</v>
      </c>
      <c r="B4" s="736" t="s">
        <v>587</v>
      </c>
      <c r="C4" s="1029">
        <v>11.84</v>
      </c>
      <c r="D4" s="1029">
        <v>12.63</v>
      </c>
      <c r="E4" s="1029">
        <v>15.72</v>
      </c>
      <c r="F4" s="1034">
        <v>3.5299999999999998E-2</v>
      </c>
      <c r="G4" s="1144">
        <v>0.09</v>
      </c>
      <c r="H4" s="1029">
        <v>5.18</v>
      </c>
      <c r="I4" s="1144">
        <v>8.5999999999999993E-2</v>
      </c>
      <c r="J4" s="722">
        <v>0</v>
      </c>
      <c r="K4" s="722">
        <v>-5.0000000000000001E-3</v>
      </c>
      <c r="L4" s="722">
        <v>0</v>
      </c>
      <c r="M4" s="723">
        <v>0</v>
      </c>
      <c r="N4" s="1043">
        <v>1.2688999999999999</v>
      </c>
      <c r="O4" s="1044">
        <v>1.2688999999999999</v>
      </c>
    </row>
    <row r="5" spans="1:15" x14ac:dyDescent="0.2">
      <c r="A5" s="735" t="s">
        <v>16</v>
      </c>
      <c r="B5" s="736" t="s">
        <v>588</v>
      </c>
      <c r="C5" s="1029">
        <v>4.21</v>
      </c>
      <c r="D5" s="1029">
        <v>5.63</v>
      </c>
      <c r="E5" s="1029">
        <v>6.36</v>
      </c>
      <c r="F5" s="1034">
        <v>3.8100000000000002E-2</v>
      </c>
      <c r="G5" s="1144">
        <v>7.0000000000000007E-2</v>
      </c>
      <c r="H5" s="1029">
        <v>4.51</v>
      </c>
      <c r="I5" s="1144">
        <v>7.8299999999999995E-2</v>
      </c>
      <c r="J5" s="722">
        <v>0</v>
      </c>
      <c r="K5" s="722">
        <v>-1.4999999999999999E-2</v>
      </c>
      <c r="L5" s="722">
        <v>5.0000000000000001E-3</v>
      </c>
      <c r="M5" s="723">
        <v>1</v>
      </c>
      <c r="N5" s="1043">
        <v>0.70379999999999998</v>
      </c>
      <c r="O5" s="1044">
        <v>0.73709999999999998</v>
      </c>
    </row>
    <row r="6" spans="1:15" x14ac:dyDescent="0.2">
      <c r="A6" s="735" t="s">
        <v>17</v>
      </c>
      <c r="B6" s="736" t="s">
        <v>589</v>
      </c>
      <c r="C6" s="1029">
        <v>4.3600000000000003</v>
      </c>
      <c r="D6" s="1029">
        <v>5.93</v>
      </c>
      <c r="E6" s="1029">
        <v>7.96</v>
      </c>
      <c r="F6" s="1034">
        <v>5.2299999999999999E-2</v>
      </c>
      <c r="G6" s="1144">
        <v>0.06</v>
      </c>
      <c r="H6" s="1029">
        <v>4.7300000000000004</v>
      </c>
      <c r="I6" s="1144">
        <v>0.1237</v>
      </c>
      <c r="J6" s="722">
        <v>-5.0000000000000001E-3</v>
      </c>
      <c r="K6" s="722">
        <v>-0.01</v>
      </c>
      <c r="L6" s="722">
        <v>0.01</v>
      </c>
      <c r="M6" s="723">
        <v>1</v>
      </c>
      <c r="N6" s="1043">
        <v>0.51459999999999995</v>
      </c>
      <c r="O6" s="1044">
        <v>0.59799999999999998</v>
      </c>
    </row>
    <row r="7" spans="1:15" x14ac:dyDescent="0.2">
      <c r="A7" s="735" t="s">
        <v>590</v>
      </c>
      <c r="B7" s="736" t="s">
        <v>591</v>
      </c>
      <c r="C7" s="1029">
        <v>3.19</v>
      </c>
      <c r="D7" s="1029">
        <v>3.79</v>
      </c>
      <c r="E7" s="1035">
        <v>4.55</v>
      </c>
      <c r="F7" s="1036">
        <v>5.3699999999999998E-2</v>
      </c>
      <c r="G7" s="1145">
        <v>0.09</v>
      </c>
      <c r="H7" s="1035">
        <v>3.76</v>
      </c>
      <c r="I7" s="1145">
        <v>4.2000000000000003E-2</v>
      </c>
      <c r="J7" s="722">
        <v>-0.01</v>
      </c>
      <c r="K7" s="722">
        <v>-0.02</v>
      </c>
      <c r="L7" s="722">
        <v>1.4999999999999999E-2</v>
      </c>
      <c r="M7" s="724">
        <v>1</v>
      </c>
      <c r="N7" s="1043">
        <v>0.56679999999999997</v>
      </c>
      <c r="O7" s="1044">
        <v>0.56679999999999997</v>
      </c>
    </row>
    <row r="8" spans="1:15" ht="15" thickBot="1" x14ac:dyDescent="0.25">
      <c r="A8" s="737" t="s">
        <v>18</v>
      </c>
      <c r="B8" s="738" t="s">
        <v>592</v>
      </c>
      <c r="C8" s="1037">
        <v>2.27</v>
      </c>
      <c r="D8" s="1037">
        <v>3.35</v>
      </c>
      <c r="E8" s="1037">
        <v>5.32</v>
      </c>
      <c r="F8" s="1038">
        <v>5.5199999999999999E-2</v>
      </c>
      <c r="G8" s="1146">
        <v>7.0000000000000007E-2</v>
      </c>
      <c r="H8" s="1037">
        <v>3.79</v>
      </c>
      <c r="I8" s="1146">
        <v>4.2000000000000003E-2</v>
      </c>
      <c r="J8" s="725">
        <v>-0.01</v>
      </c>
      <c r="K8" s="725">
        <v>-0.02</v>
      </c>
      <c r="L8" s="725">
        <v>1.4999999999999999E-2</v>
      </c>
      <c r="M8" s="726">
        <v>1</v>
      </c>
      <c r="N8" s="1045">
        <v>0.62380000000000002</v>
      </c>
      <c r="O8" s="1046">
        <v>0.65959999999999996</v>
      </c>
    </row>
    <row r="9" spans="1:15" x14ac:dyDescent="0.2">
      <c r="A9" s="739" t="s">
        <v>593</v>
      </c>
      <c r="B9" s="740" t="s">
        <v>594</v>
      </c>
      <c r="C9" s="1032">
        <v>2.96</v>
      </c>
      <c r="D9" s="1029">
        <v>3.89</v>
      </c>
      <c r="E9" s="1035">
        <v>4.22</v>
      </c>
      <c r="F9" s="1036">
        <v>0.111</v>
      </c>
      <c r="G9" s="1145">
        <v>0.04</v>
      </c>
      <c r="H9" s="1035">
        <v>2.37</v>
      </c>
      <c r="I9" s="1145">
        <v>0.04</v>
      </c>
      <c r="J9" s="722">
        <v>-0.01</v>
      </c>
      <c r="K9" s="722">
        <v>-0.02</v>
      </c>
      <c r="L9" s="722">
        <v>0.03</v>
      </c>
      <c r="M9" s="724">
        <v>1</v>
      </c>
      <c r="N9" s="1043">
        <v>0.78649999999999998</v>
      </c>
      <c r="O9" s="1044">
        <v>0.78649999999999998</v>
      </c>
    </row>
    <row r="10" spans="1:15" x14ac:dyDescent="0.2">
      <c r="A10" s="741" t="s">
        <v>9</v>
      </c>
      <c r="B10" s="742" t="s">
        <v>78</v>
      </c>
      <c r="C10" s="1029">
        <v>0.7</v>
      </c>
      <c r="D10" s="1029">
        <v>1.1399999999999999</v>
      </c>
      <c r="E10" s="1029">
        <v>1.29</v>
      </c>
      <c r="F10" s="1034">
        <v>8.9700000000000002E-2</v>
      </c>
      <c r="G10" s="1144">
        <v>9.7000000000000003E-2</v>
      </c>
      <c r="H10" s="1029">
        <v>4.58</v>
      </c>
      <c r="I10" s="1144">
        <v>3.5000000000000003E-2</v>
      </c>
      <c r="J10" s="727">
        <v>-0.01</v>
      </c>
      <c r="K10" s="727">
        <v>-0.02</v>
      </c>
      <c r="L10" s="727">
        <v>0.03</v>
      </c>
      <c r="M10" s="728">
        <v>2</v>
      </c>
      <c r="N10" s="1047">
        <v>0.57620000000000005</v>
      </c>
      <c r="O10" s="1048">
        <v>0.57620000000000005</v>
      </c>
    </row>
    <row r="11" spans="1:15" x14ac:dyDescent="0.2">
      <c r="A11" s="741" t="s">
        <v>8</v>
      </c>
      <c r="B11" s="742" t="s">
        <v>8</v>
      </c>
      <c r="C11" s="1029">
        <v>3.52</v>
      </c>
      <c r="D11" s="1029">
        <v>4.4400000000000004</v>
      </c>
      <c r="E11" s="1029">
        <v>4.8899999999999997</v>
      </c>
      <c r="F11" s="1034">
        <v>7.22E-2</v>
      </c>
      <c r="G11" s="1144">
        <v>7.0000000000000007E-2</v>
      </c>
      <c r="H11" s="1029">
        <v>3.7</v>
      </c>
      <c r="I11" s="1144">
        <v>3.2000000000000001E-2</v>
      </c>
      <c r="J11" s="727">
        <v>-0.01</v>
      </c>
      <c r="K11" s="727">
        <v>-0.02</v>
      </c>
      <c r="L11" s="727">
        <v>0.03</v>
      </c>
      <c r="M11" s="728">
        <v>2</v>
      </c>
      <c r="N11" s="1047">
        <v>0.89190000000000003</v>
      </c>
      <c r="O11" s="1048">
        <v>0.89190000000000003</v>
      </c>
    </row>
    <row r="12" spans="1:15" ht="15" thickBot="1" x14ac:dyDescent="0.25">
      <c r="A12" s="743" t="s">
        <v>918</v>
      </c>
      <c r="B12" s="744" t="s">
        <v>918</v>
      </c>
      <c r="C12" s="1037">
        <v>15.16</v>
      </c>
      <c r="D12" s="1037">
        <v>22.15</v>
      </c>
      <c r="E12" s="1039">
        <v>27.42</v>
      </c>
      <c r="F12" s="1040">
        <v>4.99E-2</v>
      </c>
      <c r="G12" s="1147">
        <v>0.06</v>
      </c>
      <c r="H12" s="1039">
        <v>3.94</v>
      </c>
      <c r="I12" s="1147">
        <v>0.03</v>
      </c>
      <c r="J12" s="729">
        <v>-0.01</v>
      </c>
      <c r="K12" s="729">
        <v>-0.02</v>
      </c>
      <c r="L12" s="729">
        <v>2.5000000000000001E-2</v>
      </c>
      <c r="M12" s="730">
        <v>2</v>
      </c>
      <c r="N12" s="1045">
        <v>0.3826</v>
      </c>
      <c r="O12" s="1046">
        <v>0.40350000000000003</v>
      </c>
    </row>
    <row r="13" spans="1:15" x14ac:dyDescent="0.2">
      <c r="A13" s="739" t="s">
        <v>629</v>
      </c>
      <c r="B13" s="745" t="s">
        <v>630</v>
      </c>
      <c r="C13" s="1029">
        <v>10.96</v>
      </c>
      <c r="D13" s="1029">
        <v>12.74</v>
      </c>
      <c r="E13" s="1029">
        <v>15.8</v>
      </c>
      <c r="F13" s="1034">
        <v>3.1699999999999999E-2</v>
      </c>
      <c r="G13" s="1144">
        <v>0.09</v>
      </c>
      <c r="H13" s="1029">
        <v>4.01</v>
      </c>
      <c r="I13" s="1144">
        <v>0.14829999999999999</v>
      </c>
      <c r="J13" s="727">
        <v>0</v>
      </c>
      <c r="K13" s="727">
        <v>-5.0000000000000001E-3</v>
      </c>
      <c r="L13" s="727">
        <v>0</v>
      </c>
      <c r="M13" s="728">
        <v>0</v>
      </c>
      <c r="N13" s="1047">
        <v>0.89459999999999995</v>
      </c>
      <c r="O13" s="1048">
        <v>0.96130000000000004</v>
      </c>
    </row>
    <row r="14" spans="1:15" ht="15" thickBot="1" x14ac:dyDescent="0.25">
      <c r="A14" s="743" t="s">
        <v>24</v>
      </c>
      <c r="B14" s="744" t="s">
        <v>79</v>
      </c>
      <c r="C14" s="1037">
        <v>1.4</v>
      </c>
      <c r="D14" s="1037">
        <v>2.0099999999999998</v>
      </c>
      <c r="E14" s="1037">
        <v>3.05</v>
      </c>
      <c r="F14" s="1038">
        <v>0.1004</v>
      </c>
      <c r="G14" s="1146">
        <v>0.04</v>
      </c>
      <c r="H14" s="1037">
        <v>3.48</v>
      </c>
      <c r="I14" s="1146">
        <v>3.5000000000000003E-2</v>
      </c>
      <c r="J14" s="731">
        <v>-0.01</v>
      </c>
      <c r="K14" s="731">
        <v>-0.02</v>
      </c>
      <c r="L14" s="731">
        <v>0.03</v>
      </c>
      <c r="M14" s="732">
        <v>2</v>
      </c>
      <c r="N14" s="1049">
        <v>0.66600000000000004</v>
      </c>
      <c r="O14" s="1050">
        <v>0.66600000000000004</v>
      </c>
    </row>
    <row r="15" spans="1:15" x14ac:dyDescent="0.2">
      <c r="A15" s="712" t="s">
        <v>585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79" t="s">
        <v>684</v>
      </c>
      <c r="C17" s="55"/>
      <c r="G17" s="55"/>
    </row>
    <row r="18" spans="1:15" x14ac:dyDescent="0.2">
      <c r="A18" s="167" t="s">
        <v>681</v>
      </c>
      <c r="B18" s="167" t="s">
        <v>682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08">
        <v>42309</v>
      </c>
      <c r="K18" s="809"/>
      <c r="L18" s="483" t="s">
        <v>579</v>
      </c>
      <c r="M18" s="315"/>
      <c r="N18" s="808">
        <v>42309</v>
      </c>
      <c r="O18" s="809"/>
    </row>
    <row r="19" spans="1:15" ht="15" thickBot="1" x14ac:dyDescent="0.25">
      <c r="A19" s="776" t="s">
        <v>692</v>
      </c>
      <c r="B19" s="167" t="s">
        <v>683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06">
        <v>7.0000000000000007E-2</v>
      </c>
      <c r="K19" s="810"/>
      <c r="L19" s="696" t="s">
        <v>116</v>
      </c>
      <c r="M19" s="789">
        <v>0.32</v>
      </c>
      <c r="N19" s="814">
        <v>0.3</v>
      </c>
      <c r="O19" s="788"/>
    </row>
    <row r="20" spans="1:15" x14ac:dyDescent="0.2">
      <c r="A20" s="442"/>
      <c r="B20" s="838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08">
        <v>42309</v>
      </c>
      <c r="K20" s="809"/>
      <c r="L20" s="483" t="s">
        <v>660</v>
      </c>
      <c r="M20" s="417"/>
      <c r="N20" s="808">
        <v>42309</v>
      </c>
      <c r="O20" s="809"/>
    </row>
    <row r="21" spans="1:15" ht="15" thickBot="1" x14ac:dyDescent="0.25">
      <c r="A21" s="442"/>
      <c r="B21" s="838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07">
        <v>0.16</v>
      </c>
      <c r="K21" s="810"/>
      <c r="L21" s="696" t="s">
        <v>116</v>
      </c>
      <c r="M21" s="418">
        <v>5.5E-2</v>
      </c>
      <c r="N21" s="806">
        <v>5.5E-2</v>
      </c>
      <c r="O21" s="788"/>
    </row>
    <row r="22" spans="1:15" x14ac:dyDescent="0.2">
      <c r="A22" s="442"/>
      <c r="B22" s="838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08">
        <v>42309</v>
      </c>
      <c r="K22" s="809"/>
      <c r="L22" s="483" t="s">
        <v>664</v>
      </c>
      <c r="M22" s="315"/>
      <c r="N22" s="808">
        <v>42309</v>
      </c>
      <c r="O22" s="812"/>
    </row>
    <row r="23" spans="1:15" ht="15" thickBot="1" x14ac:dyDescent="0.25">
      <c r="A23" s="442"/>
      <c r="B23" s="838"/>
      <c r="C23" s="55"/>
      <c r="D23" s="55"/>
      <c r="E23" s="55"/>
      <c r="F23" s="55"/>
      <c r="G23" s="55"/>
      <c r="H23" s="311" t="s">
        <v>116</v>
      </c>
      <c r="I23" s="418">
        <v>0.08</v>
      </c>
      <c r="J23" s="806">
        <v>0.08</v>
      </c>
      <c r="K23" s="810"/>
      <c r="L23" s="696" t="s">
        <v>662</v>
      </c>
      <c r="M23" s="349">
        <v>0.1</v>
      </c>
      <c r="N23" s="814">
        <v>0.1</v>
      </c>
      <c r="O23" s="810"/>
    </row>
    <row r="24" spans="1:15" x14ac:dyDescent="0.2">
      <c r="A24" s="442"/>
      <c r="B24" s="838"/>
      <c r="C24" s="55"/>
      <c r="D24" s="386" t="s">
        <v>243</v>
      </c>
      <c r="E24" s="804">
        <v>42935</v>
      </c>
      <c r="F24" s="698"/>
      <c r="G24" s="55"/>
      <c r="H24" s="308" t="s">
        <v>236</v>
      </c>
      <c r="I24" s="315"/>
      <c r="J24" s="808">
        <v>42309</v>
      </c>
      <c r="K24" s="809"/>
      <c r="L24" s="483" t="s">
        <v>358</v>
      </c>
      <c r="M24" s="824" t="s">
        <v>679</v>
      </c>
      <c r="N24" s="828">
        <v>43983</v>
      </c>
      <c r="O24" s="827">
        <v>41579</v>
      </c>
    </row>
    <row r="25" spans="1:15" ht="15" thickBot="1" x14ac:dyDescent="0.25">
      <c r="A25" s="442"/>
      <c r="B25" s="838"/>
      <c r="C25" s="55"/>
      <c r="D25" s="702" t="s">
        <v>584</v>
      </c>
      <c r="E25" s="351">
        <v>43999</v>
      </c>
      <c r="F25" s="765" t="s">
        <v>623</v>
      </c>
      <c r="G25" s="55"/>
      <c r="H25" s="696" t="s">
        <v>662</v>
      </c>
      <c r="I25" s="418">
        <v>0</v>
      </c>
      <c r="J25" s="806">
        <v>0</v>
      </c>
      <c r="K25" s="810"/>
      <c r="L25" s="696" t="s">
        <v>662</v>
      </c>
      <c r="M25" s="829">
        <f>IFERROR(VLOOKUP(#REF!,#REF!,3,FALSE),N25)</f>
        <v>40.1</v>
      </c>
      <c r="N25" s="831">
        <v>40.1</v>
      </c>
      <c r="O25" s="825">
        <v>48</v>
      </c>
    </row>
    <row r="26" spans="1:15" x14ac:dyDescent="0.2">
      <c r="A26" s="442"/>
      <c r="B26" s="838"/>
      <c r="C26" s="55"/>
      <c r="D26" s="701" t="s">
        <v>624</v>
      </c>
      <c r="E26" s="351">
        <v>43999</v>
      </c>
      <c r="F26" s="699"/>
      <c r="G26" s="55"/>
      <c r="H26" s="308" t="s">
        <v>237</v>
      </c>
      <c r="I26" s="315"/>
      <c r="J26" s="808">
        <v>42309</v>
      </c>
      <c r="K26" s="809"/>
      <c r="L26" s="483" t="s">
        <v>666</v>
      </c>
      <c r="M26" s="824" t="s">
        <v>679</v>
      </c>
      <c r="N26" s="808">
        <v>43983</v>
      </c>
      <c r="O26" s="809">
        <v>40909</v>
      </c>
    </row>
    <row r="27" spans="1:15" ht="15" thickBot="1" x14ac:dyDescent="0.25">
      <c r="A27" s="442"/>
      <c r="B27" s="838"/>
      <c r="C27" s="55"/>
      <c r="D27" s="313"/>
      <c r="E27" s="768" t="b">
        <f ca="1">(TODAY()-E24)&gt;35</f>
        <v>1</v>
      </c>
      <c r="F27" s="699"/>
      <c r="G27" s="55"/>
      <c r="H27" s="311" t="s">
        <v>116</v>
      </c>
      <c r="I27" s="790">
        <v>10</v>
      </c>
      <c r="J27" s="815">
        <v>10</v>
      </c>
      <c r="K27" s="810"/>
      <c r="L27" s="696" t="s">
        <v>662</v>
      </c>
      <c r="M27" s="830">
        <f>IFERROR(VLOOKUP(#REF!,#REF!,3,FALSE),N27)</f>
        <v>250</v>
      </c>
      <c r="N27" s="832">
        <v>250</v>
      </c>
      <c r="O27" s="826">
        <v>230</v>
      </c>
    </row>
    <row r="28" spans="1:15" ht="15" thickBot="1" x14ac:dyDescent="0.25">
      <c r="A28" s="442"/>
      <c r="B28" s="838"/>
      <c r="C28" s="55"/>
      <c r="D28" s="387" t="s">
        <v>244</v>
      </c>
      <c r="E28" s="766" t="b">
        <f ca="1">(TODAY()-E25)&gt;450</f>
        <v>1</v>
      </c>
      <c r="F28" s="700"/>
      <c r="G28" s="55"/>
      <c r="H28" s="483" t="s">
        <v>685</v>
      </c>
      <c r="I28" s="315"/>
      <c r="J28" s="808">
        <v>42309</v>
      </c>
      <c r="K28" s="812"/>
      <c r="L28" s="483" t="s">
        <v>359</v>
      </c>
      <c r="M28" s="824" t="s">
        <v>679</v>
      </c>
      <c r="N28" s="808">
        <v>43983</v>
      </c>
      <c r="O28" s="809">
        <v>40787</v>
      </c>
    </row>
    <row r="29" spans="1:15" ht="15" thickBot="1" x14ac:dyDescent="0.25">
      <c r="A29" s="442"/>
      <c r="B29" s="838"/>
      <c r="C29" s="55"/>
      <c r="D29" s="169"/>
      <c r="E29" s="55"/>
      <c r="F29" s="55"/>
      <c r="G29" s="55"/>
      <c r="H29" s="696" t="s">
        <v>686</v>
      </c>
      <c r="I29" s="349">
        <v>0.1</v>
      </c>
      <c r="J29" s="807">
        <v>0.1</v>
      </c>
      <c r="K29" s="810"/>
      <c r="L29" s="311" t="s">
        <v>123</v>
      </c>
      <c r="M29" s="830">
        <f>IFERROR(VLOOKUP(#REF!,#REF!,3,FALSE),N29)</f>
        <v>3110</v>
      </c>
      <c r="N29" s="832">
        <v>3110</v>
      </c>
      <c r="O29" s="826">
        <v>2400</v>
      </c>
    </row>
    <row r="30" spans="1:15" x14ac:dyDescent="0.2">
      <c r="A30" s="442"/>
      <c r="B30" s="838"/>
      <c r="C30" s="55"/>
      <c r="D30" s="823"/>
      <c r="E30" s="821"/>
      <c r="F30" s="822"/>
      <c r="G30" s="55"/>
      <c r="H30" s="483" t="s">
        <v>649</v>
      </c>
      <c r="I30" s="315"/>
      <c r="J30" s="808">
        <v>42309</v>
      </c>
      <c r="K30" s="809"/>
      <c r="L30" s="483" t="str">
        <f>IF(Deutsch,"Logistikaufschlag LME /t","LME logistik add on /mt")</f>
        <v>Logistikaufschlag LME /t</v>
      </c>
      <c r="M30" s="315"/>
      <c r="N30" s="808">
        <v>42309</v>
      </c>
      <c r="O30" s="809"/>
    </row>
    <row r="31" spans="1:15" ht="15" thickBot="1" x14ac:dyDescent="0.25">
      <c r="A31" s="442"/>
      <c r="B31" s="838"/>
      <c r="C31" s="55"/>
      <c r="D31" s="55"/>
      <c r="E31" s="55"/>
      <c r="F31" s="55"/>
      <c r="G31" s="55"/>
      <c r="H31" s="311" t="s">
        <v>116</v>
      </c>
      <c r="I31" s="349">
        <v>0.8</v>
      </c>
      <c r="J31" s="805">
        <v>0.8</v>
      </c>
      <c r="K31" s="788"/>
      <c r="L31" s="696" t="s">
        <v>662</v>
      </c>
      <c r="M31" s="795">
        <v>55</v>
      </c>
      <c r="N31" s="818">
        <v>55</v>
      </c>
      <c r="O31" s="810"/>
    </row>
    <row r="32" spans="1:15" x14ac:dyDescent="0.2">
      <c r="A32" s="442"/>
      <c r="B32" s="838"/>
      <c r="C32" s="55"/>
      <c r="D32" s="55"/>
      <c r="E32" s="55"/>
      <c r="F32" s="55"/>
      <c r="G32" s="55"/>
      <c r="H32" s="483" t="s">
        <v>691</v>
      </c>
      <c r="I32" s="315"/>
      <c r="J32" s="808">
        <v>42309</v>
      </c>
      <c r="K32" s="812"/>
      <c r="L32" s="483" t="s">
        <v>680</v>
      </c>
      <c r="M32" s="315"/>
      <c r="N32" s="309"/>
      <c r="O32" s="310"/>
    </row>
    <row r="33" spans="1:16" ht="15" thickBot="1" x14ac:dyDescent="0.25">
      <c r="A33" s="442"/>
      <c r="B33" s="838"/>
      <c r="C33" s="55"/>
      <c r="D33" s="55"/>
      <c r="E33" s="55"/>
      <c r="F33" s="55"/>
      <c r="G33" s="55"/>
      <c r="H33" s="696" t="s">
        <v>116</v>
      </c>
      <c r="I33" s="349">
        <v>0.12</v>
      </c>
      <c r="J33" s="807">
        <v>0.12</v>
      </c>
      <c r="K33" s="810"/>
      <c r="L33" s="696" t="s">
        <v>662</v>
      </c>
      <c r="M33" s="526">
        <v>0.95</v>
      </c>
      <c r="N33" s="754" t="s">
        <v>645</v>
      </c>
      <c r="O33" s="312"/>
    </row>
    <row r="34" spans="1:16" x14ac:dyDescent="0.2">
      <c r="A34" s="442"/>
      <c r="B34" s="838"/>
      <c r="C34" s="55"/>
      <c r="D34" s="55"/>
      <c r="E34" s="55"/>
      <c r="F34" s="55"/>
      <c r="G34" s="55"/>
      <c r="H34" s="483" t="s">
        <v>687</v>
      </c>
      <c r="I34" s="315"/>
      <c r="J34" s="808">
        <v>43983</v>
      </c>
      <c r="K34" s="812"/>
      <c r="L34" s="483" t="s">
        <v>695</v>
      </c>
      <c r="M34" s="315"/>
      <c r="N34" s="309"/>
      <c r="O34" s="812"/>
    </row>
    <row r="35" spans="1:16" ht="15" thickBot="1" x14ac:dyDescent="0.25">
      <c r="A35" s="442"/>
      <c r="B35" s="838"/>
      <c r="C35" s="55"/>
      <c r="D35" s="55"/>
      <c r="E35" s="55"/>
      <c r="F35" s="55"/>
      <c r="G35" s="55"/>
      <c r="H35" s="696" t="s">
        <v>662</v>
      </c>
      <c r="I35" s="418">
        <v>0.08</v>
      </c>
      <c r="J35" s="806">
        <v>0.06</v>
      </c>
      <c r="K35" s="810"/>
      <c r="L35" s="696" t="s">
        <v>116</v>
      </c>
      <c r="M35" s="526">
        <v>0.26</v>
      </c>
      <c r="N35" s="754" t="s">
        <v>646</v>
      </c>
      <c r="O35" s="810"/>
    </row>
    <row r="36" spans="1:16" x14ac:dyDescent="0.2">
      <c r="A36" s="442"/>
      <c r="B36" s="838"/>
      <c r="F36" s="55"/>
      <c r="H36" s="308" t="s">
        <v>280</v>
      </c>
      <c r="I36" s="315"/>
      <c r="J36" s="808">
        <v>42309</v>
      </c>
      <c r="K36" s="809"/>
      <c r="L36" s="483" t="s">
        <v>688</v>
      </c>
      <c r="M36" s="315"/>
      <c r="N36" s="309"/>
      <c r="O36" s="310"/>
    </row>
    <row r="37" spans="1:16" ht="15" thickBot="1" x14ac:dyDescent="0.25">
      <c r="A37" s="442"/>
      <c r="B37" s="838"/>
      <c r="F37" s="55"/>
      <c r="H37" s="696" t="s">
        <v>662</v>
      </c>
      <c r="I37" s="418">
        <v>0.03</v>
      </c>
      <c r="J37" s="806">
        <v>0.03</v>
      </c>
      <c r="K37" s="810"/>
      <c r="L37" s="696" t="s">
        <v>662</v>
      </c>
      <c r="M37" s="526">
        <v>0.4</v>
      </c>
      <c r="N37" s="754"/>
      <c r="O37" s="312"/>
    </row>
    <row r="38" spans="1:16" x14ac:dyDescent="0.2">
      <c r="A38" s="442"/>
      <c r="B38" s="838"/>
      <c r="F38" s="55"/>
      <c r="H38" s="483" t="s">
        <v>612</v>
      </c>
      <c r="I38" s="315" t="s">
        <v>613</v>
      </c>
      <c r="J38" s="808">
        <v>42309</v>
      </c>
      <c r="K38" s="809"/>
      <c r="L38" s="483" t="s">
        <v>689</v>
      </c>
      <c r="M38" s="315"/>
      <c r="N38" s="808">
        <v>42309</v>
      </c>
      <c r="O38" s="812"/>
    </row>
    <row r="39" spans="1:16" ht="15" thickBot="1" x14ac:dyDescent="0.25">
      <c r="A39" s="890" t="s">
        <v>801</v>
      </c>
      <c r="B39" s="838">
        <v>433</v>
      </c>
      <c r="F39" s="55"/>
      <c r="H39" s="696" t="s">
        <v>123</v>
      </c>
      <c r="I39" s="466">
        <v>4</v>
      </c>
      <c r="J39" s="819">
        <v>4</v>
      </c>
      <c r="K39" s="810"/>
      <c r="L39" s="311" t="s">
        <v>123</v>
      </c>
      <c r="M39" s="526">
        <v>11.9</v>
      </c>
      <c r="N39" s="819">
        <v>9</v>
      </c>
      <c r="O39" s="810"/>
    </row>
    <row r="40" spans="1:16" x14ac:dyDescent="0.2">
      <c r="A40" s="442" t="s">
        <v>577</v>
      </c>
      <c r="B40" s="838">
        <v>250</v>
      </c>
      <c r="F40" s="55"/>
      <c r="H40" s="483" t="s">
        <v>612</v>
      </c>
      <c r="I40" s="315" t="s">
        <v>614</v>
      </c>
      <c r="J40" s="808">
        <v>42309</v>
      </c>
      <c r="K40" s="809"/>
      <c r="L40" s="483" t="s">
        <v>705</v>
      </c>
      <c r="M40" s="315"/>
      <c r="N40" s="309"/>
      <c r="O40" s="809">
        <v>42644</v>
      </c>
      <c r="P40" s="55"/>
    </row>
    <row r="41" spans="1:16" ht="15" thickBot="1" x14ac:dyDescent="0.25">
      <c r="A41" s="442" t="s">
        <v>694</v>
      </c>
      <c r="B41" s="838">
        <v>3110</v>
      </c>
      <c r="H41" s="696" t="s">
        <v>522</v>
      </c>
      <c r="I41" s="466">
        <v>6</v>
      </c>
      <c r="J41" s="819">
        <v>6</v>
      </c>
      <c r="K41" s="810"/>
      <c r="L41" s="696" t="s">
        <v>662</v>
      </c>
      <c r="M41" s="856">
        <v>8</v>
      </c>
      <c r="N41" s="754"/>
      <c r="O41" s="857">
        <v>6</v>
      </c>
      <c r="P41" s="55"/>
    </row>
    <row r="42" spans="1:16" x14ac:dyDescent="0.2">
      <c r="A42" s="442" t="s">
        <v>693</v>
      </c>
      <c r="B42" s="838">
        <v>40.1</v>
      </c>
      <c r="H42" s="483" t="s">
        <v>612</v>
      </c>
      <c r="I42" s="315" t="s">
        <v>615</v>
      </c>
      <c r="J42" s="808">
        <v>42309</v>
      </c>
      <c r="K42" s="809"/>
      <c r="L42" s="483" t="s">
        <v>703</v>
      </c>
      <c r="M42" s="315"/>
      <c r="N42" s="309"/>
      <c r="O42" s="809">
        <v>42644</v>
      </c>
      <c r="P42" s="55"/>
    </row>
    <row r="43" spans="1:16" ht="15" thickBot="1" x14ac:dyDescent="0.25">
      <c r="A43" s="442" t="s">
        <v>644</v>
      </c>
      <c r="B43" s="838">
        <v>1375.93</v>
      </c>
      <c r="H43" s="696" t="s">
        <v>123</v>
      </c>
      <c r="I43" s="466">
        <v>9</v>
      </c>
      <c r="J43" s="819">
        <v>9</v>
      </c>
      <c r="K43" s="810"/>
      <c r="L43" s="696" t="s">
        <v>116</v>
      </c>
      <c r="M43" s="858">
        <v>20</v>
      </c>
      <c r="N43" s="754"/>
      <c r="O43" s="859">
        <v>15</v>
      </c>
      <c r="P43" s="55"/>
    </row>
    <row r="44" spans="1:16" x14ac:dyDescent="0.2">
      <c r="A44" s="442" t="s">
        <v>643</v>
      </c>
      <c r="B44" s="838">
        <v>1654.31</v>
      </c>
      <c r="H44" s="483" t="s">
        <v>650</v>
      </c>
      <c r="I44" s="315"/>
      <c r="J44" s="808">
        <v>42309</v>
      </c>
      <c r="K44" s="812"/>
      <c r="L44" s="483" t="s">
        <v>706</v>
      </c>
      <c r="M44" s="315"/>
      <c r="N44" s="309"/>
      <c r="O44" s="809">
        <v>42644</v>
      </c>
      <c r="P44" s="55"/>
    </row>
    <row r="45" spans="1:16" ht="15" thickBot="1" x14ac:dyDescent="0.25">
      <c r="A45" s="442" t="s">
        <v>641</v>
      </c>
      <c r="B45" s="838">
        <v>7682</v>
      </c>
      <c r="H45" s="696" t="s">
        <v>665</v>
      </c>
      <c r="I45" s="418">
        <v>0.02</v>
      </c>
      <c r="J45" s="806">
        <v>0.02</v>
      </c>
      <c r="K45" s="810"/>
      <c r="L45" s="696" t="s">
        <v>662</v>
      </c>
      <c r="M45" s="858">
        <v>12</v>
      </c>
      <c r="N45" s="754"/>
      <c r="O45" s="860">
        <v>12</v>
      </c>
      <c r="P45" s="55"/>
    </row>
    <row r="46" spans="1:16" x14ac:dyDescent="0.2">
      <c r="A46" s="442" t="s">
        <v>632</v>
      </c>
      <c r="B46" s="838">
        <v>6852</v>
      </c>
      <c r="H46" s="483" t="s">
        <v>582</v>
      </c>
      <c r="I46" s="315"/>
      <c r="J46" s="309"/>
      <c r="K46" s="310"/>
      <c r="L46" s="483" t="s">
        <v>864</v>
      </c>
      <c r="M46" s="315"/>
      <c r="N46" s="808">
        <v>42309</v>
      </c>
      <c r="O46" s="812"/>
    </row>
    <row r="47" spans="1:16" ht="15" thickBot="1" x14ac:dyDescent="0.25">
      <c r="A47" s="442" t="s">
        <v>642</v>
      </c>
      <c r="B47" s="838">
        <v>4163</v>
      </c>
      <c r="H47" s="696" t="s">
        <v>116</v>
      </c>
      <c r="I47" s="349">
        <v>0.4</v>
      </c>
      <c r="J47" s="791"/>
      <c r="K47" s="312"/>
      <c r="L47" s="311" t="s">
        <v>123</v>
      </c>
      <c r="M47" s="526">
        <v>0.25</v>
      </c>
      <c r="N47" s="818">
        <v>0.35</v>
      </c>
      <c r="O47" s="810"/>
    </row>
    <row r="48" spans="1:16" x14ac:dyDescent="0.2">
      <c r="A48" s="442" t="s">
        <v>631</v>
      </c>
      <c r="B48" s="838">
        <v>1759.34</v>
      </c>
      <c r="H48" s="308" t="s">
        <v>238</v>
      </c>
      <c r="I48" s="315"/>
      <c r="J48" s="808">
        <v>42309</v>
      </c>
      <c r="K48" s="809"/>
      <c r="L48" s="483" t="s">
        <v>663</v>
      </c>
      <c r="M48" s="315"/>
      <c r="N48" s="808">
        <v>42309</v>
      </c>
      <c r="O48" s="812"/>
    </row>
    <row r="49" spans="1:15" ht="15" thickBot="1" x14ac:dyDescent="0.25">
      <c r="A49" s="442" t="s">
        <v>633</v>
      </c>
      <c r="B49" s="838">
        <v>1650</v>
      </c>
      <c r="H49" s="696" t="s">
        <v>116</v>
      </c>
      <c r="I49" s="349">
        <v>0.05</v>
      </c>
      <c r="J49" s="807">
        <v>0.05</v>
      </c>
      <c r="K49" s="810"/>
      <c r="L49" s="696" t="s">
        <v>116</v>
      </c>
      <c r="M49" s="526">
        <v>2</v>
      </c>
      <c r="N49" s="818">
        <v>1.75</v>
      </c>
      <c r="O49" s="817"/>
    </row>
    <row r="50" spans="1:15" x14ac:dyDescent="0.2">
      <c r="A50" s="442" t="s">
        <v>634</v>
      </c>
      <c r="B50" s="838">
        <v>5544.29</v>
      </c>
      <c r="L50" s="483" t="s">
        <v>661</v>
      </c>
      <c r="M50" s="315"/>
      <c r="N50" s="808">
        <v>42309</v>
      </c>
      <c r="O50" s="809"/>
    </row>
    <row r="51" spans="1:15" ht="15" thickBot="1" x14ac:dyDescent="0.25">
      <c r="A51" s="442" t="s">
        <v>636</v>
      </c>
      <c r="B51" s="838">
        <v>1458.75</v>
      </c>
      <c r="L51" s="696" t="s">
        <v>116</v>
      </c>
      <c r="M51" s="350">
        <v>40</v>
      </c>
      <c r="N51" s="815">
        <v>25</v>
      </c>
      <c r="O51" s="816"/>
    </row>
    <row r="52" spans="1:15" x14ac:dyDescent="0.2">
      <c r="L52" s="483" t="s">
        <v>690</v>
      </c>
      <c r="M52" s="315"/>
      <c r="N52" s="808">
        <v>42309</v>
      </c>
      <c r="O52" s="812"/>
    </row>
    <row r="53" spans="1:15" ht="15" thickBot="1" x14ac:dyDescent="0.25">
      <c r="L53" s="696" t="s">
        <v>116</v>
      </c>
      <c r="M53" s="820">
        <v>3.08</v>
      </c>
      <c r="N53" s="818">
        <v>1.1000000000000001</v>
      </c>
      <c r="O53" s="817"/>
    </row>
    <row r="54" spans="1:15" x14ac:dyDescent="0.2">
      <c r="L54" s="483" t="s">
        <v>425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3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1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87" t="str">
        <f>IF(Deutsch,"Vorbelegung:","pre selection")</f>
        <v>Vorbelegung:</v>
      </c>
      <c r="B1" s="47" t="s">
        <v>304</v>
      </c>
      <c r="D1" s="836" t="s">
        <v>696</v>
      </c>
      <c r="F1" s="869"/>
      <c r="G1" s="870" t="str">
        <f>IFERROR(CONCATENATE(IF(Deutsch,"Daten aus ","data base "),RIGHT(MAX(I2:Q2),2),".",LEFT(MAX(I2:Q2),4)),IF(Deutsch,"älter","old data"))</f>
        <v>Daten aus 0.0</v>
      </c>
      <c r="H1" s="796" t="s">
        <v>647</v>
      </c>
      <c r="I1" s="835">
        <f>(IFERROR(VLOOKUP(I$3,#REF!,4,FALSE),VLOOKUP(I$3,'Länder-DB'!$A$20:$B$51,2,FALSE))+'Länder-DB'!$M$31)/1000</f>
        <v>1.43093</v>
      </c>
      <c r="J1" s="798">
        <f>(IFERROR(VLOOKUP(J$3,#REF!,4,FALSE),VLOOKUP(J3,'Länder-DB'!$A$20:$B$51,2,FALSE))+'Länder-DB'!$M$31)/1000+'Länder-DB'!$M$33</f>
        <v>7.8570000000000002</v>
      </c>
      <c r="K1" s="798">
        <f>(IFERROR(VLOOKUP(K$3,#REF!,4,FALSE),VLOOKUP(K3,'Länder-DB'!$A$20:$B$51,2,FALSE))+'Länder-DB'!$M$31)/1000+'Länder-DB'!$M$33</f>
        <v>5.1680000000000001</v>
      </c>
      <c r="L1" s="798">
        <f>(IFERROR(VLOOKUP(L$3,#REF!,4,FALSE),VLOOKUP(L3,'Länder-DB'!$A$20:$B$51,2,FALSE))+'Länder-DB'!$M$31)/1000+'Länder-DB'!$M$33</f>
        <v>2.7643399999999998</v>
      </c>
      <c r="M1" s="798">
        <f>(IFERROR(VLOOKUP(M$3,#REF!,4,FALSE),VLOOKUP(M3,'Länder-DB'!$A$20:$B$51,2,FALSE)))/1000+'Länder-DB'!$M$33</f>
        <v>2.4087499999999999</v>
      </c>
      <c r="N1" s="799">
        <f>(IFERROR(VLOOKUP(N$3,#REF!,4,FALSE),VLOOKUP(N3,'Länder-DB'!$A$20:$B$51,2,FALSE))+'Länder-DB'!$M$31)/1000+'Länder-DB'!$M$33</f>
        <v>8.6869999999999994</v>
      </c>
      <c r="O1" s="798">
        <f>(IFERROR(VLOOKUP(O$3,#REF!,4,FALSE),VLOOKUP(O3,'Länder-DB'!$A$20:$B$51,2,FALSE)))/1000+'Länder-DB'!$M$33</f>
        <v>2.5999999999999996</v>
      </c>
      <c r="P1" s="798">
        <f>(IFERROR(VLOOKUP(P$3,#REF!,4,FALSE),VLOOKUP(P3,'Länder-DB'!$A$20:$B$51,2,FALSE))+'Länder-DB'!$M$31)/1000+'Länder-DB'!$M$33</f>
        <v>2.6593099999999996</v>
      </c>
      <c r="Q1" s="800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76" t="s">
        <v>670</v>
      </c>
      <c r="D2" s="776" t="s">
        <v>678</v>
      </c>
      <c r="E2" s="776" t="s">
        <v>673</v>
      </c>
      <c r="F2" s="776" t="s">
        <v>675</v>
      </c>
      <c r="G2" s="776" t="s">
        <v>676</v>
      </c>
      <c r="H2" s="797" t="s">
        <v>677</v>
      </c>
      <c r="I2" s="801" t="str">
        <f>IFERROR(VLOOKUP(I$3,#REF!,3,FALSE),IF(Deutsch,"älter","old data"))</f>
        <v>älter</v>
      </c>
      <c r="J2" s="802" t="str">
        <f>IFERROR(VLOOKUP(J$3,#REF!,3,FALSE),IF(Deutsch,"älter","old data"))</f>
        <v>älter</v>
      </c>
      <c r="K2" s="802" t="str">
        <f>IFERROR(VLOOKUP(K$3,#REF!,3,FALSE),IF(Deutsch,"älter","old data"))</f>
        <v>älter</v>
      </c>
      <c r="L2" s="802" t="str">
        <f>IFERROR(VLOOKUP(L$3,#REF!,3,FALSE),IF(Deutsch,"älter","old data"))</f>
        <v>älter</v>
      </c>
      <c r="M2" s="802" t="str">
        <f>IFERROR(VLOOKUP(M$3,#REF!,3,FALSE),IF(Deutsch,"älter","old data"))</f>
        <v>älter</v>
      </c>
      <c r="N2" s="802" t="str">
        <f>IFERROR(VLOOKUP(N$3,#REF!,3,FALSE),IF(Deutsch,"älter","old data"))</f>
        <v>älter</v>
      </c>
      <c r="O2" s="802" t="str">
        <f>IFERROR(VLOOKUP(O$3,#REF!,3,FALSE),IF(Deutsch,"älter","old data"))</f>
        <v>älter</v>
      </c>
      <c r="P2" s="802" t="str">
        <f>IFERROR(VLOOKUP(P$3,#REF!,3,FALSE),IF(Deutsch,"älter","old data"))</f>
        <v>älter</v>
      </c>
      <c r="Q2" s="803" t="str">
        <f>IFERROR(VLOOKUP(Q$3,#REF!,3,FALSE),IF(Deutsch,"älter","old data"))</f>
        <v>älter</v>
      </c>
      <c r="R2" s="793" t="s">
        <v>671</v>
      </c>
      <c r="S2" s="776" t="s">
        <v>697</v>
      </c>
      <c r="T2" s="776" t="s">
        <v>711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76" t="s">
        <v>669</v>
      </c>
      <c r="D3" s="167" t="s">
        <v>648</v>
      </c>
      <c r="E3" s="776" t="s">
        <v>674</v>
      </c>
      <c r="F3" s="776" t="s">
        <v>667</v>
      </c>
      <c r="G3" s="167" t="s">
        <v>297</v>
      </c>
      <c r="H3" s="776" t="s">
        <v>668</v>
      </c>
      <c r="I3" s="794" t="s">
        <v>644</v>
      </c>
      <c r="J3" s="794" t="s">
        <v>632</v>
      </c>
      <c r="K3" s="794" t="s">
        <v>642</v>
      </c>
      <c r="L3" s="794" t="s">
        <v>631</v>
      </c>
      <c r="M3" s="794" t="s">
        <v>636</v>
      </c>
      <c r="N3" s="794" t="s">
        <v>641</v>
      </c>
      <c r="O3" s="794" t="s">
        <v>633</v>
      </c>
      <c r="P3" s="794" t="s">
        <v>643</v>
      </c>
      <c r="Q3" s="794" t="s">
        <v>634</v>
      </c>
      <c r="R3" s="776" t="s">
        <v>635</v>
      </c>
      <c r="S3" s="776" t="s">
        <v>672</v>
      </c>
      <c r="T3" s="776" t="s">
        <v>711</v>
      </c>
      <c r="U3" s="443" t="s">
        <v>297</v>
      </c>
    </row>
    <row r="4" spans="1:21" x14ac:dyDescent="0.2">
      <c r="A4" s="780" t="s">
        <v>325</v>
      </c>
      <c r="B4" s="781" t="s">
        <v>712</v>
      </c>
      <c r="C4" s="64">
        <f>ROUND('Länder-DB'!$M$35*1.1%/(0.1%+$R4)+'Länder-DB'!$M$37+I4*I$1+J4*J$1+K4*K$1+L4*L$1+M4*M$1+N4*N$1+O4*O$1+P4*P$1+Q4*Q$1+S4,2)</f>
        <v>2.41</v>
      </c>
      <c r="D4" s="782" t="s">
        <v>745</v>
      </c>
      <c r="E4" s="783">
        <v>2.75</v>
      </c>
      <c r="F4" s="780"/>
      <c r="G4" s="780"/>
      <c r="H4" s="780"/>
      <c r="I4" s="777">
        <f>1-SUM(J4:Q4)</f>
        <v>0.94799999999999995</v>
      </c>
      <c r="J4" s="786">
        <v>4.7E-2</v>
      </c>
      <c r="K4" s="786"/>
      <c r="L4" s="786">
        <v>2.5000000000000001E-3</v>
      </c>
      <c r="M4" s="786"/>
      <c r="N4" s="786"/>
      <c r="O4" s="786"/>
      <c r="P4" s="786"/>
      <c r="Q4" s="786">
        <v>2.5000000000000001E-3</v>
      </c>
      <c r="R4" s="786">
        <v>0.01</v>
      </c>
      <c r="S4" s="783">
        <v>0</v>
      </c>
      <c r="T4" s="780"/>
      <c r="U4" s="785"/>
    </row>
    <row r="5" spans="1:21" x14ac:dyDescent="0.2">
      <c r="A5" s="780" t="s">
        <v>326</v>
      </c>
      <c r="B5" s="781" t="s">
        <v>713</v>
      </c>
      <c r="C5" s="64">
        <f>ROUND('Länder-DB'!$M$35*1.1%/(0.1%+$R5)+'Länder-DB'!$M$37+I5*I$1+J5*J$1+K5*K$1+L5*L$1+M5*M$1+N5*N$1+O5*O$1+P5*P$1+Q5*Q$1+S5,2)</f>
        <v>2.4500000000000002</v>
      </c>
      <c r="D5" s="782" t="s">
        <v>746</v>
      </c>
      <c r="E5" s="783">
        <v>2.75</v>
      </c>
      <c r="F5" s="780"/>
      <c r="G5" s="780"/>
      <c r="H5" s="780"/>
      <c r="I5" s="777">
        <f t="shared" ref="I5:I37" si="0">1-SUM(J5:Q5)</f>
        <v>0.94950000000000001</v>
      </c>
      <c r="J5" s="786">
        <v>4.8000000000000001E-2</v>
      </c>
      <c r="K5" s="786"/>
      <c r="L5" s="786"/>
      <c r="M5" s="786"/>
      <c r="N5" s="786"/>
      <c r="O5" s="786"/>
      <c r="P5" s="786"/>
      <c r="Q5" s="786">
        <v>2.5000000000000001E-3</v>
      </c>
      <c r="R5" s="786">
        <v>8.5000000000000006E-3</v>
      </c>
      <c r="S5" s="783">
        <v>0</v>
      </c>
      <c r="T5" s="780"/>
      <c r="U5" s="785"/>
    </row>
    <row r="6" spans="1:21" x14ac:dyDescent="0.2">
      <c r="A6" s="780" t="s">
        <v>318</v>
      </c>
      <c r="B6" s="781" t="s">
        <v>714</v>
      </c>
      <c r="C6" s="64">
        <f>ROUND('Länder-DB'!$M$35*1.1%/(0.1%+$R6)+'Länder-DB'!$M$37+I6*I$1+J6*J$1+K6*K$1+L6*L$1+M6*M$1+N6*N$1+O6*O$1+P6*P$1+Q6*Q$1+S6,2)</f>
        <v>2.27</v>
      </c>
      <c r="D6" s="780" t="s">
        <v>317</v>
      </c>
      <c r="E6" s="783">
        <v>2.75</v>
      </c>
      <c r="F6" s="780"/>
      <c r="G6" s="780" t="s">
        <v>296</v>
      </c>
      <c r="H6" s="780"/>
      <c r="I6" s="777">
        <f t="shared" si="0"/>
        <v>0.96830000000000005</v>
      </c>
      <c r="J6" s="786"/>
      <c r="K6" s="786"/>
      <c r="L6" s="786">
        <v>5.4999999999999997E-3</v>
      </c>
      <c r="M6" s="786">
        <v>4.0000000000000001E-3</v>
      </c>
      <c r="N6" s="786"/>
      <c r="O6" s="786">
        <v>2.1000000000000001E-2</v>
      </c>
      <c r="P6" s="786"/>
      <c r="Q6" s="786">
        <v>1.1999999999999999E-3</v>
      </c>
      <c r="R6" s="786">
        <v>9.4999999999999998E-3</v>
      </c>
      <c r="S6" s="783">
        <v>0.12</v>
      </c>
      <c r="T6" s="780"/>
      <c r="U6" s="785"/>
    </row>
    <row r="7" spans="1:21" x14ac:dyDescent="0.2">
      <c r="A7" s="780" t="s">
        <v>316</v>
      </c>
      <c r="B7" s="781" t="s">
        <v>715</v>
      </c>
      <c r="C7" s="64">
        <f>ROUND('Länder-DB'!$M$35*1.1%/(0.1%+$R7)+'Länder-DB'!$M$37+I7*I$1+J7*J$1+K7*K$1+L7*L$1+M7*M$1+N7*N$1+O7*O$1+P7*P$1+Q7*Q$1+S7,2)</f>
        <v>2.46</v>
      </c>
      <c r="D7" s="780" t="s">
        <v>315</v>
      </c>
      <c r="E7" s="783">
        <v>2.74</v>
      </c>
      <c r="F7" s="780"/>
      <c r="G7" s="780" t="s">
        <v>322</v>
      </c>
      <c r="H7" s="780"/>
      <c r="I7" s="777">
        <f t="shared" si="0"/>
        <v>0.91220000000000001</v>
      </c>
      <c r="J7" s="786">
        <v>1.8E-3</v>
      </c>
      <c r="K7" s="786"/>
      <c r="L7" s="786">
        <v>5.0000000000000001E-3</v>
      </c>
      <c r="M7" s="786"/>
      <c r="N7" s="786"/>
      <c r="O7" s="786">
        <v>7.0000000000000007E-2</v>
      </c>
      <c r="P7" s="786"/>
      <c r="Q7" s="786">
        <v>1.0999999999999999E-2</v>
      </c>
      <c r="R7" s="786">
        <v>5.0000000000000001E-3</v>
      </c>
      <c r="S7" s="783">
        <v>0</v>
      </c>
      <c r="T7" s="780"/>
      <c r="U7" s="785" t="s">
        <v>307</v>
      </c>
    </row>
    <row r="8" spans="1:21" x14ac:dyDescent="0.2">
      <c r="A8" s="780" t="s">
        <v>327</v>
      </c>
      <c r="B8" s="781" t="s">
        <v>716</v>
      </c>
      <c r="C8" s="64">
        <f>ROUND('Länder-DB'!$M$35*1.1%/(0.1%+$R8)+'Länder-DB'!$M$37+I8*I$1+J8*J$1+K8*K$1+L8*L$1+M8*M$1+N8*N$1+O8*O$1+P8*P$1+Q8*Q$1+S8,2)</f>
        <v>2.79</v>
      </c>
      <c r="D8" s="782" t="s">
        <v>747</v>
      </c>
      <c r="E8" s="783">
        <v>2.74</v>
      </c>
      <c r="F8" s="780"/>
      <c r="G8" s="780"/>
      <c r="H8" s="780"/>
      <c r="I8" s="777">
        <f t="shared" si="0"/>
        <v>0.92469999999999997</v>
      </c>
      <c r="J8" s="786"/>
      <c r="K8" s="786"/>
      <c r="L8" s="786">
        <v>3.5000000000000001E-3</v>
      </c>
      <c r="M8" s="786"/>
      <c r="N8" s="786"/>
      <c r="O8" s="786">
        <v>7.0000000000000007E-2</v>
      </c>
      <c r="P8" s="786"/>
      <c r="Q8" s="786">
        <v>1.8E-3</v>
      </c>
      <c r="R8" s="786">
        <v>2.3E-3</v>
      </c>
      <c r="S8" s="783">
        <v>0</v>
      </c>
      <c r="T8" s="780"/>
      <c r="U8" s="785"/>
    </row>
    <row r="9" spans="1:21" x14ac:dyDescent="0.2">
      <c r="A9" s="781" t="s">
        <v>328</v>
      </c>
      <c r="B9" s="781" t="s">
        <v>718</v>
      </c>
      <c r="C9" s="64">
        <f>ROUND('Länder-DB'!$M$35*1.1%/(0.1%+$R9)+'Länder-DB'!$M$37+I9*I$1+J9*J$1+K9*K$1+L9*L$1+M9*M$1+N9*N$1+O9*O$1+P9*P$1+Q9*Q$1+S9,2)</f>
        <v>2.5499999999999998</v>
      </c>
      <c r="D9" s="784" t="s">
        <v>748</v>
      </c>
      <c r="E9" s="783">
        <v>2.74</v>
      </c>
      <c r="F9" s="780"/>
      <c r="G9" s="780" t="s">
        <v>322</v>
      </c>
      <c r="H9" s="780"/>
      <c r="I9" s="777">
        <f t="shared" si="0"/>
        <v>0.92179999999999995</v>
      </c>
      <c r="J9" s="786">
        <v>4.0000000000000002E-4</v>
      </c>
      <c r="K9" s="786"/>
      <c r="L9" s="786">
        <v>6.0000000000000001E-3</v>
      </c>
      <c r="M9" s="786"/>
      <c r="N9" s="786"/>
      <c r="O9" s="786">
        <v>7.0000000000000007E-2</v>
      </c>
      <c r="P9" s="786"/>
      <c r="Q9" s="786">
        <v>1.8E-3</v>
      </c>
      <c r="R9" s="786">
        <v>3.5999999999999999E-3</v>
      </c>
      <c r="S9" s="783">
        <v>0</v>
      </c>
      <c r="T9" s="780"/>
      <c r="U9" s="785"/>
    </row>
    <row r="10" spans="1:21" x14ac:dyDescent="0.2">
      <c r="A10" s="780" t="s">
        <v>303</v>
      </c>
      <c r="B10" s="781" t="s">
        <v>717</v>
      </c>
      <c r="C10" s="64">
        <f>ROUND('Länder-DB'!$M$35*1.1%/(0.1%+$R10)+'Länder-DB'!$M$37+I10*I$1+J10*J$1+K10*K$1+L10*L$1+M10*M$1+N10*N$1+O10*O$1+P10*P$1+Q10*Q$1+S10,2)</f>
        <v>2.31</v>
      </c>
      <c r="D10" s="780" t="s">
        <v>638</v>
      </c>
      <c r="E10" s="783">
        <v>2.706</v>
      </c>
      <c r="F10" s="780">
        <v>215</v>
      </c>
      <c r="G10" s="780" t="s">
        <v>322</v>
      </c>
      <c r="H10" s="780">
        <v>710</v>
      </c>
      <c r="I10" s="777">
        <f t="shared" si="0"/>
        <v>0.89649999999999996</v>
      </c>
      <c r="J10" s="786"/>
      <c r="K10" s="786"/>
      <c r="L10" s="786">
        <v>3.5000000000000001E-3</v>
      </c>
      <c r="M10" s="786"/>
      <c r="N10" s="786"/>
      <c r="O10" s="786">
        <v>0.1</v>
      </c>
      <c r="P10" s="786"/>
      <c r="Q10" s="786"/>
      <c r="R10" s="786">
        <v>7.0000000000000001E-3</v>
      </c>
      <c r="S10" s="783">
        <v>0</v>
      </c>
      <c r="T10" s="780"/>
      <c r="U10" s="785" t="s">
        <v>307</v>
      </c>
    </row>
    <row r="11" spans="1:21" x14ac:dyDescent="0.2">
      <c r="A11" s="780" t="s">
        <v>304</v>
      </c>
      <c r="B11" s="781" t="s">
        <v>719</v>
      </c>
      <c r="C11" s="64">
        <f>ROUND('Länder-DB'!$M$35*1.1%/(0.1%+$R11)+'Länder-DB'!$M$37+I11*I$1+J11*J$1+K11*K$1+L11*L$1+M11*M$1+N11*N$1+O11*O$1+P11*P$1+Q11*Q$1+S11,2)</f>
        <v>2.29</v>
      </c>
      <c r="D11" s="780" t="s">
        <v>256</v>
      </c>
      <c r="E11" s="783">
        <v>2.706</v>
      </c>
      <c r="F11" s="780"/>
      <c r="G11" s="780" t="s">
        <v>322</v>
      </c>
      <c r="H11" s="780">
        <v>710</v>
      </c>
      <c r="I11" s="777">
        <f t="shared" si="0"/>
        <v>0.89649999999999996</v>
      </c>
      <c r="J11" s="786"/>
      <c r="K11" s="786"/>
      <c r="L11" s="786">
        <v>3.5000000000000001E-3</v>
      </c>
      <c r="M11" s="786"/>
      <c r="N11" s="786"/>
      <c r="O11" s="786">
        <v>0.1</v>
      </c>
      <c r="P11" s="786"/>
      <c r="Q11" s="786"/>
      <c r="R11" s="786">
        <v>7.4999999999999997E-3</v>
      </c>
      <c r="S11" s="783">
        <v>0</v>
      </c>
      <c r="T11" s="780"/>
      <c r="U11" s="785" t="s">
        <v>307</v>
      </c>
    </row>
    <row r="12" spans="1:21" x14ac:dyDescent="0.2">
      <c r="A12" s="780" t="s">
        <v>305</v>
      </c>
      <c r="B12" s="781" t="s">
        <v>720</v>
      </c>
      <c r="C12" s="64">
        <f>ROUND('Länder-DB'!$M$35*1.1%/(0.1%+$R12)+'Länder-DB'!$M$37+I12*I$1+J12*J$1+K12*K$1+L12*L$1+M12*M$1+N12*N$1+O12*O$1+P12*P$1+Q12*Q$1+S12,2)</f>
        <v>2.1</v>
      </c>
      <c r="D12" s="784" t="s">
        <v>744</v>
      </c>
      <c r="E12" s="783">
        <v>2.706</v>
      </c>
      <c r="F12" s="780"/>
      <c r="G12" s="780" t="s">
        <v>296</v>
      </c>
      <c r="H12" s="780">
        <v>710</v>
      </c>
      <c r="I12" s="777">
        <f t="shared" si="0"/>
        <v>0.89449999999999996</v>
      </c>
      <c r="J12" s="786">
        <v>2E-3</v>
      </c>
      <c r="K12" s="786"/>
      <c r="L12" s="786">
        <v>3.5000000000000001E-3</v>
      </c>
      <c r="M12" s="786"/>
      <c r="N12" s="786"/>
      <c r="O12" s="786">
        <v>0.1</v>
      </c>
      <c r="P12" s="786"/>
      <c r="Q12" s="786"/>
      <c r="R12" s="786">
        <v>0.02</v>
      </c>
      <c r="S12" s="783">
        <v>0</v>
      </c>
      <c r="T12" s="780"/>
      <c r="U12" s="785" t="s">
        <v>307</v>
      </c>
    </row>
    <row r="13" spans="1:21" x14ac:dyDescent="0.2">
      <c r="A13" s="780" t="s">
        <v>314</v>
      </c>
      <c r="B13" s="781" t="s">
        <v>721</v>
      </c>
      <c r="C13" s="64">
        <f>ROUND('Länder-DB'!$M$35*1.1%/(0.1%+$R13)+'Länder-DB'!$M$37+I13*I$1+J13*J$1+K13*K$1+L13*L$1+M13*M$1+N13*N$1+O13*O$1+P13*P$1+Q13*Q$1+S13,2)</f>
        <v>2.38</v>
      </c>
      <c r="D13" s="782" t="s">
        <v>749</v>
      </c>
      <c r="E13" s="783">
        <v>2.726</v>
      </c>
      <c r="F13" s="780"/>
      <c r="G13" s="780" t="s">
        <v>296</v>
      </c>
      <c r="H13" s="780"/>
      <c r="I13" s="777">
        <f t="shared" si="0"/>
        <v>0.90100000000000002</v>
      </c>
      <c r="J13" s="786"/>
      <c r="K13" s="786"/>
      <c r="L13" s="786">
        <v>4.0000000000000001E-3</v>
      </c>
      <c r="M13" s="786"/>
      <c r="N13" s="786"/>
      <c r="O13" s="786">
        <v>9.5000000000000001E-2</v>
      </c>
      <c r="P13" s="786"/>
      <c r="Q13" s="786"/>
      <c r="R13" s="786">
        <v>5.5999999999999999E-3</v>
      </c>
      <c r="S13" s="783">
        <v>0</v>
      </c>
      <c r="T13" s="780"/>
      <c r="U13" s="785"/>
    </row>
    <row r="14" spans="1:21" x14ac:dyDescent="0.2">
      <c r="A14" s="780" t="s">
        <v>313</v>
      </c>
      <c r="B14" s="781" t="s">
        <v>722</v>
      </c>
      <c r="C14" s="64">
        <f>ROUND('Länder-DB'!$M$35*1.1%/(0.1%+$R14)+'Länder-DB'!$M$37+I14*I$1+J14*J$1+K14*K$1+L14*L$1+M14*M$1+N14*N$1+O14*O$1+P14*P$1+Q14*Q$1+S14,2)</f>
        <v>2.2200000000000002</v>
      </c>
      <c r="D14" s="782" t="s">
        <v>750</v>
      </c>
      <c r="E14" s="783">
        <v>2.702</v>
      </c>
      <c r="F14" s="780"/>
      <c r="G14" s="780"/>
      <c r="H14" s="780"/>
      <c r="I14" s="777">
        <f t="shared" si="0"/>
        <v>0.89100000000000001</v>
      </c>
      <c r="J14" s="786"/>
      <c r="K14" s="786"/>
      <c r="L14" s="786"/>
      <c r="M14" s="786"/>
      <c r="N14" s="786"/>
      <c r="O14" s="786">
        <v>0.109</v>
      </c>
      <c r="P14" s="786"/>
      <c r="Q14" s="786"/>
      <c r="R14" s="786">
        <v>0.01</v>
      </c>
      <c r="S14" s="783">
        <v>0</v>
      </c>
      <c r="T14" s="780"/>
      <c r="U14" s="785"/>
    </row>
    <row r="15" spans="1:21" x14ac:dyDescent="0.2">
      <c r="A15" s="780" t="s">
        <v>302</v>
      </c>
      <c r="B15" s="781" t="s">
        <v>723</v>
      </c>
      <c r="C15" s="64">
        <f>ROUND('Länder-DB'!$M$35*1.1%/(0.1%+$R15)+'Länder-DB'!$M$37+I15*I$1+J15*J$1+K15*K$1+L15*L$1+M15*M$1+N15*N$1+O15*O$1+P15*P$1+Q15*Q$1+S15,2)</f>
        <v>2.2400000000000002</v>
      </c>
      <c r="D15" s="780" t="s">
        <v>255</v>
      </c>
      <c r="E15" s="783">
        <v>2.68</v>
      </c>
      <c r="F15" s="780">
        <v>215</v>
      </c>
      <c r="G15" s="780"/>
      <c r="H15" s="780">
        <v>690</v>
      </c>
      <c r="I15" s="777">
        <f t="shared" si="0"/>
        <v>0.88</v>
      </c>
      <c r="J15" s="786"/>
      <c r="K15" s="786"/>
      <c r="L15" s="786"/>
      <c r="M15" s="786"/>
      <c r="N15" s="786"/>
      <c r="O15" s="786">
        <v>0.12</v>
      </c>
      <c r="P15" s="786"/>
      <c r="Q15" s="786"/>
      <c r="R15" s="786">
        <v>0.02</v>
      </c>
      <c r="S15" s="783">
        <v>0.13</v>
      </c>
      <c r="T15" s="780"/>
      <c r="U15" s="785" t="s">
        <v>306</v>
      </c>
    </row>
    <row r="16" spans="1:21" x14ac:dyDescent="0.2">
      <c r="A16" s="780" t="s">
        <v>301</v>
      </c>
      <c r="B16" s="781" t="s">
        <v>724</v>
      </c>
      <c r="C16" s="64">
        <f>ROUND('Länder-DB'!$M$35*1.1%/(0.1%+$R16)+'Länder-DB'!$M$37+I16*I$1+J16*J$1+K16*K$1+L16*L$1+M16*M$1+N16*N$1+O16*O$1+P16*P$1+Q16*Q$1+S16,2)</f>
        <v>2.2599999999999998</v>
      </c>
      <c r="D16" s="781" t="s">
        <v>751</v>
      </c>
      <c r="E16" s="783">
        <v>2.68</v>
      </c>
      <c r="F16" s="780">
        <v>215</v>
      </c>
      <c r="G16" s="780"/>
      <c r="H16" s="780">
        <v>700</v>
      </c>
      <c r="I16" s="777">
        <f t="shared" si="0"/>
        <v>0.88</v>
      </c>
      <c r="J16" s="786"/>
      <c r="K16" s="786"/>
      <c r="L16" s="786"/>
      <c r="M16" s="786"/>
      <c r="N16" s="786"/>
      <c r="O16" s="786">
        <v>0.12</v>
      </c>
      <c r="P16" s="786"/>
      <c r="Q16" s="786"/>
      <c r="R16" s="786">
        <v>1.4E-2</v>
      </c>
      <c r="S16" s="783">
        <v>0.1</v>
      </c>
      <c r="T16" s="780"/>
      <c r="U16" s="785" t="s">
        <v>306</v>
      </c>
    </row>
    <row r="17" spans="1:21" x14ac:dyDescent="0.2">
      <c r="A17" s="780" t="s">
        <v>329</v>
      </c>
      <c r="B17" s="781" t="s">
        <v>725</v>
      </c>
      <c r="C17" s="64">
        <f>ROUND('Länder-DB'!$M$35*1.1%/(0.1%+$R17)+'Länder-DB'!$M$37+I17*I$1+J17*J$1+K17*K$1+L17*L$1+M17*M$1+N17*N$1+O17*O$1+P17*P$1+Q17*Q$1+S17,2)</f>
        <v>2.09</v>
      </c>
      <c r="D17" s="781" t="s">
        <v>640</v>
      </c>
      <c r="E17" s="783">
        <v>2.75</v>
      </c>
      <c r="F17" s="780">
        <v>215</v>
      </c>
      <c r="G17" s="780"/>
      <c r="H17" s="780">
        <v>685</v>
      </c>
      <c r="I17" s="777">
        <f t="shared" si="0"/>
        <v>0.90500000000000003</v>
      </c>
      <c r="J17" s="786"/>
      <c r="K17" s="786"/>
      <c r="L17" s="786"/>
      <c r="M17" s="786"/>
      <c r="N17" s="786"/>
      <c r="O17" s="786">
        <v>9.5000000000000001E-2</v>
      </c>
      <c r="P17" s="786"/>
      <c r="Q17" s="786"/>
      <c r="R17" s="786">
        <v>1.7999999999999999E-2</v>
      </c>
      <c r="S17" s="783">
        <v>0</v>
      </c>
      <c r="T17" s="780"/>
      <c r="U17" s="785"/>
    </row>
    <row r="18" spans="1:21" x14ac:dyDescent="0.2">
      <c r="A18" s="780" t="s">
        <v>300</v>
      </c>
      <c r="B18" s="781" t="s">
        <v>726</v>
      </c>
      <c r="C18" s="64">
        <f>ROUND('Länder-DB'!$M$35*1.1%/(0.1%+$R18)+'Länder-DB'!$M$37+I18*I$1+J18*J$1+K18*K$1+L18*L$1+M18*M$1+N18*N$1+O18*O$1+P18*P$1+Q18*Q$1+S18,2)</f>
        <v>2.35</v>
      </c>
      <c r="D18" s="780" t="s">
        <v>254</v>
      </c>
      <c r="E18" s="783">
        <v>2.758</v>
      </c>
      <c r="F18" s="780">
        <v>215</v>
      </c>
      <c r="G18" s="780" t="s">
        <v>262</v>
      </c>
      <c r="H18" s="780">
        <v>680</v>
      </c>
      <c r="I18" s="777">
        <f t="shared" si="0"/>
        <v>0.89549999999999996</v>
      </c>
      <c r="J18" s="786">
        <v>0.04</v>
      </c>
      <c r="K18" s="786"/>
      <c r="L18" s="786"/>
      <c r="M18" s="786">
        <v>4.4999999999999997E-3</v>
      </c>
      <c r="N18" s="786"/>
      <c r="O18" s="786">
        <v>0.06</v>
      </c>
      <c r="P18" s="786"/>
      <c r="Q18" s="786"/>
      <c r="R18" s="786">
        <v>1.4E-2</v>
      </c>
      <c r="S18" s="783">
        <v>0</v>
      </c>
      <c r="T18" s="780"/>
      <c r="U18" s="785"/>
    </row>
    <row r="19" spans="1:21" x14ac:dyDescent="0.2">
      <c r="A19" s="780" t="s">
        <v>320</v>
      </c>
      <c r="B19" s="781" t="s">
        <v>727</v>
      </c>
      <c r="C19" s="64">
        <f>ROUND('Länder-DB'!$M$35*1.1%/(0.1%+$R19)+'Länder-DB'!$M$37+I19*I$1+J19*J$1+K19*K$1+L19*L$1+M19*M$1+N19*N$1+O19*O$1+P19*P$1+Q19*Q$1+S19,2)</f>
        <v>2.2400000000000002</v>
      </c>
      <c r="D19" s="780" t="s">
        <v>319</v>
      </c>
      <c r="E19" s="783">
        <v>2.75</v>
      </c>
      <c r="F19" s="780"/>
      <c r="G19" s="780" t="s">
        <v>321</v>
      </c>
      <c r="H19" s="780"/>
      <c r="I19" s="777">
        <f t="shared" si="0"/>
        <v>0.91449999999999998</v>
      </c>
      <c r="J19" s="786">
        <v>3.2000000000000001E-2</v>
      </c>
      <c r="K19" s="786"/>
      <c r="L19" s="786">
        <v>3.5000000000000001E-3</v>
      </c>
      <c r="M19" s="786"/>
      <c r="N19" s="786"/>
      <c r="O19" s="786">
        <v>0.05</v>
      </c>
      <c r="P19" s="786"/>
      <c r="Q19" s="786"/>
      <c r="R19" s="786">
        <v>0.02</v>
      </c>
      <c r="S19" s="783">
        <v>0</v>
      </c>
      <c r="T19" s="780"/>
      <c r="U19" s="785"/>
    </row>
    <row r="20" spans="1:21" x14ac:dyDescent="0.2">
      <c r="A20" s="780" t="s">
        <v>330</v>
      </c>
      <c r="B20" s="781" t="s">
        <v>728</v>
      </c>
      <c r="C20" s="64">
        <f>ROUND('Länder-DB'!$M$35*1.1%/(0.1%+$R20)+'Länder-DB'!$M$37+I20*I$1+J20*J$1+K20*K$1+L20*L$1+M20*M$1+N20*N$1+O20*O$1+P20*P$1+Q20*Q$1+S20,2)</f>
        <v>2.2200000000000002</v>
      </c>
      <c r="D20" s="780" t="s">
        <v>331</v>
      </c>
      <c r="E20" s="783">
        <v>2.75</v>
      </c>
      <c r="F20" s="780"/>
      <c r="G20" s="780"/>
      <c r="H20" s="780"/>
      <c r="I20" s="777">
        <f t="shared" si="0"/>
        <v>0.91300000000000003</v>
      </c>
      <c r="J20" s="786">
        <v>3.3000000000000002E-2</v>
      </c>
      <c r="K20" s="786"/>
      <c r="L20" s="786"/>
      <c r="M20" s="786">
        <v>4.0000000000000001E-3</v>
      </c>
      <c r="N20" s="786"/>
      <c r="O20" s="786">
        <v>0.05</v>
      </c>
      <c r="P20" s="786"/>
      <c r="Q20" s="786"/>
      <c r="R20" s="786">
        <v>2.5000000000000001E-2</v>
      </c>
      <c r="S20" s="783">
        <v>0</v>
      </c>
      <c r="T20" s="780"/>
      <c r="U20" s="785"/>
    </row>
    <row r="21" spans="1:21" x14ac:dyDescent="0.2">
      <c r="A21" s="780" t="s">
        <v>332</v>
      </c>
      <c r="B21" s="781" t="s">
        <v>729</v>
      </c>
      <c r="C21" s="64">
        <f>ROUND('Länder-DB'!$M$35*1.1%/(0.1%+$R21)+'Länder-DB'!$M$37+I21*I$1+J21*J$1+K21*K$1+L21*L$1+M21*M$1+N21*N$1+O21*O$1+P21*P$1+Q21*Q$1+S21,2)</f>
        <v>2.12</v>
      </c>
      <c r="D21" s="780" t="s">
        <v>333</v>
      </c>
      <c r="E21" s="783">
        <v>2.75</v>
      </c>
      <c r="F21" s="780"/>
      <c r="G21" s="780"/>
      <c r="H21" s="780"/>
      <c r="I21" s="777">
        <f t="shared" si="0"/>
        <v>0.93149999999999999</v>
      </c>
      <c r="J21" s="786">
        <v>1.2999999999999999E-2</v>
      </c>
      <c r="K21" s="786"/>
      <c r="L21" s="786">
        <v>5.4999999999999997E-3</v>
      </c>
      <c r="M21" s="786"/>
      <c r="N21" s="786"/>
      <c r="O21" s="786">
        <v>0.05</v>
      </c>
      <c r="P21" s="786"/>
      <c r="Q21" s="786"/>
      <c r="R21" s="786">
        <v>0.02</v>
      </c>
      <c r="S21" s="783">
        <v>0</v>
      </c>
      <c r="T21" s="780"/>
      <c r="U21" s="785"/>
    </row>
    <row r="22" spans="1:21" x14ac:dyDescent="0.2">
      <c r="A22" s="780" t="s">
        <v>334</v>
      </c>
      <c r="B22" s="781" t="s">
        <v>730</v>
      </c>
      <c r="C22" s="64">
        <f>ROUND('Länder-DB'!$M$35*1.1%/(0.1%+$R22)+'Länder-DB'!$M$37+I22*I$1+J22*J$1+K22*K$1+L22*L$1+M22*M$1+N22*N$1+O22*O$1+P22*P$1+Q22*Q$1+S22,2)</f>
        <v>2.23</v>
      </c>
      <c r="D22" s="780" t="s">
        <v>335</v>
      </c>
      <c r="E22" s="783">
        <v>2.75</v>
      </c>
      <c r="F22" s="780"/>
      <c r="G22" s="780"/>
      <c r="H22" s="780"/>
      <c r="I22" s="777">
        <f t="shared" si="0"/>
        <v>0.91800000000000004</v>
      </c>
      <c r="J22" s="786">
        <v>3.2000000000000001E-2</v>
      </c>
      <c r="K22" s="786"/>
      <c r="L22" s="786"/>
      <c r="M22" s="786"/>
      <c r="N22" s="786"/>
      <c r="O22" s="786">
        <v>0.05</v>
      </c>
      <c r="P22" s="786"/>
      <c r="Q22" s="786"/>
      <c r="R22" s="786">
        <v>0.02</v>
      </c>
      <c r="S22" s="783">
        <v>0</v>
      </c>
      <c r="T22" s="780"/>
      <c r="U22" s="785"/>
    </row>
    <row r="23" spans="1:21" x14ac:dyDescent="0.2">
      <c r="A23" s="780" t="s">
        <v>336</v>
      </c>
      <c r="B23" s="781" t="s">
        <v>731</v>
      </c>
      <c r="C23" s="64">
        <f>ROUND('Länder-DB'!$M$35*1.1%/(0.1%+$R23)+'Länder-DB'!$M$37+I23*I$1+J23*J$1+K23*K$1+L23*L$1+M23*M$1+N23*N$1+O23*O$1+P23*P$1+Q23*Q$1+S23,2)</f>
        <v>2.16</v>
      </c>
      <c r="D23" s="780" t="s">
        <v>337</v>
      </c>
      <c r="E23" s="783">
        <v>2.7</v>
      </c>
      <c r="F23" s="780">
        <v>215</v>
      </c>
      <c r="G23" s="780"/>
      <c r="H23" s="780">
        <v>700</v>
      </c>
      <c r="I23" s="777">
        <f t="shared" si="0"/>
        <v>0.86799999999999999</v>
      </c>
      <c r="J23" s="786">
        <v>2.1999999999999999E-2</v>
      </c>
      <c r="K23" s="786"/>
      <c r="L23" s="786"/>
      <c r="M23" s="786"/>
      <c r="N23" s="786"/>
      <c r="O23" s="786">
        <v>0.11</v>
      </c>
      <c r="P23" s="786"/>
      <c r="Q23" s="786"/>
      <c r="R23" s="786">
        <v>4.4999999999999998E-2</v>
      </c>
      <c r="S23" s="783">
        <v>0</v>
      </c>
      <c r="T23" s="780"/>
      <c r="U23" s="785"/>
    </row>
    <row r="24" spans="1:21" x14ac:dyDescent="0.2">
      <c r="A24" s="780" t="s">
        <v>298</v>
      </c>
      <c r="B24" s="781" t="s">
        <v>732</v>
      </c>
      <c r="C24" s="64">
        <f>ROUND('Länder-DB'!$M$35*1.1%/(0.1%+$R24)+'Länder-DB'!$M$37+I24*I$1+J24*J$1+K24*K$1+L24*L$1+M24*M$1+N24*N$1+O24*O$1+P24*P$1+Q24*Q$1+S24,2)</f>
        <v>2.2000000000000002</v>
      </c>
      <c r="D24" s="780" t="s">
        <v>252</v>
      </c>
      <c r="E24" s="783">
        <v>2.758</v>
      </c>
      <c r="F24" s="780">
        <v>215</v>
      </c>
      <c r="G24" s="780" t="s">
        <v>262</v>
      </c>
      <c r="H24" s="780">
        <v>680</v>
      </c>
      <c r="I24" s="777">
        <f t="shared" si="0"/>
        <v>0.877</v>
      </c>
      <c r="J24" s="786">
        <v>0.03</v>
      </c>
      <c r="K24" s="786"/>
      <c r="L24" s="786">
        <v>4.0000000000000001E-3</v>
      </c>
      <c r="M24" s="786">
        <v>4.0000000000000001E-3</v>
      </c>
      <c r="N24" s="786"/>
      <c r="O24" s="786">
        <v>8.5000000000000006E-2</v>
      </c>
      <c r="P24" s="786"/>
      <c r="Q24" s="786"/>
      <c r="R24" s="786">
        <v>3.1E-2</v>
      </c>
      <c r="S24" s="783">
        <v>-0.02</v>
      </c>
      <c r="T24" s="780"/>
      <c r="U24" s="785"/>
    </row>
    <row r="25" spans="1:21" x14ac:dyDescent="0.2">
      <c r="A25" s="780" t="s">
        <v>338</v>
      </c>
      <c r="B25" s="781" t="s">
        <v>733</v>
      </c>
      <c r="C25" s="64">
        <f>ROUND('Länder-DB'!$M$35*1.1%/(0.1%+$R25)+'Länder-DB'!$M$37+I25*I$1+J25*J$1+K25*K$1+L25*L$1+M25*M$1+N25*N$1+O25*O$1+P25*P$1+Q25*Q$1+S25,2)</f>
        <v>2.27</v>
      </c>
      <c r="D25" s="781" t="s">
        <v>551</v>
      </c>
      <c r="E25" s="783">
        <v>2.74</v>
      </c>
      <c r="F25" s="780"/>
      <c r="G25" s="780"/>
      <c r="H25" s="780"/>
      <c r="I25" s="777">
        <f t="shared" si="0"/>
        <v>0.88149999999999995</v>
      </c>
      <c r="J25" s="786">
        <v>3.5999999999999997E-2</v>
      </c>
      <c r="K25" s="786"/>
      <c r="L25" s="786">
        <v>5.0000000000000001E-3</v>
      </c>
      <c r="M25" s="786">
        <v>4.4999999999999997E-3</v>
      </c>
      <c r="N25" s="786"/>
      <c r="O25" s="786">
        <v>7.2999999999999995E-2</v>
      </c>
      <c r="P25" s="786"/>
      <c r="Q25" s="786"/>
      <c r="R25" s="786">
        <v>2.4E-2</v>
      </c>
      <c r="S25" s="783">
        <v>0</v>
      </c>
      <c r="T25" s="780"/>
      <c r="U25" s="785"/>
    </row>
    <row r="26" spans="1:21" x14ac:dyDescent="0.2">
      <c r="A26" s="780" t="s">
        <v>339</v>
      </c>
      <c r="B26" s="781" t="s">
        <v>734</v>
      </c>
      <c r="C26" s="64">
        <f>ROUND('Länder-DB'!$M$35*1.1%/(0.1%+$R26)+'Länder-DB'!$M$37+I26*I$1+J26*J$1+K26*K$1+L26*L$1+M26*M$1+N26*N$1+O26*O$1+P26*P$1+Q26*Q$1+S26,2)</f>
        <v>2.15</v>
      </c>
      <c r="D26" s="780" t="s">
        <v>340</v>
      </c>
      <c r="E26" s="783">
        <v>2.726</v>
      </c>
      <c r="F26" s="780"/>
      <c r="G26" s="780"/>
      <c r="H26" s="780"/>
      <c r="I26" s="777">
        <f t="shared" si="0"/>
        <v>0.88900000000000001</v>
      </c>
      <c r="J26" s="786">
        <v>1.0999999999999999E-2</v>
      </c>
      <c r="K26" s="786"/>
      <c r="L26" s="786">
        <v>5.0000000000000001E-3</v>
      </c>
      <c r="M26" s="786">
        <v>3.5000000000000001E-3</v>
      </c>
      <c r="N26" s="786"/>
      <c r="O26" s="786">
        <v>0.09</v>
      </c>
      <c r="P26" s="786"/>
      <c r="Q26" s="786">
        <v>1.5E-3</v>
      </c>
      <c r="R26" s="786">
        <v>2.1499999999999998E-2</v>
      </c>
      <c r="S26" s="783">
        <v>0</v>
      </c>
      <c r="T26" s="780"/>
      <c r="U26" s="785"/>
    </row>
    <row r="27" spans="1:21" x14ac:dyDescent="0.2">
      <c r="A27" s="780" t="s">
        <v>341</v>
      </c>
      <c r="B27" s="781" t="s">
        <v>735</v>
      </c>
      <c r="C27" s="64">
        <f>ROUND('Länder-DB'!$M$35*1.1%/(0.1%+$R27)+'Länder-DB'!$M$37+I27*I$1+J27*J$1+K27*K$1+L27*L$1+M27*M$1+N27*N$1+O27*O$1+P27*P$1+Q27*Q$1+S27,2)</f>
        <v>2.1800000000000002</v>
      </c>
      <c r="D27" s="780" t="s">
        <v>342</v>
      </c>
      <c r="E27" s="783">
        <v>2.74</v>
      </c>
      <c r="F27" s="780"/>
      <c r="G27" s="780"/>
      <c r="H27" s="780"/>
      <c r="I27" s="777">
        <f t="shared" si="0"/>
        <v>0.90800000000000003</v>
      </c>
      <c r="J27" s="786">
        <v>2.1999999999999999E-2</v>
      </c>
      <c r="K27" s="786"/>
      <c r="L27" s="786"/>
      <c r="M27" s="786"/>
      <c r="N27" s="786"/>
      <c r="O27" s="786">
        <v>7.0000000000000007E-2</v>
      </c>
      <c r="P27" s="786"/>
      <c r="Q27" s="786"/>
      <c r="R27" s="786">
        <v>2.2499999999999999E-2</v>
      </c>
      <c r="S27" s="783">
        <v>0</v>
      </c>
      <c r="T27" s="780"/>
      <c r="U27" s="785"/>
    </row>
    <row r="28" spans="1:21" x14ac:dyDescent="0.2">
      <c r="A28" s="780" t="s">
        <v>299</v>
      </c>
      <c r="B28" s="781" t="s">
        <v>736</v>
      </c>
      <c r="C28" s="64">
        <f>ROUND('Länder-DB'!$M$35*1.1%/(0.1%+$R28)+'Länder-DB'!$M$37+I28*I$1+J28*J$1+K28*K$1+L28*L$1+M28*M$1+N28*N$1+O28*O$1+P28*P$1+Q28*Q$1+S28,2)</f>
        <v>2.11</v>
      </c>
      <c r="D28" s="780" t="s">
        <v>253</v>
      </c>
      <c r="E28" s="783">
        <v>2.68</v>
      </c>
      <c r="F28" s="780">
        <v>215</v>
      </c>
      <c r="G28" s="780" t="s">
        <v>262</v>
      </c>
      <c r="H28" s="780">
        <v>710</v>
      </c>
      <c r="I28" s="777">
        <f t="shared" si="0"/>
        <v>0.877</v>
      </c>
      <c r="J28" s="786"/>
      <c r="K28" s="786"/>
      <c r="L28" s="786"/>
      <c r="M28" s="786">
        <v>3.0000000000000001E-3</v>
      </c>
      <c r="N28" s="786"/>
      <c r="O28" s="786">
        <v>0.12</v>
      </c>
      <c r="P28" s="786"/>
      <c r="Q28" s="786"/>
      <c r="R28" s="786">
        <v>3.5999999999999997E-2</v>
      </c>
      <c r="S28" s="783">
        <v>0.06</v>
      </c>
      <c r="T28" s="780"/>
      <c r="U28" s="785"/>
    </row>
    <row r="29" spans="1:21" x14ac:dyDescent="0.2">
      <c r="A29" s="780" t="s">
        <v>308</v>
      </c>
      <c r="B29" s="781" t="s">
        <v>737</v>
      </c>
      <c r="C29" s="64">
        <f>ROUND('Länder-DB'!$M$35*1.1%/(0.1%+$R29)+'Länder-DB'!$M$37+I29*I$1+J29*J$1+K29*K$1+L29*L$1+M29*M$1+N29*N$1+O29*O$1+P29*P$1+Q29*Q$1+S29,2)</f>
        <v>2.2999999999999998</v>
      </c>
      <c r="D29" s="780" t="s">
        <v>257</v>
      </c>
      <c r="E29" s="783">
        <v>2.68</v>
      </c>
      <c r="F29" s="780"/>
      <c r="G29" s="780" t="s">
        <v>262</v>
      </c>
      <c r="H29" s="780"/>
      <c r="I29" s="777">
        <f t="shared" si="0"/>
        <v>0.84499999999999997</v>
      </c>
      <c r="J29" s="786">
        <v>1.2E-2</v>
      </c>
      <c r="K29" s="786"/>
      <c r="L29" s="786">
        <v>1.2999999999999999E-2</v>
      </c>
      <c r="M29" s="786"/>
      <c r="N29" s="786">
        <v>0.01</v>
      </c>
      <c r="O29" s="786">
        <v>0.12</v>
      </c>
      <c r="P29" s="786"/>
      <c r="Q29" s="786"/>
      <c r="R29" s="786">
        <v>1.6500000000000001E-2</v>
      </c>
      <c r="S29" s="783">
        <v>0</v>
      </c>
      <c r="T29" s="780"/>
      <c r="U29" s="785"/>
    </row>
    <row r="30" spans="1:21" x14ac:dyDescent="0.2">
      <c r="A30" s="780" t="s">
        <v>309</v>
      </c>
      <c r="B30" s="781" t="s">
        <v>738</v>
      </c>
      <c r="C30" s="64">
        <f>ROUND('Länder-DB'!$M$35*1.1%/(0.1%+$R30)+'Länder-DB'!$M$37+I30*I$1+J30*J$1+K30*K$1+L30*L$1+M30*M$1+N30*N$1+O30*O$1+P30*P$1+Q30*Q$1+S30,2)</f>
        <v>2.02</v>
      </c>
      <c r="D30" s="780" t="s">
        <v>639</v>
      </c>
      <c r="E30" s="783">
        <v>2.75</v>
      </c>
      <c r="F30" s="780"/>
      <c r="G30" s="780" t="s">
        <v>262</v>
      </c>
      <c r="H30" s="780"/>
      <c r="I30" s="777">
        <f t="shared" si="0"/>
        <v>0.96799999999999997</v>
      </c>
      <c r="J30" s="786"/>
      <c r="K30" s="786"/>
      <c r="L30" s="786">
        <v>3.2000000000000001E-2</v>
      </c>
      <c r="M30" s="786"/>
      <c r="N30" s="786"/>
      <c r="O30" s="786"/>
      <c r="P30" s="786"/>
      <c r="Q30" s="786"/>
      <c r="R30" s="786">
        <v>1.8499999999999999E-2</v>
      </c>
      <c r="S30" s="783">
        <v>0</v>
      </c>
      <c r="T30" s="780"/>
      <c r="U30" s="785"/>
    </row>
    <row r="31" spans="1:21" x14ac:dyDescent="0.2">
      <c r="A31" s="780" t="s">
        <v>310</v>
      </c>
      <c r="B31" s="781" t="s">
        <v>739</v>
      </c>
      <c r="C31" s="64">
        <f>ROUND('Länder-DB'!$M$35*1.1%/(0.1%+$R31)+'Länder-DB'!$M$37+I31*I$1+J31*J$1+K31*K$1+L31*L$1+M31*M$1+N31*N$1+O31*O$1+P31*P$1+Q31*Q$1+S31,2)</f>
        <v>2.0299999999999998</v>
      </c>
      <c r="D31" s="780" t="s">
        <v>637</v>
      </c>
      <c r="E31" s="783">
        <v>2.75</v>
      </c>
      <c r="F31" s="780"/>
      <c r="G31" s="780" t="s">
        <v>262</v>
      </c>
      <c r="H31" s="780"/>
      <c r="I31" s="777">
        <f t="shared" si="0"/>
        <v>0.96799999999999997</v>
      </c>
      <c r="J31" s="786"/>
      <c r="K31" s="786"/>
      <c r="L31" s="786">
        <v>3.2000000000000001E-2</v>
      </c>
      <c r="M31" s="786"/>
      <c r="N31" s="786"/>
      <c r="O31" s="786"/>
      <c r="P31" s="786"/>
      <c r="Q31" s="786"/>
      <c r="R31" s="786">
        <v>1.7500000000000002E-2</v>
      </c>
      <c r="S31" s="783">
        <v>0</v>
      </c>
      <c r="T31" s="780"/>
      <c r="U31" s="785"/>
    </row>
    <row r="32" spans="1:21" x14ac:dyDescent="0.2">
      <c r="A32" s="780" t="s">
        <v>311</v>
      </c>
      <c r="B32" s="781" t="s">
        <v>740</v>
      </c>
      <c r="C32" s="64">
        <f>ROUND('Länder-DB'!$M$35*1.1%/(0.1%+$R32)+'Länder-DB'!$M$37+I32*I$1+J32*J$1+K32*K$1+L32*L$1+M32*M$1+N32*N$1+O32*O$1+P32*P$1+Q32*Q$1+S32,2)</f>
        <v>2.0699999999999998</v>
      </c>
      <c r="D32" s="780" t="s">
        <v>258</v>
      </c>
      <c r="E32" s="783">
        <v>2.75</v>
      </c>
      <c r="F32" s="780"/>
      <c r="G32" s="780" t="s">
        <v>262</v>
      </c>
      <c r="H32" s="780"/>
      <c r="I32" s="777">
        <f t="shared" si="0"/>
        <v>0.94199999999999995</v>
      </c>
      <c r="J32" s="786"/>
      <c r="K32" s="786"/>
      <c r="L32" s="786">
        <v>5.8000000000000003E-2</v>
      </c>
      <c r="M32" s="786"/>
      <c r="N32" s="786"/>
      <c r="O32" s="786"/>
      <c r="P32" s="786"/>
      <c r="Q32" s="786"/>
      <c r="R32" s="786">
        <v>1.7000000000000001E-2</v>
      </c>
      <c r="S32" s="783">
        <v>0</v>
      </c>
      <c r="T32" s="780"/>
      <c r="U32" s="785"/>
    </row>
    <row r="33" spans="1:21" x14ac:dyDescent="0.2">
      <c r="A33" s="780" t="s">
        <v>312</v>
      </c>
      <c r="B33" s="781" t="s">
        <v>741</v>
      </c>
      <c r="C33" s="64">
        <f>ROUND('Länder-DB'!$M$35*1.1%/(0.1%+$R33)+'Länder-DB'!$M$37+I33*I$1+J33*J$1+K33*K$1+L33*L$1+M33*M$1+N33*N$1+O33*O$1+P33*P$1+Q33*Q$1+S33,2)</f>
        <v>2.0099999999999998</v>
      </c>
      <c r="D33" s="780" t="s">
        <v>259</v>
      </c>
      <c r="E33" s="783">
        <v>2.75</v>
      </c>
      <c r="F33" s="780"/>
      <c r="G33" s="780" t="s">
        <v>262</v>
      </c>
      <c r="H33" s="780"/>
      <c r="I33" s="777">
        <f t="shared" si="0"/>
        <v>0.94199999999999995</v>
      </c>
      <c r="J33" s="786"/>
      <c r="K33" s="786"/>
      <c r="L33" s="786">
        <v>5.8000000000000003E-2</v>
      </c>
      <c r="M33" s="786"/>
      <c r="N33" s="786"/>
      <c r="O33" s="786"/>
      <c r="P33" s="786"/>
      <c r="Q33" s="786"/>
      <c r="R33" s="786">
        <v>2.6499999999999999E-2</v>
      </c>
      <c r="S33" s="783">
        <v>0</v>
      </c>
      <c r="T33" s="780"/>
      <c r="U33" s="785"/>
    </row>
    <row r="34" spans="1:21" x14ac:dyDescent="0.2">
      <c r="A34" s="781" t="s">
        <v>866</v>
      </c>
      <c r="B34" s="781" t="s">
        <v>867</v>
      </c>
      <c r="C34" s="64">
        <f>ROUND('Länder-DB'!$M$35*1.1%/(0.1%+$R34)+'Länder-DB'!$M$37+I34*I$1+J34*J$1+K34*K$1+L34*L$1+M34*M$1+N34*N$1+O34*O$1+P34*P$1+Q34*Q$1+S34,2)</f>
        <v>2.4300000000000002</v>
      </c>
      <c r="D34" s="781" t="s">
        <v>868</v>
      </c>
      <c r="E34" s="783">
        <v>2.75</v>
      </c>
      <c r="F34" s="780"/>
      <c r="G34" s="780"/>
      <c r="H34" s="780"/>
      <c r="I34" s="777">
        <f t="shared" si="0"/>
        <v>0.91200000000000003</v>
      </c>
      <c r="J34" s="786"/>
      <c r="K34" s="786"/>
      <c r="L34" s="786">
        <v>5.6000000000000001E-2</v>
      </c>
      <c r="M34" s="786">
        <v>7.0000000000000001E-3</v>
      </c>
      <c r="N34" s="786"/>
      <c r="O34" s="786">
        <v>2.3E-2</v>
      </c>
      <c r="P34" s="786"/>
      <c r="Q34" s="786">
        <v>2E-3</v>
      </c>
      <c r="R34" s="786">
        <v>5.0000000000000001E-3</v>
      </c>
      <c r="S34" s="783">
        <v>0</v>
      </c>
      <c r="T34" s="780"/>
      <c r="U34" s="785"/>
    </row>
    <row r="35" spans="1:21" x14ac:dyDescent="0.2">
      <c r="A35" s="780" t="s">
        <v>343</v>
      </c>
      <c r="B35" s="781" t="s">
        <v>742</v>
      </c>
      <c r="C35" s="64">
        <f>ROUND('Länder-DB'!$M$35*1.1%/(0.1%+$R35)+'Länder-DB'!$M$37+I35*I$1+J35*J$1+K35*K$1+L35*L$1+M35*M$1+N35*N$1+O35*O$1+P35*P$1+Q35*Q$1+S35,2)</f>
        <v>2.11</v>
      </c>
      <c r="D35" s="780" t="s">
        <v>344</v>
      </c>
      <c r="E35" s="783">
        <v>2.75</v>
      </c>
      <c r="F35" s="780"/>
      <c r="G35" s="780"/>
      <c r="H35" s="780"/>
      <c r="I35" s="777">
        <f t="shared" si="0"/>
        <v>0.93389999999999995</v>
      </c>
      <c r="J35" s="786">
        <v>2.5000000000000001E-3</v>
      </c>
      <c r="K35" s="786">
        <v>4.0000000000000001E-3</v>
      </c>
      <c r="L35" s="786">
        <v>6.0000000000000001E-3</v>
      </c>
      <c r="M35" s="786"/>
      <c r="N35" s="786"/>
      <c r="O35" s="786"/>
      <c r="P35" s="786">
        <v>5.1999999999999998E-2</v>
      </c>
      <c r="Q35" s="786">
        <v>1.6000000000000001E-3</v>
      </c>
      <c r="R35" s="786">
        <v>1.6500000000000001E-2</v>
      </c>
      <c r="S35" s="783">
        <v>0</v>
      </c>
      <c r="T35" s="780"/>
      <c r="U35" s="785"/>
    </row>
    <row r="36" spans="1:21" x14ac:dyDescent="0.2">
      <c r="A36" s="781" t="s">
        <v>869</v>
      </c>
      <c r="B36" s="781" t="s">
        <v>870</v>
      </c>
      <c r="C36" s="64">
        <f>ROUND('Länder-DB'!$M$35*1.1%/(0.1%+$R36)+'Länder-DB'!$M$37+I36*I$1+J36*J$1+K36*K$1+L36*L$1+M36*M$1+N36*N$1+O36*O$1+P36*P$1+Q36*Q$1+S36,2)</f>
        <v>2.58</v>
      </c>
      <c r="D36" s="781" t="s">
        <v>871</v>
      </c>
      <c r="E36" s="783">
        <v>2.75</v>
      </c>
      <c r="F36" s="780"/>
      <c r="G36" s="780"/>
      <c r="H36" s="780"/>
      <c r="I36" s="777">
        <f t="shared" si="0"/>
        <v>0.81099999999999994</v>
      </c>
      <c r="J36" s="786"/>
      <c r="K36" s="786"/>
      <c r="L36" s="786">
        <v>4.0000000000000001E-3</v>
      </c>
      <c r="M36" s="786"/>
      <c r="N36" s="786"/>
      <c r="O36" s="786">
        <v>0.09</v>
      </c>
      <c r="P36" s="786">
        <v>9.5000000000000001E-2</v>
      </c>
      <c r="Q36" s="786"/>
      <c r="R36" s="786">
        <v>4.4999999999999997E-3</v>
      </c>
      <c r="S36" s="783"/>
      <c r="T36" s="780"/>
      <c r="U36" s="785"/>
    </row>
    <row r="37" spans="1:21" x14ac:dyDescent="0.2">
      <c r="A37" s="781" t="s">
        <v>33</v>
      </c>
      <c r="B37" s="780"/>
      <c r="C37" s="64">
        <f>ROUND('Länder-DB'!$M$35*1.1%/(0.1%+$R37)+'Länder-DB'!$M$37+I37*I$1+J37*J$1+K37*K$1+L37*L$1+M37*M$1+N37*N$1+O37*O$1+P37*P$1+Q37*Q$1+S37,2)</f>
        <v>2.09</v>
      </c>
      <c r="D37" s="780"/>
      <c r="E37" s="783">
        <v>2.75</v>
      </c>
      <c r="F37" s="780"/>
      <c r="G37" s="780"/>
      <c r="H37" s="780"/>
      <c r="I37" s="777">
        <f t="shared" si="0"/>
        <v>1</v>
      </c>
      <c r="J37" s="786"/>
      <c r="K37" s="786"/>
      <c r="L37" s="786"/>
      <c r="M37" s="786"/>
      <c r="N37" s="786"/>
      <c r="O37" s="786"/>
      <c r="P37" s="786"/>
      <c r="Q37" s="786"/>
      <c r="R37" s="786">
        <v>0.01</v>
      </c>
      <c r="S37" s="783">
        <v>0</v>
      </c>
      <c r="T37" s="780"/>
      <c r="U37" s="785"/>
    </row>
    <row r="38" spans="1:21" ht="5.25" customHeight="1" x14ac:dyDescent="0.2">
      <c r="J38" s="778"/>
      <c r="K38" s="778"/>
      <c r="L38" s="778"/>
      <c r="M38" s="778"/>
      <c r="N38" s="778"/>
      <c r="O38" s="778"/>
      <c r="P38" s="778"/>
      <c r="Q38" s="778"/>
      <c r="R38" s="778"/>
      <c r="S38" s="778"/>
      <c r="T38" s="778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37" t="str">
        <f>IF(Deutsch,"Leistung","performance")</f>
        <v>Leistung</v>
      </c>
      <c r="J2" s="497" t="s">
        <v>698</v>
      </c>
      <c r="K2" s="837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86" t="s">
        <v>805</v>
      </c>
      <c r="C13" s="300">
        <v>9</v>
      </c>
      <c r="D13" s="885" t="s">
        <v>801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805</v>
      </c>
      <c r="C14" s="300">
        <v>10</v>
      </c>
      <c r="D14" s="885" t="s">
        <v>801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805</v>
      </c>
      <c r="C15" s="301">
        <v>11</v>
      </c>
      <c r="D15" s="887" t="s">
        <v>801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88" t="str">
        <f>IF(Deutsch,"Schacht","batch-type")</f>
        <v>Schacht</v>
      </c>
      <c r="N15" s="139">
        <v>0.68300000000000005</v>
      </c>
      <c r="O15" s="889">
        <v>1.2999999999999999E-2</v>
      </c>
      <c r="P15" s="307">
        <v>40</v>
      </c>
      <c r="Q15" s="889">
        <v>1.4999999999999999E-2</v>
      </c>
      <c r="R15" s="637">
        <v>11</v>
      </c>
    </row>
    <row r="16" spans="2:18" x14ac:dyDescent="0.2">
      <c r="B16" s="556" t="s">
        <v>659</v>
      </c>
      <c r="C16" s="511" t="s">
        <v>809</v>
      </c>
    </row>
    <row r="17" spans="2:19" ht="15.75" x14ac:dyDescent="0.25">
      <c r="B17" s="505" t="s">
        <v>456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415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417</v>
      </c>
      <c r="I19" s="497"/>
      <c r="J19" s="498" t="s">
        <v>414</v>
      </c>
      <c r="K19" s="497" t="s">
        <v>394</v>
      </c>
      <c r="L19" s="513" t="s">
        <v>418</v>
      </c>
      <c r="M19" s="513" t="s">
        <v>419</v>
      </c>
      <c r="N19" s="497" t="s">
        <v>395</v>
      </c>
      <c r="O19" s="500" t="s">
        <v>420</v>
      </c>
      <c r="P19" s="500" t="s">
        <v>485</v>
      </c>
      <c r="Q19" s="499" t="s">
        <v>100</v>
      </c>
      <c r="R19" s="545"/>
      <c r="S19" s="521" t="s">
        <v>415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411</v>
      </c>
      <c r="H20" s="512" t="s">
        <v>412</v>
      </c>
      <c r="I20" s="512" t="s">
        <v>413</v>
      </c>
      <c r="J20" s="501" t="s">
        <v>396</v>
      </c>
      <c r="K20" s="501" t="s">
        <v>55</v>
      </c>
      <c r="L20" s="501" t="s">
        <v>397</v>
      </c>
      <c r="M20" s="501" t="s">
        <v>397</v>
      </c>
      <c r="N20" s="501" t="s">
        <v>103</v>
      </c>
      <c r="O20" s="502" t="s">
        <v>55</v>
      </c>
      <c r="P20" s="567" t="s">
        <v>486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467</v>
      </c>
      <c r="C21" s="559">
        <v>0</v>
      </c>
      <c r="D21" s="560" t="s">
        <v>416</v>
      </c>
      <c r="E21" s="560" t="s">
        <v>464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493</v>
      </c>
    </row>
    <row r="22" spans="2:19" ht="24.75" customHeight="1" x14ac:dyDescent="0.2">
      <c r="B22" s="547" t="s">
        <v>467</v>
      </c>
      <c r="C22" s="540">
        <v>1</v>
      </c>
      <c r="D22" s="541" t="s">
        <v>416</v>
      </c>
      <c r="E22" s="540" t="s">
        <v>398</v>
      </c>
      <c r="F22" s="548" t="s">
        <v>399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3">
        <v>250</v>
      </c>
      <c r="O22" s="506">
        <v>45</v>
      </c>
      <c r="P22" s="1148">
        <v>3000</v>
      </c>
      <c r="Q22" s="1149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467</v>
      </c>
      <c r="C23" s="346">
        <v>2</v>
      </c>
      <c r="D23" s="522" t="s">
        <v>416</v>
      </c>
      <c r="E23" s="346" t="s">
        <v>398</v>
      </c>
      <c r="F23" s="523" t="s">
        <v>400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4">
        <v>260</v>
      </c>
      <c r="O23" s="506">
        <v>45</v>
      </c>
      <c r="P23" s="1150">
        <v>3000</v>
      </c>
      <c r="Q23" s="1151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467</v>
      </c>
      <c r="C24" s="346">
        <v>3</v>
      </c>
      <c r="D24" s="522" t="s">
        <v>421</v>
      </c>
      <c r="E24" s="346" t="s">
        <v>398</v>
      </c>
      <c r="F24" s="523" t="s">
        <v>401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4">
        <v>270</v>
      </c>
      <c r="O24" s="506">
        <v>45</v>
      </c>
      <c r="P24" s="1150">
        <v>3000</v>
      </c>
      <c r="Q24" s="1151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467</v>
      </c>
      <c r="C25" s="346">
        <v>4</v>
      </c>
      <c r="D25" s="522" t="s">
        <v>421</v>
      </c>
      <c r="E25" s="346" t="s">
        <v>402</v>
      </c>
      <c r="F25" s="523" t="s">
        <v>407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5">
        <v>280</v>
      </c>
      <c r="O25" s="506">
        <v>45</v>
      </c>
      <c r="P25" s="1152">
        <v>3500</v>
      </c>
      <c r="Q25" s="1151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467</v>
      </c>
      <c r="C26" s="346">
        <v>5</v>
      </c>
      <c r="D26" s="522" t="s">
        <v>421</v>
      </c>
      <c r="E26" s="514" t="s">
        <v>410</v>
      </c>
      <c r="F26" s="348"/>
      <c r="G26" s="506">
        <v>860</v>
      </c>
      <c r="H26" s="506">
        <v>630</v>
      </c>
      <c r="I26" s="506">
        <v>660</v>
      </c>
      <c r="J26" s="1154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5">
        <v>290</v>
      </c>
      <c r="O26" s="506">
        <v>45</v>
      </c>
      <c r="P26" s="1152">
        <v>3500</v>
      </c>
      <c r="Q26" s="1151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467</v>
      </c>
      <c r="C27" s="346">
        <v>6</v>
      </c>
      <c r="D27" s="522" t="s">
        <v>421</v>
      </c>
      <c r="E27" s="346" t="s">
        <v>404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4">
        <v>300</v>
      </c>
      <c r="O27" s="506">
        <v>45</v>
      </c>
      <c r="P27" s="1150">
        <v>3500</v>
      </c>
      <c r="Q27" s="1151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467</v>
      </c>
      <c r="C28" s="346">
        <v>7</v>
      </c>
      <c r="D28" s="522" t="s">
        <v>421</v>
      </c>
      <c r="E28" s="346" t="s">
        <v>398</v>
      </c>
      <c r="F28" s="523" t="s">
        <v>401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4">
        <v>310</v>
      </c>
      <c r="O28" s="506">
        <v>45</v>
      </c>
      <c r="P28" s="1150">
        <v>3500</v>
      </c>
      <c r="Q28" s="1151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467</v>
      </c>
      <c r="C29" s="346">
        <v>8</v>
      </c>
      <c r="D29" s="522" t="s">
        <v>421</v>
      </c>
      <c r="E29" s="346" t="s">
        <v>402</v>
      </c>
      <c r="F29" s="523" t="s">
        <v>403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4">
        <v>330</v>
      </c>
      <c r="O29" s="506">
        <v>45</v>
      </c>
      <c r="P29" s="1150">
        <v>4000</v>
      </c>
      <c r="Q29" s="1151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466</v>
      </c>
      <c r="C30" s="346">
        <v>9</v>
      </c>
      <c r="D30" s="522" t="s">
        <v>421</v>
      </c>
      <c r="E30" s="346" t="s">
        <v>405</v>
      </c>
      <c r="F30" s="523" t="s">
        <v>406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5">
        <v>150</v>
      </c>
      <c r="O30" s="506">
        <v>50</v>
      </c>
      <c r="P30" s="1152">
        <v>1800</v>
      </c>
      <c r="Q30" s="1151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466</v>
      </c>
      <c r="C31" s="346">
        <v>10</v>
      </c>
      <c r="D31" s="522" t="s">
        <v>421</v>
      </c>
      <c r="E31" s="522" t="s">
        <v>427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5">
        <v>150</v>
      </c>
      <c r="O31" s="506">
        <v>50</v>
      </c>
      <c r="P31" s="1152">
        <v>1800</v>
      </c>
      <c r="Q31" s="1151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466</v>
      </c>
      <c r="C32" s="346">
        <v>11</v>
      </c>
      <c r="D32" s="522" t="s">
        <v>421</v>
      </c>
      <c r="E32" s="522" t="s">
        <v>427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5">
        <v>170</v>
      </c>
      <c r="O32" s="506">
        <v>50</v>
      </c>
      <c r="P32" s="1152">
        <v>2000</v>
      </c>
      <c r="Q32" s="1151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367</v>
      </c>
      <c r="C33" s="346">
        <v>12</v>
      </c>
      <c r="D33" s="522" t="s">
        <v>511</v>
      </c>
      <c r="E33" s="346" t="s">
        <v>408</v>
      </c>
      <c r="F33" s="348" t="s">
        <v>409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5">
        <v>180</v>
      </c>
      <c r="O33" s="506">
        <v>60</v>
      </c>
      <c r="P33" s="1152">
        <v>1800</v>
      </c>
      <c r="Q33" s="1151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367</v>
      </c>
      <c r="C34" s="346">
        <v>13</v>
      </c>
      <c r="D34" s="522" t="s">
        <v>421</v>
      </c>
      <c r="E34" s="346" t="s">
        <v>408</v>
      </c>
      <c r="F34" s="348" t="s">
        <v>409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4">
        <v>180</v>
      </c>
      <c r="O34" s="506">
        <v>60</v>
      </c>
      <c r="P34" s="1150">
        <v>1800</v>
      </c>
      <c r="Q34" s="1151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367</v>
      </c>
      <c r="C35" s="346">
        <v>14</v>
      </c>
      <c r="D35" s="522" t="s">
        <v>421</v>
      </c>
      <c r="E35" s="346" t="s">
        <v>408</v>
      </c>
      <c r="F35" s="348" t="s">
        <v>409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4">
        <v>200</v>
      </c>
      <c r="O35" s="506">
        <v>60</v>
      </c>
      <c r="P35" s="1150">
        <v>2000</v>
      </c>
      <c r="Q35" s="1151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367</v>
      </c>
      <c r="C36" s="540">
        <v>15</v>
      </c>
      <c r="D36" s="541" t="s">
        <v>422</v>
      </c>
      <c r="E36" s="346" t="s">
        <v>408</v>
      </c>
      <c r="F36" s="348" t="s">
        <v>409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4">
        <v>220</v>
      </c>
      <c r="O36" s="506">
        <v>60</v>
      </c>
      <c r="P36" s="1150">
        <v>2200</v>
      </c>
      <c r="Q36" s="1151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659</v>
      </c>
      <c r="C38" s="511" t="s">
        <v>465</v>
      </c>
    </row>
    <row r="39" spans="2:19" x14ac:dyDescent="0.2">
      <c r="C39" s="511" t="s">
        <v>528</v>
      </c>
    </row>
    <row r="43" spans="2:19" ht="15.75" x14ac:dyDescent="0.25">
      <c r="B43" s="505" t="s">
        <v>838</v>
      </c>
      <c r="H43" s="871"/>
      <c r="I43" s="871"/>
      <c r="J43" s="871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2" t="s">
        <v>837</v>
      </c>
      <c r="C45" s="873" t="s">
        <v>25</v>
      </c>
      <c r="D45" s="873" t="s">
        <v>772</v>
      </c>
      <c r="E45" s="873" t="s">
        <v>773</v>
      </c>
      <c r="F45" s="873" t="s">
        <v>774</v>
      </c>
      <c r="G45" s="873" t="s">
        <v>775</v>
      </c>
      <c r="H45" s="873" t="s">
        <v>776</v>
      </c>
      <c r="I45" s="873" t="s">
        <v>777</v>
      </c>
      <c r="J45" s="929" t="s">
        <v>778</v>
      </c>
      <c r="K45" s="929" t="s">
        <v>779</v>
      </c>
      <c r="L45" s="929" t="s">
        <v>780</v>
      </c>
      <c r="M45" s="873" t="s">
        <v>781</v>
      </c>
      <c r="N45" s="874" t="s">
        <v>839</v>
      </c>
      <c r="O45" s="873" t="s">
        <v>25</v>
      </c>
    </row>
    <row r="46" spans="2:19" x14ac:dyDescent="0.2">
      <c r="B46" s="925" t="s">
        <v>367</v>
      </c>
      <c r="C46" s="346">
        <v>1</v>
      </c>
      <c r="D46" s="875" t="s">
        <v>262</v>
      </c>
      <c r="E46" s="876" t="s">
        <v>367</v>
      </c>
      <c r="F46" s="877"/>
      <c r="G46" s="878"/>
      <c r="H46" s="877"/>
      <c r="I46" s="879"/>
      <c r="J46" s="875"/>
      <c r="K46" s="880"/>
      <c r="L46" s="881"/>
      <c r="M46" s="873"/>
      <c r="N46" s="882"/>
      <c r="O46" s="346">
        <f t="shared" ref="O46" si="4">C46</f>
        <v>1</v>
      </c>
    </row>
    <row r="47" spans="2:19" x14ac:dyDescent="0.2">
      <c r="B47" s="925" t="s">
        <v>370</v>
      </c>
      <c r="C47" s="346">
        <v>2</v>
      </c>
      <c r="D47" s="875" t="s">
        <v>785</v>
      </c>
      <c r="E47" s="875" t="s">
        <v>790</v>
      </c>
      <c r="F47" s="875">
        <v>350</v>
      </c>
      <c r="G47" s="875">
        <v>300</v>
      </c>
      <c r="H47" s="875">
        <v>200</v>
      </c>
      <c r="I47" s="879">
        <v>70</v>
      </c>
      <c r="J47" s="875">
        <f>F47*G47*H47/1000000</f>
        <v>21</v>
      </c>
      <c r="K47" s="880">
        <v>6</v>
      </c>
      <c r="L47" s="881">
        <v>40</v>
      </c>
      <c r="M47" s="875" t="s">
        <v>786</v>
      </c>
      <c r="N47" s="1156">
        <v>250000</v>
      </c>
      <c r="O47" s="346">
        <f>C47</f>
        <v>2</v>
      </c>
    </row>
    <row r="48" spans="2:19" x14ac:dyDescent="0.2">
      <c r="B48" s="925" t="s">
        <v>370</v>
      </c>
      <c r="C48" s="346">
        <v>3</v>
      </c>
      <c r="D48" s="875" t="s">
        <v>785</v>
      </c>
      <c r="E48" s="877" t="s">
        <v>789</v>
      </c>
      <c r="F48" s="875">
        <v>530</v>
      </c>
      <c r="G48" s="875">
        <v>400</v>
      </c>
      <c r="H48" s="875">
        <v>400</v>
      </c>
      <c r="I48" s="879">
        <v>60</v>
      </c>
      <c r="J48" s="875">
        <f>F48*G48*H48/1000000</f>
        <v>84.8</v>
      </c>
      <c r="K48" s="880">
        <v>20</v>
      </c>
      <c r="L48" s="881">
        <v>45</v>
      </c>
      <c r="M48" s="930" t="s">
        <v>782</v>
      </c>
      <c r="N48" s="1156">
        <v>391000</v>
      </c>
      <c r="O48" s="346">
        <f>C48</f>
        <v>3</v>
      </c>
    </row>
    <row r="49" spans="2:15" x14ac:dyDescent="0.2">
      <c r="B49" s="925" t="s">
        <v>370</v>
      </c>
      <c r="C49" s="346">
        <v>4</v>
      </c>
      <c r="D49" s="875" t="s">
        <v>785</v>
      </c>
      <c r="E49" s="875" t="s">
        <v>788</v>
      </c>
      <c r="F49" s="875">
        <v>700</v>
      </c>
      <c r="G49" s="875">
        <v>700</v>
      </c>
      <c r="H49" s="875">
        <v>500</v>
      </c>
      <c r="I49" s="879">
        <v>90</v>
      </c>
      <c r="J49" s="875">
        <f>F49*G49*H49/1000000</f>
        <v>245</v>
      </c>
      <c r="K49" s="880">
        <v>60</v>
      </c>
      <c r="L49" s="881">
        <v>70</v>
      </c>
      <c r="M49" s="875" t="s">
        <v>786</v>
      </c>
      <c r="N49" s="1156">
        <v>565000</v>
      </c>
      <c r="O49" s="346">
        <f>C49</f>
        <v>4</v>
      </c>
    </row>
    <row r="50" spans="2:15" x14ac:dyDescent="0.2">
      <c r="B50" s="925" t="s">
        <v>370</v>
      </c>
      <c r="C50" s="346">
        <v>5</v>
      </c>
      <c r="D50" s="875" t="s">
        <v>785</v>
      </c>
      <c r="E50" s="875" t="s">
        <v>787</v>
      </c>
      <c r="F50" s="875">
        <v>1000</v>
      </c>
      <c r="G50" s="875">
        <v>800</v>
      </c>
      <c r="H50" s="875">
        <v>600</v>
      </c>
      <c r="I50" s="879">
        <v>100</v>
      </c>
      <c r="J50" s="875">
        <f>F50*G50*H50/1000000</f>
        <v>480</v>
      </c>
      <c r="K50" s="880">
        <v>130</v>
      </c>
      <c r="L50" s="881">
        <v>90</v>
      </c>
      <c r="M50" s="875" t="s">
        <v>786</v>
      </c>
      <c r="N50" s="1156">
        <v>570000</v>
      </c>
      <c r="O50" s="346">
        <f>C50</f>
        <v>5</v>
      </c>
    </row>
    <row r="51" spans="2:15" x14ac:dyDescent="0.2">
      <c r="B51" s="925" t="s">
        <v>370</v>
      </c>
      <c r="C51" s="346">
        <v>6</v>
      </c>
      <c r="D51" s="875" t="s">
        <v>783</v>
      </c>
      <c r="E51" s="883" t="s">
        <v>784</v>
      </c>
      <c r="F51" s="875">
        <v>1500</v>
      </c>
      <c r="G51" s="875">
        <v>1250</v>
      </c>
      <c r="H51" s="875">
        <v>750</v>
      </c>
      <c r="I51" s="879">
        <v>70</v>
      </c>
      <c r="J51" s="875">
        <f>F51*G51*H51/1000000</f>
        <v>1406.25</v>
      </c>
      <c r="K51" s="884">
        <v>350</v>
      </c>
      <c r="L51" s="881">
        <v>120</v>
      </c>
      <c r="M51" s="883" t="s">
        <v>782</v>
      </c>
      <c r="N51" s="1156">
        <v>600000</v>
      </c>
      <c r="O51" s="346">
        <f>C51</f>
        <v>6</v>
      </c>
    </row>
    <row r="53" spans="2:15" x14ac:dyDescent="0.2">
      <c r="C53" t="s">
        <v>791</v>
      </c>
    </row>
    <row r="54" spans="2:15" x14ac:dyDescent="0.2">
      <c r="D54" t="s">
        <v>792</v>
      </c>
      <c r="F54" t="s">
        <v>793</v>
      </c>
    </row>
    <row r="55" spans="2:15" x14ac:dyDescent="0.2">
      <c r="C55" t="s">
        <v>794</v>
      </c>
    </row>
    <row r="56" spans="2:15" x14ac:dyDescent="0.2">
      <c r="D56" s="222" t="s">
        <v>795</v>
      </c>
      <c r="F56" t="s">
        <v>796</v>
      </c>
    </row>
    <row r="57" spans="2:15" x14ac:dyDescent="0.2">
      <c r="B57" s="1157" t="s">
        <v>370</v>
      </c>
      <c r="C57">
        <v>7</v>
      </c>
      <c r="D57" s="1158" t="s">
        <v>967</v>
      </c>
      <c r="E57" s="1159" t="s">
        <v>754</v>
      </c>
      <c r="F57" s="1160">
        <v>530</v>
      </c>
      <c r="G57" s="1160">
        <v>400</v>
      </c>
      <c r="H57" s="1160">
        <v>400</v>
      </c>
      <c r="I57" s="1160">
        <v>80</v>
      </c>
      <c r="J57" s="1160">
        <v>22</v>
      </c>
      <c r="K57" s="1160">
        <v>16</v>
      </c>
      <c r="L57" s="1208">
        <v>50</v>
      </c>
      <c r="M57" s="1160" t="s">
        <v>786</v>
      </c>
      <c r="N57" s="1161">
        <v>300000</v>
      </c>
      <c r="O57">
        <v>7</v>
      </c>
    </row>
    <row r="58" spans="2:15" x14ac:dyDescent="0.2">
      <c r="B58" s="1157" t="s">
        <v>370</v>
      </c>
      <c r="C58">
        <v>8</v>
      </c>
      <c r="D58" s="1158" t="s">
        <v>967</v>
      </c>
      <c r="E58" s="1159" t="s">
        <v>754</v>
      </c>
      <c r="F58" s="1160">
        <v>350</v>
      </c>
      <c r="G58" s="1160">
        <v>300</v>
      </c>
      <c r="H58" s="1160">
        <v>250</v>
      </c>
      <c r="I58" s="1160">
        <v>90</v>
      </c>
      <c r="J58" s="1160">
        <v>85</v>
      </c>
      <c r="K58" s="1160">
        <v>25</v>
      </c>
      <c r="L58" s="1208">
        <v>55</v>
      </c>
      <c r="M58" s="1160" t="s">
        <v>786</v>
      </c>
      <c r="N58" s="1161">
        <v>330000</v>
      </c>
      <c r="O58">
        <v>8</v>
      </c>
    </row>
    <row r="59" spans="2:15" x14ac:dyDescent="0.2">
      <c r="B59" s="1157" t="s">
        <v>370</v>
      </c>
      <c r="C59">
        <v>9</v>
      </c>
      <c r="D59" s="1158" t="s">
        <v>967</v>
      </c>
      <c r="E59" s="1159" t="s">
        <v>754</v>
      </c>
      <c r="F59" s="1160">
        <v>700</v>
      </c>
      <c r="G59" s="1160">
        <v>700</v>
      </c>
      <c r="H59" s="1160">
        <v>500</v>
      </c>
      <c r="I59" s="1160">
        <v>100</v>
      </c>
      <c r="J59" s="1160">
        <v>255</v>
      </c>
      <c r="K59" s="1160">
        <v>40</v>
      </c>
      <c r="L59" s="1208">
        <v>70</v>
      </c>
      <c r="M59" s="1160" t="s">
        <v>786</v>
      </c>
      <c r="N59" s="1161">
        <v>370000</v>
      </c>
      <c r="O59">
        <v>9</v>
      </c>
    </row>
    <row r="61" spans="2:15" ht="15" thickBot="1" x14ac:dyDescent="0.25"/>
    <row r="62" spans="2:15" ht="43.5" thickBot="1" x14ac:dyDescent="0.25">
      <c r="B62" s="1162" t="s">
        <v>968</v>
      </c>
      <c r="C62" s="1163" t="s">
        <v>969</v>
      </c>
      <c r="D62" s="1164" t="s">
        <v>25</v>
      </c>
      <c r="E62" s="1165" t="s">
        <v>970</v>
      </c>
      <c r="F62" s="1166" t="s">
        <v>971</v>
      </c>
      <c r="G62" s="1167" t="s">
        <v>103</v>
      </c>
      <c r="H62" s="1168" t="s">
        <v>972</v>
      </c>
      <c r="I62" s="1168" t="s">
        <v>989</v>
      </c>
      <c r="J62" s="1168" t="s">
        <v>990</v>
      </c>
      <c r="K62" s="511"/>
    </row>
    <row r="63" spans="2:15" x14ac:dyDescent="0.2">
      <c r="B63" s="1169" t="s">
        <v>973</v>
      </c>
      <c r="C63" s="1170" t="s">
        <v>974</v>
      </c>
      <c r="D63" s="1171">
        <v>1</v>
      </c>
      <c r="E63" s="1172">
        <v>185000</v>
      </c>
      <c r="F63" s="1173">
        <v>0.1</v>
      </c>
      <c r="G63" s="1167">
        <v>10</v>
      </c>
      <c r="H63" s="1167">
        <v>30</v>
      </c>
    </row>
    <row r="64" spans="2:15" x14ac:dyDescent="0.2">
      <c r="B64" s="45" t="str">
        <f>[4]Auswahlfelder!D36</f>
        <v>Luft/Wasser</v>
      </c>
      <c r="C64" s="1174" t="s">
        <v>975</v>
      </c>
      <c r="D64" s="1175">
        <v>2</v>
      </c>
      <c r="E64" s="1176">
        <v>12000</v>
      </c>
      <c r="F64" s="1177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74" t="s">
        <v>976</v>
      </c>
      <c r="D65" s="1175">
        <v>3</v>
      </c>
      <c r="E65" s="1176">
        <v>9500</v>
      </c>
      <c r="F65" s="1177">
        <v>0.15</v>
      </c>
      <c r="G65">
        <v>1</v>
      </c>
      <c r="H65">
        <v>20</v>
      </c>
    </row>
    <row r="66" spans="2:10" x14ac:dyDescent="0.2">
      <c r="B66" s="1169" t="s">
        <v>613</v>
      </c>
      <c r="C66" s="1170" t="s">
        <v>596</v>
      </c>
      <c r="D66" s="1171">
        <v>4</v>
      </c>
      <c r="E66" s="1172">
        <v>55000</v>
      </c>
      <c r="F66" s="1173">
        <v>0.05</v>
      </c>
      <c r="G66" s="1167">
        <v>20</v>
      </c>
      <c r="H66" s="1167">
        <v>5</v>
      </c>
    </row>
    <row r="67" spans="2:10" x14ac:dyDescent="0.2">
      <c r="B67" s="530" t="s">
        <v>984</v>
      </c>
      <c r="C67" s="1174" t="s">
        <v>77</v>
      </c>
      <c r="D67" s="1175">
        <v>5</v>
      </c>
      <c r="E67" s="1176">
        <v>55000</v>
      </c>
      <c r="F67" s="1177">
        <v>0.15</v>
      </c>
      <c r="G67">
        <v>1</v>
      </c>
      <c r="H67">
        <v>25</v>
      </c>
    </row>
    <row r="68" spans="2:10" x14ac:dyDescent="0.2">
      <c r="B68" s="1169" t="s">
        <v>985</v>
      </c>
      <c r="C68" s="1170" t="s">
        <v>974</v>
      </c>
      <c r="D68" s="1171">
        <v>6</v>
      </c>
      <c r="E68" s="1172">
        <v>250000</v>
      </c>
      <c r="F68" s="1173">
        <v>0.05</v>
      </c>
      <c r="G68" s="1167">
        <v>10</v>
      </c>
      <c r="H68" s="1167">
        <v>40</v>
      </c>
    </row>
    <row r="69" spans="2:10" x14ac:dyDescent="0.2">
      <c r="B69" s="1169" t="s">
        <v>977</v>
      </c>
      <c r="C69" s="1170" t="s">
        <v>978</v>
      </c>
      <c r="D69" s="1171">
        <v>7</v>
      </c>
      <c r="E69" s="1172">
        <v>578000</v>
      </c>
      <c r="F69" s="1173">
        <v>0.05</v>
      </c>
      <c r="G69" s="1167">
        <v>165</v>
      </c>
      <c r="H69" s="1167">
        <v>200</v>
      </c>
    </row>
    <row r="70" spans="2:10" x14ac:dyDescent="0.2">
      <c r="B70" s="1169" t="s">
        <v>979</v>
      </c>
      <c r="C70" s="1170" t="s">
        <v>978</v>
      </c>
      <c r="D70" s="1167"/>
      <c r="E70" s="1172">
        <v>1700000</v>
      </c>
      <c r="F70" s="1173">
        <v>0.05</v>
      </c>
      <c r="G70" s="1167">
        <v>940</v>
      </c>
      <c r="H70" s="1167">
        <v>220</v>
      </c>
      <c r="I70" s="1167">
        <v>100</v>
      </c>
      <c r="J70" s="1167">
        <v>1000</v>
      </c>
    </row>
    <row r="71" spans="2:10" x14ac:dyDescent="0.2">
      <c r="B71" s="1169" t="s">
        <v>980</v>
      </c>
      <c r="C71" s="1170" t="s">
        <v>974</v>
      </c>
      <c r="D71" s="1167"/>
      <c r="E71" s="1172">
        <v>210000</v>
      </c>
      <c r="F71" s="1173">
        <v>0.05</v>
      </c>
      <c r="G71" s="1167">
        <v>141</v>
      </c>
      <c r="H71" s="1167">
        <v>60</v>
      </c>
      <c r="I71" s="1167">
        <v>0</v>
      </c>
      <c r="J71" s="1167">
        <v>2000</v>
      </c>
    </row>
    <row r="72" spans="2:10" x14ac:dyDescent="0.2">
      <c r="B72" s="1169" t="s">
        <v>981</v>
      </c>
      <c r="C72" s="1170" t="s">
        <v>974</v>
      </c>
      <c r="D72" s="1167"/>
      <c r="E72" s="1172">
        <v>138500</v>
      </c>
      <c r="F72" s="1173">
        <v>0.05</v>
      </c>
      <c r="G72" s="1167">
        <v>42</v>
      </c>
      <c r="H72" s="1167">
        <v>30</v>
      </c>
    </row>
    <row r="73" spans="2:10" x14ac:dyDescent="0.2">
      <c r="B73" s="1169" t="s">
        <v>707</v>
      </c>
      <c r="C73" s="1170" t="s">
        <v>978</v>
      </c>
      <c r="D73" s="1167"/>
      <c r="E73" s="1172">
        <v>185000</v>
      </c>
      <c r="F73" s="1173">
        <v>0.05</v>
      </c>
      <c r="G73" s="1167">
        <v>11</v>
      </c>
      <c r="H73" s="1167">
        <v>20</v>
      </c>
    </row>
    <row r="74" spans="2:10" x14ac:dyDescent="0.2">
      <c r="B74" s="1173" t="s">
        <v>986</v>
      </c>
      <c r="C74" s="1173"/>
      <c r="D74" s="1173"/>
      <c r="E74" s="1172">
        <v>15000</v>
      </c>
      <c r="F74" s="1173">
        <v>0.05</v>
      </c>
      <c r="G74" s="1167">
        <v>10</v>
      </c>
      <c r="H74" s="1167">
        <v>5</v>
      </c>
    </row>
    <row r="75" spans="2:10" x14ac:dyDescent="0.2">
      <c r="B75" s="1173" t="s">
        <v>988</v>
      </c>
      <c r="C75" s="1173"/>
      <c r="D75" s="1173"/>
      <c r="E75" s="1172">
        <v>20000</v>
      </c>
      <c r="F75" s="1173">
        <v>2.5000000000000001E-2</v>
      </c>
      <c r="G75" s="1167">
        <v>20</v>
      </c>
      <c r="H75" s="1167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549</v>
      </c>
      <c r="B1" s="649" t="s">
        <v>548</v>
      </c>
      <c r="C1" s="254">
        <f>HLOOKUP("x",$D$1:$ZZ$2,2,FALSE)</f>
        <v>19</v>
      </c>
      <c r="D1" s="894">
        <f>D3</f>
        <v>815</v>
      </c>
      <c r="E1" s="894" t="str">
        <f t="shared" ref="E1:BP1" si="0">E3</f>
        <v>815-1</v>
      </c>
      <c r="F1" s="894" t="str">
        <f t="shared" si="0"/>
        <v>815-2</v>
      </c>
      <c r="G1" s="894" t="str">
        <f t="shared" si="0"/>
        <v>815-2-1</v>
      </c>
      <c r="H1" s="894" t="str">
        <f t="shared" si="0"/>
        <v>815-3</v>
      </c>
      <c r="I1" s="894" t="str">
        <f t="shared" si="0"/>
        <v>815-3-1</v>
      </c>
      <c r="J1" s="894" t="str">
        <f t="shared" si="0"/>
        <v>820-1</v>
      </c>
      <c r="K1" s="894" t="str">
        <f t="shared" si="0"/>
        <v>820-1-1</v>
      </c>
      <c r="L1" s="894" t="str">
        <f t="shared" si="0"/>
        <v>820-2</v>
      </c>
      <c r="M1" s="894" t="str">
        <f t="shared" si="0"/>
        <v>820-2-1</v>
      </c>
      <c r="N1" s="894" t="str">
        <f t="shared" si="0"/>
        <v>820-3</v>
      </c>
      <c r="O1" s="894" t="str">
        <f t="shared" si="0"/>
        <v>820-3-1</v>
      </c>
      <c r="P1" s="894" t="str">
        <f t="shared" si="0"/>
        <v>820-1-5</v>
      </c>
      <c r="Q1" s="894" t="str">
        <f t="shared" si="0"/>
        <v>820-2-5</v>
      </c>
      <c r="R1" s="894" t="str">
        <f t="shared" si="0"/>
        <v>820-3-5</v>
      </c>
      <c r="S1" s="894" t="str">
        <f t="shared" si="0"/>
        <v>812-1</v>
      </c>
      <c r="T1" s="894" t="str">
        <f t="shared" si="0"/>
        <v>817-2-1</v>
      </c>
      <c r="U1" s="894" t="str">
        <f t="shared" si="0"/>
        <v>816-3-1</v>
      </c>
      <c r="V1" s="894" t="str">
        <f t="shared" si="0"/>
        <v>x</v>
      </c>
      <c r="W1" s="894" t="str">
        <f t="shared" si="0"/>
        <v>x</v>
      </c>
      <c r="X1" s="894" t="str">
        <f t="shared" si="0"/>
        <v>x</v>
      </c>
      <c r="Y1" s="894" t="str">
        <f t="shared" si="0"/>
        <v>x</v>
      </c>
      <c r="Z1" s="894" t="str">
        <f t="shared" si="0"/>
        <v>x</v>
      </c>
      <c r="AA1" s="894" t="str">
        <f t="shared" si="0"/>
        <v>x</v>
      </c>
      <c r="AB1" s="894" t="str">
        <f t="shared" si="0"/>
        <v>x</v>
      </c>
      <c r="AC1" s="894" t="str">
        <f t="shared" si="0"/>
        <v>x</v>
      </c>
      <c r="AD1" s="894" t="str">
        <f t="shared" si="0"/>
        <v>x</v>
      </c>
      <c r="AE1" s="894" t="str">
        <f t="shared" si="0"/>
        <v>x</v>
      </c>
      <c r="AF1" s="894" t="str">
        <f t="shared" si="0"/>
        <v>x</v>
      </c>
      <c r="AG1" s="894" t="str">
        <f t="shared" si="0"/>
        <v>x</v>
      </c>
      <c r="AH1" s="894" t="str">
        <f t="shared" si="0"/>
        <v>x</v>
      </c>
      <c r="AI1" s="894" t="str">
        <f t="shared" si="0"/>
        <v>x</v>
      </c>
      <c r="AJ1" s="894" t="str">
        <f t="shared" si="0"/>
        <v>x</v>
      </c>
      <c r="AK1" s="894" t="str">
        <f t="shared" si="0"/>
        <v>x</v>
      </c>
      <c r="AL1" s="894" t="str">
        <f t="shared" si="0"/>
        <v>x</v>
      </c>
      <c r="AM1" s="894" t="str">
        <f t="shared" si="0"/>
        <v>x</v>
      </c>
      <c r="AN1" s="894" t="str">
        <f t="shared" si="0"/>
        <v>x</v>
      </c>
      <c r="AO1" s="894" t="str">
        <f t="shared" si="0"/>
        <v>x</v>
      </c>
      <c r="AP1" s="894" t="str">
        <f t="shared" si="0"/>
        <v>x</v>
      </c>
      <c r="AQ1" s="894" t="str">
        <f t="shared" si="0"/>
        <v>x</v>
      </c>
      <c r="AR1" s="894" t="str">
        <f t="shared" si="0"/>
        <v>x</v>
      </c>
      <c r="AS1" s="894" t="str">
        <f t="shared" si="0"/>
        <v>x</v>
      </c>
      <c r="AT1" s="894" t="str">
        <f t="shared" si="0"/>
        <v>x</v>
      </c>
      <c r="AU1" s="894" t="str">
        <f t="shared" si="0"/>
        <v>x</v>
      </c>
      <c r="AV1" s="894" t="str">
        <f t="shared" si="0"/>
        <v>x</v>
      </c>
      <c r="AW1" s="894" t="str">
        <f t="shared" si="0"/>
        <v>x</v>
      </c>
      <c r="AX1" s="894" t="str">
        <f t="shared" si="0"/>
        <v>x</v>
      </c>
      <c r="AY1" s="894" t="str">
        <f t="shared" si="0"/>
        <v>x</v>
      </c>
      <c r="AZ1" s="894" t="str">
        <f t="shared" si="0"/>
        <v>x</v>
      </c>
      <c r="BA1" s="894" t="str">
        <f t="shared" si="0"/>
        <v>x</v>
      </c>
      <c r="BB1" s="894" t="str">
        <f t="shared" si="0"/>
        <v>x</v>
      </c>
      <c r="BC1" s="894" t="str">
        <f t="shared" si="0"/>
        <v>x</v>
      </c>
      <c r="BD1" s="894" t="str">
        <f t="shared" si="0"/>
        <v>x</v>
      </c>
      <c r="BE1" s="894" t="str">
        <f t="shared" si="0"/>
        <v>x</v>
      </c>
      <c r="BF1" s="894" t="str">
        <f t="shared" si="0"/>
        <v>x</v>
      </c>
      <c r="BG1" s="894" t="str">
        <f t="shared" si="0"/>
        <v>x</v>
      </c>
      <c r="BH1" s="894" t="str">
        <f t="shared" si="0"/>
        <v>x</v>
      </c>
      <c r="BI1" s="894" t="str">
        <f t="shared" si="0"/>
        <v>x</v>
      </c>
      <c r="BJ1" s="894" t="str">
        <f t="shared" si="0"/>
        <v>x</v>
      </c>
      <c r="BK1" s="894" t="str">
        <f t="shared" si="0"/>
        <v>x</v>
      </c>
      <c r="BL1" s="894" t="str">
        <f t="shared" si="0"/>
        <v>x</v>
      </c>
      <c r="BM1" s="894" t="str">
        <f t="shared" si="0"/>
        <v>x</v>
      </c>
      <c r="BN1" s="894" t="str">
        <f t="shared" si="0"/>
        <v>x</v>
      </c>
      <c r="BO1" s="894" t="str">
        <f t="shared" si="0"/>
        <v>x</v>
      </c>
      <c r="BP1" s="894" t="str">
        <f t="shared" si="0"/>
        <v>x</v>
      </c>
      <c r="BQ1" s="894" t="str">
        <f t="shared" ref="BQ1:EB1" si="1">BQ3</f>
        <v>x</v>
      </c>
      <c r="BR1" s="894" t="str">
        <f t="shared" si="1"/>
        <v>x</v>
      </c>
      <c r="BS1" s="894" t="str">
        <f t="shared" si="1"/>
        <v>x</v>
      </c>
      <c r="BT1" s="894" t="str">
        <f t="shared" si="1"/>
        <v>x</v>
      </c>
      <c r="BU1" s="894" t="str">
        <f t="shared" si="1"/>
        <v>x</v>
      </c>
      <c r="BV1" s="894" t="str">
        <f t="shared" si="1"/>
        <v>x</v>
      </c>
      <c r="BW1" s="894" t="str">
        <f t="shared" si="1"/>
        <v>x</v>
      </c>
      <c r="BX1" s="894" t="str">
        <f t="shared" si="1"/>
        <v>x</v>
      </c>
      <c r="BY1" s="894" t="str">
        <f t="shared" si="1"/>
        <v>x</v>
      </c>
      <c r="BZ1" s="894" t="str">
        <f t="shared" si="1"/>
        <v>x</v>
      </c>
      <c r="CA1" s="894" t="str">
        <f t="shared" si="1"/>
        <v>x</v>
      </c>
      <c r="CB1" s="894" t="str">
        <f t="shared" si="1"/>
        <v>x</v>
      </c>
      <c r="CC1" s="894" t="str">
        <f t="shared" si="1"/>
        <v>x</v>
      </c>
      <c r="CD1" s="894" t="str">
        <f t="shared" si="1"/>
        <v>x</v>
      </c>
      <c r="CE1" s="894" t="str">
        <f t="shared" si="1"/>
        <v>x</v>
      </c>
      <c r="CF1" s="894" t="str">
        <f t="shared" si="1"/>
        <v>x</v>
      </c>
      <c r="CG1" s="894" t="str">
        <f t="shared" si="1"/>
        <v>x</v>
      </c>
      <c r="CH1" s="894" t="str">
        <f t="shared" si="1"/>
        <v>x</v>
      </c>
      <c r="CI1" s="894" t="str">
        <f t="shared" si="1"/>
        <v>x</v>
      </c>
      <c r="CJ1" s="894" t="str">
        <f t="shared" si="1"/>
        <v>x</v>
      </c>
      <c r="CK1" s="894" t="str">
        <f t="shared" si="1"/>
        <v>x</v>
      </c>
      <c r="CL1" s="894" t="str">
        <f t="shared" si="1"/>
        <v>x</v>
      </c>
      <c r="CM1" s="894" t="str">
        <f t="shared" si="1"/>
        <v>x</v>
      </c>
      <c r="CN1" s="894" t="str">
        <f t="shared" si="1"/>
        <v>x</v>
      </c>
      <c r="CO1" s="894" t="str">
        <f t="shared" si="1"/>
        <v>x</v>
      </c>
      <c r="CP1" s="894" t="str">
        <f t="shared" si="1"/>
        <v>x</v>
      </c>
      <c r="CQ1" s="894" t="str">
        <f t="shared" si="1"/>
        <v>x</v>
      </c>
      <c r="CR1" s="894" t="str">
        <f t="shared" si="1"/>
        <v>x</v>
      </c>
      <c r="CS1" s="894" t="str">
        <f t="shared" si="1"/>
        <v>x</v>
      </c>
      <c r="CT1" s="894" t="str">
        <f t="shared" si="1"/>
        <v>x</v>
      </c>
      <c r="CU1" s="894" t="str">
        <f t="shared" si="1"/>
        <v>x</v>
      </c>
      <c r="CV1" s="894" t="str">
        <f t="shared" si="1"/>
        <v>x</v>
      </c>
      <c r="CW1" s="894" t="str">
        <f t="shared" si="1"/>
        <v>x</v>
      </c>
      <c r="CX1" s="894" t="str">
        <f t="shared" si="1"/>
        <v>x</v>
      </c>
      <c r="CY1" s="894" t="str">
        <f t="shared" si="1"/>
        <v>x</v>
      </c>
      <c r="CZ1" s="894" t="str">
        <f t="shared" si="1"/>
        <v>x</v>
      </c>
      <c r="DA1" s="894" t="str">
        <f t="shared" si="1"/>
        <v>x</v>
      </c>
      <c r="DB1" s="894" t="str">
        <f t="shared" si="1"/>
        <v>x</v>
      </c>
      <c r="DC1" s="894" t="str">
        <f t="shared" si="1"/>
        <v>x</v>
      </c>
      <c r="DD1" s="894" t="str">
        <f t="shared" si="1"/>
        <v>x</v>
      </c>
      <c r="DE1" s="894" t="str">
        <f t="shared" si="1"/>
        <v>x</v>
      </c>
      <c r="DF1" s="894" t="str">
        <f t="shared" si="1"/>
        <v>x</v>
      </c>
      <c r="DG1" s="894" t="str">
        <f t="shared" si="1"/>
        <v>x</v>
      </c>
      <c r="DH1" s="894" t="str">
        <f t="shared" si="1"/>
        <v>x</v>
      </c>
      <c r="DI1" s="894" t="str">
        <f t="shared" si="1"/>
        <v>x</v>
      </c>
      <c r="DJ1" s="894" t="str">
        <f t="shared" si="1"/>
        <v>x</v>
      </c>
      <c r="DK1" s="894" t="str">
        <f t="shared" si="1"/>
        <v>x</v>
      </c>
      <c r="DL1" s="894" t="str">
        <f t="shared" si="1"/>
        <v>x</v>
      </c>
      <c r="DM1" s="894" t="str">
        <f t="shared" si="1"/>
        <v>x</v>
      </c>
      <c r="DN1" s="894" t="str">
        <f t="shared" si="1"/>
        <v>x</v>
      </c>
      <c r="DO1" s="894" t="str">
        <f t="shared" si="1"/>
        <v>x</v>
      </c>
      <c r="DP1" s="894" t="str">
        <f t="shared" si="1"/>
        <v>x</v>
      </c>
      <c r="DQ1" s="894" t="str">
        <f t="shared" si="1"/>
        <v>x</v>
      </c>
      <c r="DR1" s="894" t="str">
        <f t="shared" si="1"/>
        <v>x</v>
      </c>
      <c r="DS1" s="894" t="str">
        <f t="shared" si="1"/>
        <v>x</v>
      </c>
      <c r="DT1" s="894" t="str">
        <f t="shared" si="1"/>
        <v>x</v>
      </c>
      <c r="DU1" s="894" t="str">
        <f t="shared" si="1"/>
        <v>x</v>
      </c>
      <c r="DV1" s="894" t="str">
        <f t="shared" si="1"/>
        <v>x</v>
      </c>
      <c r="DW1" s="894" t="str">
        <f t="shared" si="1"/>
        <v>x</v>
      </c>
      <c r="DX1" s="894" t="str">
        <f t="shared" si="1"/>
        <v>x</v>
      </c>
      <c r="DY1" s="894" t="str">
        <f t="shared" si="1"/>
        <v>x</v>
      </c>
      <c r="DZ1" s="894" t="str">
        <f t="shared" si="1"/>
        <v>x</v>
      </c>
      <c r="EA1" s="894" t="str">
        <f t="shared" si="1"/>
        <v>x</v>
      </c>
      <c r="EB1" s="894" t="str">
        <f t="shared" si="1"/>
        <v>x</v>
      </c>
      <c r="EC1" s="894" t="str">
        <f t="shared" ref="EC1:GN1" si="2">EC3</f>
        <v>x</v>
      </c>
      <c r="ED1" s="894" t="str">
        <f t="shared" si="2"/>
        <v>x</v>
      </c>
      <c r="EE1" s="894" t="str">
        <f t="shared" si="2"/>
        <v>x</v>
      </c>
      <c r="EF1" s="894" t="str">
        <f t="shared" si="2"/>
        <v>x</v>
      </c>
      <c r="EG1" s="894" t="str">
        <f t="shared" si="2"/>
        <v>x</v>
      </c>
      <c r="EH1" s="894" t="str">
        <f t="shared" si="2"/>
        <v>x</v>
      </c>
      <c r="EI1" s="894" t="str">
        <f t="shared" si="2"/>
        <v>x</v>
      </c>
      <c r="EJ1" s="894" t="str">
        <f t="shared" si="2"/>
        <v>x</v>
      </c>
      <c r="EK1" s="894" t="str">
        <f t="shared" si="2"/>
        <v>x</v>
      </c>
      <c r="EL1" s="894" t="str">
        <f t="shared" si="2"/>
        <v>x</v>
      </c>
      <c r="EM1" s="894" t="str">
        <f t="shared" si="2"/>
        <v>x</v>
      </c>
      <c r="EN1" s="894" t="str">
        <f t="shared" si="2"/>
        <v>x</v>
      </c>
      <c r="EO1" s="894" t="str">
        <f t="shared" si="2"/>
        <v>x</v>
      </c>
      <c r="EP1" s="894" t="str">
        <f t="shared" si="2"/>
        <v>x</v>
      </c>
      <c r="EQ1" s="894" t="str">
        <f t="shared" si="2"/>
        <v>x</v>
      </c>
      <c r="ER1" s="894" t="str">
        <f t="shared" si="2"/>
        <v>x</v>
      </c>
      <c r="ES1" s="894" t="str">
        <f t="shared" si="2"/>
        <v>x</v>
      </c>
      <c r="ET1" s="894" t="str">
        <f t="shared" si="2"/>
        <v>x</v>
      </c>
      <c r="EU1" s="894" t="str">
        <f t="shared" si="2"/>
        <v>x</v>
      </c>
      <c r="EV1" s="894" t="str">
        <f t="shared" si="2"/>
        <v>x</v>
      </c>
      <c r="EW1" s="894" t="str">
        <f t="shared" si="2"/>
        <v>x</v>
      </c>
      <c r="EX1" s="894" t="str">
        <f t="shared" si="2"/>
        <v>x</v>
      </c>
      <c r="EY1" s="894" t="str">
        <f t="shared" si="2"/>
        <v>x</v>
      </c>
      <c r="EZ1" s="894" t="str">
        <f t="shared" si="2"/>
        <v>x</v>
      </c>
      <c r="FA1" s="894" t="str">
        <f t="shared" si="2"/>
        <v>x</v>
      </c>
      <c r="FB1" s="894" t="str">
        <f t="shared" si="2"/>
        <v>x</v>
      </c>
      <c r="FC1" s="894" t="str">
        <f t="shared" si="2"/>
        <v>x</v>
      </c>
      <c r="FD1" s="894" t="str">
        <f t="shared" si="2"/>
        <v>x</v>
      </c>
      <c r="FE1" s="894" t="str">
        <f t="shared" si="2"/>
        <v>x</v>
      </c>
      <c r="FF1" s="894" t="str">
        <f t="shared" si="2"/>
        <v>x</v>
      </c>
      <c r="FG1" s="894" t="str">
        <f t="shared" si="2"/>
        <v>x</v>
      </c>
      <c r="FH1" s="894" t="str">
        <f t="shared" si="2"/>
        <v>x</v>
      </c>
      <c r="FI1" s="894" t="str">
        <f t="shared" si="2"/>
        <v>x</v>
      </c>
      <c r="FJ1" s="894" t="str">
        <f t="shared" si="2"/>
        <v>x</v>
      </c>
      <c r="FK1" s="894" t="str">
        <f t="shared" si="2"/>
        <v>x</v>
      </c>
      <c r="FL1" s="894" t="str">
        <f t="shared" si="2"/>
        <v>x</v>
      </c>
      <c r="FM1" s="894" t="str">
        <f t="shared" si="2"/>
        <v>x</v>
      </c>
      <c r="FN1" s="894" t="str">
        <f t="shared" si="2"/>
        <v>x</v>
      </c>
      <c r="FO1" s="894" t="str">
        <f t="shared" si="2"/>
        <v>x</v>
      </c>
      <c r="FP1" s="894" t="str">
        <f t="shared" si="2"/>
        <v>x</v>
      </c>
      <c r="FQ1" s="894" t="str">
        <f t="shared" si="2"/>
        <v>x</v>
      </c>
      <c r="FR1" s="894" t="str">
        <f t="shared" si="2"/>
        <v>x</v>
      </c>
      <c r="FS1" s="894" t="str">
        <f t="shared" si="2"/>
        <v>x</v>
      </c>
      <c r="FT1" s="894" t="str">
        <f t="shared" si="2"/>
        <v>x</v>
      </c>
      <c r="FU1" s="894" t="str">
        <f t="shared" si="2"/>
        <v>x</v>
      </c>
      <c r="FV1" s="894" t="str">
        <f t="shared" si="2"/>
        <v>x</v>
      </c>
      <c r="FW1" s="894" t="str">
        <f t="shared" si="2"/>
        <v>x</v>
      </c>
      <c r="FX1" s="894" t="str">
        <f t="shared" si="2"/>
        <v>x</v>
      </c>
      <c r="FY1" s="894" t="str">
        <f t="shared" si="2"/>
        <v>x</v>
      </c>
      <c r="FZ1" s="894" t="str">
        <f t="shared" si="2"/>
        <v>x</v>
      </c>
      <c r="GA1" s="894" t="str">
        <f t="shared" si="2"/>
        <v>x</v>
      </c>
      <c r="GB1" s="894" t="str">
        <f t="shared" si="2"/>
        <v>x</v>
      </c>
      <c r="GC1" s="894" t="str">
        <f t="shared" si="2"/>
        <v>x</v>
      </c>
      <c r="GD1" s="894" t="str">
        <f t="shared" si="2"/>
        <v>x</v>
      </c>
      <c r="GE1" s="894" t="str">
        <f t="shared" si="2"/>
        <v>x</v>
      </c>
      <c r="GF1" s="894" t="str">
        <f t="shared" si="2"/>
        <v>x</v>
      </c>
      <c r="GG1" s="894" t="str">
        <f t="shared" si="2"/>
        <v>x</v>
      </c>
      <c r="GH1" s="894" t="str">
        <f t="shared" si="2"/>
        <v>x</v>
      </c>
      <c r="GI1" s="894" t="str">
        <f t="shared" si="2"/>
        <v>x</v>
      </c>
      <c r="GJ1" s="894" t="str">
        <f t="shared" si="2"/>
        <v>x</v>
      </c>
      <c r="GK1" s="894" t="str">
        <f t="shared" si="2"/>
        <v>x</v>
      </c>
      <c r="GL1" s="894" t="str">
        <f t="shared" si="2"/>
        <v>x</v>
      </c>
      <c r="GM1" s="894" t="str">
        <f t="shared" si="2"/>
        <v>x</v>
      </c>
      <c r="GN1" s="894" t="str">
        <f t="shared" si="2"/>
        <v>x</v>
      </c>
      <c r="GO1" s="894" t="str">
        <f t="shared" ref="GO1:IZ1" si="3">GO3</f>
        <v>x</v>
      </c>
      <c r="GP1" s="894" t="str">
        <f t="shared" si="3"/>
        <v>x</v>
      </c>
      <c r="GQ1" s="894" t="str">
        <f t="shared" si="3"/>
        <v>x</v>
      </c>
      <c r="GR1" s="894" t="str">
        <f t="shared" si="3"/>
        <v>x</v>
      </c>
      <c r="GS1" s="894" t="str">
        <f t="shared" si="3"/>
        <v>x</v>
      </c>
      <c r="GT1" s="894" t="str">
        <f t="shared" si="3"/>
        <v>x</v>
      </c>
      <c r="GU1" s="894" t="str">
        <f t="shared" si="3"/>
        <v>x</v>
      </c>
      <c r="GV1" s="894" t="str">
        <f t="shared" si="3"/>
        <v>x</v>
      </c>
      <c r="GW1" s="894" t="str">
        <f t="shared" si="3"/>
        <v>x</v>
      </c>
      <c r="GX1" s="894" t="str">
        <f t="shared" si="3"/>
        <v>x</v>
      </c>
      <c r="GY1" s="894" t="str">
        <f t="shared" si="3"/>
        <v>x</v>
      </c>
      <c r="GZ1" s="894" t="str">
        <f t="shared" si="3"/>
        <v>x</v>
      </c>
      <c r="HA1" s="894" t="str">
        <f t="shared" si="3"/>
        <v>x</v>
      </c>
      <c r="HB1" s="894" t="str">
        <f t="shared" si="3"/>
        <v>x</v>
      </c>
      <c r="HC1" s="894" t="str">
        <f t="shared" si="3"/>
        <v>x</v>
      </c>
      <c r="HD1" s="894" t="str">
        <f t="shared" si="3"/>
        <v>x</v>
      </c>
      <c r="HE1" s="894" t="str">
        <f t="shared" si="3"/>
        <v>x</v>
      </c>
      <c r="HF1" s="894" t="str">
        <f t="shared" si="3"/>
        <v>x</v>
      </c>
      <c r="HG1" s="894" t="str">
        <f t="shared" si="3"/>
        <v>x</v>
      </c>
      <c r="HH1" s="894" t="str">
        <f t="shared" si="3"/>
        <v>x</v>
      </c>
      <c r="HI1" s="894" t="str">
        <f t="shared" si="3"/>
        <v>x</v>
      </c>
      <c r="HJ1" s="894" t="str">
        <f t="shared" si="3"/>
        <v>x</v>
      </c>
      <c r="HK1" s="894" t="str">
        <f t="shared" si="3"/>
        <v>x</v>
      </c>
      <c r="HL1" s="894" t="str">
        <f t="shared" si="3"/>
        <v>x</v>
      </c>
      <c r="HM1" s="894" t="str">
        <f t="shared" si="3"/>
        <v>x</v>
      </c>
      <c r="HN1" s="894" t="str">
        <f t="shared" si="3"/>
        <v>x</v>
      </c>
      <c r="HO1" s="894" t="str">
        <f t="shared" si="3"/>
        <v>x</v>
      </c>
      <c r="HP1" s="894" t="str">
        <f t="shared" si="3"/>
        <v>x</v>
      </c>
      <c r="HQ1" s="894" t="str">
        <f t="shared" si="3"/>
        <v>x</v>
      </c>
      <c r="HR1" s="894" t="str">
        <f t="shared" si="3"/>
        <v>x</v>
      </c>
      <c r="HS1" s="894" t="str">
        <f t="shared" si="3"/>
        <v>x</v>
      </c>
      <c r="HT1" s="894" t="str">
        <f t="shared" si="3"/>
        <v>x</v>
      </c>
      <c r="HU1" s="894" t="str">
        <f t="shared" si="3"/>
        <v>x</v>
      </c>
      <c r="HV1" s="894" t="str">
        <f t="shared" si="3"/>
        <v>x</v>
      </c>
      <c r="HW1" s="894" t="str">
        <f t="shared" si="3"/>
        <v>x</v>
      </c>
      <c r="HX1" s="894" t="str">
        <f t="shared" si="3"/>
        <v>x</v>
      </c>
      <c r="HY1" s="894" t="str">
        <f t="shared" si="3"/>
        <v>x</v>
      </c>
      <c r="HZ1" s="894" t="str">
        <f t="shared" si="3"/>
        <v>x</v>
      </c>
      <c r="IA1" s="894" t="str">
        <f t="shared" si="3"/>
        <v>x</v>
      </c>
      <c r="IB1" s="894" t="str">
        <f t="shared" si="3"/>
        <v>x</v>
      </c>
      <c r="IC1" s="894" t="str">
        <f t="shared" si="3"/>
        <v>x</v>
      </c>
      <c r="ID1" s="894" t="str">
        <f t="shared" si="3"/>
        <v>x</v>
      </c>
      <c r="IE1" s="894" t="str">
        <f t="shared" si="3"/>
        <v>x</v>
      </c>
      <c r="IF1" s="894" t="str">
        <f t="shared" si="3"/>
        <v>x</v>
      </c>
      <c r="IG1" s="894" t="str">
        <f t="shared" si="3"/>
        <v>x</v>
      </c>
      <c r="IH1" s="894" t="str">
        <f t="shared" si="3"/>
        <v>x</v>
      </c>
      <c r="II1" s="894" t="str">
        <f t="shared" si="3"/>
        <v>x</v>
      </c>
      <c r="IJ1" s="894" t="str">
        <f t="shared" si="3"/>
        <v>x</v>
      </c>
      <c r="IK1" s="894" t="str">
        <f t="shared" si="3"/>
        <v>x</v>
      </c>
      <c r="IL1" s="894" t="str">
        <f t="shared" si="3"/>
        <v>x</v>
      </c>
      <c r="IM1" s="894" t="str">
        <f t="shared" si="3"/>
        <v>x</v>
      </c>
      <c r="IN1" s="894" t="str">
        <f t="shared" si="3"/>
        <v>x</v>
      </c>
      <c r="IO1" s="894" t="str">
        <f t="shared" si="3"/>
        <v>x</v>
      </c>
      <c r="IP1" s="894" t="str">
        <f t="shared" si="3"/>
        <v>x</v>
      </c>
      <c r="IQ1" s="894" t="str">
        <f t="shared" si="3"/>
        <v>x</v>
      </c>
      <c r="IR1" s="894" t="str">
        <f t="shared" si="3"/>
        <v>x</v>
      </c>
      <c r="IS1" s="894" t="str">
        <f t="shared" si="3"/>
        <v>x</v>
      </c>
      <c r="IT1" s="894" t="str">
        <f t="shared" si="3"/>
        <v>x</v>
      </c>
      <c r="IU1" s="894" t="str">
        <f t="shared" si="3"/>
        <v>x</v>
      </c>
      <c r="IV1" s="894" t="str">
        <f t="shared" si="3"/>
        <v>x</v>
      </c>
      <c r="IW1" s="894" t="str">
        <f t="shared" si="3"/>
        <v>x</v>
      </c>
      <c r="IX1" s="894" t="str">
        <f t="shared" si="3"/>
        <v>x</v>
      </c>
      <c r="IY1" s="894" t="str">
        <f t="shared" si="3"/>
        <v>x</v>
      </c>
      <c r="IZ1" s="894" t="str">
        <f t="shared" si="3"/>
        <v>x</v>
      </c>
      <c r="JA1" s="894" t="str">
        <f t="shared" ref="JA1:LL1" si="4">JA3</f>
        <v>x</v>
      </c>
      <c r="JB1" s="894" t="str">
        <f t="shared" si="4"/>
        <v>x</v>
      </c>
      <c r="JC1" s="894" t="str">
        <f t="shared" si="4"/>
        <v>x</v>
      </c>
      <c r="JD1" s="894" t="str">
        <f t="shared" si="4"/>
        <v>x</v>
      </c>
      <c r="JE1" s="894" t="str">
        <f t="shared" si="4"/>
        <v>x</v>
      </c>
      <c r="JF1" s="894" t="str">
        <f t="shared" si="4"/>
        <v>x</v>
      </c>
      <c r="JG1" s="894" t="str">
        <f t="shared" si="4"/>
        <v>x</v>
      </c>
      <c r="JH1" s="894" t="str">
        <f t="shared" si="4"/>
        <v>x</v>
      </c>
      <c r="JI1" s="894" t="str">
        <f t="shared" si="4"/>
        <v>x</v>
      </c>
      <c r="JJ1" s="894" t="str">
        <f t="shared" si="4"/>
        <v>x</v>
      </c>
      <c r="JK1" s="894" t="str">
        <f t="shared" si="4"/>
        <v>x</v>
      </c>
      <c r="JL1" s="894" t="str">
        <f t="shared" si="4"/>
        <v>x</v>
      </c>
      <c r="JM1" s="894" t="str">
        <f t="shared" si="4"/>
        <v>x</v>
      </c>
      <c r="JN1" s="894" t="str">
        <f t="shared" si="4"/>
        <v>x</v>
      </c>
      <c r="JO1" s="894" t="str">
        <f t="shared" si="4"/>
        <v>x</v>
      </c>
      <c r="JP1" s="894" t="str">
        <f t="shared" si="4"/>
        <v>x</v>
      </c>
      <c r="JQ1" s="894" t="str">
        <f t="shared" si="4"/>
        <v>x</v>
      </c>
      <c r="JR1" s="894" t="str">
        <f t="shared" si="4"/>
        <v>x</v>
      </c>
      <c r="JS1" s="894" t="str">
        <f t="shared" si="4"/>
        <v>x</v>
      </c>
      <c r="JT1" s="894" t="str">
        <f t="shared" si="4"/>
        <v>x</v>
      </c>
      <c r="JU1" s="894" t="str">
        <f t="shared" si="4"/>
        <v>x</v>
      </c>
      <c r="JV1" s="894" t="str">
        <f t="shared" si="4"/>
        <v>x</v>
      </c>
      <c r="JW1" s="894" t="str">
        <f t="shared" si="4"/>
        <v>x</v>
      </c>
      <c r="JX1" s="894" t="str">
        <f t="shared" si="4"/>
        <v>x</v>
      </c>
      <c r="JY1" s="894" t="str">
        <f t="shared" si="4"/>
        <v>x</v>
      </c>
      <c r="JZ1" s="894" t="str">
        <f t="shared" si="4"/>
        <v>x</v>
      </c>
      <c r="KA1" s="894" t="str">
        <f t="shared" si="4"/>
        <v>x</v>
      </c>
      <c r="KB1" s="894" t="str">
        <f t="shared" si="4"/>
        <v>x</v>
      </c>
      <c r="KC1" s="894" t="str">
        <f t="shared" si="4"/>
        <v>x</v>
      </c>
      <c r="KD1" s="894" t="str">
        <f t="shared" si="4"/>
        <v>x</v>
      </c>
      <c r="KE1" s="894" t="str">
        <f t="shared" si="4"/>
        <v>x</v>
      </c>
      <c r="KF1" s="894" t="str">
        <f t="shared" si="4"/>
        <v>x</v>
      </c>
      <c r="KG1" s="894" t="str">
        <f t="shared" si="4"/>
        <v>x</v>
      </c>
      <c r="KH1" s="894" t="str">
        <f t="shared" si="4"/>
        <v>x</v>
      </c>
      <c r="KI1" s="894" t="str">
        <f t="shared" si="4"/>
        <v>x</v>
      </c>
      <c r="KJ1" s="894" t="str">
        <f t="shared" si="4"/>
        <v>x</v>
      </c>
      <c r="KK1" s="894" t="str">
        <f t="shared" si="4"/>
        <v>x</v>
      </c>
      <c r="KL1" s="894" t="str">
        <f t="shared" si="4"/>
        <v>x</v>
      </c>
      <c r="KM1" s="894" t="str">
        <f t="shared" si="4"/>
        <v>x</v>
      </c>
      <c r="KN1" s="894" t="str">
        <f t="shared" si="4"/>
        <v>x</v>
      </c>
      <c r="KO1" s="894" t="str">
        <f t="shared" si="4"/>
        <v>x</v>
      </c>
      <c r="KP1" s="894" t="str">
        <f t="shared" si="4"/>
        <v>x</v>
      </c>
      <c r="KQ1" s="894" t="str">
        <f t="shared" si="4"/>
        <v>x</v>
      </c>
      <c r="KR1" s="894" t="str">
        <f t="shared" si="4"/>
        <v>x</v>
      </c>
      <c r="KS1" s="894" t="str">
        <f t="shared" si="4"/>
        <v>x</v>
      </c>
      <c r="KT1" s="894" t="str">
        <f t="shared" si="4"/>
        <v>x</v>
      </c>
      <c r="KU1" s="894" t="str">
        <f t="shared" si="4"/>
        <v>x</v>
      </c>
      <c r="KV1" s="894" t="str">
        <f t="shared" si="4"/>
        <v>x</v>
      </c>
      <c r="KW1" s="894" t="str">
        <f t="shared" si="4"/>
        <v>x</v>
      </c>
      <c r="KX1" s="894" t="str">
        <f t="shared" si="4"/>
        <v>x</v>
      </c>
      <c r="KY1" s="894" t="str">
        <f t="shared" si="4"/>
        <v>x</v>
      </c>
      <c r="KZ1" s="894" t="str">
        <f t="shared" si="4"/>
        <v>x</v>
      </c>
      <c r="LA1" s="894" t="str">
        <f t="shared" si="4"/>
        <v>x</v>
      </c>
      <c r="LB1" s="894" t="str">
        <f t="shared" si="4"/>
        <v>x</v>
      </c>
      <c r="LC1" s="894" t="str">
        <f t="shared" si="4"/>
        <v>x</v>
      </c>
      <c r="LD1" s="894" t="str">
        <f t="shared" si="4"/>
        <v>x</v>
      </c>
      <c r="LE1" s="894" t="str">
        <f t="shared" si="4"/>
        <v>x</v>
      </c>
      <c r="LF1" s="894" t="str">
        <f t="shared" si="4"/>
        <v>x</v>
      </c>
      <c r="LG1" s="894" t="str">
        <f t="shared" si="4"/>
        <v>x</v>
      </c>
      <c r="LH1" s="894" t="str">
        <f t="shared" si="4"/>
        <v>x</v>
      </c>
      <c r="LI1" s="894" t="str">
        <f t="shared" si="4"/>
        <v>x</v>
      </c>
      <c r="LJ1" s="894" t="str">
        <f t="shared" si="4"/>
        <v>x</v>
      </c>
      <c r="LK1" s="894" t="str">
        <f t="shared" si="4"/>
        <v>x</v>
      </c>
      <c r="LL1" s="894" t="str">
        <f t="shared" si="4"/>
        <v>x</v>
      </c>
      <c r="LM1" s="894" t="str">
        <f t="shared" ref="LM1:NX1" si="5">LM3</f>
        <v>x</v>
      </c>
      <c r="LN1" s="894" t="str">
        <f t="shared" si="5"/>
        <v>x</v>
      </c>
      <c r="LO1" s="894" t="str">
        <f t="shared" si="5"/>
        <v>x</v>
      </c>
      <c r="LP1" s="894" t="str">
        <f t="shared" si="5"/>
        <v>x</v>
      </c>
      <c r="LQ1" s="894" t="str">
        <f t="shared" si="5"/>
        <v>x</v>
      </c>
      <c r="LR1" s="894" t="str">
        <f t="shared" si="5"/>
        <v>x</v>
      </c>
      <c r="LS1" s="894" t="str">
        <f t="shared" si="5"/>
        <v>x</v>
      </c>
      <c r="LT1" s="894" t="str">
        <f t="shared" si="5"/>
        <v>x</v>
      </c>
      <c r="LU1" s="894" t="str">
        <f t="shared" si="5"/>
        <v>x</v>
      </c>
      <c r="LV1" s="894" t="str">
        <f t="shared" si="5"/>
        <v>x</v>
      </c>
      <c r="LW1" s="894" t="str">
        <f t="shared" si="5"/>
        <v>x</v>
      </c>
      <c r="LX1" s="894" t="str">
        <f t="shared" si="5"/>
        <v>x</v>
      </c>
      <c r="LY1" s="894" t="str">
        <f t="shared" si="5"/>
        <v>x</v>
      </c>
      <c r="LZ1" s="894" t="str">
        <f t="shared" si="5"/>
        <v>x</v>
      </c>
      <c r="MA1" s="894" t="str">
        <f t="shared" si="5"/>
        <v>x</v>
      </c>
      <c r="MB1" s="894" t="str">
        <f t="shared" si="5"/>
        <v>x</v>
      </c>
      <c r="MC1" s="894" t="str">
        <f t="shared" si="5"/>
        <v>x</v>
      </c>
      <c r="MD1" s="894" t="str">
        <f t="shared" si="5"/>
        <v>x</v>
      </c>
      <c r="ME1" s="894" t="str">
        <f t="shared" si="5"/>
        <v>x</v>
      </c>
      <c r="MF1" s="894" t="str">
        <f t="shared" si="5"/>
        <v>x</v>
      </c>
      <c r="MG1" s="894" t="str">
        <f t="shared" si="5"/>
        <v>x</v>
      </c>
      <c r="MH1" s="894" t="str">
        <f t="shared" si="5"/>
        <v>x</v>
      </c>
      <c r="MI1" s="894" t="str">
        <f t="shared" si="5"/>
        <v>x</v>
      </c>
      <c r="MJ1" s="894" t="str">
        <f t="shared" si="5"/>
        <v>x</v>
      </c>
      <c r="MK1" s="894" t="str">
        <f t="shared" si="5"/>
        <v>x</v>
      </c>
      <c r="ML1" s="894" t="str">
        <f t="shared" si="5"/>
        <v>x</v>
      </c>
      <c r="MM1" s="894" t="str">
        <f t="shared" si="5"/>
        <v>x</v>
      </c>
      <c r="MN1" s="894" t="str">
        <f t="shared" si="5"/>
        <v>x</v>
      </c>
      <c r="MO1" s="894" t="str">
        <f t="shared" si="5"/>
        <v>x</v>
      </c>
      <c r="MP1" s="894" t="str">
        <f t="shared" si="5"/>
        <v>x</v>
      </c>
      <c r="MQ1" s="894" t="str">
        <f t="shared" si="5"/>
        <v>x</v>
      </c>
      <c r="MR1" s="894" t="str">
        <f t="shared" si="5"/>
        <v>x</v>
      </c>
      <c r="MS1" s="894" t="str">
        <f t="shared" si="5"/>
        <v>x</v>
      </c>
      <c r="MT1" s="894" t="str">
        <f t="shared" si="5"/>
        <v>x</v>
      </c>
      <c r="MU1" s="894" t="str">
        <f t="shared" si="5"/>
        <v>x</v>
      </c>
      <c r="MV1" s="894" t="str">
        <f t="shared" si="5"/>
        <v>x</v>
      </c>
      <c r="MW1" s="894" t="str">
        <f t="shared" si="5"/>
        <v>x</v>
      </c>
      <c r="MX1" s="894" t="str">
        <f t="shared" si="5"/>
        <v>x</v>
      </c>
      <c r="MY1" s="894" t="str">
        <f t="shared" si="5"/>
        <v>x</v>
      </c>
      <c r="MZ1" s="894" t="str">
        <f t="shared" si="5"/>
        <v>x</v>
      </c>
      <c r="NA1" s="894" t="str">
        <f t="shared" si="5"/>
        <v>x</v>
      </c>
      <c r="NB1" s="894" t="str">
        <f t="shared" si="5"/>
        <v>x</v>
      </c>
      <c r="NC1" s="894" t="str">
        <f t="shared" si="5"/>
        <v>x</v>
      </c>
      <c r="ND1" s="894" t="str">
        <f t="shared" si="5"/>
        <v>x</v>
      </c>
      <c r="NE1" s="894" t="str">
        <f t="shared" si="5"/>
        <v>x</v>
      </c>
      <c r="NF1" s="894" t="str">
        <f t="shared" si="5"/>
        <v>x</v>
      </c>
      <c r="NG1" s="894" t="str">
        <f t="shared" si="5"/>
        <v>x</v>
      </c>
      <c r="NH1" s="894" t="str">
        <f t="shared" si="5"/>
        <v>x</v>
      </c>
      <c r="NI1" s="894" t="str">
        <f t="shared" si="5"/>
        <v>x</v>
      </c>
      <c r="NJ1" s="894" t="str">
        <f t="shared" si="5"/>
        <v>x</v>
      </c>
      <c r="NK1" s="894" t="str">
        <f t="shared" si="5"/>
        <v>x</v>
      </c>
      <c r="NL1" s="894" t="str">
        <f t="shared" si="5"/>
        <v>x</v>
      </c>
      <c r="NM1" s="894" t="str">
        <f t="shared" si="5"/>
        <v>x</v>
      </c>
      <c r="NN1" s="894" t="str">
        <f t="shared" si="5"/>
        <v>x</v>
      </c>
      <c r="NO1" s="894" t="str">
        <f t="shared" si="5"/>
        <v>x</v>
      </c>
      <c r="NP1" s="894" t="str">
        <f t="shared" si="5"/>
        <v>x</v>
      </c>
      <c r="NQ1" s="894" t="str">
        <f t="shared" si="5"/>
        <v>x</v>
      </c>
      <c r="NR1" s="894" t="str">
        <f t="shared" si="5"/>
        <v>x</v>
      </c>
      <c r="NS1" s="894" t="str">
        <f t="shared" si="5"/>
        <v>x</v>
      </c>
      <c r="NT1" s="894" t="str">
        <f t="shared" si="5"/>
        <v>x</v>
      </c>
      <c r="NU1" s="894" t="str">
        <f t="shared" si="5"/>
        <v>x</v>
      </c>
      <c r="NV1" s="894" t="str">
        <f t="shared" si="5"/>
        <v>x</v>
      </c>
      <c r="NW1" s="894" t="str">
        <f t="shared" si="5"/>
        <v>x</v>
      </c>
      <c r="NX1" s="894" t="str">
        <f t="shared" si="5"/>
        <v>x</v>
      </c>
      <c r="NY1" s="894" t="str">
        <f t="shared" ref="NY1:QJ1" si="6">NY3</f>
        <v>x</v>
      </c>
      <c r="NZ1" s="894" t="str">
        <f t="shared" si="6"/>
        <v>x</v>
      </c>
      <c r="OA1" s="894" t="str">
        <f t="shared" si="6"/>
        <v>x</v>
      </c>
      <c r="OB1" s="894" t="str">
        <f t="shared" si="6"/>
        <v>x</v>
      </c>
      <c r="OC1" s="894" t="str">
        <f t="shared" si="6"/>
        <v>x</v>
      </c>
      <c r="OD1" s="894" t="str">
        <f t="shared" si="6"/>
        <v>x</v>
      </c>
      <c r="OE1" s="894" t="str">
        <f t="shared" si="6"/>
        <v>x</v>
      </c>
      <c r="OF1" s="894" t="str">
        <f t="shared" si="6"/>
        <v>x</v>
      </c>
      <c r="OG1" s="894" t="str">
        <f t="shared" si="6"/>
        <v>x</v>
      </c>
      <c r="OH1" s="894" t="str">
        <f t="shared" si="6"/>
        <v>x</v>
      </c>
      <c r="OI1" s="894" t="str">
        <f t="shared" si="6"/>
        <v>x</v>
      </c>
      <c r="OJ1" s="894" t="str">
        <f t="shared" si="6"/>
        <v>x</v>
      </c>
      <c r="OK1" s="894" t="str">
        <f t="shared" si="6"/>
        <v>x</v>
      </c>
      <c r="OL1" s="894" t="str">
        <f t="shared" si="6"/>
        <v>x</v>
      </c>
      <c r="OM1" s="894" t="str">
        <f t="shared" si="6"/>
        <v>x</v>
      </c>
      <c r="ON1" s="894" t="str">
        <f t="shared" si="6"/>
        <v>x</v>
      </c>
      <c r="OO1" s="894" t="str">
        <f t="shared" si="6"/>
        <v>x</v>
      </c>
      <c r="OP1" s="894" t="str">
        <f t="shared" si="6"/>
        <v>x</v>
      </c>
      <c r="OQ1" s="894" t="str">
        <f t="shared" si="6"/>
        <v>x</v>
      </c>
      <c r="OR1" s="894" t="str">
        <f t="shared" si="6"/>
        <v>x</v>
      </c>
      <c r="OS1" s="894" t="str">
        <f t="shared" si="6"/>
        <v>x</v>
      </c>
      <c r="OT1" s="894" t="str">
        <f t="shared" si="6"/>
        <v>x</v>
      </c>
      <c r="OU1" s="894" t="str">
        <f t="shared" si="6"/>
        <v>x</v>
      </c>
      <c r="OV1" s="894" t="str">
        <f t="shared" si="6"/>
        <v>x</v>
      </c>
      <c r="OW1" s="894" t="str">
        <f t="shared" si="6"/>
        <v>x</v>
      </c>
      <c r="OX1" s="894" t="str">
        <f t="shared" si="6"/>
        <v>x</v>
      </c>
      <c r="OY1" s="894" t="str">
        <f t="shared" si="6"/>
        <v>x</v>
      </c>
      <c r="OZ1" s="894" t="str">
        <f t="shared" si="6"/>
        <v>x</v>
      </c>
      <c r="PA1" s="894" t="str">
        <f t="shared" si="6"/>
        <v>x</v>
      </c>
      <c r="PB1" s="894" t="str">
        <f t="shared" si="6"/>
        <v>x</v>
      </c>
      <c r="PC1" s="894" t="str">
        <f t="shared" si="6"/>
        <v>x</v>
      </c>
      <c r="PD1" s="894" t="str">
        <f t="shared" si="6"/>
        <v>x</v>
      </c>
      <c r="PE1" s="894" t="str">
        <f t="shared" si="6"/>
        <v>x</v>
      </c>
      <c r="PF1" s="894" t="str">
        <f t="shared" si="6"/>
        <v>x</v>
      </c>
      <c r="PG1" s="894" t="str">
        <f t="shared" si="6"/>
        <v>x</v>
      </c>
      <c r="PH1" s="894" t="str">
        <f t="shared" si="6"/>
        <v>x</v>
      </c>
      <c r="PI1" s="894" t="str">
        <f t="shared" si="6"/>
        <v>x</v>
      </c>
      <c r="PJ1" s="894" t="str">
        <f t="shared" si="6"/>
        <v>x</v>
      </c>
      <c r="PK1" s="894" t="str">
        <f t="shared" si="6"/>
        <v>x</v>
      </c>
      <c r="PL1" s="894" t="str">
        <f t="shared" si="6"/>
        <v>x</v>
      </c>
      <c r="PM1" s="894" t="str">
        <f t="shared" si="6"/>
        <v>x</v>
      </c>
      <c r="PN1" s="894" t="str">
        <f t="shared" si="6"/>
        <v>x</v>
      </c>
      <c r="PO1" s="894" t="str">
        <f t="shared" si="6"/>
        <v>x</v>
      </c>
      <c r="PP1" s="894" t="str">
        <f t="shared" si="6"/>
        <v>x</v>
      </c>
      <c r="PQ1" s="894" t="str">
        <f t="shared" si="6"/>
        <v>x</v>
      </c>
      <c r="PR1" s="894" t="str">
        <f t="shared" si="6"/>
        <v>x</v>
      </c>
      <c r="PS1" s="894" t="str">
        <f t="shared" si="6"/>
        <v>x</v>
      </c>
      <c r="PT1" s="894" t="str">
        <f t="shared" si="6"/>
        <v>x</v>
      </c>
      <c r="PU1" s="894" t="str">
        <f t="shared" si="6"/>
        <v>x</v>
      </c>
      <c r="PV1" s="894" t="str">
        <f t="shared" si="6"/>
        <v>x</v>
      </c>
      <c r="PW1" s="894" t="str">
        <f t="shared" si="6"/>
        <v>x</v>
      </c>
      <c r="PX1" s="894" t="str">
        <f t="shared" si="6"/>
        <v>x</v>
      </c>
      <c r="PY1" s="894" t="str">
        <f t="shared" si="6"/>
        <v>x</v>
      </c>
      <c r="PZ1" s="894" t="str">
        <f t="shared" si="6"/>
        <v>x</v>
      </c>
      <c r="QA1" s="894" t="str">
        <f t="shared" si="6"/>
        <v>x</v>
      </c>
      <c r="QB1" s="894" t="str">
        <f t="shared" si="6"/>
        <v>x</v>
      </c>
      <c r="QC1" s="894" t="str">
        <f t="shared" si="6"/>
        <v>x</v>
      </c>
      <c r="QD1" s="894" t="str">
        <f t="shared" si="6"/>
        <v>x</v>
      </c>
      <c r="QE1" s="894" t="str">
        <f t="shared" si="6"/>
        <v>x</v>
      </c>
      <c r="QF1" s="894" t="str">
        <f t="shared" si="6"/>
        <v>x</v>
      </c>
      <c r="QG1" s="894" t="str">
        <f t="shared" si="6"/>
        <v>x</v>
      </c>
      <c r="QH1" s="894" t="str">
        <f t="shared" si="6"/>
        <v>x</v>
      </c>
      <c r="QI1" s="894" t="str">
        <f t="shared" si="6"/>
        <v>x</v>
      </c>
      <c r="QJ1" s="894" t="str">
        <f t="shared" si="6"/>
        <v>x</v>
      </c>
      <c r="QK1" s="894" t="str">
        <f t="shared" ref="QK1:SV1" si="7">QK3</f>
        <v>x</v>
      </c>
      <c r="QL1" s="894" t="str">
        <f t="shared" si="7"/>
        <v>x</v>
      </c>
      <c r="QM1" s="894" t="str">
        <f t="shared" si="7"/>
        <v>x</v>
      </c>
      <c r="QN1" s="894" t="str">
        <f t="shared" si="7"/>
        <v>x</v>
      </c>
      <c r="QO1" s="894" t="str">
        <f t="shared" si="7"/>
        <v>x</v>
      </c>
      <c r="QP1" s="894" t="str">
        <f t="shared" si="7"/>
        <v>x</v>
      </c>
      <c r="QQ1" s="894" t="str">
        <f t="shared" si="7"/>
        <v>x</v>
      </c>
      <c r="QR1" s="894" t="str">
        <f t="shared" si="7"/>
        <v>x</v>
      </c>
      <c r="QS1" s="894" t="str">
        <f t="shared" si="7"/>
        <v>x</v>
      </c>
      <c r="QT1" s="894" t="str">
        <f t="shared" si="7"/>
        <v>x</v>
      </c>
      <c r="QU1" s="894" t="str">
        <f t="shared" si="7"/>
        <v>x</v>
      </c>
      <c r="QV1" s="894" t="str">
        <f t="shared" si="7"/>
        <v>x</v>
      </c>
      <c r="QW1" s="894" t="str">
        <f t="shared" si="7"/>
        <v>x</v>
      </c>
      <c r="QX1" s="894" t="str">
        <f t="shared" si="7"/>
        <v>x</v>
      </c>
      <c r="QY1" s="894" t="str">
        <f t="shared" si="7"/>
        <v>x</v>
      </c>
      <c r="QZ1" s="894" t="str">
        <f t="shared" si="7"/>
        <v>x</v>
      </c>
      <c r="RA1" s="894" t="str">
        <f t="shared" si="7"/>
        <v>x</v>
      </c>
      <c r="RB1" s="894" t="str">
        <f t="shared" si="7"/>
        <v>x</v>
      </c>
      <c r="RC1" s="894" t="str">
        <f t="shared" si="7"/>
        <v>x</v>
      </c>
      <c r="RD1" s="894" t="str">
        <f t="shared" si="7"/>
        <v>x</v>
      </c>
      <c r="RE1" s="894" t="str">
        <f t="shared" si="7"/>
        <v>x</v>
      </c>
      <c r="RF1" s="894" t="str">
        <f t="shared" si="7"/>
        <v>x</v>
      </c>
      <c r="RG1" s="894" t="str">
        <f t="shared" si="7"/>
        <v>x</v>
      </c>
      <c r="RH1" s="894" t="str">
        <f t="shared" si="7"/>
        <v>x</v>
      </c>
      <c r="RI1" s="894" t="str">
        <f t="shared" si="7"/>
        <v>x</v>
      </c>
      <c r="RJ1" s="894" t="str">
        <f t="shared" si="7"/>
        <v>x</v>
      </c>
      <c r="RK1" s="894" t="str">
        <f t="shared" si="7"/>
        <v>x</v>
      </c>
      <c r="RL1" s="894" t="str">
        <f t="shared" si="7"/>
        <v>x</v>
      </c>
      <c r="RM1" s="894" t="str">
        <f t="shared" si="7"/>
        <v>x</v>
      </c>
      <c r="RN1" s="894" t="str">
        <f t="shared" si="7"/>
        <v>x</v>
      </c>
      <c r="RO1" s="894" t="str">
        <f t="shared" si="7"/>
        <v>x</v>
      </c>
      <c r="RP1" s="894" t="str">
        <f t="shared" si="7"/>
        <v>x</v>
      </c>
      <c r="RQ1" s="894" t="str">
        <f t="shared" si="7"/>
        <v>x</v>
      </c>
      <c r="RR1" s="894" t="str">
        <f t="shared" si="7"/>
        <v>x</v>
      </c>
      <c r="RS1" s="894" t="str">
        <f t="shared" si="7"/>
        <v>x</v>
      </c>
      <c r="RT1" s="894" t="str">
        <f t="shared" si="7"/>
        <v>x</v>
      </c>
      <c r="RU1" s="894" t="str">
        <f t="shared" si="7"/>
        <v>x</v>
      </c>
      <c r="RV1" s="894" t="str">
        <f t="shared" si="7"/>
        <v>x</v>
      </c>
      <c r="RW1" s="894" t="str">
        <f t="shared" si="7"/>
        <v>x</v>
      </c>
      <c r="RX1" s="894" t="str">
        <f t="shared" si="7"/>
        <v>x</v>
      </c>
      <c r="RY1" s="894" t="str">
        <f t="shared" si="7"/>
        <v>x</v>
      </c>
      <c r="RZ1" s="894" t="str">
        <f t="shared" si="7"/>
        <v>x</v>
      </c>
      <c r="SA1" s="894" t="str">
        <f t="shared" si="7"/>
        <v>x</v>
      </c>
      <c r="SB1" s="894" t="str">
        <f t="shared" si="7"/>
        <v>x</v>
      </c>
      <c r="SC1" s="894" t="str">
        <f t="shared" si="7"/>
        <v>x</v>
      </c>
      <c r="SD1" s="894" t="str">
        <f t="shared" si="7"/>
        <v>x</v>
      </c>
      <c r="SE1" s="894" t="str">
        <f t="shared" si="7"/>
        <v>x</v>
      </c>
      <c r="SF1" s="894" t="str">
        <f t="shared" si="7"/>
        <v>x</v>
      </c>
      <c r="SG1" s="894" t="str">
        <f t="shared" si="7"/>
        <v>x</v>
      </c>
      <c r="SH1" s="894" t="str">
        <f t="shared" si="7"/>
        <v>x</v>
      </c>
      <c r="SI1" s="894" t="str">
        <f t="shared" si="7"/>
        <v>x</v>
      </c>
      <c r="SJ1" s="894" t="str">
        <f t="shared" si="7"/>
        <v>x</v>
      </c>
      <c r="SK1" s="894" t="str">
        <f t="shared" si="7"/>
        <v>x</v>
      </c>
      <c r="SL1" s="894" t="str">
        <f t="shared" si="7"/>
        <v>x</v>
      </c>
      <c r="SM1" s="894" t="str">
        <f t="shared" si="7"/>
        <v>x</v>
      </c>
      <c r="SN1" s="894" t="str">
        <f t="shared" si="7"/>
        <v>x</v>
      </c>
      <c r="SO1" s="894" t="str">
        <f t="shared" si="7"/>
        <v>x</v>
      </c>
      <c r="SP1" s="894" t="str">
        <f t="shared" si="7"/>
        <v>x</v>
      </c>
      <c r="SQ1" s="894" t="str">
        <f t="shared" si="7"/>
        <v>x</v>
      </c>
      <c r="SR1" s="894" t="str">
        <f t="shared" si="7"/>
        <v>x</v>
      </c>
      <c r="SS1" s="894" t="str">
        <f t="shared" si="7"/>
        <v>x</v>
      </c>
      <c r="ST1" s="894" t="str">
        <f t="shared" si="7"/>
        <v>x</v>
      </c>
      <c r="SU1" s="894" t="str">
        <f t="shared" si="7"/>
        <v>x</v>
      </c>
      <c r="SV1" s="894" t="str">
        <f t="shared" si="7"/>
        <v>x</v>
      </c>
      <c r="SW1" s="894" t="str">
        <f t="shared" ref="SW1:VH1" si="8">SW3</f>
        <v>x</v>
      </c>
      <c r="SX1" s="894" t="str">
        <f t="shared" si="8"/>
        <v>x</v>
      </c>
      <c r="SY1" s="894" t="str">
        <f t="shared" si="8"/>
        <v>x</v>
      </c>
      <c r="SZ1" s="894" t="str">
        <f t="shared" si="8"/>
        <v>x</v>
      </c>
      <c r="TA1" s="894" t="str">
        <f t="shared" si="8"/>
        <v>x</v>
      </c>
      <c r="TB1" s="894" t="str">
        <f t="shared" si="8"/>
        <v>x</v>
      </c>
      <c r="TC1" s="894" t="str">
        <f t="shared" si="8"/>
        <v>x</v>
      </c>
      <c r="TD1" s="894" t="str">
        <f t="shared" si="8"/>
        <v>x</v>
      </c>
      <c r="TE1" s="894" t="str">
        <f t="shared" si="8"/>
        <v>x</v>
      </c>
      <c r="TF1" s="894" t="str">
        <f t="shared" si="8"/>
        <v>x</v>
      </c>
      <c r="TG1" s="894" t="str">
        <f t="shared" si="8"/>
        <v>x</v>
      </c>
      <c r="TH1" s="894" t="str">
        <f t="shared" si="8"/>
        <v>x</v>
      </c>
      <c r="TI1" s="894" t="str">
        <f t="shared" si="8"/>
        <v>x</v>
      </c>
      <c r="TJ1" s="894" t="str">
        <f t="shared" si="8"/>
        <v>x</v>
      </c>
      <c r="TK1" s="894" t="str">
        <f t="shared" si="8"/>
        <v>x</v>
      </c>
      <c r="TL1" s="894" t="str">
        <f t="shared" si="8"/>
        <v>x</v>
      </c>
      <c r="TM1" s="894" t="str">
        <f t="shared" si="8"/>
        <v>x</v>
      </c>
      <c r="TN1" s="894" t="str">
        <f t="shared" si="8"/>
        <v>x</v>
      </c>
      <c r="TO1" s="894" t="str">
        <f t="shared" si="8"/>
        <v>x</v>
      </c>
      <c r="TP1" s="894" t="str">
        <f t="shared" si="8"/>
        <v>x</v>
      </c>
      <c r="TQ1" s="894" t="str">
        <f t="shared" si="8"/>
        <v>x</v>
      </c>
      <c r="TR1" s="894" t="str">
        <f t="shared" si="8"/>
        <v>x</v>
      </c>
      <c r="TS1" s="894" t="str">
        <f t="shared" si="8"/>
        <v>x</v>
      </c>
      <c r="TT1" s="894" t="str">
        <f t="shared" si="8"/>
        <v>x</v>
      </c>
      <c r="TU1" s="894" t="str">
        <f t="shared" si="8"/>
        <v>x</v>
      </c>
      <c r="TV1" s="894" t="str">
        <f t="shared" si="8"/>
        <v>x</v>
      </c>
      <c r="TW1" s="894" t="str">
        <f t="shared" si="8"/>
        <v>x</v>
      </c>
      <c r="TX1" s="894" t="str">
        <f t="shared" si="8"/>
        <v>x</v>
      </c>
      <c r="TY1" s="894" t="str">
        <f t="shared" si="8"/>
        <v>x</v>
      </c>
      <c r="TZ1" s="894" t="str">
        <f t="shared" si="8"/>
        <v>x</v>
      </c>
      <c r="UA1" s="894" t="str">
        <f t="shared" si="8"/>
        <v>x</v>
      </c>
      <c r="UB1" s="894" t="str">
        <f t="shared" si="8"/>
        <v>x</v>
      </c>
      <c r="UC1" s="894" t="str">
        <f t="shared" si="8"/>
        <v>x</v>
      </c>
      <c r="UD1" s="894" t="str">
        <f t="shared" si="8"/>
        <v>x</v>
      </c>
      <c r="UE1" s="894" t="str">
        <f t="shared" si="8"/>
        <v>x</v>
      </c>
      <c r="UF1" s="894" t="str">
        <f t="shared" si="8"/>
        <v>x</v>
      </c>
      <c r="UG1" s="894" t="str">
        <f t="shared" si="8"/>
        <v>x</v>
      </c>
      <c r="UH1" s="894" t="str">
        <f t="shared" si="8"/>
        <v>x</v>
      </c>
      <c r="UI1" s="894" t="str">
        <f t="shared" si="8"/>
        <v>x</v>
      </c>
      <c r="UJ1" s="894" t="str">
        <f t="shared" si="8"/>
        <v>x</v>
      </c>
      <c r="UK1" s="894" t="str">
        <f t="shared" si="8"/>
        <v>x</v>
      </c>
      <c r="UL1" s="894" t="str">
        <f t="shared" si="8"/>
        <v>x</v>
      </c>
      <c r="UM1" s="894" t="str">
        <f t="shared" si="8"/>
        <v>x</v>
      </c>
      <c r="UN1" s="894" t="str">
        <f t="shared" si="8"/>
        <v>x</v>
      </c>
      <c r="UO1" s="894" t="str">
        <f t="shared" si="8"/>
        <v>x</v>
      </c>
      <c r="UP1" s="894" t="str">
        <f t="shared" si="8"/>
        <v>x</v>
      </c>
      <c r="UQ1" s="894" t="str">
        <f t="shared" si="8"/>
        <v>x</v>
      </c>
      <c r="UR1" s="894" t="str">
        <f t="shared" si="8"/>
        <v>x</v>
      </c>
      <c r="US1" s="894" t="str">
        <f t="shared" si="8"/>
        <v>x</v>
      </c>
      <c r="UT1" s="894" t="str">
        <f t="shared" si="8"/>
        <v>x</v>
      </c>
      <c r="UU1" s="894" t="str">
        <f t="shared" si="8"/>
        <v>x</v>
      </c>
      <c r="UV1" s="894" t="str">
        <f t="shared" si="8"/>
        <v>x</v>
      </c>
      <c r="UW1" s="894" t="str">
        <f t="shared" si="8"/>
        <v>x</v>
      </c>
      <c r="UX1" s="894" t="str">
        <f t="shared" si="8"/>
        <v>x</v>
      </c>
      <c r="UY1" s="894" t="str">
        <f t="shared" si="8"/>
        <v>x</v>
      </c>
      <c r="UZ1" s="894" t="str">
        <f t="shared" si="8"/>
        <v>x</v>
      </c>
      <c r="VA1" s="894" t="str">
        <f t="shared" si="8"/>
        <v>x</v>
      </c>
      <c r="VB1" s="894" t="str">
        <f t="shared" si="8"/>
        <v>x</v>
      </c>
      <c r="VC1" s="894" t="str">
        <f t="shared" si="8"/>
        <v>x</v>
      </c>
      <c r="VD1" s="894" t="str">
        <f t="shared" si="8"/>
        <v>x</v>
      </c>
      <c r="VE1" s="894" t="str">
        <f t="shared" si="8"/>
        <v>x</v>
      </c>
      <c r="VF1" s="894" t="str">
        <f t="shared" si="8"/>
        <v>x</v>
      </c>
      <c r="VG1" s="894" t="str">
        <f t="shared" si="8"/>
        <v>x</v>
      </c>
      <c r="VH1" s="894" t="str">
        <f t="shared" si="8"/>
        <v>x</v>
      </c>
      <c r="VI1" s="894" t="str">
        <f t="shared" ref="VI1:XT1" si="9">VI3</f>
        <v>x</v>
      </c>
      <c r="VJ1" s="894" t="str">
        <f t="shared" si="9"/>
        <v>x</v>
      </c>
      <c r="VK1" s="894" t="str">
        <f t="shared" si="9"/>
        <v>x</v>
      </c>
      <c r="VL1" s="894" t="str">
        <f t="shared" si="9"/>
        <v>x</v>
      </c>
      <c r="VM1" s="894" t="str">
        <f t="shared" si="9"/>
        <v>x</v>
      </c>
      <c r="VN1" s="894" t="str">
        <f t="shared" si="9"/>
        <v>x</v>
      </c>
      <c r="VO1" s="894" t="str">
        <f t="shared" si="9"/>
        <v>x</v>
      </c>
      <c r="VP1" s="894" t="str">
        <f t="shared" si="9"/>
        <v>x</v>
      </c>
      <c r="VQ1" s="894" t="str">
        <f t="shared" si="9"/>
        <v>x</v>
      </c>
      <c r="VR1" s="894" t="str">
        <f t="shared" si="9"/>
        <v>x</v>
      </c>
      <c r="VS1" s="894" t="str">
        <f t="shared" si="9"/>
        <v>x</v>
      </c>
      <c r="VT1" s="894" t="str">
        <f t="shared" si="9"/>
        <v>x</v>
      </c>
      <c r="VU1" s="894" t="str">
        <f t="shared" si="9"/>
        <v>x</v>
      </c>
      <c r="VV1" s="894" t="str">
        <f t="shared" si="9"/>
        <v>x</v>
      </c>
      <c r="VW1" s="894" t="str">
        <f t="shared" si="9"/>
        <v>x</v>
      </c>
      <c r="VX1" s="894" t="str">
        <f t="shared" si="9"/>
        <v>x</v>
      </c>
      <c r="VY1" s="894" t="str">
        <f t="shared" si="9"/>
        <v>x</v>
      </c>
      <c r="VZ1" s="894" t="str">
        <f t="shared" si="9"/>
        <v>x</v>
      </c>
      <c r="WA1" s="894" t="str">
        <f t="shared" si="9"/>
        <v>x</v>
      </c>
      <c r="WB1" s="894" t="str">
        <f t="shared" si="9"/>
        <v>x</v>
      </c>
      <c r="WC1" s="894" t="str">
        <f t="shared" si="9"/>
        <v>x</v>
      </c>
      <c r="WD1" s="894" t="str">
        <f t="shared" si="9"/>
        <v>x</v>
      </c>
      <c r="WE1" s="894" t="str">
        <f t="shared" si="9"/>
        <v>x</v>
      </c>
      <c r="WF1" s="894" t="str">
        <f t="shared" si="9"/>
        <v>x</v>
      </c>
      <c r="WG1" s="894" t="str">
        <f t="shared" si="9"/>
        <v>x</v>
      </c>
      <c r="WH1" s="894" t="str">
        <f t="shared" si="9"/>
        <v>x</v>
      </c>
      <c r="WI1" s="894" t="str">
        <f t="shared" si="9"/>
        <v>x</v>
      </c>
      <c r="WJ1" s="894" t="str">
        <f t="shared" si="9"/>
        <v>x</v>
      </c>
      <c r="WK1" s="894" t="str">
        <f t="shared" si="9"/>
        <v>x</v>
      </c>
      <c r="WL1" s="894" t="str">
        <f t="shared" si="9"/>
        <v>x</v>
      </c>
      <c r="WM1" s="894" t="str">
        <f t="shared" si="9"/>
        <v>x</v>
      </c>
      <c r="WN1" s="894" t="str">
        <f t="shared" si="9"/>
        <v>x</v>
      </c>
      <c r="WO1" s="894" t="str">
        <f t="shared" si="9"/>
        <v>x</v>
      </c>
      <c r="WP1" s="894" t="str">
        <f t="shared" si="9"/>
        <v>x</v>
      </c>
      <c r="WQ1" s="894" t="str">
        <f t="shared" si="9"/>
        <v>x</v>
      </c>
      <c r="WR1" s="894" t="str">
        <f t="shared" si="9"/>
        <v>x</v>
      </c>
      <c r="WS1" s="894" t="str">
        <f t="shared" si="9"/>
        <v>x</v>
      </c>
      <c r="WT1" s="894" t="str">
        <f t="shared" si="9"/>
        <v>x</v>
      </c>
      <c r="WU1" s="894" t="str">
        <f t="shared" si="9"/>
        <v>x</v>
      </c>
      <c r="WV1" s="894" t="str">
        <f t="shared" si="9"/>
        <v>x</v>
      </c>
      <c r="WW1" s="894" t="str">
        <f t="shared" si="9"/>
        <v>x</v>
      </c>
      <c r="WX1" s="894" t="str">
        <f t="shared" si="9"/>
        <v>x</v>
      </c>
      <c r="WY1" s="894" t="str">
        <f t="shared" si="9"/>
        <v>x</v>
      </c>
      <c r="WZ1" s="894" t="str">
        <f t="shared" si="9"/>
        <v>x</v>
      </c>
      <c r="XA1" s="894" t="str">
        <f t="shared" si="9"/>
        <v>x</v>
      </c>
      <c r="XB1" s="894" t="str">
        <f t="shared" si="9"/>
        <v>x</v>
      </c>
      <c r="XC1" s="894" t="str">
        <f t="shared" si="9"/>
        <v>x</v>
      </c>
      <c r="XD1" s="894" t="str">
        <f t="shared" si="9"/>
        <v>x</v>
      </c>
      <c r="XE1" s="894" t="str">
        <f t="shared" si="9"/>
        <v>x</v>
      </c>
      <c r="XF1" s="894" t="str">
        <f t="shared" si="9"/>
        <v>x</v>
      </c>
      <c r="XG1" s="894" t="str">
        <f t="shared" si="9"/>
        <v>x</v>
      </c>
      <c r="XH1" s="894" t="str">
        <f t="shared" si="9"/>
        <v>x</v>
      </c>
      <c r="XI1" s="894" t="str">
        <f t="shared" si="9"/>
        <v>x</v>
      </c>
      <c r="XJ1" s="894" t="str">
        <f t="shared" si="9"/>
        <v>x</v>
      </c>
      <c r="XK1" s="894" t="str">
        <f t="shared" si="9"/>
        <v>x</v>
      </c>
      <c r="XL1" s="894" t="str">
        <f t="shared" si="9"/>
        <v>x</v>
      </c>
      <c r="XM1" s="894" t="str">
        <f t="shared" si="9"/>
        <v>x</v>
      </c>
      <c r="XN1" s="894" t="str">
        <f t="shared" si="9"/>
        <v>x</v>
      </c>
      <c r="XO1" s="894" t="str">
        <f t="shared" si="9"/>
        <v>x</v>
      </c>
      <c r="XP1" s="894" t="str">
        <f t="shared" si="9"/>
        <v>x</v>
      </c>
      <c r="XQ1" s="894" t="str">
        <f t="shared" si="9"/>
        <v>x</v>
      </c>
      <c r="XR1" s="894" t="str">
        <f t="shared" si="9"/>
        <v>x</v>
      </c>
      <c r="XS1" s="894" t="str">
        <f t="shared" si="9"/>
        <v>x</v>
      </c>
      <c r="XT1" s="894" t="str">
        <f t="shared" si="9"/>
        <v>x</v>
      </c>
      <c r="XU1" s="894" t="str">
        <f t="shared" ref="XU1:ZZ1" si="10">XU3</f>
        <v>x</v>
      </c>
      <c r="XV1" s="894" t="str">
        <f t="shared" si="10"/>
        <v>x</v>
      </c>
      <c r="XW1" s="894" t="str">
        <f t="shared" si="10"/>
        <v>x</v>
      </c>
      <c r="XX1" s="894" t="str">
        <f t="shared" si="10"/>
        <v>x</v>
      </c>
      <c r="XY1" s="894" t="str">
        <f t="shared" si="10"/>
        <v>x</v>
      </c>
      <c r="XZ1" s="894" t="str">
        <f t="shared" si="10"/>
        <v>x</v>
      </c>
      <c r="YA1" s="894" t="str">
        <f t="shared" si="10"/>
        <v>x</v>
      </c>
      <c r="YB1" s="894" t="str">
        <f t="shared" si="10"/>
        <v>x</v>
      </c>
      <c r="YC1" s="894" t="str">
        <f t="shared" si="10"/>
        <v>x</v>
      </c>
      <c r="YD1" s="894" t="str">
        <f t="shared" si="10"/>
        <v>x</v>
      </c>
      <c r="YE1" s="894" t="str">
        <f t="shared" si="10"/>
        <v>x</v>
      </c>
      <c r="YF1" s="894" t="str">
        <f t="shared" si="10"/>
        <v>x</v>
      </c>
      <c r="YG1" s="894" t="str">
        <f t="shared" si="10"/>
        <v>x</v>
      </c>
      <c r="YH1" s="894" t="str">
        <f t="shared" si="10"/>
        <v>x</v>
      </c>
      <c r="YI1" s="894" t="str">
        <f t="shared" si="10"/>
        <v>x</v>
      </c>
      <c r="YJ1" s="894" t="str">
        <f t="shared" si="10"/>
        <v>x</v>
      </c>
      <c r="YK1" s="894" t="str">
        <f t="shared" si="10"/>
        <v>x</v>
      </c>
      <c r="YL1" s="894" t="str">
        <f t="shared" si="10"/>
        <v>x</v>
      </c>
      <c r="YM1" s="894" t="str">
        <f t="shared" si="10"/>
        <v>x</v>
      </c>
      <c r="YN1" s="894" t="str">
        <f t="shared" si="10"/>
        <v>x</v>
      </c>
      <c r="YO1" s="894" t="str">
        <f t="shared" si="10"/>
        <v>x</v>
      </c>
      <c r="YP1" s="894" t="str">
        <f t="shared" si="10"/>
        <v>x</v>
      </c>
      <c r="YQ1" s="894" t="str">
        <f t="shared" si="10"/>
        <v>x</v>
      </c>
      <c r="YR1" s="894" t="str">
        <f t="shared" si="10"/>
        <v>x</v>
      </c>
      <c r="YS1" s="894" t="str">
        <f t="shared" si="10"/>
        <v>x</v>
      </c>
      <c r="YT1" s="894" t="str">
        <f t="shared" si="10"/>
        <v>x</v>
      </c>
      <c r="YU1" s="894" t="str">
        <f t="shared" si="10"/>
        <v>x</v>
      </c>
      <c r="YV1" s="894" t="str">
        <f t="shared" si="10"/>
        <v>x</v>
      </c>
      <c r="YW1" s="894" t="str">
        <f t="shared" si="10"/>
        <v>x</v>
      </c>
      <c r="YX1" s="894" t="str">
        <f t="shared" si="10"/>
        <v>x</v>
      </c>
      <c r="YY1" s="894" t="str">
        <f t="shared" si="10"/>
        <v>x</v>
      </c>
      <c r="YZ1" s="894" t="str">
        <f t="shared" si="10"/>
        <v>x</v>
      </c>
      <c r="ZA1" s="894" t="str">
        <f t="shared" si="10"/>
        <v>x</v>
      </c>
      <c r="ZB1" s="894" t="str">
        <f t="shared" si="10"/>
        <v>x</v>
      </c>
      <c r="ZC1" s="894" t="str">
        <f t="shared" si="10"/>
        <v>x</v>
      </c>
      <c r="ZD1" s="894" t="str">
        <f t="shared" si="10"/>
        <v>x</v>
      </c>
      <c r="ZE1" s="894" t="str">
        <f t="shared" si="10"/>
        <v>x</v>
      </c>
      <c r="ZF1" s="894" t="str">
        <f t="shared" si="10"/>
        <v>x</v>
      </c>
      <c r="ZG1" s="894" t="str">
        <f t="shared" si="10"/>
        <v>x</v>
      </c>
      <c r="ZH1" s="894" t="str">
        <f t="shared" si="10"/>
        <v>x</v>
      </c>
      <c r="ZI1" s="894" t="str">
        <f t="shared" si="10"/>
        <v>x</v>
      </c>
      <c r="ZJ1" s="894" t="str">
        <f t="shared" si="10"/>
        <v>x</v>
      </c>
      <c r="ZK1" s="894" t="str">
        <f t="shared" si="10"/>
        <v>x</v>
      </c>
      <c r="ZL1" s="894" t="str">
        <f t="shared" si="10"/>
        <v>x</v>
      </c>
      <c r="ZM1" s="894" t="str">
        <f t="shared" si="10"/>
        <v>x</v>
      </c>
      <c r="ZN1" s="894" t="str">
        <f t="shared" si="10"/>
        <v>x</v>
      </c>
      <c r="ZO1" s="894" t="str">
        <f t="shared" si="10"/>
        <v>x</v>
      </c>
      <c r="ZP1" s="894" t="str">
        <f t="shared" si="10"/>
        <v>x</v>
      </c>
      <c r="ZQ1" s="894" t="str">
        <f t="shared" si="10"/>
        <v>x</v>
      </c>
      <c r="ZR1" s="894" t="str">
        <f t="shared" si="10"/>
        <v>x</v>
      </c>
      <c r="ZS1" s="894" t="str">
        <f t="shared" si="10"/>
        <v>x</v>
      </c>
      <c r="ZT1" s="894" t="str">
        <f t="shared" si="10"/>
        <v>x</v>
      </c>
      <c r="ZU1" s="894" t="str">
        <f t="shared" si="10"/>
        <v>x</v>
      </c>
      <c r="ZV1" s="894" t="str">
        <f t="shared" si="10"/>
        <v>x</v>
      </c>
      <c r="ZW1" s="894" t="str">
        <f t="shared" si="10"/>
        <v>x</v>
      </c>
      <c r="ZX1" s="894" t="str">
        <f t="shared" si="10"/>
        <v>x</v>
      </c>
      <c r="ZY1" s="894" t="str">
        <f t="shared" si="10"/>
        <v>x</v>
      </c>
      <c r="ZZ1" s="894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891</v>
      </c>
      <c r="B3" s="895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883</v>
      </c>
      <c r="F3" s="191" t="s">
        <v>878</v>
      </c>
      <c r="G3" s="191" t="s">
        <v>884</v>
      </c>
      <c r="H3" s="191" t="s">
        <v>879</v>
      </c>
      <c r="I3" s="191" t="s">
        <v>885</v>
      </c>
      <c r="J3" s="191" t="s">
        <v>875</v>
      </c>
      <c r="K3" s="191" t="s">
        <v>880</v>
      </c>
      <c r="L3" s="191" t="s">
        <v>876</v>
      </c>
      <c r="M3" s="191" t="s">
        <v>881</v>
      </c>
      <c r="N3" s="191" t="s">
        <v>877</v>
      </c>
      <c r="O3" s="191" t="s">
        <v>882</v>
      </c>
      <c r="P3" s="191" t="s">
        <v>886</v>
      </c>
      <c r="Q3" s="191" t="s">
        <v>887</v>
      </c>
      <c r="R3" s="191" t="s">
        <v>888</v>
      </c>
      <c r="S3" s="191" t="s">
        <v>889</v>
      </c>
      <c r="T3" s="191" t="s">
        <v>890</v>
      </c>
      <c r="U3" s="191" t="s">
        <v>891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821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628</v>
      </c>
      <c r="E4" s="192" t="s">
        <v>628</v>
      </c>
      <c r="F4" s="192" t="s">
        <v>628</v>
      </c>
      <c r="G4" s="192" t="s">
        <v>628</v>
      </c>
      <c r="H4" s="192" t="s">
        <v>821</v>
      </c>
      <c r="I4" s="192" t="s">
        <v>821</v>
      </c>
      <c r="J4" s="192" t="s">
        <v>836</v>
      </c>
      <c r="K4" s="192" t="s">
        <v>836</v>
      </c>
      <c r="L4" s="192" t="s">
        <v>836</v>
      </c>
      <c r="M4" s="193" t="s">
        <v>836</v>
      </c>
      <c r="N4" s="192" t="s">
        <v>836</v>
      </c>
      <c r="O4" s="192" t="s">
        <v>836</v>
      </c>
      <c r="P4" s="192" t="s">
        <v>836</v>
      </c>
      <c r="Q4" s="192" t="s">
        <v>836</v>
      </c>
      <c r="R4" s="192" t="s">
        <v>836</v>
      </c>
      <c r="S4" s="192" t="s">
        <v>628</v>
      </c>
      <c r="T4" s="192" t="s">
        <v>628</v>
      </c>
      <c r="U4" s="192" t="s">
        <v>821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742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713</v>
      </c>
      <c r="E6" s="192" t="s">
        <v>713</v>
      </c>
      <c r="F6" s="192" t="s">
        <v>712</v>
      </c>
      <c r="G6" s="192" t="s">
        <v>712</v>
      </c>
      <c r="H6" s="192" t="s">
        <v>742</v>
      </c>
      <c r="I6" s="192" t="s">
        <v>742</v>
      </c>
      <c r="J6" s="192" t="s">
        <v>719</v>
      </c>
      <c r="K6" s="192" t="s">
        <v>719</v>
      </c>
      <c r="L6" s="192" t="s">
        <v>719</v>
      </c>
      <c r="M6" s="193" t="s">
        <v>719</v>
      </c>
      <c r="N6" s="192" t="s">
        <v>712</v>
      </c>
      <c r="O6" s="192" t="s">
        <v>712</v>
      </c>
      <c r="P6" s="192" t="s">
        <v>719</v>
      </c>
      <c r="Q6" s="192" t="s">
        <v>719</v>
      </c>
      <c r="R6" s="192" t="s">
        <v>712</v>
      </c>
      <c r="S6" s="192" t="s">
        <v>713</v>
      </c>
      <c r="T6" s="192" t="s">
        <v>712</v>
      </c>
      <c r="U6" s="192" t="s">
        <v>742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434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434</v>
      </c>
      <c r="E16" s="192" t="s">
        <v>434</v>
      </c>
      <c r="F16" s="192" t="s">
        <v>435</v>
      </c>
      <c r="G16" s="192" t="s">
        <v>435</v>
      </c>
      <c r="H16" s="192" t="s">
        <v>434</v>
      </c>
      <c r="I16" s="192" t="s">
        <v>434</v>
      </c>
      <c r="J16" s="192" t="s">
        <v>432</v>
      </c>
      <c r="K16" s="192" t="s">
        <v>432</v>
      </c>
      <c r="L16" s="192" t="s">
        <v>432</v>
      </c>
      <c r="M16" s="193" t="s">
        <v>432</v>
      </c>
      <c r="N16" s="192" t="s">
        <v>434</v>
      </c>
      <c r="O16" s="192" t="s">
        <v>434</v>
      </c>
      <c r="P16" s="192" t="s">
        <v>432</v>
      </c>
      <c r="Q16" s="192" t="s">
        <v>432</v>
      </c>
      <c r="R16" s="192" t="s">
        <v>434</v>
      </c>
      <c r="S16" s="192" t="s">
        <v>434</v>
      </c>
      <c r="T16" s="192" t="s">
        <v>435</v>
      </c>
      <c r="U16" s="192" t="s">
        <v>434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467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466</v>
      </c>
      <c r="E17" s="192" t="s">
        <v>466</v>
      </c>
      <c r="F17" s="192" t="s">
        <v>466</v>
      </c>
      <c r="G17" s="192" t="s">
        <v>466</v>
      </c>
      <c r="H17" s="192" t="s">
        <v>467</v>
      </c>
      <c r="I17" s="192" t="s">
        <v>467</v>
      </c>
      <c r="J17" s="192" t="s">
        <v>466</v>
      </c>
      <c r="K17" s="192" t="s">
        <v>466</v>
      </c>
      <c r="L17" s="192" t="s">
        <v>466</v>
      </c>
      <c r="M17" s="193" t="s">
        <v>466</v>
      </c>
      <c r="N17" s="192" t="s">
        <v>467</v>
      </c>
      <c r="O17" s="192" t="s">
        <v>467</v>
      </c>
      <c r="P17" s="192" t="s">
        <v>466</v>
      </c>
      <c r="Q17" s="192" t="s">
        <v>466</v>
      </c>
      <c r="R17" s="192" t="s">
        <v>467</v>
      </c>
      <c r="S17" s="192" t="s">
        <v>466</v>
      </c>
      <c r="T17" s="192" t="s">
        <v>466</v>
      </c>
      <c r="U17" s="192" t="s">
        <v>467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370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369</v>
      </c>
      <c r="E18" s="192" t="s">
        <v>369</v>
      </c>
      <c r="F18" s="192" t="s">
        <v>369</v>
      </c>
      <c r="G18" s="192" t="s">
        <v>369</v>
      </c>
      <c r="H18" s="192" t="s">
        <v>370</v>
      </c>
      <c r="I18" s="192" t="s">
        <v>370</v>
      </c>
      <c r="J18" s="192" t="s">
        <v>370</v>
      </c>
      <c r="K18" s="192" t="s">
        <v>370</v>
      </c>
      <c r="L18" s="192" t="s">
        <v>370</v>
      </c>
      <c r="M18" s="193" t="s">
        <v>370</v>
      </c>
      <c r="N18" s="192" t="s">
        <v>370</v>
      </c>
      <c r="O18" s="192" t="s">
        <v>370</v>
      </c>
      <c r="P18" s="192" t="s">
        <v>370</v>
      </c>
      <c r="Q18" s="192" t="s">
        <v>370</v>
      </c>
      <c r="R18" s="192" t="s">
        <v>370</v>
      </c>
      <c r="S18" s="192" t="s">
        <v>369</v>
      </c>
      <c r="T18" s="192" t="s">
        <v>369</v>
      </c>
      <c r="U18" s="192" t="s">
        <v>370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754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756</v>
      </c>
      <c r="E19" s="192" t="s">
        <v>756</v>
      </c>
      <c r="F19" s="192" t="s">
        <v>754</v>
      </c>
      <c r="G19" s="192" t="s">
        <v>754</v>
      </c>
      <c r="H19" s="192" t="s">
        <v>754</v>
      </c>
      <c r="I19" s="192" t="s">
        <v>754</v>
      </c>
      <c r="J19" s="192" t="s">
        <v>754</v>
      </c>
      <c r="K19" s="192" t="s">
        <v>754</v>
      </c>
      <c r="L19" s="192" t="s">
        <v>754</v>
      </c>
      <c r="M19" s="193" t="s">
        <v>754</v>
      </c>
      <c r="N19" s="192" t="s">
        <v>756</v>
      </c>
      <c r="O19" s="192" t="s">
        <v>756</v>
      </c>
      <c r="P19" s="192" t="s">
        <v>754</v>
      </c>
      <c r="Q19" s="192" t="s">
        <v>754</v>
      </c>
      <c r="R19" s="192" t="s">
        <v>756</v>
      </c>
      <c r="S19" s="192" t="s">
        <v>756</v>
      </c>
      <c r="T19" s="192" t="s">
        <v>754</v>
      </c>
      <c r="U19" s="192" t="s">
        <v>754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439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439</v>
      </c>
      <c r="E26" s="192" t="s">
        <v>439</v>
      </c>
      <c r="F26" s="192" t="s">
        <v>439</v>
      </c>
      <c r="G26" s="192" t="s">
        <v>439</v>
      </c>
      <c r="H26" s="192" t="s">
        <v>439</v>
      </c>
      <c r="I26" s="192" t="s">
        <v>439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439</v>
      </c>
      <c r="T26" s="192" t="s">
        <v>439</v>
      </c>
      <c r="U26" s="192" t="s">
        <v>439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561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561</v>
      </c>
      <c r="I27" s="192" t="s">
        <v>561</v>
      </c>
      <c r="J27" s="192" t="s">
        <v>563</v>
      </c>
      <c r="K27" s="192" t="s">
        <v>563</v>
      </c>
      <c r="L27" s="192" t="s">
        <v>562</v>
      </c>
      <c r="M27" s="193" t="s">
        <v>562</v>
      </c>
      <c r="N27" s="192" t="s">
        <v>294</v>
      </c>
      <c r="O27" s="192" t="s">
        <v>294</v>
      </c>
      <c r="P27" s="192" t="s">
        <v>563</v>
      </c>
      <c r="Q27" s="192" t="s">
        <v>562</v>
      </c>
      <c r="R27" s="192" t="s">
        <v>294</v>
      </c>
      <c r="S27" s="192" t="s">
        <v>296</v>
      </c>
      <c r="T27" s="192" t="s">
        <v>295</v>
      </c>
      <c r="U27" s="192" t="s">
        <v>561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450</v>
      </c>
      <c r="E28" s="192" t="s">
        <v>450</v>
      </c>
      <c r="F28" s="192" t="s">
        <v>450</v>
      </c>
      <c r="G28" s="192" t="s">
        <v>450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450</v>
      </c>
      <c r="T28" s="192" t="s">
        <v>450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593</v>
      </c>
      <c r="E40" s="192" t="s">
        <v>593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593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832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832</v>
      </c>
      <c r="E46" s="192" t="s">
        <v>832</v>
      </c>
      <c r="F46" s="192" t="s">
        <v>832</v>
      </c>
      <c r="G46" s="192" t="s">
        <v>832</v>
      </c>
      <c r="H46" s="192" t="s">
        <v>832</v>
      </c>
      <c r="I46" s="192" t="s">
        <v>832</v>
      </c>
      <c r="J46" s="192" t="s">
        <v>832</v>
      </c>
      <c r="K46" s="192" t="s">
        <v>832</v>
      </c>
      <c r="L46" s="192" t="s">
        <v>832</v>
      </c>
      <c r="M46" s="192" t="s">
        <v>832</v>
      </c>
      <c r="N46" s="192" t="s">
        <v>832</v>
      </c>
      <c r="O46" s="192" t="s">
        <v>832</v>
      </c>
      <c r="P46" s="192" t="s">
        <v>832</v>
      </c>
      <c r="Q46" s="192" t="s">
        <v>832</v>
      </c>
      <c r="R46" s="192" t="s">
        <v>832</v>
      </c>
      <c r="S46" s="192" t="s">
        <v>832</v>
      </c>
      <c r="T46" s="192" t="s">
        <v>832</v>
      </c>
      <c r="U46" s="192" t="s">
        <v>832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801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Input'!I62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801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0" t="str">
        <f>'Quick Input'!I66</f>
        <v>Anteil Kühleisen Volumen</v>
      </c>
      <c r="D60" s="761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Input'!I69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Input'!I75</f>
        <v>Kosten US-Prüfung</v>
      </c>
      <c r="D69" s="764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Input'!I76</f>
        <v>Kosten FE-Prüfung</v>
      </c>
      <c r="D70" s="764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Input'!I77</f>
        <v>Kosten X-Prüfung</v>
      </c>
      <c r="D71" s="764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3" customFormat="1" ht="12" x14ac:dyDescent="0.2">
      <c r="A72" s="761">
        <v>0</v>
      </c>
      <c r="B72" s="213">
        <f t="shared" si="14"/>
        <v>0</v>
      </c>
      <c r="C72" s="762" t="str">
        <f>'Quick Input'!I78</f>
        <v>Anteil Nachprüfung</v>
      </c>
      <c r="D72" s="761">
        <v>0.2</v>
      </c>
      <c r="E72" s="761">
        <v>0.2</v>
      </c>
      <c r="F72" s="761">
        <v>0</v>
      </c>
      <c r="G72" s="761">
        <v>0</v>
      </c>
      <c r="H72" s="761">
        <v>0</v>
      </c>
      <c r="I72" s="761">
        <v>0</v>
      </c>
      <c r="J72" s="761">
        <v>0</v>
      </c>
      <c r="K72" s="761">
        <v>0</v>
      </c>
      <c r="L72" s="761">
        <v>0.5</v>
      </c>
      <c r="M72" s="761">
        <v>0.5</v>
      </c>
      <c r="N72" s="761">
        <v>0</v>
      </c>
      <c r="O72" s="761">
        <v>0</v>
      </c>
      <c r="P72" s="761">
        <v>0</v>
      </c>
      <c r="Q72" s="761">
        <v>0.5</v>
      </c>
      <c r="R72" s="761">
        <v>0</v>
      </c>
      <c r="S72" s="761">
        <v>0.2</v>
      </c>
      <c r="T72" s="761">
        <v>0</v>
      </c>
      <c r="U72" s="761">
        <v>0</v>
      </c>
      <c r="V72" s="761"/>
      <c r="W72" s="761"/>
      <c r="X72" s="761"/>
      <c r="Y72" s="761"/>
      <c r="Z72" s="761"/>
      <c r="AA72" s="761"/>
      <c r="AB72" s="761"/>
      <c r="AC72" s="761"/>
      <c r="AD72" s="761"/>
      <c r="AE72" s="761"/>
      <c r="AF72" s="761"/>
      <c r="AG72" s="761"/>
      <c r="AH72" s="761"/>
      <c r="AI72" s="761"/>
      <c r="AJ72" s="761"/>
      <c r="AK72" s="761"/>
      <c r="AL72" s="761"/>
      <c r="AM72" s="761"/>
      <c r="AN72" s="761"/>
      <c r="AO72" s="761"/>
      <c r="AP72" s="761"/>
      <c r="AQ72" s="761"/>
      <c r="AR72" s="761"/>
      <c r="AS72" s="761"/>
      <c r="AT72" s="761"/>
      <c r="AU72" s="761"/>
      <c r="AV72" s="761"/>
      <c r="AW72" s="761"/>
      <c r="AX72" s="761"/>
      <c r="AY72" s="761"/>
      <c r="AZ72" s="761"/>
      <c r="BA72" s="761"/>
      <c r="BB72" s="761"/>
      <c r="BC72" s="761"/>
      <c r="BD72" s="761"/>
      <c r="BE72" s="761"/>
      <c r="BF72" s="761"/>
      <c r="BG72" s="761"/>
      <c r="BH72" s="761"/>
      <c r="BI72" s="761"/>
      <c r="BJ72" s="761"/>
      <c r="BK72" s="761"/>
      <c r="BL72" s="761"/>
      <c r="BM72" s="761"/>
      <c r="BN72" s="761"/>
      <c r="BO72" s="761"/>
      <c r="BP72" s="761"/>
      <c r="BQ72" s="761"/>
      <c r="BR72" s="761"/>
      <c r="BS72" s="761"/>
      <c r="BT72" s="761"/>
      <c r="BU72" s="761"/>
      <c r="BV72" s="761"/>
      <c r="BW72" s="761"/>
      <c r="BX72" s="761"/>
      <c r="BY72" s="761"/>
      <c r="BZ72" s="761"/>
      <c r="CA72" s="761"/>
      <c r="CB72" s="761"/>
      <c r="CC72" s="761"/>
      <c r="CD72" s="761"/>
      <c r="CE72" s="761"/>
      <c r="CF72" s="761"/>
      <c r="CG72" s="761"/>
      <c r="CH72" s="761"/>
      <c r="CI72" s="761"/>
      <c r="CJ72" s="761"/>
      <c r="CK72" s="761"/>
      <c r="CL72" s="761"/>
      <c r="CM72" s="761"/>
      <c r="CN72" s="761"/>
      <c r="CO72" s="761"/>
      <c r="CP72" s="761"/>
      <c r="CQ72" s="761"/>
      <c r="CR72" s="761"/>
      <c r="CS72" s="761"/>
      <c r="CT72" s="761"/>
      <c r="CU72" s="761"/>
      <c r="CV72" s="761"/>
      <c r="CW72" s="761"/>
      <c r="CX72" s="761"/>
      <c r="CY72" s="761"/>
      <c r="CZ72" s="761"/>
      <c r="DA72" s="761"/>
      <c r="DB72" s="761"/>
      <c r="DC72" s="761"/>
      <c r="DD72" s="761"/>
      <c r="DE72" s="761"/>
      <c r="DF72" s="761"/>
      <c r="DG72" s="761"/>
      <c r="DH72" s="761"/>
      <c r="DI72" s="761"/>
      <c r="DJ72" s="761"/>
      <c r="DK72" s="761"/>
      <c r="DL72" s="761"/>
      <c r="DM72" s="761"/>
      <c r="DN72" s="761"/>
      <c r="DO72" s="761"/>
      <c r="DP72" s="761"/>
      <c r="DQ72" s="761"/>
      <c r="DR72" s="761"/>
      <c r="DS72" s="761"/>
      <c r="DT72" s="761"/>
      <c r="DU72" s="761"/>
      <c r="DV72" s="761"/>
      <c r="DW72" s="761"/>
      <c r="DX72" s="761"/>
      <c r="DY72" s="761"/>
      <c r="DZ72" s="761"/>
      <c r="EA72" s="761"/>
      <c r="EB72" s="761"/>
      <c r="EC72" s="761"/>
      <c r="ED72" s="761"/>
      <c r="EE72" s="761"/>
      <c r="EF72" s="761"/>
      <c r="EG72" s="761"/>
      <c r="EH72" s="761"/>
      <c r="EI72" s="761"/>
      <c r="EJ72" s="761"/>
      <c r="EK72" s="761"/>
      <c r="EL72" s="761"/>
      <c r="EM72" s="761"/>
      <c r="EN72" s="761"/>
      <c r="EO72" s="761"/>
      <c r="EP72" s="761"/>
      <c r="EQ72" s="761"/>
      <c r="ER72" s="761"/>
      <c r="ES72" s="761"/>
      <c r="ET72" s="761"/>
      <c r="EU72" s="761"/>
      <c r="EV72" s="761"/>
      <c r="EW72" s="761"/>
      <c r="EX72" s="761"/>
      <c r="EY72" s="761"/>
      <c r="EZ72" s="761"/>
      <c r="FA72" s="761"/>
      <c r="FB72" s="761"/>
      <c r="FC72" s="761"/>
      <c r="FD72" s="761"/>
      <c r="FE72" s="761"/>
      <c r="FF72" s="761"/>
      <c r="FG72" s="761"/>
      <c r="FH72" s="761"/>
      <c r="FI72" s="761"/>
      <c r="FJ72" s="761"/>
      <c r="FK72" s="761"/>
      <c r="FL72" s="761"/>
      <c r="FM72" s="761"/>
      <c r="FN72" s="761"/>
      <c r="FO72" s="761"/>
      <c r="FP72" s="761"/>
      <c r="FQ72" s="761"/>
      <c r="FR72" s="761"/>
      <c r="FS72" s="761"/>
      <c r="FT72" s="761"/>
      <c r="FU72" s="761"/>
      <c r="FV72" s="761"/>
      <c r="FW72" s="761"/>
      <c r="FX72" s="761"/>
      <c r="FY72" s="761"/>
      <c r="FZ72" s="761"/>
      <c r="GA72" s="761"/>
      <c r="GB72" s="761"/>
      <c r="GC72" s="761"/>
      <c r="GD72" s="761"/>
      <c r="GE72" s="761"/>
      <c r="GF72" s="761"/>
      <c r="GG72" s="761"/>
      <c r="GH72" s="761"/>
      <c r="GI72" s="761"/>
      <c r="GJ72" s="761"/>
      <c r="GK72" s="761"/>
      <c r="GL72" s="761"/>
      <c r="GM72" s="761"/>
      <c r="GN72" s="761"/>
      <c r="GO72" s="761"/>
      <c r="GP72" s="761"/>
      <c r="GQ72" s="761"/>
      <c r="GR72" s="761"/>
      <c r="GS72" s="761"/>
      <c r="GT72" s="761"/>
      <c r="GU72" s="761"/>
      <c r="GV72" s="761"/>
      <c r="GW72" s="761"/>
      <c r="GX72" s="761"/>
      <c r="GY72" s="761"/>
      <c r="GZ72" s="761"/>
      <c r="HA72" s="761"/>
      <c r="HB72" s="761"/>
      <c r="HC72" s="761"/>
      <c r="HD72" s="761"/>
      <c r="HE72" s="761"/>
      <c r="HF72" s="761"/>
      <c r="HG72" s="761"/>
      <c r="HH72" s="761"/>
      <c r="HI72" s="761"/>
      <c r="HJ72" s="761"/>
      <c r="HK72" s="761"/>
      <c r="HL72" s="761"/>
      <c r="HM72" s="761"/>
      <c r="HN72" s="761"/>
      <c r="HO72" s="761"/>
      <c r="HP72" s="761"/>
      <c r="HQ72" s="761"/>
      <c r="HR72" s="761"/>
      <c r="HS72" s="761"/>
      <c r="HT72" s="761"/>
      <c r="HU72" s="761"/>
      <c r="HV72" s="761"/>
      <c r="HW72" s="761"/>
      <c r="HX72" s="761"/>
      <c r="HY72" s="761"/>
      <c r="HZ72" s="761"/>
      <c r="IA72" s="761"/>
      <c r="IB72" s="761"/>
      <c r="IC72" s="761"/>
      <c r="ID72" s="761"/>
      <c r="IE72" s="761"/>
      <c r="IF72" s="761"/>
      <c r="IG72" s="761"/>
      <c r="IH72" s="761"/>
      <c r="II72" s="761"/>
      <c r="IJ72" s="761"/>
      <c r="IK72" s="761"/>
      <c r="IL72" s="761"/>
      <c r="IM72" s="761"/>
      <c r="IN72" s="761"/>
      <c r="IO72" s="761"/>
      <c r="IP72" s="761"/>
      <c r="IQ72" s="761"/>
      <c r="IR72" s="761"/>
      <c r="IS72" s="761"/>
      <c r="IT72" s="761"/>
      <c r="IU72" s="761"/>
      <c r="IV72" s="761"/>
    </row>
    <row r="73" spans="1:256" s="192" customFormat="1" ht="12" x14ac:dyDescent="0.2">
      <c r="A73" s="761">
        <v>0</v>
      </c>
      <c r="B73" s="213">
        <f t="shared" si="14"/>
        <v>0</v>
      </c>
      <c r="C73" s="450" t="str">
        <f>'Quick Input'!I79</f>
        <v>Reparaturanteil (%)</v>
      </c>
      <c r="D73" s="761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1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872</v>
      </c>
      <c r="B78" s="196" t="str">
        <f t="shared" si="14"/>
        <v>P. Pawar</v>
      </c>
      <c r="C78" s="450" t="str">
        <f>'Quick Input'!I84</f>
        <v>Bearbeiter</v>
      </c>
      <c r="D78" s="197" t="s">
        <v>872</v>
      </c>
      <c r="E78" s="197" t="s">
        <v>872</v>
      </c>
      <c r="F78" s="197" t="s">
        <v>872</v>
      </c>
      <c r="G78" s="197" t="s">
        <v>872</v>
      </c>
      <c r="H78" s="197" t="s">
        <v>872</v>
      </c>
      <c r="I78" s="197" t="s">
        <v>872</v>
      </c>
      <c r="J78" s="197" t="s">
        <v>872</v>
      </c>
      <c r="K78" s="197" t="s">
        <v>872</v>
      </c>
      <c r="L78" s="197" t="s">
        <v>872</v>
      </c>
      <c r="M78" s="198" t="s">
        <v>872</v>
      </c>
      <c r="N78" s="197" t="s">
        <v>872</v>
      </c>
      <c r="O78" s="197" t="s">
        <v>872</v>
      </c>
      <c r="P78" s="197" t="s">
        <v>872</v>
      </c>
      <c r="Q78" s="197" t="s">
        <v>872</v>
      </c>
      <c r="R78" s="197" t="s">
        <v>872</v>
      </c>
      <c r="S78" s="197" t="s">
        <v>872</v>
      </c>
      <c r="T78" s="197" t="s">
        <v>872</v>
      </c>
      <c r="U78" s="197" t="s">
        <v>872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43" sqref="F243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361</v>
      </c>
      <c r="E3" s="569" t="s">
        <v>490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492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491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357</v>
      </c>
      <c r="E6" s="569" t="s">
        <v>491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357</v>
      </c>
      <c r="E7" s="570" t="s">
        <v>491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2"/>
    </row>
    <row r="8" spans="2:24" ht="15" x14ac:dyDescent="0.25">
      <c r="B8" s="467">
        <v>43</v>
      </c>
      <c r="C8" s="95" t="s">
        <v>129</v>
      </c>
      <c r="D8" s="98"/>
      <c r="E8" s="574" t="s">
        <v>492</v>
      </c>
      <c r="F8" s="657">
        <f>IFERROR(IF(Refkalkulation!H$117=0,SUM(F$9:F$12),Refkalkulation!H$117),0)</f>
        <v>0.1</v>
      </c>
      <c r="G8" s="7"/>
      <c r="H8" s="7"/>
      <c r="I8" s="657">
        <f>IFERROR(IF(Refkalkulation!K$117=0,SUM(I$9:I$12),Refkalkulation!K$117),0)</f>
        <v>0.1</v>
      </c>
      <c r="J8" s="7"/>
      <c r="K8" s="7"/>
      <c r="L8" s="657">
        <f>IFERROR(IF(Refkalkulation!N$117=0,SUM(L$9:L$12),Refkalkulation!N$117),0)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491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357</v>
      </c>
      <c r="E10" s="569" t="s">
        <v>491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357</v>
      </c>
      <c r="E11" s="569" t="s">
        <v>491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357</v>
      </c>
      <c r="E12" s="570" t="s">
        <v>491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2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492</v>
      </c>
      <c r="F13" s="657">
        <f>IFERROR(IF(Refkalkulation!H$127=0,'Länder-DB'!$I$25*F$14,Refkalkulation!H$127),0)</f>
        <v>0</v>
      </c>
      <c r="G13" s="7"/>
      <c r="H13" s="7"/>
      <c r="I13" s="657">
        <f>IFERROR(IF(Refkalkulation!K$127=0,'Länder-DB'!$I$25*I$14,Refkalkulation!K$127),0)</f>
        <v>0</v>
      </c>
      <c r="J13" s="7"/>
      <c r="K13" s="7"/>
      <c r="L13" s="657">
        <f>IFERROR(IF(Refkalkulation!N$127=0,'Länder-DB'!$I$25*L$14,Refkalkulation!N$127),0)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550</v>
      </c>
      <c r="D14" s="775">
        <v>0.15</v>
      </c>
      <c r="E14" s="569" t="s">
        <v>491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2"/>
    </row>
    <row r="15" spans="2:24" ht="15" x14ac:dyDescent="0.25">
      <c r="B15" s="467">
        <v>32</v>
      </c>
      <c r="C15" s="95" t="s">
        <v>232</v>
      </c>
      <c r="D15" s="98"/>
      <c r="E15" s="574" t="s">
        <v>492</v>
      </c>
      <c r="F15" s="657">
        <f>IFERROR(IF(Refkalkulation!H$128=0,SUM(F$16:F$18),Refkalkulation!H$128),0)</f>
        <v>0.08</v>
      </c>
      <c r="G15" s="7"/>
      <c r="H15" s="7"/>
      <c r="I15" s="657">
        <f>IFERROR(IF(Refkalkulation!K$128=0,SUM(I$16:I$18),Refkalkulation!K$128),0)</f>
        <v>0.09</v>
      </c>
      <c r="J15" s="7"/>
      <c r="K15" s="7"/>
      <c r="L15" s="657">
        <f>IFERROR(IF(Refkalkulation!N$128=0,SUM(L$16:L$18),Refkalkulation!N$128),0)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491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357</v>
      </c>
      <c r="E17" s="569" t="s">
        <v>491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357</v>
      </c>
      <c r="E18" s="569" t="s">
        <v>491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651</v>
      </c>
      <c r="D19" s="98"/>
      <c r="E19" s="574" t="s">
        <v>492</v>
      </c>
      <c r="F19" s="643" t="str">
        <f>'Quick Input'!M$46</f>
        <v>Deutschland</v>
      </c>
      <c r="G19" s="419"/>
      <c r="H19" s="420"/>
      <c r="I19" s="643" t="str">
        <f>'Quick Input'!P$46</f>
        <v>Polen</v>
      </c>
      <c r="J19" s="419"/>
      <c r="K19" s="420"/>
      <c r="L19" s="643" t="str">
        <f>'Quick Input'!S$46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492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492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492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365</v>
      </c>
      <c r="D23" s="98" t="s">
        <v>94</v>
      </c>
      <c r="E23" s="574" t="s">
        <v>492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366</v>
      </c>
      <c r="D24" s="100" t="s">
        <v>94</v>
      </c>
      <c r="E24" s="569" t="s">
        <v>491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491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447</v>
      </c>
      <c r="E26" s="570" t="s">
        <v>491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492</v>
      </c>
      <c r="F27" s="148">
        <f>MIN(100%,('Quick Input'!M$51+F$28+F$29)*F$30)</f>
        <v>0.7360000000000001</v>
      </c>
      <c r="G27" s="7"/>
      <c r="H27" s="7"/>
      <c r="I27" s="148">
        <f>MIN(100%,('Quick Input'!P$51+I$28+I$29)*I$30)</f>
        <v>0.62559999999999993</v>
      </c>
      <c r="J27" s="7"/>
      <c r="K27" s="7"/>
      <c r="L27" s="148">
        <f>MIN(100%,('Quick Input'!S$51+L$28+L$29)*L$30)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390</v>
      </c>
      <c r="E28" s="569" t="s">
        <v>491</v>
      </c>
      <c r="F28" s="155">
        <f>IF('Quick Input'!M$50=Auswahlfelder!$D$26,-9%,IF('Quick Input'!M$50=Auswahlfelder!$D$28,5%,0))</f>
        <v>0</v>
      </c>
      <c r="G28" s="10"/>
      <c r="H28" s="10"/>
      <c r="I28" s="155">
        <f>IF('Quick Input'!P$50=Auswahlfelder!$D$26,-9%,IF('Quick Input'!P$50=Auswahlfelder!$D$28,5%,0))</f>
        <v>0</v>
      </c>
      <c r="J28" s="10"/>
      <c r="K28" s="10"/>
      <c r="L28" s="155">
        <f>IF('Quick Input'!S$50=Auswahlfelder!$D$26,-9%,IF('Quick Input'!S$50=Auswahlfelder!$D$28,5%,0))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491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491</v>
      </c>
      <c r="F30" s="155">
        <f>IF('Quick Input'!M$47=Auswahlfelder!$D$7,0.95,IF('Quick Input'!M$47=Auswahlfelder!$D$8,0.92,0.88))</f>
        <v>0.92</v>
      </c>
      <c r="G30" s="10"/>
      <c r="H30" s="10"/>
      <c r="I30" s="155">
        <f>IF('Quick Input'!P$47=Auswahlfelder!$D$7,0.95,IF('Quick Input'!P$47=Auswahlfelder!$D$8,0.92,0.88))</f>
        <v>0.92</v>
      </c>
      <c r="J30" s="10"/>
      <c r="K30" s="10"/>
      <c r="L30" s="155">
        <f>IF('Quick Input'!S$47=Auswahlfelder!$D$7,0.95,IF('Quick Input'!S$47=Auswahlfelder!$D$8,0.92,0.88))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3"/>
    </row>
    <row r="31" spans="2:24" ht="15" x14ac:dyDescent="0.25">
      <c r="B31" s="467">
        <v>58</v>
      </c>
      <c r="C31" s="95" t="s">
        <v>360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492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492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390</v>
      </c>
      <c r="E34" s="569" t="s">
        <v>491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491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2"/>
    </row>
    <row r="37" spans="2:24" ht="15" x14ac:dyDescent="0.25">
      <c r="B37" s="467">
        <v>6</v>
      </c>
      <c r="C37" s="95" t="s">
        <v>496</v>
      </c>
      <c r="D37" s="98" t="s">
        <v>94</v>
      </c>
      <c r="E37" s="574" t="s">
        <v>492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501</v>
      </c>
      <c r="D38" s="100" t="s">
        <v>94</v>
      </c>
      <c r="E38" s="569" t="s">
        <v>492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492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3"/>
    </row>
    <row r="40" spans="2:24" ht="15" x14ac:dyDescent="0.25">
      <c r="B40" s="467">
        <v>3</v>
      </c>
      <c r="C40" s="95" t="s">
        <v>391</v>
      </c>
      <c r="D40" s="98">
        <v>1</v>
      </c>
      <c r="E40" s="574" t="s">
        <v>492</v>
      </c>
      <c r="F40" s="345">
        <f>(F$41+F$43)*F$46</f>
        <v>57.876296077511618</v>
      </c>
      <c r="G40" s="7"/>
      <c r="H40" s="7"/>
      <c r="I40" s="345">
        <f>(I$41+I$43)*I$46</f>
        <v>7.3060572213343722</v>
      </c>
      <c r="J40" s="7"/>
      <c r="K40" s="7"/>
      <c r="L40" s="345">
        <f>(L$41+L$43)*L$46</f>
        <v>7.3032307993061121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364</v>
      </c>
      <c r="D41" s="100">
        <v>1</v>
      </c>
      <c r="E41" s="569" t="s">
        <v>492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390</v>
      </c>
      <c r="E42" s="569" t="s">
        <v>491</v>
      </c>
      <c r="F42" s="201">
        <f>'Länder-DB'!$M$19+F$44+F$45+F$47</f>
        <v>0.44690740193779044</v>
      </c>
      <c r="G42" s="10"/>
      <c r="H42" s="10"/>
      <c r="I42" s="201">
        <f>'Länder-DB'!$M$19+I$44+I$45+I$47</f>
        <v>0.46121144426687438</v>
      </c>
      <c r="J42" s="10"/>
      <c r="K42" s="10"/>
      <c r="L42" s="201">
        <f>'Länder-DB'!$M$19+L$44+L$45+L$47</f>
        <v>0.46064615986122243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470</v>
      </c>
      <c r="D43" s="100">
        <v>1</v>
      </c>
      <c r="E43" s="569" t="s">
        <v>491</v>
      </c>
      <c r="F43" s="159">
        <f>F$41*F$42</f>
        <v>17.876296077511618</v>
      </c>
      <c r="G43" s="10"/>
      <c r="H43" s="10"/>
      <c r="I43" s="159">
        <f>I$41*I$42</f>
        <v>2.3060572213343717</v>
      </c>
      <c r="J43" s="10"/>
      <c r="K43" s="10"/>
      <c r="L43" s="159">
        <f>L$41*L$42</f>
        <v>2.3032307993061121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468</v>
      </c>
      <c r="D44" s="100" t="s">
        <v>390</v>
      </c>
      <c r="E44" s="569" t="s">
        <v>491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471</v>
      </c>
      <c r="D45" s="100">
        <v>1</v>
      </c>
      <c r="E45" s="569" t="s">
        <v>491</v>
      </c>
      <c r="F45" s="201">
        <f>MAX(0%,20%*(40%-F$58))</f>
        <v>6.3157401937790389E-2</v>
      </c>
      <c r="G45" s="10"/>
      <c r="H45" s="10"/>
      <c r="I45" s="201">
        <f>MAX(0%,20%*(40%-I$58))</f>
        <v>7.7461444266874346E-2</v>
      </c>
      <c r="J45" s="10"/>
      <c r="K45" s="10"/>
      <c r="L45" s="201">
        <f>20%*(40%-L$58)</f>
        <v>7.6896159861222391E-2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374</v>
      </c>
      <c r="D46" s="100">
        <v>1</v>
      </c>
      <c r="E46" s="569" t="s">
        <v>492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469</v>
      </c>
      <c r="D47" s="1021" t="s">
        <v>390</v>
      </c>
      <c r="E47" s="570" t="s">
        <v>491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2"/>
      <c r="C48" s="1019" t="s">
        <v>898</v>
      </c>
      <c r="D48" s="102"/>
      <c r="E48" s="570" t="s">
        <v>491</v>
      </c>
      <c r="F48" s="1020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0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0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0"/>
      <c r="P48" s="13"/>
      <c r="Q48" s="13"/>
      <c r="R48" s="1020"/>
      <c r="S48" s="13"/>
      <c r="T48" s="13"/>
      <c r="U48" s="1020"/>
      <c r="V48" s="32"/>
      <c r="X48" s="511"/>
    </row>
    <row r="49" spans="2:22" ht="15" x14ac:dyDescent="0.25">
      <c r="B49" s="467">
        <v>47</v>
      </c>
      <c r="C49" s="95" t="s">
        <v>382</v>
      </c>
      <c r="D49" s="98" t="s">
        <v>94</v>
      </c>
      <c r="E49" s="574" t="s">
        <v>492</v>
      </c>
      <c r="F49" s="202">
        <f>F$56*IF(F$52,F$33,F$32)+2*F$53+(F$56-1)*(F$53+2.5)</f>
        <v>68.79473319220206</v>
      </c>
      <c r="G49" s="7"/>
      <c r="H49" s="7"/>
      <c r="I49" s="202">
        <f>I$56*IF(I$52,I$33,I$32)+2*I$53+(I$56-1)*(I$53+2.5)</f>
        <v>65.79473319220206</v>
      </c>
      <c r="J49" s="7"/>
      <c r="K49" s="7"/>
      <c r="L49" s="202">
        <f>L$56*IF(L$52,L$33,L$32)+2*L$53+(L$56-1)*(L$53+2.5)</f>
        <v>62.79473319220206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383</v>
      </c>
      <c r="D50" s="100" t="s">
        <v>94</v>
      </c>
      <c r="E50" s="569" t="s">
        <v>492</v>
      </c>
      <c r="F50" s="203">
        <f>F$57*IF(F$52,F$32,F$33)+2*F$53+(F$57-1)*(2.5+F$53)</f>
        <v>58.79473319220206</v>
      </c>
      <c r="G50" s="10"/>
      <c r="H50" s="10"/>
      <c r="I50" s="203">
        <f>I$57*IF(I$52,I$32,I$33)+2*I$53+(I$57-1)*(2.5+I$53)</f>
        <v>55.79473319220206</v>
      </c>
      <c r="J50" s="10"/>
      <c r="K50" s="10"/>
      <c r="L50" s="203">
        <f>L$57*IF(L$52,L$32,L$33)+2*L$53+(L$57-1)*(2.5+L$53)</f>
        <v>52.79473319220206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381</v>
      </c>
      <c r="D51" s="100" t="s">
        <v>94</v>
      </c>
      <c r="E51" s="569" t="s">
        <v>492</v>
      </c>
      <c r="F51" s="203">
        <f>'Quick Input'!M16/10+2.5*F$53</f>
        <v>43.493416490252571</v>
      </c>
      <c r="G51" s="10"/>
      <c r="H51" s="10"/>
      <c r="I51" s="203">
        <f>'Quick Input'!P16/10+2.5*I$53</f>
        <v>39.743416490252571</v>
      </c>
      <c r="J51" s="10"/>
      <c r="K51" s="10"/>
      <c r="L51" s="203">
        <f>'Quick Input'!S16/10+2.5*L$53</f>
        <v>35.993416490252571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472</v>
      </c>
      <c r="D52" s="100" t="s">
        <v>94</v>
      </c>
      <c r="E52" s="569" t="s">
        <v>491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392</v>
      </c>
      <c r="D53" s="100" t="s">
        <v>390</v>
      </c>
      <c r="E53" s="569" t="s">
        <v>491</v>
      </c>
      <c r="F53" s="157">
        <f>3+0.3*SQRT(F$33)+1.5*(4-VLOOKUP('Quick Input'!M$22,Auswahlfelder!$D$36:$E$38,2,FALSE))</f>
        <v>9.397366596101028</v>
      </c>
      <c r="G53" s="10"/>
      <c r="H53" s="10"/>
      <c r="I53" s="157">
        <f>3+0.3*SQRT(I$33)+1.5*(4-VLOOKUP('Quick Input'!P$22,Auswahlfelder!$D$36:$E$38,2,FALSE))</f>
        <v>7.897366596101028</v>
      </c>
      <c r="J53" s="10"/>
      <c r="K53" s="10"/>
      <c r="L53" s="157">
        <f>3+0.3*SQRT(L$33)+1.5*(4-VLOOKUP('Quick Input'!S$22,Auswahlfelder!$D$36:$E$38,2,FALSE))</f>
        <v>6.397366596101028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473</v>
      </c>
      <c r="D54" s="100" t="s">
        <v>94</v>
      </c>
      <c r="E54" s="569" t="s">
        <v>491</v>
      </c>
      <c r="F54" s="157">
        <f>F$32+F$53*1.75</f>
        <v>66.445391543176797</v>
      </c>
      <c r="G54" s="10"/>
      <c r="H54" s="10"/>
      <c r="I54" s="157">
        <f>I32+I53*1.75</f>
        <v>63.820391543176797</v>
      </c>
      <c r="J54" s="10"/>
      <c r="K54" s="10"/>
      <c r="L54" s="157">
        <f>L32+L53*1.75</f>
        <v>61.195391543176797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474</v>
      </c>
      <c r="D55" s="100" t="s">
        <v>94</v>
      </c>
      <c r="E55" s="569" t="s">
        <v>491</v>
      </c>
      <c r="F55" s="157">
        <f>F$33+F$53*1.75</f>
        <v>56.445391543176797</v>
      </c>
      <c r="G55" s="10"/>
      <c r="H55" s="10"/>
      <c r="I55" s="157">
        <f>I33+I53*1.75</f>
        <v>53.820391543176797</v>
      </c>
      <c r="J55" s="10"/>
      <c r="K55" s="10"/>
      <c r="L55" s="157">
        <f>L33+L53*1.75</f>
        <v>51.195391543176797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457</v>
      </c>
      <c r="D56" s="100" t="s">
        <v>390</v>
      </c>
      <c r="E56" s="569" t="s">
        <v>491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384</v>
      </c>
      <c r="D57" s="100" t="s">
        <v>94</v>
      </c>
      <c r="E57" s="569" t="s">
        <v>491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426</v>
      </c>
      <c r="D58" s="596" t="s">
        <v>476</v>
      </c>
      <c r="E58" s="569" t="s">
        <v>492</v>
      </c>
      <c r="F58" s="284">
        <f>(F$41*F$46)/2.7/(F$49*F$50*F$51/1000)</f>
        <v>8.4212990311048105E-2</v>
      </c>
      <c r="G58" s="10"/>
      <c r="H58" s="10"/>
      <c r="I58" s="284">
        <f>(I$41*I$46)/2.7/(I$49*I$50*I$51/1000)</f>
        <v>1.269277866562827E-2</v>
      </c>
      <c r="J58" s="10"/>
      <c r="K58" s="10"/>
      <c r="L58" s="284">
        <f>(L$41*L$46)/2.7/(L$49*L$50*L$51/1000)</f>
        <v>1.5519200693888137E-2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505</v>
      </c>
      <c r="D59" s="98"/>
      <c r="E59" s="574" t="s">
        <v>492</v>
      </c>
      <c r="F59" s="161" t="e">
        <f>IFERROR(MAX(F$61,MIN(F$62,IF(F$73,F$72,F$72+1))),F$61)</f>
        <v>#N/A</v>
      </c>
      <c r="G59" s="419"/>
      <c r="H59" s="420"/>
      <c r="I59" s="161" t="e">
        <f>IFERROR(MAX(I$61,MIN(I$62,IF(I$73,I$72,I$72+1))),I$61)</f>
        <v>#N/A</v>
      </c>
      <c r="J59" s="419"/>
      <c r="K59" s="420"/>
      <c r="L59" s="161" t="e">
        <f>IFERROR(MAX(L$61,MIN(L$62,IF(L$73,L$72,L$72+1))),L$61)</f>
        <v>#N/A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820</v>
      </c>
      <c r="D60" s="100"/>
      <c r="E60" s="569" t="s">
        <v>491</v>
      </c>
      <c r="F60" s="543" t="str">
        <f>'Quick Input'!M$22</f>
        <v>Niederdruck</v>
      </c>
      <c r="G60" s="421"/>
      <c r="H60" s="422"/>
      <c r="I60" s="543" t="str">
        <f>'Quick Input'!P$22</f>
        <v>Kippgiessen</v>
      </c>
      <c r="J60" s="421"/>
      <c r="K60" s="422"/>
      <c r="L60" s="543" t="str">
        <f>'Quick Input'!S$22</f>
        <v>Schwerkaft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459</v>
      </c>
      <c r="D61" s="100" t="s">
        <v>522</v>
      </c>
      <c r="E61" s="569" t="s">
        <v>492</v>
      </c>
      <c r="F61" s="677" t="e">
        <f>VLOOKUP(F$60,'Maschinen-DB'!$B$22:$C$37,2,FALSE)</f>
        <v>#N/A</v>
      </c>
      <c r="G61" s="421"/>
      <c r="H61" s="422"/>
      <c r="I61" s="677" t="e">
        <f>VLOOKUP(I$60,'Maschinen-DB'!$B$22:$C$37,2,FALSE)</f>
        <v>#N/A</v>
      </c>
      <c r="J61" s="421"/>
      <c r="K61" s="422"/>
      <c r="L61" s="677" t="e">
        <f>VLOOKUP(L$60,'Maschinen-DB'!$B$22:$C$37,2,FALSE)</f>
        <v>#N/A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458</v>
      </c>
      <c r="D62" s="100"/>
      <c r="E62" s="569" t="s">
        <v>492</v>
      </c>
      <c r="F62" s="158">
        <f>VLOOKUP(F$60,'Maschinen-DB'!$B$22:$C$37,2,TRUE)</f>
        <v>15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460</v>
      </c>
      <c r="D63" s="100"/>
      <c r="E63" s="571"/>
      <c r="F63" s="158" t="e">
        <f>VLOOKUP(F$61,DB_Maschinen,5,FALSE)/10</f>
        <v>#N/A</v>
      </c>
      <c r="G63" s="421"/>
      <c r="H63" s="422"/>
      <c r="I63" s="158" t="e">
        <f>VLOOKUP(I$61,DB_Maschinen,5,FALSE)/10</f>
        <v>#N/A</v>
      </c>
      <c r="J63" s="421"/>
      <c r="K63" s="422"/>
      <c r="L63" s="158" t="e">
        <f>VLOOKUP(L$61,DB_Maschinen,5,FALSE)/10</f>
        <v>#N/A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461</v>
      </c>
      <c r="D64" s="102"/>
      <c r="E64" s="571"/>
      <c r="F64" s="158">
        <f>VLOOKUP(F$62,DB_Maschinen,5,FALSE)/10</f>
        <v>500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527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504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506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507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508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502</v>
      </c>
      <c r="D70" s="100"/>
      <c r="E70" s="569" t="s">
        <v>492</v>
      </c>
      <c r="F70" s="627" t="e">
        <f>IF(F$65&lt;F$72,F$72,MAX(F$61,MIN(F$62,IF(F$73,F$72,F$72+1))))</f>
        <v>#N/A</v>
      </c>
      <c r="G70" s="421"/>
      <c r="H70" s="422"/>
      <c r="I70" s="627" t="e">
        <f>IF(I$65&lt;I$72,I$72,MAX(I$61,MIN(I$62,IF(I$73,I$72,I$72+1))))</f>
        <v>#N/A</v>
      </c>
      <c r="J70" s="421"/>
      <c r="K70" s="422"/>
      <c r="L70" s="627" t="e">
        <f>IF(L$65&lt;L$72,L$72,MAX(L$61,MIN(L$62,IF(L$73,L$72,L$72+1))))</f>
        <v>#N/A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819</v>
      </c>
      <c r="D71" s="100"/>
      <c r="E71" s="569" t="s">
        <v>491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462</v>
      </c>
      <c r="D72" s="100"/>
      <c r="E72" s="569" t="s">
        <v>491</v>
      </c>
      <c r="F72" s="158">
        <f>VLOOKUP(F$49*10,'Maschinen-DB'!$G$21:$R$37,12,TRUE)+1</f>
        <v>3</v>
      </c>
      <c r="G72" s="421"/>
      <c r="H72" s="422"/>
      <c r="I72" s="158">
        <f>VLOOKUP(I$49*10,'Maschinen-DB'!$G$21:$R$37,12,TRUE)+1</f>
        <v>2</v>
      </c>
      <c r="J72" s="421"/>
      <c r="K72" s="422"/>
      <c r="L72" s="158">
        <f>VLOOKUP(L$49*10,'Maschinen-DB'!$G$21:$R$37,12,TRUE)+1</f>
        <v>2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463</v>
      </c>
      <c r="D73" s="100"/>
      <c r="E73" s="569" t="s">
        <v>491</v>
      </c>
      <c r="F73" s="158" t="b">
        <f>AND(VLOOKUP(F$72,DB_Maschinen,6,FALSE)&gt;F$50*10,VLOOKUP(F$72,DB_Maschinen,7,FALSE)&gt;F$51)</f>
        <v>1</v>
      </c>
      <c r="G73" s="421"/>
      <c r="H73" s="422"/>
      <c r="I73" s="158" t="b">
        <f>AND(VLOOKUP(I$72,DB_Maschinen,6,FALSE)&gt;I$50*10,VLOOKUP(I$72,DB_Maschinen,7,FALSE)&gt;I$51)</f>
        <v>0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Giesstechnik</v>
      </c>
      <c r="D74" s="583" t="s">
        <v>393</v>
      </c>
      <c r="E74" s="571"/>
      <c r="F74" s="555" t="e">
        <f>VLOOKUP(VLOOKUP(F71,Auswahlfelder!$D$36:$E$38,2,FALSE),Auswahlfelder!$A$36:$B$38,2,FALSE)</f>
        <v>#N/A</v>
      </c>
      <c r="G74" s="423"/>
      <c r="H74" s="424"/>
      <c r="I74" s="555" t="e">
        <f>VLOOKUP(VLOOKUP(I71,Auswahlfelder!$D$36:$E$38,2,FALSE),Auswahlfelder!$A$36:$B$38,2,FALSE)</f>
        <v>#N/A</v>
      </c>
      <c r="J74" s="423"/>
      <c r="K74" s="424"/>
      <c r="L74" s="555" t="e">
        <f>VLOOKUP(VLOOKUP(L71,Auswahlfelder!$D$36:$E$38,2,FALSE),Auswahlfelder!$A$36:$B$38,2,FALSE)</f>
        <v>#N/A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3"/>
    </row>
    <row r="75" spans="2:24" ht="15" x14ac:dyDescent="0.25">
      <c r="B75" s="467">
        <v>56</v>
      </c>
      <c r="C75" s="95" t="s">
        <v>387</v>
      </c>
      <c r="D75" s="98" t="s">
        <v>390</v>
      </c>
      <c r="E75" s="574" t="s">
        <v>492</v>
      </c>
      <c r="F75" s="156" t="e">
        <f>(F$77-F$78)/1000/1.64/F$46</f>
        <v>#N/A</v>
      </c>
      <c r="G75" s="7"/>
      <c r="H75" s="7"/>
      <c r="I75" s="156" t="e">
        <f>(I$77-I$78)/1000/1.64/I$46</f>
        <v>#N/A</v>
      </c>
      <c r="J75" s="7"/>
      <c r="K75" s="7"/>
      <c r="L75" s="156" t="e">
        <f>(L$77-L$78)/1000/1.64/L$46</f>
        <v>#N/A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393</v>
      </c>
      <c r="E76" s="569" t="s">
        <v>492</v>
      </c>
      <c r="F76" s="504" t="e">
        <f>F$78/F$77</f>
        <v>#N/A</v>
      </c>
      <c r="G76" s="597" t="e">
        <f>TEXT(F$76,"0,0 %")</f>
        <v>#N/A</v>
      </c>
      <c r="H76" s="10"/>
      <c r="I76" s="504" t="e">
        <f>I$78/I$77</f>
        <v>#N/A</v>
      </c>
      <c r="J76" s="597" t="e">
        <f>TEXT(I$76,"0,0 %")</f>
        <v>#N/A</v>
      </c>
      <c r="K76" s="10"/>
      <c r="L76" s="504" t="e">
        <f>L$78/L$77</f>
        <v>#N/A</v>
      </c>
      <c r="M76" s="597" t="e">
        <f>TEXT(L$76,"0,0 %")</f>
        <v>#N/A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388</v>
      </c>
      <c r="D77" s="100">
        <v>1</v>
      </c>
      <c r="E77" s="571"/>
      <c r="F77" s="276" t="e">
        <f>F$66*F$67*IF(VLOOKUP(F$70,DB_Maschinen,2,FALSE)='Maschinen-DB'!$D$21,MAX(F$51,F$69),IF(F$69&gt;F$51,F$69,F$68))</f>
        <v>#N/A</v>
      </c>
      <c r="G77" s="10"/>
      <c r="H77" s="10"/>
      <c r="I77" s="276" t="e">
        <f>I$66*I$67*IF(VLOOKUP(I$70,DB_Maschinen,2,FALSE)='Maschinen-DB'!$D$21,MAX(I$51,I$69),IF(I$69&gt;I$51,I$69,I$68))</f>
        <v>#N/A</v>
      </c>
      <c r="J77" s="10"/>
      <c r="K77" s="10"/>
      <c r="L77" s="276" t="e">
        <f>L$66*L$67*IF(VLOOKUP(L$70,DB_Maschinen,2,FALSE)='Maschinen-DB'!$D$21,MAX(L$51,L$69),IF(L$69&gt;L$51,L$69,L$68))</f>
        <v>#N/A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389</v>
      </c>
      <c r="D78" s="102">
        <v>1</v>
      </c>
      <c r="E78" s="572"/>
      <c r="F78" s="598">
        <f>F$40*1000/VLOOKUP('Quick Input'!M$10,DB_Material,5,FALSE)</f>
        <v>21435.66521389319</v>
      </c>
      <c r="G78" s="13"/>
      <c r="H78" s="13"/>
      <c r="I78" s="598">
        <f>I$40*1000/VLOOKUP('Quick Input'!P$10,DB_Material,5,FALSE)</f>
        <v>2699.9472362654737</v>
      </c>
      <c r="J78" s="13"/>
      <c r="K78" s="13"/>
      <c r="L78" s="598">
        <f>L$40*1000/VLOOKUP('Quick Input'!S$10,DB_Material,5,FALSE)</f>
        <v>2698.9027344072847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380</v>
      </c>
      <c r="D79" s="98">
        <v>1</v>
      </c>
      <c r="E79" s="574" t="s">
        <v>492</v>
      </c>
      <c r="F79" s="899" t="e">
        <f>(1-F$82)*('Länder-DB'!$M$23+4%)*F$80*F$81+F$82*F$83*F$84</f>
        <v>#N/A</v>
      </c>
      <c r="G79" s="7"/>
      <c r="H79" s="7"/>
      <c r="I79" s="899" t="e">
        <f>(1-I$82)*('Länder-DB'!$M$23+4%)*I$80*I$81+I$82*I$84*I$83</f>
        <v>#N/A</v>
      </c>
      <c r="J79" s="7"/>
      <c r="K79" s="7"/>
      <c r="L79" s="899" t="e">
        <f>(1-L$82)*('Länder-DB'!$M$23+4%)*L$80*L$81+L$82*L$84*L$83</f>
        <v>#N/A</v>
      </c>
      <c r="M79" s="7"/>
      <c r="N79" s="7"/>
      <c r="O79" s="899"/>
      <c r="P79" s="28"/>
      <c r="Q79" s="28"/>
      <c r="R79" s="899"/>
      <c r="S79" s="28"/>
      <c r="T79" s="28"/>
      <c r="U79" s="899"/>
      <c r="V79" s="11"/>
      <c r="W79" s="117"/>
    </row>
    <row r="80" spans="2:24" x14ac:dyDescent="0.2">
      <c r="B80" s="467">
        <v>57</v>
      </c>
      <c r="C80" s="96" t="s">
        <v>475</v>
      </c>
      <c r="D80" s="100" t="s">
        <v>390</v>
      </c>
      <c r="E80" s="569" t="s">
        <v>569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853</v>
      </c>
      <c r="D81" s="100">
        <v>1</v>
      </c>
      <c r="E81" s="569" t="s">
        <v>569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854</v>
      </c>
      <c r="D82" s="100" t="s">
        <v>390</v>
      </c>
      <c r="E82" s="569" t="s">
        <v>569</v>
      </c>
      <c r="F82" s="154" t="e">
        <f>IF(VLOOKUP('Quick Input'!M$23,Auswahlfelder!$D$49:$E$51,2,FALSE)=1,0,1.05*Refkalkulation!H$67*Refkalkulation!H$50/(F$77-F$78)*1000)</f>
        <v>#N/A</v>
      </c>
      <c r="G82" s="10"/>
      <c r="H82" s="10"/>
      <c r="I82" s="154" t="e">
        <f>IF(VLOOKUP('Quick Input'!P$23,Auswahlfelder!$D$49:$E$51,2,FALSE)=1,0,1.05*Refkalkulation!K$67*Refkalkulation!K$50/(I$77-I$78)*1000)</f>
        <v>#N/A</v>
      </c>
      <c r="J82" s="10"/>
      <c r="K82" s="10"/>
      <c r="L82" s="154" t="e">
        <f>IF(VLOOKUP('Quick Input'!S$23,Auswahlfelder!$D$49:$E$51,2,FALSE)=1,0,1.05*Refkalkulation!N$67*Refkalkulation!N$50/(L$77-L$78)*1000)</f>
        <v>#N/A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424</v>
      </c>
      <c r="D83" s="931">
        <v>1.4999999999999999E-2</v>
      </c>
      <c r="E83" s="569" t="s">
        <v>569</v>
      </c>
      <c r="F83" s="153">
        <f>$D$83+0.2%-0.15%*VLOOKUP('Quick Input'!M$25,Auswahlfelder!$D$54:$E$57,2,FALSE)</f>
        <v>1.5500000000000002E-2</v>
      </c>
      <c r="G83" s="10"/>
      <c r="H83" s="10"/>
      <c r="I83" s="153">
        <f>$D$83+0.2%-0.15%*VLOOKUP('Quick Input'!P$25,Auswahlfelder!$D$54:$E$57,2,FALSE)</f>
        <v>1.4000000000000002E-2</v>
      </c>
      <c r="J83" s="10"/>
      <c r="K83" s="10"/>
      <c r="L83" s="153">
        <f>$D$83+0.2%-0.15%*VLOOKUP('Quick Input'!S$25,Auswahlfelder!$D$54:$E$57,2,FALSE)</f>
        <v>1.2500000000000001E-2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423</v>
      </c>
      <c r="D84" s="100">
        <v>1</v>
      </c>
      <c r="E84" s="569" t="s">
        <v>569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2"/>
      <c r="X84" s="842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491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498</v>
      </c>
      <c r="E86" s="571"/>
      <c r="F86" s="206">
        <f>52/'Quick Input'!M$37*F$85</f>
        <v>1.2167999999999999</v>
      </c>
      <c r="G86" s="10"/>
      <c r="H86" s="10"/>
      <c r="I86" s="206">
        <f>52/'Quick Input'!P$37*I$85</f>
        <v>1.2167999999999999</v>
      </c>
      <c r="J86" s="10"/>
      <c r="K86" s="10"/>
      <c r="L86" s="206">
        <f>52/'Quick Input'!S$37*L$85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492</v>
      </c>
      <c r="F87" s="206">
        <f>'Quick Input'!M$37/F$145</f>
        <v>104.16666666666667</v>
      </c>
      <c r="G87" s="10"/>
      <c r="H87" s="10"/>
      <c r="I87" s="206">
        <f>'Quick Input'!P$37/I145</f>
        <v>104.16666666666667</v>
      </c>
      <c r="J87" s="10"/>
      <c r="K87" s="10"/>
      <c r="L87" s="206">
        <f>'Quick Input'!S$37/L145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491</v>
      </c>
      <c r="F88" s="205">
        <f>'Quick Input'!M$37/4</f>
        <v>1250</v>
      </c>
      <c r="G88" s="10"/>
      <c r="H88" s="10"/>
      <c r="I88" s="205">
        <f>'Quick Input'!P$37/4</f>
        <v>1250</v>
      </c>
      <c r="J88" s="10"/>
      <c r="K88" s="10"/>
      <c r="L88" s="205">
        <f>'Quick Input'!S$37/4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519</v>
      </c>
      <c r="D89" s="100" t="s">
        <v>94</v>
      </c>
      <c r="E89" s="569" t="s">
        <v>491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491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491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491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492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3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492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517</v>
      </c>
      <c r="D95" s="100" t="s">
        <v>94</v>
      </c>
      <c r="E95" s="569" t="s">
        <v>491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518</v>
      </c>
      <c r="D96" s="100" t="s">
        <v>94</v>
      </c>
      <c r="E96" s="569" t="s">
        <v>491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491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3"/>
    </row>
    <row r="98" spans="2:24" ht="15" x14ac:dyDescent="0.25">
      <c r="B98" s="467">
        <v>20</v>
      </c>
      <c r="C98" s="95" t="s">
        <v>811</v>
      </c>
      <c r="D98" s="98"/>
      <c r="E98" s="574" t="s">
        <v>491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390</v>
      </c>
      <c r="E99" s="569" t="s">
        <v>491</v>
      </c>
      <c r="F99" s="207">
        <f>VLOOKUP('Quick Input'!M$50,Auswahlfelder!$D$26:$E$28,2,FALSE)*0.4</f>
        <v>0.8</v>
      </c>
      <c r="G99" s="425"/>
      <c r="H99" s="422"/>
      <c r="I99" s="207">
        <f>VLOOKUP('Quick Input'!P$50,Auswahlfelder!$D$26:$E$28,2,FALSE)*0.4</f>
        <v>0.8</v>
      </c>
      <c r="J99" s="425"/>
      <c r="K99" s="422"/>
      <c r="L99" s="207">
        <f>VLOOKUP('Quick Input'!S$50,Auswahlfelder!$D$26:$E$28,2,FALSE)*0.4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537</v>
      </c>
      <c r="D100" s="100" t="s">
        <v>390</v>
      </c>
      <c r="E100" s="569" t="s">
        <v>491</v>
      </c>
      <c r="F100" s="207">
        <f>0.7*VLOOKUP('Quick Input'!M$47,Auswahlfelder!$D$7:$E$9,2,FALSE)-1</f>
        <v>0.39999999999999991</v>
      </c>
      <c r="G100" s="425"/>
      <c r="H100" s="422"/>
      <c r="I100" s="207">
        <f>0.7*VLOOKUP('Quick Input'!P$47,Auswahlfelder!$D$7:$E$9,2,FALSE)-1</f>
        <v>0.39999999999999991</v>
      </c>
      <c r="J100" s="425"/>
      <c r="K100" s="422"/>
      <c r="L100" s="207">
        <f>0.7*VLOOKUP('Quick Input'!S$47,Auswahlfelder!$D$7:$E$9,2,FALSE)-1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503</v>
      </c>
      <c r="D101" s="100">
        <v>1</v>
      </c>
      <c r="E101" s="569" t="s">
        <v>492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390</v>
      </c>
      <c r="E103" s="569" t="s">
        <v>491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529</v>
      </c>
      <c r="D104" s="583" t="s">
        <v>498</v>
      </c>
      <c r="E104" s="569"/>
      <c r="F104" s="276" t="e">
        <f>F$40/(Refkalkulation!H$59/3600)*1.2</f>
        <v>#N/A</v>
      </c>
      <c r="G104" s="425"/>
      <c r="H104" s="426"/>
      <c r="I104" s="276" t="e">
        <f>I$40/(Refkalkulation!K$59/3600)*1.2</f>
        <v>#N/A</v>
      </c>
      <c r="J104" s="425"/>
      <c r="K104" s="426"/>
      <c r="L104" s="276" t="e">
        <f>L$40/(Refkalkulation!N$59/3600)*1.2</f>
        <v>#N/A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810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530</v>
      </c>
      <c r="D106" s="100">
        <v>1</v>
      </c>
      <c r="E106" s="569"/>
      <c r="F106" s="276" t="e">
        <f>IF(VLOOKUP(F$105,DB_Ofen,7,FALSE)&gt;F$104,F$105,IF(VLOOKUP(F$105+1,DB_Ofen,7,FALSE)&gt;F$104,F$105+1,IF(VLOOKUP(F$105+2,DB_Ofen,7,FALSE)&gt;F$104,F$105+2,MIN(11,F$105+3))))</f>
        <v>#N/A</v>
      </c>
      <c r="G106" s="425"/>
      <c r="H106" s="426"/>
      <c r="I106" s="276" t="e">
        <f>IF(VLOOKUP(I$105,DB_Ofen,7,FALSE)&gt;I$104,I$105,IF(VLOOKUP(I$105+1,DB_Ofen,7,FALSE)&gt;I$104,I$105+1,IF(VLOOKUP(I$105+2,DB_Ofen,7,FALSE)&gt;I$104,I$105+2,MIN(11,I$105+3))))</f>
        <v>#N/A</v>
      </c>
      <c r="J106" s="425"/>
      <c r="K106" s="426"/>
      <c r="L106" s="276" t="e">
        <f>IF(VLOOKUP(L$105,DB_Ofen,7,FALSE)&gt;L$104,L$105,IF(VLOOKUP(L$105+1,DB_Ofen,7,FALSE)&gt;L$104,L$105+1,IF(VLOOKUP(L$105+2,DB_Ofen,7,FALSE)&gt;L$104,L$105+2,MIN(11,L$105+3))))</f>
        <v>#N/A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491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2"/>
    </row>
    <row r="109" spans="2:24" ht="15" x14ac:dyDescent="0.25">
      <c r="B109" s="467">
        <v>50</v>
      </c>
      <c r="C109" s="95" t="s">
        <v>482</v>
      </c>
      <c r="D109" s="98"/>
      <c r="E109" s="574" t="s">
        <v>492</v>
      </c>
      <c r="F109" s="204" t="e">
        <f>F$110+F$111+F$112</f>
        <v>#N/A</v>
      </c>
      <c r="G109" s="419"/>
      <c r="H109" s="420"/>
      <c r="I109" s="204" t="e">
        <f>I$110+I$111+I$112</f>
        <v>#N/A</v>
      </c>
      <c r="J109" s="419"/>
      <c r="K109" s="420"/>
      <c r="L109" s="204" t="e">
        <f>L$110+L$111+L$112</f>
        <v>#N/A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491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495</v>
      </c>
      <c r="D111" s="100"/>
      <c r="E111" s="569" t="s">
        <v>491</v>
      </c>
      <c r="F111" s="205">
        <f>IF('Quick Input'!M$22=Auswahlfelder!$D$36,VLOOKUP('Quick Input'!M$21,Auswahlfelder!$D$16:$E$19,2,FALSE)*SQRT(F$40),0)</f>
        <v>15.215294420748041</v>
      </c>
      <c r="G111" s="431"/>
      <c r="H111" s="422"/>
      <c r="I111" s="205">
        <f>IF('Quick Input'!P$22=Auswahlfelder!$D$36,VLOOKUP('Quick Input'!P$21,Auswahlfelder!$D$16:$E$19,2,FALSE)*SQRT(I$40),0)</f>
        <v>0</v>
      </c>
      <c r="J111" s="431"/>
      <c r="K111" s="422"/>
      <c r="L111" s="205">
        <f>IF('Quick Input'!S$22=Auswahlfelder!$D$36,VLOOKUP('Quick Input'!S$21,Auswahlfelder!$D$16:$E$19,2,FALSE)*SQRT(L$40),0)</f>
        <v>0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516</v>
      </c>
      <c r="D112" s="102" t="s">
        <v>94</v>
      </c>
      <c r="E112" s="569" t="s">
        <v>491</v>
      </c>
      <c r="F112" s="205" t="e">
        <f>SQRT(VLOOKUP('Quick Input'!M$23,Auswahlfelder!$D$49:$E$51,2,FALSE)-1)*6</f>
        <v>#N/A</v>
      </c>
      <c r="G112" s="421"/>
      <c r="H112" s="422"/>
      <c r="I112" s="205" t="e">
        <f>SQRT(VLOOKUP('Quick Input'!P$23,Auswahlfelder!$D$49:$E$51,2,FALSE)-1)*6</f>
        <v>#N/A</v>
      </c>
      <c r="J112" s="421"/>
      <c r="K112" s="422"/>
      <c r="L112" s="205" t="e">
        <f>SQRT(VLOOKUP('Quick Input'!S$23,Auswahlfelder!$D$49:$E$51,2,FALSE)-1)*6</f>
        <v>#N/A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497</v>
      </c>
      <c r="D113" s="100" t="s">
        <v>94</v>
      </c>
      <c r="E113" s="574" t="s">
        <v>492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 t="e">
        <f>IF(Refkalkulation!K$67=0,ROUND(IF('Quick Input'!P$23=Auswahlfelder!$D$49,0,(I$114*2+I$115+60%*I$37)/5),1),Refkalkulation!K$67)</f>
        <v>#N/A</v>
      </c>
      <c r="J113" s="436"/>
      <c r="K113" s="462"/>
      <c r="L113" s="650" t="e">
        <f>IF(Refkalkulation!N$67=0,ROUND(IF('Quick Input'!S$23=Auswahlfelder!$D$49,0,(L$114*2+L$115+60%*L$37)/5),1),Refkalkulation!N$67)</f>
        <v>#N/A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499</v>
      </c>
      <c r="D114" s="100">
        <v>1</v>
      </c>
      <c r="E114" s="569" t="s">
        <v>491</v>
      </c>
      <c r="F114" s="344" t="e">
        <f>IF('Quick Input'!M$23=Auswahlfelder!$D$49,0,12%*'Quick Input'!M$20/1000)</f>
        <v>#N/A</v>
      </c>
      <c r="G114" s="446"/>
      <c r="H114" s="447"/>
      <c r="I114" s="344" t="e">
        <f>IF('Quick Input'!P$23=Auswahlfelder!$D$49,0,12%*'Quick Input'!P$20/1000)</f>
        <v>#N/A</v>
      </c>
      <c r="J114" s="446"/>
      <c r="K114" s="447"/>
      <c r="L114" s="344" t="e">
        <f>IF('Quick Input'!S$23=Auswahlfelder!$D$49,0,12%*'Quick Input'!S$20/1000)</f>
        <v>#N/A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852</v>
      </c>
      <c r="D115" s="100">
        <v>1</v>
      </c>
      <c r="E115" s="569" t="s">
        <v>491</v>
      </c>
      <c r="F115" s="344" t="e">
        <f>IF(F114=0,0,MAX(0,0.9*F$37-'Quick Input'!M$20/1000))</f>
        <v>#N/A</v>
      </c>
      <c r="G115" s="446"/>
      <c r="H115" s="447"/>
      <c r="I115" s="344" t="e">
        <f>IF(I114=0,0,MAX(0,0.9*I$37-'Quick Input'!P$20/1000))</f>
        <v>#N/A</v>
      </c>
      <c r="J115" s="446"/>
      <c r="K115" s="447"/>
      <c r="L115" s="344" t="e">
        <f>IF(L114=0,0,MAX(0,0.9*L$37-'Quick Input'!S$20/1000))</f>
        <v>#N/A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500</v>
      </c>
      <c r="D116" s="102" t="s">
        <v>498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865</v>
      </c>
      <c r="D117" s="98"/>
      <c r="E117" s="574" t="s">
        <v>492</v>
      </c>
      <c r="F117" s="440" t="e">
        <f>IF('Quick Input'!M$23=Auswahlfelder!$D$49,0,F$118*F$119)</f>
        <v>#N/A</v>
      </c>
      <c r="G117" s="436"/>
      <c r="H117" s="420"/>
      <c r="I117" s="440" t="e">
        <f>IF('Quick Input'!P$23=Auswahlfelder!$D$49,0,I$118*I$119)</f>
        <v>#N/A</v>
      </c>
      <c r="J117" s="436"/>
      <c r="K117" s="420"/>
      <c r="L117" s="440" t="e">
        <f>IF('Quick Input'!S$23=Auswahlfelder!$D$49,0,L$118*L$119)</f>
        <v>#N/A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855</v>
      </c>
      <c r="D118" s="100" t="s">
        <v>390</v>
      </c>
      <c r="E118" s="569" t="s">
        <v>491</v>
      </c>
      <c r="F118" s="933" t="e">
        <f>IF('Quick Input'!M$23=Auswahlfelder!$D50,F$225,('Länder-DB'!$M$47+F120)/F$121)</f>
        <v>#N/A</v>
      </c>
      <c r="G118" s="464"/>
      <c r="H118" s="465"/>
      <c r="I118" s="933" t="e">
        <f>IF('Quick Input'!P$23=Auswahlfelder!$D50,I$225,('Länder-DB'!$M$47+I120)/I$121)</f>
        <v>#N/A</v>
      </c>
      <c r="J118" s="464"/>
      <c r="K118" s="465"/>
      <c r="L118" s="933" t="e">
        <f>IF('Quick Input'!S$23=Auswahlfelder!$D50,L$225,('Länder-DB'!$M$47+L120)/L$121)</f>
        <v>#N/A</v>
      </c>
      <c r="M118" s="464"/>
      <c r="N118" s="465"/>
      <c r="O118" s="933"/>
      <c r="P118" s="464"/>
      <c r="Q118" s="465"/>
      <c r="R118" s="933"/>
      <c r="S118" s="464"/>
      <c r="T118" s="465"/>
      <c r="U118" s="933"/>
      <c r="V118" s="11"/>
    </row>
    <row r="119" spans="2:24" x14ac:dyDescent="0.2">
      <c r="B119" s="467">
        <f>B118</f>
        <v>51</v>
      </c>
      <c r="C119" s="96" t="s">
        <v>349</v>
      </c>
      <c r="D119" s="100"/>
      <c r="E119" s="569" t="s">
        <v>491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351</v>
      </c>
      <c r="D120" s="100"/>
      <c r="E120" s="569" t="s">
        <v>491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350</v>
      </c>
      <c r="D121" s="773">
        <v>0.65</v>
      </c>
      <c r="E121" s="570" t="s">
        <v>491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523</v>
      </c>
      <c r="D122" s="100" t="s">
        <v>94</v>
      </c>
      <c r="E122" s="574" t="s">
        <v>492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525</v>
      </c>
      <c r="D123" s="100" t="s">
        <v>94</v>
      </c>
      <c r="E123" s="569" t="s">
        <v>491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524</v>
      </c>
      <c r="D124" s="100" t="s">
        <v>390</v>
      </c>
      <c r="E124" s="569" t="s">
        <v>491</v>
      </c>
      <c r="F124" s="344">
        <f>1/SQRT(VLOOKUP('Quick Input'!M$47,Auswahlfelder!$D$7:$E$9,2,FALSE))</f>
        <v>0.70710678118654746</v>
      </c>
      <c r="G124" s="446"/>
      <c r="H124" s="447"/>
      <c r="I124" s="344">
        <f>1/SQRT(VLOOKUP('Quick Input'!P$47,Auswahlfelder!$D$7:$E$9,2,FALSE))</f>
        <v>0.70710678118654746</v>
      </c>
      <c r="J124" s="446"/>
      <c r="K124" s="447"/>
      <c r="L124" s="344">
        <f>1/SQRT(VLOOKUP('Quick Input'!S$47,Auswahlfelder!$D$7:$E$9,2,FALSE))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526</v>
      </c>
      <c r="D125" s="102" t="s">
        <v>94</v>
      </c>
      <c r="E125" s="570" t="s">
        <v>491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375</v>
      </c>
      <c r="D126" s="100" t="s">
        <v>522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Input'!M$45</f>
        <v>30000</v>
      </c>
      <c r="G127" s="10"/>
      <c r="H127" s="10"/>
      <c r="I127" s="205">
        <f>'Quick Input'!P$45</f>
        <v>30000</v>
      </c>
      <c r="J127" s="10"/>
      <c r="K127" s="10"/>
      <c r="L127" s="205">
        <f>'Quick Input'!S$45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428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498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481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851</v>
      </c>
      <c r="D131" s="100"/>
      <c r="E131" s="570" t="s">
        <v>492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2</v>
      </c>
      <c r="J131" s="13"/>
      <c r="K131" s="10"/>
      <c r="L131" s="205">
        <f>MAX(IF(VLOOKUP('Quick Input'!S$22,Auswahlfelder!$D$36:$E$38,2,FALSE)=1,1,L$128+L$130),MIN(8,ROUNDDOWN(0.35*L66*L67/L31,0)))</f>
        <v>2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356</v>
      </c>
      <c r="D132" s="98"/>
      <c r="E132" s="568"/>
      <c r="F132" s="161">
        <f>VLOOKUP('Quick Input'!M$22,Auswahlfelder!$D$36:$E$38,2,FALSE)</f>
        <v>1</v>
      </c>
      <c r="G132" s="419"/>
      <c r="H132" s="420"/>
      <c r="I132" s="161">
        <f>VLOOKUP('Quick Input'!P$22,Auswahlfelder!$D$36:$E$38,2,FALSE)</f>
        <v>2</v>
      </c>
      <c r="J132" s="419"/>
      <c r="K132" s="420"/>
      <c r="L132" s="161">
        <f>VLOOKUP('Quick Input'!S$22,Auswahlfelder!$D$36:$E$38,2,FALSE)</f>
        <v>3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492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494</v>
      </c>
      <c r="D134" s="100"/>
      <c r="E134" s="571"/>
      <c r="F134" s="206">
        <f>ROUND((0.8+0.4*(VLOOKUP('Quick Input'!M$22,Auswahlfelder!$D$36:$E$38,2,FALSE)-1))/F$27,0)</f>
        <v>1</v>
      </c>
      <c r="G134" s="421"/>
      <c r="H134" s="422"/>
      <c r="I134" s="206">
        <f>ROUND((0.8+0.4*(VLOOKUP('Quick Input'!P$22,Auswahlfelder!$D$36:$E$38,2,FALSE)-1))/I$27,0)</f>
        <v>2</v>
      </c>
      <c r="J134" s="421"/>
      <c r="K134" s="422"/>
      <c r="L134" s="206">
        <f>ROUND((0.8+0.4*(VLOOKUP('Quick Input'!S$22,Auswahlfelder!$D$36:$E$38,2,FALSE)-1))/L$27,0)</f>
        <v>3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509</v>
      </c>
      <c r="D135" s="100" t="s">
        <v>390</v>
      </c>
      <c r="E135" s="569" t="s">
        <v>492</v>
      </c>
      <c r="F135" s="206" t="e">
        <f>ROUND(2.5+0.5*(F$132-2)+(F$132-1)*0.8/F27+IF(AND('Quick Input'!M$23&gt;1,Parametrikber!F113&gt;0),1)+VLOOKUP('Quick Input'!M$21,Auswahlfelder!$D$16:$E$196,2,FALSE)*0.3,0)</f>
        <v>#N/A</v>
      </c>
      <c r="G135" s="421"/>
      <c r="H135" s="422"/>
      <c r="I135" s="206" t="e">
        <f>ROUND(2.5+0.5*(I$132-2)+(I$132-1)*0.8/I27+IF(AND('Quick Input'!P$23&gt;1,Parametrikber!I113&gt;0),1)+VLOOKUP('Quick Input'!P$21,Auswahlfelder!$D$16:$E$196,2,FALSE)*0.3,0)</f>
        <v>#N/A</v>
      </c>
      <c r="J135" s="421"/>
      <c r="K135" s="422"/>
      <c r="L135" s="206" t="e">
        <f>ROUND(2.5+0.5*(L$132-2)+(L$132-1)*0.8/L27+IF(AND('Quick Input'!S$23&gt;1,Parametrikber!L113&gt;0),1)+VLOOKUP('Quick Input'!S$21,Auswahlfelder!$D$16:$E$196,2,FALSE)*0.3,0)</f>
        <v>#N/A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510</v>
      </c>
      <c r="D136" s="100"/>
      <c r="E136" s="569" t="s">
        <v>492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1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2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483</v>
      </c>
      <c r="D138" s="100">
        <v>1</v>
      </c>
      <c r="E138" s="569" t="s">
        <v>491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484</v>
      </c>
      <c r="D139" s="525" t="s">
        <v>447</v>
      </c>
      <c r="E139" s="569" t="s">
        <v>491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491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488</v>
      </c>
      <c r="E141" s="569" t="s">
        <v>491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491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491</v>
      </c>
      <c r="F143" s="205">
        <f>8*VLOOKUP('Quick Input'!M$47,Auswahlfelder!$D$7:$E$9,2,FALSE)</f>
        <v>16</v>
      </c>
      <c r="G143" s="421"/>
      <c r="H143" s="422"/>
      <c r="I143" s="205">
        <f>8*VLOOKUP('Quick Input'!P$47,Auswahlfelder!$D$7:$E$9,2,FALSE)</f>
        <v>16</v>
      </c>
      <c r="J143" s="421"/>
      <c r="K143" s="422"/>
      <c r="L143" s="205">
        <f>8*VLOOKUP('Quick Input'!S$47,Auswahlfelder!$D$7:$E$9,2,FALSE)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491</v>
      </c>
      <c r="F144" s="205">
        <f>'Quick Input'!M$48</f>
        <v>5</v>
      </c>
      <c r="G144" s="421"/>
      <c r="H144" s="422"/>
      <c r="I144" s="205">
        <f>'Quick Input'!P$48</f>
        <v>5</v>
      </c>
      <c r="J144" s="421"/>
      <c r="K144" s="422"/>
      <c r="L144" s="205">
        <f>'Quick Input'!S$48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492</v>
      </c>
      <c r="F145" s="205">
        <f>'Quick Input'!M$49</f>
        <v>48</v>
      </c>
      <c r="G145" s="421"/>
      <c r="H145" s="422"/>
      <c r="I145" s="205">
        <f>'Quick Input'!P$49</f>
        <v>48</v>
      </c>
      <c r="J145" s="421"/>
      <c r="K145" s="422"/>
      <c r="L145" s="205">
        <f>'Quick Input'!S$49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492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390</v>
      </c>
      <c r="E148" s="569" t="s">
        <v>491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491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534</v>
      </c>
      <c r="D150" s="100">
        <v>1</v>
      </c>
      <c r="E150" s="569" t="s">
        <v>491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492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488</v>
      </c>
      <c r="E152" s="569" t="s">
        <v>491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487</v>
      </c>
      <c r="E153" s="569" t="s">
        <v>491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491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491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513</v>
      </c>
      <c r="D156" s="98"/>
      <c r="E156" s="568" t="s">
        <v>492</v>
      </c>
      <c r="F156" s="204" t="e">
        <f>F$157+F$158+F$161+F$208</f>
        <v>#N/A</v>
      </c>
      <c r="G156" s="430"/>
      <c r="H156" s="420"/>
      <c r="I156" s="204" t="e">
        <f>I$157+I$158+I$161+I$208</f>
        <v>#N/A</v>
      </c>
      <c r="J156" s="430"/>
      <c r="K156" s="420"/>
      <c r="L156" s="204" t="e">
        <f>L$157+L$158+L$161+L$208</f>
        <v>#N/A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491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489</v>
      </c>
      <c r="D158" s="100" t="s">
        <v>390</v>
      </c>
      <c r="E158" s="569" t="s">
        <v>491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512</v>
      </c>
      <c r="D159" s="100" t="s">
        <v>390</v>
      </c>
      <c r="E159" s="569" t="s">
        <v>491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514</v>
      </c>
      <c r="D160" s="100"/>
      <c r="E160" s="569" t="s">
        <v>491</v>
      </c>
      <c r="F160" s="155">
        <f>MAX(0,(F$40-8))/300</f>
        <v>0.16625432025837206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515</v>
      </c>
      <c r="D161" s="102"/>
      <c r="E161" s="569" t="s">
        <v>491</v>
      </c>
      <c r="F161" s="205" t="e">
        <f>IF(OR(F$157=0,F$117=0),0,15/F$27*'Quick Input'!M$51)</f>
        <v>#N/A</v>
      </c>
      <c r="G161" s="421"/>
      <c r="H161" s="422"/>
      <c r="I161" s="205" t="e">
        <f>IF(OR(I$157=0,I$117=0),0,15/I$27*'Quick Input'!P$51)</f>
        <v>#N/A</v>
      </c>
      <c r="J161" s="421"/>
      <c r="K161" s="422"/>
      <c r="L161" s="205" t="e">
        <f>IF(OR(L$157=0,L$117=0),0,15/L$27*'Quick Input'!S$51)</f>
        <v>#N/A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816</v>
      </c>
      <c r="D162" s="98">
        <v>1</v>
      </c>
      <c r="E162" s="574" t="s">
        <v>492</v>
      </c>
      <c r="F162" s="901">
        <f>IFERROR(IF(Refkalkulation!H$75=0,ROUND(F$163*(1+F$164+F$165)/60,1),Refkalkulation!H$75),0)</f>
        <v>60</v>
      </c>
      <c r="G162" s="902"/>
      <c r="H162" s="903"/>
      <c r="I162" s="901">
        <f>IFERROR(IF(Refkalkulation!K$75=0,ROUND(I$163*(1+I$164+I$165)/60,1),Refkalkulation!K$75),0)</f>
        <v>5</v>
      </c>
      <c r="J162" s="902"/>
      <c r="K162" s="903"/>
      <c r="L162" s="901">
        <f>IFERROR(IF(Refkalkulation!N$75=0,ROUND(L$163*(1+L$164+L$165)/60,1),Refkalkulation!N$75),0)</f>
        <v>5</v>
      </c>
      <c r="M162" s="902"/>
      <c r="N162" s="903"/>
      <c r="O162" s="901"/>
      <c r="P162" s="902"/>
      <c r="Q162" s="903"/>
      <c r="R162" s="901"/>
      <c r="S162" s="902"/>
      <c r="T162" s="903"/>
      <c r="U162" s="901"/>
      <c r="V162" s="11"/>
      <c r="X162" s="511"/>
    </row>
    <row r="163" spans="2:24" ht="15" x14ac:dyDescent="0.25">
      <c r="B163" s="638">
        <v>27</v>
      </c>
      <c r="C163" s="96" t="s">
        <v>531</v>
      </c>
      <c r="D163" s="525">
        <v>8</v>
      </c>
      <c r="E163" s="569" t="s">
        <v>491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842</v>
      </c>
      <c r="D164" s="100" t="s">
        <v>390</v>
      </c>
      <c r="E164" s="569" t="s">
        <v>491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390</v>
      </c>
      <c r="E165" s="569" t="s">
        <v>491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818</v>
      </c>
      <c r="D166" s="98"/>
      <c r="E166" s="574" t="s">
        <v>492</v>
      </c>
      <c r="F166" s="901">
        <f>IFERROR(IF(Refkalkulation!H$74=0,ROUND(F$167*(1+F$168+F$169)/60,1),Refkalkulation!H$74),0)</f>
        <v>0.7</v>
      </c>
      <c r="G166" s="902"/>
      <c r="H166" s="903"/>
      <c r="I166" s="901">
        <f>IFERROR(IF(Refkalkulation!K$74=0,ROUND(I$167*(1+I$168+I$169)/60,1),Refkalkulation!K$74),0)</f>
        <v>0.4</v>
      </c>
      <c r="J166" s="902"/>
      <c r="K166" s="903"/>
      <c r="L166" s="901">
        <f>IFERROR(IF(Refkalkulation!N$74=0,ROUND(L$167*(1+L$168+L$169)/60,1),Refkalkulation!N$74),0)</f>
        <v>0</v>
      </c>
      <c r="M166" s="902"/>
      <c r="N166" s="903"/>
      <c r="O166" s="901"/>
      <c r="P166" s="902"/>
      <c r="Q166" s="903"/>
      <c r="R166" s="901"/>
      <c r="S166" s="902"/>
      <c r="T166" s="903"/>
      <c r="U166" s="901"/>
      <c r="V166" s="11"/>
      <c r="X166" s="511"/>
    </row>
    <row r="167" spans="2:24" ht="15" x14ac:dyDescent="0.25">
      <c r="B167" s="467">
        <v>27</v>
      </c>
      <c r="C167" s="96" t="s">
        <v>840</v>
      </c>
      <c r="D167" s="525">
        <v>18</v>
      </c>
      <c r="E167" s="569" t="s">
        <v>491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0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841</v>
      </c>
      <c r="D168" s="525">
        <v>15</v>
      </c>
      <c r="E168" s="569" t="s">
        <v>491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4">
        <v>0.08</v>
      </c>
      <c r="E169" s="569" t="s">
        <v>491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492</v>
      </c>
      <c r="F170" s="639">
        <f>IFERROR(IF(Refkalkulation!H$95=0,ROUND(F$171*(1+F$172+F$173+F$174),1),Refkalkulation!H$95),0)</f>
        <v>400</v>
      </c>
      <c r="G170" s="419"/>
      <c r="H170" s="420"/>
      <c r="I170" s="639">
        <f>IFERROR(IF(Refkalkulation!K$95=0,ROUND(I$171*(1+I$172+I$173+I$174),1),Refkalkulation!K$95),0)</f>
        <v>300</v>
      </c>
      <c r="J170" s="419"/>
      <c r="K170" s="420"/>
      <c r="L170" s="639">
        <f>IFERROR(IF(Refkalkulation!N$95=0,ROUND(L$171*(1+L$172+L$173+L$174),1),Refkalkulation!N$95),0)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491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491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533</v>
      </c>
      <c r="D173" s="100">
        <v>1</v>
      </c>
      <c r="E173" s="569" t="s">
        <v>491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4">
        <v>0.3</v>
      </c>
      <c r="E174" s="569" t="s">
        <v>491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616</v>
      </c>
      <c r="D175" s="102"/>
      <c r="E175" s="568"/>
      <c r="F175" s="645">
        <f>IFERROR(IF(OR(Refkalkulation!H$101=0,F$247=0),F$247,Refkalkulation!H$101),0)</f>
        <v>0.41742621527777779</v>
      </c>
      <c r="G175" s="436"/>
      <c r="H175" s="420"/>
      <c r="I175" s="645">
        <f>IFERROR(IF(OR(Refkalkulation!K$101=0,I$247=0),I$247,Refkalkulation!K$101),0)</f>
        <v>0.30864583333333334</v>
      </c>
      <c r="J175" s="436"/>
      <c r="K175" s="420"/>
      <c r="L175" s="645">
        <f>IFERROR(IF(OR(Refkalkulation!N$101=0,L$247=0),L$247,Refkalkulation!N$101),0)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59"/>
      <c r="X175" s="511"/>
    </row>
    <row r="176" spans="2:24" ht="15.75" thickBot="1" x14ac:dyDescent="0.3">
      <c r="B176" s="17">
        <v>39</v>
      </c>
      <c r="C176" s="95" t="s">
        <v>609</v>
      </c>
      <c r="D176" s="102"/>
      <c r="E176" s="568"/>
      <c r="F176" s="645">
        <f>IFERROR(IF(OR(Refkalkulation!H$105=0,F$250=0),F250,Refkalkulation!H$105),0)</f>
        <v>0.37082465277777776</v>
      </c>
      <c r="G176" s="436"/>
      <c r="H176" s="420"/>
      <c r="I176" s="645">
        <f>IFERROR(IF(OR(Refkalkulation!K$105=0,I$250=0),I250,Refkalkulation!K$105),0)</f>
        <v>0.34611111111111109</v>
      </c>
      <c r="J176" s="436"/>
      <c r="K176" s="420"/>
      <c r="L176" s="645">
        <f>IFERROR(IF(OR(Refkalkulation!N$105=0,L$250=0),L250,Refkalkulation!N$105),0)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59"/>
      <c r="X176" s="511"/>
    </row>
    <row r="177" spans="2:24" ht="15" x14ac:dyDescent="0.25">
      <c r="B177" s="17">
        <v>39</v>
      </c>
      <c r="C177" s="95" t="s">
        <v>617</v>
      </c>
      <c r="D177" s="100"/>
      <c r="E177" s="6"/>
      <c r="F177" s="645">
        <f>IFERROR(IF(OR(Refkalkulation!H$108=0,F$178=0),ROUND(F178*(1+F179),2),Refkalkulation!H$108),0)</f>
        <v>1.8357928240740744</v>
      </c>
      <c r="G177" s="436"/>
      <c r="H177" s="420"/>
      <c r="I177" s="645">
        <f>IFERROR(IF(OR(Refkalkulation!K$108=0,I$178=0),ROUND(I178*(1+I179),2),Refkalkulation!K$108),0)</f>
        <v>1.7619212962962969</v>
      </c>
      <c r="J177" s="436"/>
      <c r="K177" s="420"/>
      <c r="L177" s="645">
        <f>IFERROR(IF(OR(Refkalkulation!N$108=0,L$178=0),ROUND(L178*(1+L179),2),Refkalkulation!N$108),0)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59"/>
      <c r="X177" s="511"/>
    </row>
    <row r="178" spans="2:24" x14ac:dyDescent="0.2">
      <c r="B178" s="17">
        <v>39</v>
      </c>
      <c r="C178" s="96" t="s">
        <v>618</v>
      </c>
      <c r="D178" s="100" t="s">
        <v>94</v>
      </c>
      <c r="E178" s="571" t="s">
        <v>569</v>
      </c>
      <c r="F178" s="456">
        <f>IF('Quick Input'!M31=Auswahlfelder!$D$22,0,'Länder-DB'!$I$43*(0.7+0.3*VLOOKUP(F$19,DB_Länder,5,FALSE)/'Länder-DB'!$E$2))</f>
        <v>9</v>
      </c>
      <c r="G178" s="10"/>
      <c r="H178" s="10"/>
      <c r="I178" s="456">
        <f>IF('Quick Input'!P31=Auswahlfelder!$D$22,0,'Länder-DB'!$I$43*(0.7+0.3*VLOOKUP(I$19,DB_Länder,5,FALSE)/'Länder-DB'!$E$2))</f>
        <v>7.1398593200468934</v>
      </c>
      <c r="J178" s="10"/>
      <c r="K178" s="10"/>
      <c r="L178" s="456">
        <f>IF('Quick Input'!S31=Auswahlfelder!$D$22,0,'Länder-DB'!$I$43*(0.7+0.3*VLOOKUP(L$19,DB_Länder,5,FALSE)/'Länder-DB'!$E$2))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5">
        <v>39</v>
      </c>
      <c r="C179" s="97" t="s">
        <v>178</v>
      </c>
      <c r="D179" s="102"/>
      <c r="E179" s="572" t="s">
        <v>569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39">
        <f>IF(OR(Refkalkulation!H$90=0,F181=1),ROUND(IF(F$181&gt;2,F$182*F$183+F$184/60*F$20/F186/'Quick Input'!M$19+F$185,0),3),Refkalkulation!H$90)</f>
        <v>0.7</v>
      </c>
      <c r="G180" s="436"/>
      <c r="H180" s="420"/>
      <c r="I180" s="939">
        <f>IF(OR(Refkalkulation!K$90=0,I181=1),ROUND(IF(I$181&gt;2,I$182*I$183+I$184/60*I$20/I186/'Quick Input'!P$19+I$185,0),3),Refkalkulation!K$90)</f>
        <v>0.4</v>
      </c>
      <c r="J180" s="436"/>
      <c r="K180" s="420"/>
      <c r="L180" s="939">
        <f>IF(OR(Refkalkulation!N$90=0,L181=1),ROUND(IF(L$181&gt;2,L$182*L$183+L$184/60*L$20/L186/'Quick Input'!S$19+L$185,0),3),Refkalkulation!N$90)</f>
        <v>0.5</v>
      </c>
      <c r="M180" s="436"/>
      <c r="N180" s="420"/>
      <c r="O180" s="939"/>
      <c r="P180" s="436"/>
      <c r="Q180" s="420"/>
      <c r="R180" s="939"/>
      <c r="S180" s="436"/>
      <c r="T180" s="420"/>
      <c r="U180" s="939"/>
      <c r="V180" s="8"/>
      <c r="W180" s="759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491</v>
      </c>
      <c r="F181" s="30">
        <f>VLOOKUP('Quick Input'!M$33,Auswahlfelder!$D$41:$E$46,2,FALSE)</f>
        <v>6</v>
      </c>
      <c r="G181" s="421"/>
      <c r="H181" s="422"/>
      <c r="I181" s="30">
        <f>VLOOKUP('Quick Input'!P$33,Auswahlfelder!$D$41:$E$46,2,FALSE)</f>
        <v>3</v>
      </c>
      <c r="J181" s="421"/>
      <c r="K181" s="422"/>
      <c r="L181" s="30">
        <f>VLOOKUP('Quick Input'!S$33,Auswahlfelder!$D$41:$E$46,2,FALSE)</f>
        <v>2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566</v>
      </c>
      <c r="D182" s="100"/>
      <c r="E182" s="569" t="s">
        <v>491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580</v>
      </c>
      <c r="D183" s="525">
        <v>3.4</v>
      </c>
      <c r="E183" s="569" t="s">
        <v>491</v>
      </c>
      <c r="F183" s="445">
        <f>IF(F181&gt;2,0.8+SQRT(F181-1)*($D$183+0.4*SQRT(F41/100)),0)</f>
        <v>8.9683165484485237</v>
      </c>
      <c r="G183" s="446"/>
      <c r="H183" s="447"/>
      <c r="I183" s="445">
        <f>IF(I181&gt;2,0.8+SQRT(I181-1)*($D$183+0.4*SQRT(I41/100)),0)</f>
        <v>5.7348172184752579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873</v>
      </c>
      <c r="D184" s="525">
        <v>15</v>
      </c>
      <c r="E184" s="569" t="s">
        <v>491</v>
      </c>
      <c r="F184" s="445">
        <f>IF(F181&lt;3,0,$D$184+0.1*F186)</f>
        <v>15.8</v>
      </c>
      <c r="G184" s="935"/>
      <c r="H184" s="936"/>
      <c r="I184" s="445">
        <f>IF(I181&lt;3,0,$D$184+0.1*I186)</f>
        <v>22</v>
      </c>
      <c r="J184" s="935"/>
      <c r="K184" s="936"/>
      <c r="L184" s="445">
        <f t="shared" ref="L184" si="2">IF(L181&lt;3,0,$D$184+0.1*L186)</f>
        <v>0</v>
      </c>
      <c r="M184" s="935"/>
      <c r="N184" s="936"/>
      <c r="O184" s="445"/>
      <c r="P184" s="935"/>
      <c r="Q184" s="936"/>
      <c r="R184" s="445"/>
      <c r="S184" s="935"/>
      <c r="T184" s="936"/>
      <c r="U184" s="445"/>
      <c r="V184" s="11"/>
    </row>
    <row r="185" spans="2:24" x14ac:dyDescent="0.2">
      <c r="B185" s="467">
        <f t="shared" si="1"/>
        <v>13</v>
      </c>
      <c r="C185" s="96" t="s">
        <v>565</v>
      </c>
      <c r="D185" s="100"/>
      <c r="E185" s="569" t="s">
        <v>491</v>
      </c>
      <c r="F185" s="463">
        <f>IF(F$181&gt;2,F$151*0.00025*515*0.7,0)</f>
        <v>6.308750000000001E-3</v>
      </c>
      <c r="G185" s="446"/>
      <c r="H185" s="447"/>
      <c r="I185" s="463">
        <f>IF(I$181&gt;2,I$151*0.00025*515/0.6,0)</f>
        <v>1.2875000000000001E-2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874</v>
      </c>
      <c r="D186" s="938">
        <v>350</v>
      </c>
      <c r="E186" s="570"/>
      <c r="F186" s="937">
        <f>ROUNDDOWN(MAX(1,$D$186/'Quick Input'!M$19),0)</f>
        <v>8</v>
      </c>
      <c r="G186" s="423"/>
      <c r="H186" s="424"/>
      <c r="I186" s="937">
        <f>ROUNDDOWN(MAX(1,$D$186/'Quick Input'!P$19),0)</f>
        <v>70</v>
      </c>
      <c r="J186" s="423"/>
      <c r="K186" s="424"/>
      <c r="L186" s="937">
        <f>ROUNDDOWN(MAX(1,$D$186/'Quick Input'!S$19),0)</f>
        <v>70</v>
      </c>
      <c r="M186" s="423"/>
      <c r="N186" s="424"/>
      <c r="O186" s="937"/>
      <c r="P186" s="423"/>
      <c r="Q186" s="424"/>
      <c r="R186" s="937"/>
      <c r="S186" s="423"/>
      <c r="T186" s="424"/>
      <c r="U186" s="937"/>
      <c r="V186" s="126"/>
    </row>
    <row r="187" spans="2:24" ht="15" x14ac:dyDescent="0.25">
      <c r="B187" s="467">
        <v>34</v>
      </c>
      <c r="C187" s="95" t="s">
        <v>455</v>
      </c>
      <c r="D187" s="100" t="s">
        <v>94</v>
      </c>
      <c r="E187" s="574" t="s">
        <v>492</v>
      </c>
      <c r="F187" s="345">
        <f>ROUND(IF('Quick Input'!M$34=Auswahlfelder!$D$60,0,F$188/60*F$22+F$190+F$191),2)</f>
        <v>0</v>
      </c>
      <c r="G187" s="436"/>
      <c r="H187" s="420"/>
      <c r="I187" s="345">
        <f>ROUND(IF('Quick Input'!P$34=Auswahlfelder!$D$60,0,I$188/60*I$22+I$190+I$191),2)</f>
        <v>0</v>
      </c>
      <c r="J187" s="436"/>
      <c r="K187" s="420"/>
      <c r="L187" s="345">
        <f>ROUND(IF('Quick Input'!S$34=Auswahlfelder!$D$60,0,L$188/60*L$22+L$190+L$191),2)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581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553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532</v>
      </c>
      <c r="D190" s="100" t="s">
        <v>94</v>
      </c>
      <c r="E190" s="571"/>
      <c r="F190" s="344">
        <f>IF(AND('Quick Input'!M$33&lt;&gt;Auswahlfelder!$D$41,'Quick Input'!M$34=Auswahlfelder!$D$61),Refkalkulation!H$91,0)</f>
        <v>0</v>
      </c>
      <c r="G190" s="446"/>
      <c r="H190" s="447"/>
      <c r="I190" s="344">
        <f>IF(AND('Quick Input'!P$33&lt;&gt;Auswahlfelder!$D$41,'Quick Input'!P$34=Auswahlfelder!$D$61),Refkalkulation!K$91,0)</f>
        <v>0</v>
      </c>
      <c r="J190" s="446"/>
      <c r="K190" s="447"/>
      <c r="L190" s="344">
        <f>IF(AND('Quick Input'!S$33&lt;&gt;Auswahlfelder!$D$41,'Quick Input'!S$34=Auswahlfelder!$D$61),Refkalkulation!N$91,0)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552</v>
      </c>
      <c r="D191" s="102" t="s">
        <v>94</v>
      </c>
      <c r="E191" s="572"/>
      <c r="F191" s="344">
        <f>Refkalkulation!H$95/3600*Refkalkulation!H$98</f>
        <v>3.726188333333333</v>
      </c>
      <c r="G191" s="423"/>
      <c r="H191" s="424"/>
      <c r="I191" s="344">
        <f>Refkalkulation!K$95/3600*Refkalkulation!K$98</f>
        <v>0.83400899999999978</v>
      </c>
      <c r="J191" s="423"/>
      <c r="K191" s="424"/>
      <c r="L191" s="344">
        <f>Refkalkulation!N$95/3600*Refkalkulation!N$98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Input'!M32,Auswahlfelder!$D$31:$E$33,2,FALSE)-1)*40</f>
        <v>0</v>
      </c>
      <c r="G192" s="7"/>
      <c r="H192" s="7"/>
      <c r="I192" s="161">
        <f>(1+I194)*(VLOOKUP('Quick Input'!P32,Auswahlfelder!$D$31:$E$33,2,FALSE)-1)*40</f>
        <v>0</v>
      </c>
      <c r="J192" s="7"/>
      <c r="K192" s="7"/>
      <c r="L192" s="161">
        <f>(1+L194)*(VLOOKUP('Quick Input'!S32,Auswahlfelder!$D$31:$E$33,2,FALSE)-1)*40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Input'!M32</f>
        <v>ohne</v>
      </c>
      <c r="G193" s="103"/>
      <c r="H193" s="103"/>
      <c r="I193" s="542" t="str">
        <f>'Quick Input'!P32</f>
        <v>ohne</v>
      </c>
      <c r="J193" s="10"/>
      <c r="K193" s="10"/>
      <c r="L193" s="542" t="str">
        <f>'Quick Input'!S32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833</v>
      </c>
      <c r="D195" s="100"/>
      <c r="E195" s="568"/>
      <c r="F195" s="657">
        <f>IFERROR(IF(Refkalkulation!H$70=0,('Länder-DB'!$I$49/1.5+F196+F197+F198+F199)*IF(F187&gt;0,1-'Länder-DB'!$I$47,1),Refkalkulation!H$70),0)</f>
        <v>0</v>
      </c>
      <c r="G195" s="419"/>
      <c r="H195" s="420"/>
      <c r="I195" s="657">
        <f>IFERROR(IF(Refkalkulation!K$70=0,('Länder-DB'!$I$49/1.5+I196+I197+I198+I199)*IF(I187&gt;0,1-'Länder-DB'!$I$47,1),Refkalkulation!K$70),0)</f>
        <v>0</v>
      </c>
      <c r="J195" s="419"/>
      <c r="K195" s="420"/>
      <c r="L195" s="657">
        <f>IFERROR(IF(Refkalkulation!N$70=0,('Länder-DB'!$I$49/1.5+L196+L197+L198+L199)*IF(L187&gt;0,1-'Länder-DB'!$I$47,1),Refkalkulation!N$70),0)</f>
        <v>0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Input'!M$50,Auswahlfelder!$D$26:$E$28,2,FALSE)-2)*0.25%</f>
        <v>0</v>
      </c>
      <c r="G196" s="944"/>
      <c r="H196" s="945"/>
      <c r="I196" s="153">
        <f>(VLOOKUP('Quick Input'!P$50,Auswahlfelder!$D$26:$E$28,2,FALSE)-2)*0.25%</f>
        <v>0</v>
      </c>
      <c r="J196" s="944"/>
      <c r="K196" s="945"/>
      <c r="L196" s="153">
        <f>(VLOOKUP('Quick Input'!S$50,Auswahlfelder!$D$26:$E$28,2,FALSE)-2)*0.25%</f>
        <v>0</v>
      </c>
      <c r="M196" s="944"/>
      <c r="N196" s="945"/>
      <c r="O196" s="153"/>
      <c r="P196" s="944"/>
      <c r="Q196" s="945"/>
      <c r="R196" s="153"/>
      <c r="S196" s="944"/>
      <c r="T196" s="945"/>
      <c r="U196" s="153"/>
      <c r="V196" s="11"/>
    </row>
    <row r="197" spans="2:24" x14ac:dyDescent="0.2">
      <c r="B197" s="467">
        <v>37</v>
      </c>
      <c r="C197" s="96" t="s">
        <v>443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445</v>
      </c>
      <c r="D198" s="100">
        <v>1</v>
      </c>
      <c r="E198" s="571"/>
      <c r="F198" s="149" t="e">
        <f>(VLOOKUP('Quick Input'!M$23,Auswahlfelder!$D$49:$E$51,2,FALSE)-1)*0.25%</f>
        <v>#N/A</v>
      </c>
      <c r="G198" s="421"/>
      <c r="H198" s="422"/>
      <c r="I198" s="149" t="e">
        <f>(VLOOKUP('Quick Input'!P$23,Auswahlfelder!$D$49:$E$51,2,FALSE)-1)*0.25%</f>
        <v>#N/A</v>
      </c>
      <c r="J198" s="421"/>
      <c r="K198" s="422"/>
      <c r="L198" s="149" t="e">
        <f>(VLOOKUP('Quick Input'!S$23,Auswahlfelder!$D$49:$E$51,2,FALSE)-1)*0.25%</f>
        <v>#N/A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349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834</v>
      </c>
      <c r="D200" s="100" t="s">
        <v>94</v>
      </c>
      <c r="E200" s="574" t="s">
        <v>492</v>
      </c>
      <c r="F200" s="921">
        <f>IFERROR(IF(Refkalkulation!H$92=0,F201+F202+F203,Refkalkulation!H$92),0)</f>
        <v>0.02</v>
      </c>
      <c r="G200" s="922"/>
      <c r="H200" s="923"/>
      <c r="I200" s="921">
        <f>IFERROR(IF(Refkalkulation!K$92=0,I201+I202+I203,Refkalkulation!K$92),0)</f>
        <v>0.02</v>
      </c>
      <c r="J200" s="922"/>
      <c r="K200" s="923"/>
      <c r="L200" s="921">
        <f>IFERROR(IF(Refkalkulation!N$92=0,L201+L202+L203,Refkalkulation!N$92),0)</f>
        <v>0.02</v>
      </c>
      <c r="M200" s="922"/>
      <c r="N200" s="923"/>
      <c r="O200" s="921"/>
      <c r="P200" s="922"/>
      <c r="Q200" s="923"/>
      <c r="R200" s="921"/>
      <c r="S200" s="922"/>
      <c r="T200" s="923"/>
      <c r="U200" s="921"/>
      <c r="V200" s="11"/>
      <c r="X200" s="511"/>
    </row>
    <row r="201" spans="2:24" x14ac:dyDescent="0.2">
      <c r="B201" s="467">
        <v>37</v>
      </c>
      <c r="C201" s="96" t="s">
        <v>443</v>
      </c>
      <c r="D201" s="100" t="s">
        <v>390</v>
      </c>
      <c r="E201" s="569" t="s">
        <v>569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893</v>
      </c>
      <c r="D202" s="100" t="s">
        <v>390</v>
      </c>
      <c r="E202" s="569" t="s">
        <v>569</v>
      </c>
      <c r="F202" s="149">
        <f>IF('Quick Input'!M$26="ja",0.3%,0)+IF('Quick Input'!M$27="ja",0.1%,0)+IF('Quick Input'!M$28="ja",0.6%,0)</f>
        <v>4.0000000000000001E-3</v>
      </c>
      <c r="G202" s="421"/>
      <c r="H202" s="422"/>
      <c r="I202" s="149">
        <f>IF('Quick Input'!P$26="ja",0.3%,0)+IF('Quick Input'!P$27="ja",0.1%,0)+IF('Quick Input'!P$28="ja",0.6%,0)</f>
        <v>4.0000000000000001E-3</v>
      </c>
      <c r="J202" s="421"/>
      <c r="K202" s="422"/>
      <c r="L202" s="149">
        <f>IF('Quick Input'!S$26="ja",0.3%,0)+IF('Quick Input'!S$27="ja",0.1%,0)+IF('Quick Input'!S$28="ja",0.6%,0)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349</v>
      </c>
      <c r="D203" s="100" t="s">
        <v>390</v>
      </c>
      <c r="E203" s="569" t="s">
        <v>569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835</v>
      </c>
      <c r="D204" s="98"/>
      <c r="E204" s="574" t="s">
        <v>492</v>
      </c>
      <c r="F204" s="657">
        <f>IF(Refkalkulation!H$123=0,'Länder-DB'!$I$33,Refkalkulation!H$123)</f>
        <v>0.12</v>
      </c>
      <c r="G204" s="7"/>
      <c r="H204" s="7"/>
      <c r="I204" s="657">
        <f>IF(Refkalkulation!K$123=0,'Länder-DB'!$I$33,Refkalkulation!K$123)</f>
        <v>0.12</v>
      </c>
      <c r="J204" s="7"/>
      <c r="K204" s="7"/>
      <c r="L204" s="657">
        <f>IF(Refkalkulation!N$123=0,'Länder-DB'!$I$33,Refkalkulation!N$123)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557</v>
      </c>
      <c r="D205" s="98"/>
      <c r="E205" s="574" t="s">
        <v>492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627</v>
      </c>
      <c r="D206" s="100"/>
      <c r="E206" s="569" t="s">
        <v>491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905</v>
      </c>
      <c r="D207" s="525">
        <v>8</v>
      </c>
      <c r="E207" s="569" t="s">
        <v>491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626</v>
      </c>
      <c r="D208" s="525">
        <v>14</v>
      </c>
      <c r="E208" s="569" t="s">
        <v>625</v>
      </c>
      <c r="F208" s="770">
        <f>IF(F206=0,0,IFERROR(IF('Quick Input'!M22=Auswahlfelder!$D$38,$D$207,$D$208),0))</f>
        <v>0</v>
      </c>
      <c r="G208" s="421"/>
      <c r="H208" s="422"/>
      <c r="I208" s="770">
        <f>IF(I206=0,0,IFERROR(IF('Quick Input'!P22=Auswahlfelder!$D$38,$D$207,$D$208),0))</f>
        <v>0</v>
      </c>
      <c r="J208" s="421"/>
      <c r="K208" s="422"/>
      <c r="L208" s="770">
        <f>IF(L206=0,0,IFERROR(IF('Quick Input'!S22=Auswahlfelder!$D$38,$D$207,$D$208),0))</f>
        <v>0</v>
      </c>
      <c r="M208" s="421"/>
      <c r="N208" s="422"/>
      <c r="O208" s="770"/>
      <c r="P208" s="421"/>
      <c r="Q208" s="422"/>
      <c r="R208" s="770"/>
      <c r="S208" s="421"/>
      <c r="T208" s="422"/>
      <c r="U208" s="770"/>
      <c r="V208" s="5"/>
    </row>
    <row r="209" spans="2:27" ht="15" thickBot="1" x14ac:dyDescent="0.25">
      <c r="B209" s="532">
        <f>B207</f>
        <v>62</v>
      </c>
      <c r="C209" s="97" t="s">
        <v>558</v>
      </c>
      <c r="D209" s="102"/>
      <c r="E209" s="570" t="s">
        <v>491</v>
      </c>
      <c r="F209" s="685">
        <f>'Länder-DB'!$M$53*(1+18%*(VLOOKUP('Quick Input'!M$46,DB_Länder,5,FALSE)/'Länder-DB'!$E$2-1))</f>
        <v>3.08</v>
      </c>
      <c r="G209" s="423"/>
      <c r="H209" s="424"/>
      <c r="I209" s="685">
        <f>'Länder-DB'!$M$53*(1+18%*(VLOOKUP('Quick Input'!P$46,DB_Länder,5,FALSE)/'Länder-DB'!$E$2-1))</f>
        <v>2.6980511137162955</v>
      </c>
      <c r="J209" s="423"/>
      <c r="K209" s="424"/>
      <c r="L209" s="685">
        <f>'Länder-DB'!$M$53*(1+18%*(VLOOKUP('Quick Input'!S$46,DB_Länder,5,FALSE)/'Länder-DB'!$E$2-1))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806</v>
      </c>
      <c r="D210" s="100"/>
      <c r="E210" s="568" t="s">
        <v>492</v>
      </c>
      <c r="F210" s="892">
        <f>F212+F213+F214</f>
        <v>5.2999999999999999E-2</v>
      </c>
      <c r="G210" s="893"/>
      <c r="H210" s="893"/>
      <c r="I210" s="892">
        <f>I212+I213+I214</f>
        <v>0.1237</v>
      </c>
      <c r="J210" s="893"/>
      <c r="K210" s="893"/>
      <c r="L210" s="892">
        <f t="shared" ref="L210" si="4">L212+L213+L214</f>
        <v>5.2999999999999999E-2</v>
      </c>
      <c r="M210" s="893"/>
      <c r="N210" s="893"/>
      <c r="O210" s="892"/>
      <c r="P210" s="893"/>
      <c r="Q210" s="893"/>
      <c r="R210" s="892"/>
      <c r="S210" s="893"/>
      <c r="T210" s="893"/>
      <c r="U210" s="892"/>
      <c r="V210" s="11"/>
    </row>
    <row r="211" spans="2:27" x14ac:dyDescent="0.2">
      <c r="B211" s="467">
        <f>B210</f>
        <v>20</v>
      </c>
      <c r="C211" s="96" t="s">
        <v>804</v>
      </c>
      <c r="D211" s="100"/>
      <c r="E211" s="571" t="s">
        <v>569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807</v>
      </c>
      <c r="D212" s="840"/>
      <c r="E212" s="571" t="s">
        <v>569</v>
      </c>
      <c r="F212" s="463">
        <f>IF(F$211=Auswahlfelder!$D71,VLOOKUP('Quick Input'!M$46,DB_Länder,9,FALSE),0)</f>
        <v>5.2999999999999999E-2</v>
      </c>
      <c r="G212" s="421"/>
      <c r="H212" s="422"/>
      <c r="I212" s="463">
        <f>IF(I$211=Auswahlfelder!$D71,VLOOKUP('Quick Input'!P$46,DB_Länder,9,FALSE),0)</f>
        <v>0.1237</v>
      </c>
      <c r="J212" s="421"/>
      <c r="K212" s="422"/>
      <c r="L212" s="463">
        <f>IF(L$211=Auswahlfelder!$D71,VLOOKUP('Quick Input'!S$46,DB_Länder,9,FALSE),0)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808</v>
      </c>
      <c r="E213" s="571" t="s">
        <v>569</v>
      </c>
      <c r="F213" s="463">
        <f>IF(F$211=Auswahlfelder!$D72,VLOOKUP('Quick Input'!M$46,DB_Länder,7,FALSE),0)</f>
        <v>0</v>
      </c>
      <c r="G213" s="421"/>
      <c r="H213" s="422"/>
      <c r="I213" s="463">
        <f>IF(I$211=Auswahlfelder!$D72,VLOOKUP('Quick Input'!P$46,DB_Länder,7,FALSE),0)</f>
        <v>0</v>
      </c>
      <c r="J213" s="421"/>
      <c r="K213" s="422"/>
      <c r="L213" s="463">
        <f>IF(L$211=Auswahlfelder!$D72,VLOOKUP('Quick Input'!S$46,DB_Länder,7,FALSE),0)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812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813</v>
      </c>
      <c r="D215" s="911">
        <v>135</v>
      </c>
      <c r="E215" s="572" t="s">
        <v>569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894</v>
      </c>
      <c r="D216" s="98"/>
      <c r="E216" s="574" t="s">
        <v>492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895</v>
      </c>
      <c r="D217" s="100"/>
      <c r="E217" s="569" t="s">
        <v>492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896</v>
      </c>
      <c r="D218" s="100"/>
      <c r="E218" s="569" t="s">
        <v>492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2">
        <f t="shared" si="5"/>
        <v>20</v>
      </c>
      <c r="C219" s="97" t="s">
        <v>897</v>
      </c>
      <c r="D219" s="102"/>
      <c r="E219" s="570" t="s">
        <v>492</v>
      </c>
      <c r="F219" s="1018">
        <f>IFERROR(VLOOKUP(F$105+3,DB_Ofen,7,FALSE),"")</f>
        <v>5000</v>
      </c>
      <c r="G219" s="460"/>
      <c r="H219" s="461"/>
      <c r="I219" s="1018">
        <f>IFERROR(VLOOKUP(I$105+3,DB_Ofen,7,FALSE),"")</f>
        <v>5000</v>
      </c>
      <c r="J219" s="460"/>
      <c r="K219" s="461"/>
      <c r="L219" s="1018">
        <f>IFERROR(VLOOKUP(L$105+3,DB_Ofen,7,FALSE),"")</f>
        <v>5000</v>
      </c>
      <c r="M219" s="460"/>
      <c r="N219" s="461"/>
      <c r="O219" s="1018"/>
      <c r="P219" s="460"/>
      <c r="Q219" s="461"/>
      <c r="R219" s="1018"/>
      <c r="S219" s="460"/>
      <c r="T219" s="461"/>
      <c r="U219" s="1018"/>
      <c r="V219" s="126"/>
    </row>
    <row r="220" spans="2:27" ht="15" x14ac:dyDescent="0.25">
      <c r="B220" s="467">
        <v>63</v>
      </c>
      <c r="C220" s="95" t="s">
        <v>699</v>
      </c>
      <c r="D220" s="100"/>
      <c r="E220" s="568" t="s">
        <v>492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59"/>
      <c r="X220" s="511"/>
    </row>
    <row r="221" spans="2:27" x14ac:dyDescent="0.2">
      <c r="B221" s="467">
        <f t="shared" ref="B221:B224" si="6">B220</f>
        <v>63</v>
      </c>
      <c r="C221" s="96" t="s">
        <v>702</v>
      </c>
      <c r="D221" s="839"/>
      <c r="E221" s="569" t="s">
        <v>491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701</v>
      </c>
      <c r="D222" s="840"/>
      <c r="E222" s="569" t="s">
        <v>491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700</v>
      </c>
      <c r="D223" s="840"/>
      <c r="E223" s="569" t="s">
        <v>492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704</v>
      </c>
      <c r="D224" s="102"/>
      <c r="E224" s="570" t="s">
        <v>625</v>
      </c>
      <c r="F224" s="841">
        <f>0.08*(-6+F23/4%+6%/VLOOKUP('Quick Input'!M$10,'Material-DB'!$A$4:$R$37,18,FALSE))</f>
        <v>-0.26233333333333336</v>
      </c>
      <c r="G224" s="460"/>
      <c r="H224" s="461"/>
      <c r="I224" s="841">
        <f>0.08*(-6+I23/4%+6%/VLOOKUP('Quick Input'!P$10,'Material-DB'!$A$4:$R$37,18,FALSE))</f>
        <v>0.27100000000000002</v>
      </c>
      <c r="J224" s="460"/>
      <c r="K224" s="461"/>
      <c r="L224" s="841">
        <f>0.08*(-6+L23/4%+6%/VLOOKUP('Quick Input'!S$10,'Material-DB'!$A$4:$R$37,18,FALSE))</f>
        <v>0.27100000000000002</v>
      </c>
      <c r="M224" s="460"/>
      <c r="N224" s="461"/>
      <c r="O224" s="841"/>
      <c r="P224" s="460"/>
      <c r="Q224" s="461"/>
      <c r="R224" s="841"/>
      <c r="S224" s="460"/>
      <c r="T224" s="461"/>
      <c r="U224" s="841"/>
      <c r="V224" s="126"/>
      <c r="AA224" s="511"/>
    </row>
    <row r="225" spans="2:26" ht="15" x14ac:dyDescent="0.25">
      <c r="B225" s="467" t="s">
        <v>69</v>
      </c>
      <c r="C225" s="95" t="s">
        <v>856</v>
      </c>
      <c r="D225" s="100"/>
      <c r="E225" s="574" t="s">
        <v>492</v>
      </c>
      <c r="F225" s="892">
        <f>IFERROR((F229/60*F232*2)/Refkalkulation!H$67,0)</f>
        <v>0</v>
      </c>
      <c r="G225" s="893"/>
      <c r="H225" s="893"/>
      <c r="I225" s="892">
        <f>IFERROR((I229/60*I232*2)/Refkalkulation!K$67,0)</f>
        <v>0</v>
      </c>
      <c r="J225" s="893"/>
      <c r="K225" s="893"/>
      <c r="L225" s="892">
        <f>IFERROR((L229/60*L232*2)/Refkalkulation!N$67,0)</f>
        <v>0</v>
      </c>
      <c r="M225" s="893"/>
      <c r="N225" s="893"/>
      <c r="O225" s="892"/>
      <c r="P225" s="893"/>
      <c r="Q225" s="893"/>
      <c r="R225" s="892"/>
      <c r="S225" s="893"/>
      <c r="T225" s="893"/>
      <c r="U225" s="892"/>
      <c r="V225" s="8"/>
      <c r="W225" s="759"/>
      <c r="X225" s="511"/>
    </row>
    <row r="226" spans="2:26" x14ac:dyDescent="0.2">
      <c r="B226" s="467" t="str">
        <f t="shared" ref="B226:B234" si="7">B225</f>
        <v>?</v>
      </c>
      <c r="C226" s="96" t="s">
        <v>861</v>
      </c>
      <c r="D226" s="100"/>
      <c r="E226" s="569" t="s">
        <v>491</v>
      </c>
      <c r="F226" s="445" t="e">
        <f>IF('Quick Input'!M$23=Auswahlfelder!$D$51,Auswahlfelder!$D$54,VLOOKUP('Quick Input'!M$25,Auswahlfelder!$D$54:$E$57,1,FALSE))</f>
        <v>#N/A</v>
      </c>
      <c r="G226" s="446"/>
      <c r="H226" s="447"/>
      <c r="I226" s="445" t="e">
        <f>IF('Quick Input'!P$23=Auswahlfelder!$D$51,Auswahlfelder!$D$54,VLOOKUP('Quick Input'!P$25,Auswahlfelder!$D$54:$E$57,1,FALSE))</f>
        <v>#N/A</v>
      </c>
      <c r="J226" s="446"/>
      <c r="K226" s="447"/>
      <c r="L226" s="445" t="e">
        <f>IF('Quick Input'!S$23=Auswahlfelder!$D$51,Auswahlfelder!$D$54,VLOOKUP('Quick Input'!S$25,Auswahlfelder!$D$54:$E$57,1,FALSE))</f>
        <v>#N/A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862</v>
      </c>
      <c r="D227" s="100"/>
      <c r="E227" s="569" t="s">
        <v>491</v>
      </c>
      <c r="F227" s="928" t="e">
        <f>VLOOKUP(F226,Auswahlfelder!$D$54:$E$57,2,FALSE)</f>
        <v>#N/A</v>
      </c>
      <c r="G227" s="446"/>
      <c r="H227" s="447"/>
      <c r="I227" s="928" t="e">
        <f>VLOOKUP(I226,Auswahlfelder!$D$54:$E$57,2,FALSE)</f>
        <v>#N/A</v>
      </c>
      <c r="J227" s="446"/>
      <c r="K227" s="447"/>
      <c r="L227" s="928" t="e">
        <f>VLOOKUP(L226,Auswahlfelder!$D$54:$E$57,2,FALSE)</f>
        <v>#N/A</v>
      </c>
      <c r="M227" s="446"/>
      <c r="N227" s="447"/>
      <c r="O227" s="928"/>
      <c r="P227" s="446"/>
      <c r="Q227" s="447"/>
      <c r="R227" s="928"/>
      <c r="S227" s="446"/>
      <c r="T227" s="447"/>
      <c r="U227" s="928"/>
      <c r="V227" s="11"/>
      <c r="Z227" s="1207"/>
    </row>
    <row r="228" spans="2:26" x14ac:dyDescent="0.2">
      <c r="B228" s="1178" t="str">
        <f t="shared" si="7"/>
        <v>?</v>
      </c>
      <c r="C228" s="96" t="s">
        <v>857</v>
      </c>
      <c r="D228" s="840"/>
      <c r="E228" s="569"/>
      <c r="F228" s="928" t="e">
        <f>IF(F227=1,IFERROR(VLOOKUP(Refkalkulation!H$67/2,'Maschinen-DB'!$K$47:$O$51,5,TRUE),1)+1,IFERROR(VLOOKUP(Refkalkulation!H$67/2,'Maschinen-DB'!$K$57:$O$59,5,TRUE),7))</f>
        <v>#N/A</v>
      </c>
      <c r="G228" s="421"/>
      <c r="H228" s="422"/>
      <c r="I228" s="928" t="e">
        <f>IF(I227=1,IFERROR(VLOOKUP(Refkalkulation!K$67/2,'Maschinen-DB'!$K$47:$O$51,5,TRUE),1)+1,IFERROR(VLOOKUP(Refkalkulation!K$67/2,'Maschinen-DB'!$K$57:$O$59,5,TRUE),7))</f>
        <v>#N/A</v>
      </c>
      <c r="J228" s="421"/>
      <c r="K228" s="422"/>
      <c r="L228" s="928" t="e">
        <f>IF(L227=1,IFERROR(VLOOKUP(Refkalkulation!N$67/2,'Maschinen-DB'!$K$47:$O$51,5,TRUE),1)+1,IFERROR(VLOOKUP(Refkalkulation!N$67/2,'Maschinen-DB'!$K$57:$O$59,5,TRUE),7))</f>
        <v>#N/A</v>
      </c>
      <c r="M228" s="421"/>
      <c r="N228" s="422"/>
      <c r="O228" s="928"/>
      <c r="P228" s="421"/>
      <c r="Q228" s="422"/>
      <c r="R228" s="928"/>
      <c r="S228" s="421"/>
      <c r="T228" s="422"/>
      <c r="U228" s="928"/>
      <c r="V228" s="11"/>
      <c r="Y228" s="511"/>
      <c r="Z228" s="511"/>
    </row>
    <row r="229" spans="2:26" ht="15" x14ac:dyDescent="0.25">
      <c r="B229" s="1178" t="str">
        <f t="shared" si="7"/>
        <v>?</v>
      </c>
      <c r="C229" s="96" t="s">
        <v>859</v>
      </c>
      <c r="D229" s="697">
        <v>0</v>
      </c>
      <c r="E229" s="569" t="s">
        <v>491</v>
      </c>
      <c r="F229" s="1209" t="e">
        <f>IF(F227=1,VLOOKUP(F228,'Maschinen-DB'!$C$46:$N$51,7,FALSE)/60+IF(F227=3,$D$231,IF(F227=4,$D$232,0)),IF(F227=2,VLOOKUP(F228,'Maschinen-DB'!$C$57:$N$59,7,FALSE)/60+D229+IF(F227=3,$D$231,IF(F227=4,$D$232,0))))</f>
        <v>#N/A</v>
      </c>
      <c r="G229" s="421"/>
      <c r="H229" s="422"/>
      <c r="I229" s="456" t="e">
        <f>VLOOKUP(I228,'Maschinen-DB'!$C$46:$N$59,7,FALSE)/60+IF(I227=2,$D$229,IF(I227=3,$D$231,IF(I227=4,$D$232,0)))</f>
        <v>#N/A</v>
      </c>
      <c r="J229" s="421"/>
      <c r="K229" s="422"/>
      <c r="L229" s="456" t="e">
        <f>VLOOKUP(L228,'Maschinen-DB'!$C$46:$N$59,7,FALSE)/60+IF(L227=2,$D$229,IF(L227=3,$D$231,IF(L227=4,$D$232,0)))</f>
        <v>#N/A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78"/>
      <c r="C230" s="96" t="s">
        <v>991</v>
      </c>
      <c r="D230" s="697"/>
      <c r="E230" s="569"/>
      <c r="F230" s="456" t="e">
        <f>VLOOKUP(F228,'Maschinen-DB'!$C$46:$N$59,12,FALSE)</f>
        <v>#N/A</v>
      </c>
      <c r="G230" s="421"/>
      <c r="H230" s="422"/>
      <c r="I230" s="456" t="e">
        <f>VLOOKUP(I228,'Maschinen-DB'!$C$46:$N$59,12,FALSE)</f>
        <v>#N/A</v>
      </c>
      <c r="J230" s="421"/>
      <c r="K230" s="422"/>
      <c r="L230" s="456" t="e">
        <f>VLOOKUP(L228,'Maschinen-DB'!$C$46:$N$59,12,FALSE)</f>
        <v>#N/A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78" t="str">
        <f>B229</f>
        <v>?</v>
      </c>
      <c r="C231" s="96" t="s">
        <v>860</v>
      </c>
      <c r="D231" s="697">
        <v>1.5</v>
      </c>
      <c r="E231" s="569" t="s">
        <v>491</v>
      </c>
      <c r="F231" s="456" t="e">
        <f>(VLOOKUP(F228,'Maschinen-DB'!$C$46:$N$59,12,FALSE)/'Länder-DB'!$I$27+VLOOKUP(F228,'Maschinen-DB'!$C$46:$N$59,12,FALSE)*'Länder-DB'!$I$29)/F149</f>
        <v>#N/A</v>
      </c>
      <c r="G231" s="421"/>
      <c r="H231" s="422"/>
      <c r="I231" s="456" t="e">
        <f>(VLOOKUP(I228,'Maschinen-DB'!$C$46:$N$59,12,FALSE)/'Länder-DB'!$I$27+VLOOKUP(I228,'Maschinen-DB'!$C$46:$N$59,12,FALSE)*'Länder-DB'!$I$29)/I149</f>
        <v>#N/A</v>
      </c>
      <c r="J231" s="421"/>
      <c r="K231" s="422"/>
      <c r="L231" s="456" t="e">
        <f>(VLOOKUP(L228,'Maschinen-DB'!$C$46:$N$59,12,FALSE)/'Länder-DB'!$I$27+VLOOKUP(L228,'Maschinen-DB'!$C$46:$N$59,12,FALSE)*'Länder-DB'!$I$29)/L149</f>
        <v>#N/A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863</v>
      </c>
      <c r="D232" s="697">
        <v>1.1000000000000001</v>
      </c>
      <c r="E232" s="569" t="s">
        <v>491</v>
      </c>
      <c r="F232" s="344" t="e">
        <f>F231+F233*F21</f>
        <v>#N/A</v>
      </c>
      <c r="G232" s="427"/>
      <c r="H232" s="428"/>
      <c r="I232" s="344" t="e">
        <f>I231+I233*I21</f>
        <v>#N/A</v>
      </c>
      <c r="J232" s="427"/>
      <c r="K232" s="428"/>
      <c r="L232" s="344" t="e">
        <f>L231+L233*L21</f>
        <v>#N/A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858</v>
      </c>
      <c r="D233" s="100"/>
      <c r="E233" s="569" t="s">
        <v>491</v>
      </c>
      <c r="F233" s="445" t="e">
        <f>MAX(1,ROUNDDOWN(MIN(2,F228/2),0))</f>
        <v>#N/A</v>
      </c>
      <c r="G233" s="446"/>
      <c r="H233" s="447"/>
      <c r="I233" s="445" t="e">
        <f>MAX(1,ROUNDDOWN(MIN(2,I228/2),0))</f>
        <v>#N/A</v>
      </c>
      <c r="J233" s="446"/>
      <c r="K233" s="447"/>
      <c r="L233" s="445" t="e">
        <f t="shared" ref="L233" si="8">MAX(1,ROUNDDOWN(MIN(2,L228/2),0))</f>
        <v>#N/A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2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845</v>
      </c>
      <c r="D235" s="100"/>
      <c r="E235" s="574" t="s">
        <v>492</v>
      </c>
      <c r="F235" s="161">
        <f>IFERROR(F236*(1+F237+F238),0)</f>
        <v>34.941609682128771</v>
      </c>
      <c r="G235" s="926"/>
      <c r="H235" s="927"/>
      <c r="I235" s="161">
        <f>IFERROR(I236*(1+I237+I238),0)</f>
        <v>26.139248634013285</v>
      </c>
      <c r="J235" s="926"/>
      <c r="K235" s="927"/>
      <c r="L235" s="161">
        <f t="shared" ref="L235" si="9">IFERROR(L236*(1+L237+L238),0)</f>
        <v>26.139248634013285</v>
      </c>
      <c r="M235" s="926"/>
      <c r="N235" s="927"/>
      <c r="O235" s="161"/>
      <c r="P235" s="926"/>
      <c r="Q235" s="927"/>
      <c r="R235" s="161"/>
      <c r="S235" s="926"/>
      <c r="T235" s="927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843</v>
      </c>
      <c r="D236" s="697">
        <v>20</v>
      </c>
      <c r="E236" s="569" t="s">
        <v>491</v>
      </c>
      <c r="F236" s="30">
        <f>IF('Quick Input'!M$26="ja",$D$236,0)</f>
        <v>20</v>
      </c>
      <c r="G236" s="421"/>
      <c r="H236" s="422"/>
      <c r="I236" s="30">
        <f>IF('Quick Input'!P$26="ja",$D$236,0)</f>
        <v>20</v>
      </c>
      <c r="J236" s="421"/>
      <c r="K236" s="422"/>
      <c r="L236" s="30">
        <f>IF('Quick Input'!S$26="ja",$D$236,0)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491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4">
        <v>0.25</v>
      </c>
      <c r="E238" s="569" t="s">
        <v>491</v>
      </c>
      <c r="F238" s="891">
        <f>SQRT('Quick Input'!M$20/2000)*$D$238</f>
        <v>0.6804138174397717</v>
      </c>
      <c r="G238" s="423"/>
      <c r="H238" s="424"/>
      <c r="I238" s="891">
        <f>SQRT('Quick Input'!P$20/2000)*$D$238</f>
        <v>0.24029576503399763</v>
      </c>
      <c r="J238" s="423"/>
      <c r="K238" s="424"/>
      <c r="L238" s="891">
        <f>SQRT('Quick Input'!S$20/2000)*$D$238</f>
        <v>0.24029576503399763</v>
      </c>
      <c r="M238" s="423"/>
      <c r="N238" s="424"/>
      <c r="O238" s="891"/>
      <c r="P238" s="423"/>
      <c r="Q238" s="424"/>
      <c r="R238" s="891"/>
      <c r="S238" s="423"/>
      <c r="T238" s="424"/>
      <c r="U238" s="891"/>
      <c r="V238" s="11"/>
    </row>
    <row r="239" spans="2:26" ht="15" x14ac:dyDescent="0.25">
      <c r="B239" s="467" t="s">
        <v>69</v>
      </c>
      <c r="C239" s="95" t="s">
        <v>850</v>
      </c>
      <c r="D239" s="100"/>
      <c r="E239" s="574" t="s">
        <v>492</v>
      </c>
      <c r="F239" s="746">
        <f>IFERROR(F240*F241/F242/'Quick Input'!M$19*1000,0)</f>
        <v>32.083333333333336</v>
      </c>
      <c r="G239" s="893"/>
      <c r="H239" s="893"/>
      <c r="I239" s="746">
        <f>IFERROR(I240*I241/I242/'Quick Input'!P$19*1000,0)</f>
        <v>42.777777777777786</v>
      </c>
      <c r="J239" s="893"/>
      <c r="K239" s="893"/>
      <c r="L239" s="746">
        <f>IFERROR(L240*L241/L242/'Quick Input'!S$19*1000,0)</f>
        <v>42.777777777777786</v>
      </c>
      <c r="M239" s="893"/>
      <c r="N239" s="893"/>
      <c r="O239" s="746"/>
      <c r="P239" s="893"/>
      <c r="Q239" s="893"/>
      <c r="R239" s="746"/>
      <c r="S239" s="893"/>
      <c r="T239" s="893"/>
      <c r="U239" s="746"/>
      <c r="V239" s="8"/>
      <c r="W239" s="759"/>
      <c r="X239" s="511"/>
    </row>
    <row r="240" spans="2:26" ht="15" x14ac:dyDescent="0.25">
      <c r="B240" s="467" t="str">
        <f t="shared" ref="B240:B242" si="10">B239</f>
        <v>?</v>
      </c>
      <c r="C240" s="96" t="s">
        <v>847</v>
      </c>
      <c r="D240" s="697">
        <v>22</v>
      </c>
      <c r="E240" s="569" t="s">
        <v>491</v>
      </c>
      <c r="F240" s="30">
        <f>IF('Quick Input'!M$27="ja",$D$240,0)</f>
        <v>22</v>
      </c>
      <c r="G240" s="421"/>
      <c r="H240" s="422"/>
      <c r="I240" s="30">
        <f>IF('Quick Input'!P$27="ja",$D$240,0)</f>
        <v>22</v>
      </c>
      <c r="J240" s="421"/>
      <c r="K240" s="422"/>
      <c r="L240" s="30">
        <f>IF('Quick Input'!S$27="ja",$D$240,0)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848</v>
      </c>
      <c r="D241" s="697">
        <v>3.5</v>
      </c>
      <c r="E241" s="569" t="s">
        <v>491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849</v>
      </c>
      <c r="D242" s="943">
        <v>30</v>
      </c>
      <c r="E242" s="569" t="s">
        <v>491</v>
      </c>
      <c r="F242" s="928">
        <f>MAX(MIN(ROUNDDOWN($D$242/'Quick Input'!M$19,0),Refkalkulation!H$61),1)</f>
        <v>1</v>
      </c>
      <c r="G242" s="427"/>
      <c r="H242" s="428"/>
      <c r="I242" s="928">
        <f>MAX(MIN(ROUNDDOWN($D$242/'Quick Input'!P$19,0),Refkalkulation!K$61),1)</f>
        <v>6</v>
      </c>
      <c r="J242" s="427"/>
      <c r="K242" s="428"/>
      <c r="L242" s="928">
        <f>MAX(MIN(ROUNDDOWN($D$242/'Quick Input'!S$19,0),Refkalkulation!N$61),1)</f>
        <v>6</v>
      </c>
      <c r="M242" s="427"/>
      <c r="N242" s="428"/>
      <c r="O242" s="928"/>
      <c r="P242" s="427"/>
      <c r="Q242" s="428"/>
      <c r="R242" s="928"/>
      <c r="S242" s="427"/>
      <c r="T242" s="428"/>
      <c r="U242" s="928"/>
      <c r="V242" s="11"/>
    </row>
    <row r="243" spans="2:24" ht="15" x14ac:dyDescent="0.25">
      <c r="B243" s="467" t="s">
        <v>69</v>
      </c>
      <c r="C243" s="99" t="s">
        <v>846</v>
      </c>
      <c r="D243" s="100"/>
      <c r="E243" s="574" t="s">
        <v>492</v>
      </c>
      <c r="F243" s="161">
        <f>IFERROR(F244*(1+F245+F246),0)</f>
        <v>0</v>
      </c>
      <c r="G243" s="926"/>
      <c r="H243" s="927"/>
      <c r="I243" s="161">
        <f>IFERROR(I244*(1+I245+I246),0)</f>
        <v>0</v>
      </c>
      <c r="J243" s="926"/>
      <c r="K243" s="927"/>
      <c r="L243" s="161">
        <f t="shared" ref="L243" si="11">IFERROR(L244*(1+L245+L246),0)</f>
        <v>0</v>
      </c>
      <c r="M243" s="926"/>
      <c r="N243" s="927"/>
      <c r="O243" s="161"/>
      <c r="P243" s="926"/>
      <c r="Q243" s="927"/>
      <c r="R243" s="161"/>
      <c r="S243" s="926"/>
      <c r="T243" s="927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844</v>
      </c>
      <c r="D244" s="697">
        <v>15</v>
      </c>
      <c r="E244" s="569" t="s">
        <v>491</v>
      </c>
      <c r="F244" s="30">
        <f>IF('Quick Input'!M$28="nein",0,$D$244+IF('Quick Input'!M$19&gt;8,$D$245,0))</f>
        <v>0</v>
      </c>
      <c r="G244" s="421"/>
      <c r="H244" s="422"/>
      <c r="I244" s="30">
        <f>IF('Quick Input'!P$28="nein",0,$D$244+IF('Quick Input'!P$19&gt;8,$D$245,0))</f>
        <v>0</v>
      </c>
      <c r="J244" s="421"/>
      <c r="K244" s="422"/>
      <c r="L244" s="30">
        <f>IF('Quick Input'!S$28="nein",0,$D$244+IF('Quick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892</v>
      </c>
      <c r="D245" s="697">
        <v>35</v>
      </c>
      <c r="E245" s="569" t="s">
        <v>491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4">
        <v>0.35</v>
      </c>
      <c r="E246" s="570" t="s">
        <v>491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607</v>
      </c>
      <c r="D247" s="100"/>
      <c r="E247" s="568" t="s">
        <v>492</v>
      </c>
      <c r="F247" s="746">
        <f>IF('Quick Input'!M$29=Auswahlfelder!$D$22,0,ROUND(F248*(1+F$249),2))</f>
        <v>14.06</v>
      </c>
      <c r="G247" s="10"/>
      <c r="H247" s="10"/>
      <c r="I247" s="746">
        <f>IF('Quick Input'!P$29=Auswahlfelder!$D$22,0,ROUND(I248*(1+I$249),2))</f>
        <v>3.32</v>
      </c>
      <c r="J247" s="10"/>
      <c r="K247" s="10"/>
      <c r="L247" s="746">
        <f>IF('Quick Input'!S$29=Auswahlfelder!$D$22,0,ROUND(L248*(1+L$249),2))</f>
        <v>7.39</v>
      </c>
      <c r="M247" s="10"/>
      <c r="N247" s="10"/>
      <c r="O247" s="746"/>
      <c r="P247" s="10"/>
      <c r="Q247" s="10"/>
      <c r="R247" s="746"/>
      <c r="S247" s="10"/>
      <c r="T247" s="10"/>
      <c r="U247" s="746"/>
      <c r="V247" s="11"/>
    </row>
    <row r="248" spans="2:24" x14ac:dyDescent="0.2">
      <c r="B248" s="17">
        <v>39</v>
      </c>
      <c r="C248" s="96" t="s">
        <v>608</v>
      </c>
      <c r="D248" s="100"/>
      <c r="E248" s="571" t="s">
        <v>569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569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609</v>
      </c>
      <c r="D250" s="100"/>
      <c r="E250" s="568" t="s">
        <v>492</v>
      </c>
      <c r="F250" s="345">
        <f>IF('Quick Input'!M30=Auswahlfelder!$D$22,0,ROUND(F251*(1+F252),2))</f>
        <v>24.85</v>
      </c>
      <c r="G250" s="7"/>
      <c r="H250" s="7"/>
      <c r="I250" s="345">
        <f>IF('Quick Input'!P30=Auswahlfelder!$D$22,0,ROUND(I251*(1+I252),2))</f>
        <v>7.25</v>
      </c>
      <c r="J250" s="7"/>
      <c r="K250" s="7"/>
      <c r="L250" s="345">
        <f>IF('Quick Input'!S30=Auswahlfelder!$D$22,0,ROUND(L251*(1+L252),2))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610</v>
      </c>
      <c r="D251" s="100"/>
      <c r="E251" s="571" t="s">
        <v>569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569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47">
        <v>39</v>
      </c>
      <c r="C253" s="748"/>
      <c r="D253" s="749" t="s">
        <v>611</v>
      </c>
      <c r="E253" s="750"/>
      <c r="F253" s="751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2"/>
      <c r="H253" s="752"/>
      <c r="I253" s="751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2"/>
      <c r="K253" s="752"/>
      <c r="L253" s="751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2"/>
      <c r="N253" s="752"/>
      <c r="O253" s="751"/>
      <c r="P253" s="752"/>
      <c r="Q253" s="752"/>
      <c r="R253" s="751"/>
      <c r="S253" s="752"/>
      <c r="T253" s="752"/>
      <c r="U253" s="751"/>
      <c r="V253" s="753"/>
    </row>
    <row r="254" spans="2:24" ht="15" x14ac:dyDescent="0.25">
      <c r="B254" s="467">
        <v>44</v>
      </c>
      <c r="C254" s="95" t="s">
        <v>376</v>
      </c>
      <c r="D254" s="98"/>
      <c r="E254" s="574" t="s">
        <v>492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535</v>
      </c>
      <c r="D255" s="100">
        <v>1</v>
      </c>
      <c r="E255" s="571"/>
      <c r="F255" s="557">
        <f>IFERROR('Quick Input'!M$45,1)</f>
        <v>30000</v>
      </c>
      <c r="G255" s="10"/>
      <c r="H255" s="10"/>
      <c r="I255" s="557">
        <f>IFERROR('Quick Input'!P$45,1)</f>
        <v>30000</v>
      </c>
      <c r="J255" s="10"/>
      <c r="K255" s="10"/>
      <c r="L255" s="557">
        <f>IFERROR('Quick Input'!S$45,1)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480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477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478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479</v>
      </c>
      <c r="D259" s="583" t="s">
        <v>498</v>
      </c>
      <c r="E259" s="569" t="s">
        <v>492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536</v>
      </c>
      <c r="D260" s="583" t="s">
        <v>498</v>
      </c>
      <c r="E260" s="569" t="s">
        <v>492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390</v>
      </c>
      <c r="E261" s="569" t="s">
        <v>491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390</v>
      </c>
      <c r="E262" s="569" t="s">
        <v>491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390</v>
      </c>
      <c r="E263" s="570" t="s">
        <v>491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567</v>
      </c>
      <c r="D264" s="98"/>
      <c r="E264" s="574" t="s">
        <v>492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569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568</v>
      </c>
      <c r="D266" s="100"/>
      <c r="E266" s="569" t="s">
        <v>491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491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491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377</v>
      </c>
      <c r="D269" s="100"/>
      <c r="E269" s="574" t="s">
        <v>492</v>
      </c>
      <c r="F269" s="161" t="e">
        <f>ROUND(IF('Quick Input'!M23=Auswahlfelder!$D$49,0,350+ROUND(SQRT(F270*1000)*$D$270,0)/F271),-2)</f>
        <v>#N/A</v>
      </c>
      <c r="G269" s="436"/>
      <c r="H269" s="420"/>
      <c r="I269" s="161" t="e">
        <f>ROUND(IF('Quick Input'!P23=Auswahlfelder!$D$49,0,350+ROUND(SQRT(I270*1000)*$D$270,0)/I271),-2)</f>
        <v>#N/A</v>
      </c>
      <c r="J269" s="436"/>
      <c r="K269" s="420"/>
      <c r="L269" s="161" t="e">
        <f>ROUND(IF('Quick Input'!S23=Auswahlfelder!$D$49,0,350+ROUND(SQRT(L270*1000)*$D$270,0)/L271),-2)</f>
        <v>#N/A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583</v>
      </c>
      <c r="D270" s="912">
        <v>1.9</v>
      </c>
      <c r="E270" s="569" t="s">
        <v>491</v>
      </c>
      <c r="F270" s="456" t="e">
        <f>200+20*Refkalkulation!H$67*SQRT(IF('Quick Input'!M$23=Auswahlfelder!$D$51,0.8,F227*2))</f>
        <v>#N/A</v>
      </c>
      <c r="G270" s="421"/>
      <c r="H270" s="422"/>
      <c r="I270" s="456" t="e">
        <f>200+20*Refkalkulation!K$67*SQRT(IF('Quick Input'!P$23=Auswahlfelder!$D$51,0.8,I227*2))</f>
        <v>#N/A</v>
      </c>
      <c r="J270" s="421"/>
      <c r="K270" s="422"/>
      <c r="L270" s="456" t="e">
        <f>200+20*Refkalkulation!N$67*SQRT(IF('Quick Input'!S$23=Auswahlfelder!$D$51,0.8,L227*2))</f>
        <v>#N/A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350</v>
      </c>
      <c r="D271" s="102"/>
      <c r="E271" s="570" t="s">
        <v>491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521</v>
      </c>
      <c r="G275" s="594"/>
      <c r="H275" s="589">
        <v>0</v>
      </c>
      <c r="I275" s="593" t="s">
        <v>521</v>
      </c>
      <c r="J275" s="594"/>
      <c r="K275" s="589">
        <v>0</v>
      </c>
      <c r="L275" s="593" t="s">
        <v>521</v>
      </c>
      <c r="M275" s="594"/>
      <c r="N275" s="589">
        <v>0</v>
      </c>
      <c r="O275" s="593" t="s">
        <v>521</v>
      </c>
      <c r="P275" s="594"/>
      <c r="Q275" s="589">
        <v>0</v>
      </c>
      <c r="R275" s="593" t="s">
        <v>521</v>
      </c>
      <c r="S275" s="594"/>
      <c r="T275" s="589">
        <v>0</v>
      </c>
      <c r="U275" s="593" t="s">
        <v>521</v>
      </c>
      <c r="V275" s="594"/>
      <c r="W275" s="647" t="s">
        <v>393</v>
      </c>
      <c r="X275" s="595" t="s">
        <v>520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Giesstechnik</v>
      </c>
      <c r="X276" s="592" t="s">
        <v>572</v>
      </c>
      <c r="Y276" s="37"/>
    </row>
    <row r="277" spans="5:25" ht="15" thickBot="1" x14ac:dyDescent="0.25">
      <c r="E277" s="124">
        <f>IF(F276,E276+1,E276)</f>
        <v>2</v>
      </c>
      <c r="F277" s="591" t="e">
        <f>F74</f>
        <v>#N/A</v>
      </c>
      <c r="G277" s="602"/>
      <c r="H277" s="589">
        <f>IF(I276,H276+1,H276)</f>
        <v>2</v>
      </c>
      <c r="I277" s="591" t="e">
        <f>I74</f>
        <v>#N/A</v>
      </c>
      <c r="J277" s="591"/>
      <c r="K277" s="589">
        <f>IF(L276,K276+1,K276)</f>
        <v>2</v>
      </c>
      <c r="L277" s="591" t="e">
        <f>L74</f>
        <v>#N/A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2</v>
      </c>
      <c r="F278" s="589" t="b">
        <f>IFERROR(F78/F77&lt;3%,FALSE)</f>
        <v>0</v>
      </c>
      <c r="G278" s="602"/>
      <c r="H278" s="589">
        <f>IF(I278,H277+1,H277)</f>
        <v>2</v>
      </c>
      <c r="I278" s="589" t="b">
        <f>IFERROR(I78/I77&lt;3%,FALSE)</f>
        <v>0</v>
      </c>
      <c r="J278" s="589"/>
      <c r="K278" s="589">
        <f>IF(L278,K277+1,K277)</f>
        <v>2</v>
      </c>
      <c r="L278" s="589" t="b">
        <f>IFERROR(L78/L77&lt;3%,FALSE)</f>
        <v>0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573</v>
      </c>
      <c r="Y278" s="37"/>
    </row>
    <row r="279" spans="5:25" ht="15" thickBot="1" x14ac:dyDescent="0.25">
      <c r="E279" s="124">
        <f>IF(F278,E278+1,E278)</f>
        <v>2</v>
      </c>
      <c r="F279" s="694" t="str">
        <f>IF(F278,TEXT(F$76,"0%")," ")</f>
        <v xml:space="preserve"> </v>
      </c>
      <c r="G279" s="602"/>
      <c r="H279" s="589">
        <f>IF(I278,H278+1,H278)</f>
        <v>2</v>
      </c>
      <c r="I279" s="694" t="str">
        <f>IF(I278,TEXT(I$76,"0%")," ")</f>
        <v xml:space="preserve"> </v>
      </c>
      <c r="J279" s="591"/>
      <c r="K279" s="589">
        <f>IF(L278,K278+1,K278)</f>
        <v>2</v>
      </c>
      <c r="L279" s="694" t="str">
        <f>IF(L278,TEXT(L$76,"0%")," ")</f>
        <v xml:space="preserve"> 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2</v>
      </c>
      <c r="F280" s="589" t="b">
        <f>IFERROR(Refkalkulation!H66/(Refkalkulation!H66+Refkalkulation!H60)&gt;15%,FALSE)</f>
        <v>0</v>
      </c>
      <c r="G280" s="602"/>
      <c r="H280" s="589">
        <f>IF(I280,H279+1,H279)</f>
        <v>2</v>
      </c>
      <c r="I280" s="589" t="b">
        <f>IFERROR(Refkalkulation!K66/(Refkalkulation!K66+Refkalkulation!K60)&gt;15%,FALSE)</f>
        <v>0</v>
      </c>
      <c r="J280" s="589"/>
      <c r="K280" s="589">
        <f>IF(L280,K279+1,K279)</f>
        <v>2</v>
      </c>
      <c r="L280" s="589" t="b">
        <f>IFERROR(Refkalkulation!N66/(Refkalkulation!N66+Refkalkulation!N60)&gt;15%,FALSE)</f>
        <v>0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539</v>
      </c>
      <c r="X280" s="592" t="s">
        <v>575</v>
      </c>
      <c r="Y280" s="37"/>
    </row>
    <row r="281" spans="5:25" ht="15" thickBot="1" x14ac:dyDescent="0.25">
      <c r="E281" s="124">
        <f>IF(F280,E280+1,E280)</f>
        <v>2</v>
      </c>
      <c r="F281" s="695" t="e">
        <f>TEXT(Refkalkulation!H62/(Refkalkulation!H62+Refkalkulation!H59*Refkalkulation!H61/60/Refkalkulation!H50),"0,0 %")</f>
        <v>#N/A</v>
      </c>
      <c r="G281" s="602"/>
      <c r="H281" s="589">
        <f>IF(I280,H280+1,H280)</f>
        <v>2</v>
      </c>
      <c r="I281" s="693" t="e">
        <f>TEXT(Refkalkulation!K62/(Refkalkulation!K62+Refkalkulation!K59*Refkalkulation!K61/60/Refkalkulation!K50),"0,0 %")</f>
        <v>#N/A</v>
      </c>
      <c r="J281" s="591"/>
      <c r="K281" s="589">
        <f>IF(L280,K280+1,K280)</f>
        <v>2</v>
      </c>
      <c r="L281" s="693" t="e">
        <f>TEXT(Refkalkulation!N62/(Refkalkulation!N62+Refkalkulation!N59*Refkalkulation!N61/60/Refkalkulation!N50),"0,0 %")</f>
        <v>#N/A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3</v>
      </c>
      <c r="F282" s="589" t="b">
        <f>IFERROR(F260&gt;1,FALSE)</f>
        <v>1</v>
      </c>
      <c r="G282" s="602"/>
      <c r="H282" s="589">
        <f>IF(I282,H281+1,H281)</f>
        <v>3</v>
      </c>
      <c r="I282" s="589" t="b">
        <f>IFERROR(I260&gt;1,FALSE)</f>
        <v>1</v>
      </c>
      <c r="J282" s="589"/>
      <c r="K282" s="589">
        <f>IF(L282,K281+1,K281)</f>
        <v>3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538</v>
      </c>
      <c r="X282" s="592" t="s">
        <v>571</v>
      </c>
      <c r="Y282" s="37"/>
    </row>
    <row r="283" spans="5:25" ht="15" thickBot="1" x14ac:dyDescent="0.25">
      <c r="E283" s="124">
        <f>IF(F282,E282+1,E282)</f>
        <v>4</v>
      </c>
      <c r="F283" s="606" t="str">
        <f>CONCATENATE(F260,IF(Deutsch," WKZ aus "," tool from "),F259)</f>
        <v>2 WKZ aus Alu</v>
      </c>
      <c r="G283" s="602"/>
      <c r="H283" s="589">
        <f>IF(I282,H282+1,H282)</f>
        <v>4</v>
      </c>
      <c r="I283" s="606" t="str">
        <f>CONCATENATE(I260,IF(Deutsch," WKZ aus "," tool from "),I259)</f>
        <v>2 WKZ aus Alu</v>
      </c>
      <c r="J283" s="591"/>
      <c r="K283" s="589">
        <f>IF(L282,K282+1,K282)</f>
        <v>4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4</v>
      </c>
      <c r="F284" s="687" t="b">
        <f>IFERROR(F$129&lt;30%,FALSE)</f>
        <v>0</v>
      </c>
      <c r="G284" s="602"/>
      <c r="H284" s="589">
        <f>IF(I284,H283+1,H283)</f>
        <v>4</v>
      </c>
      <c r="I284" s="687" t="b">
        <f>IFERROR(I$129&lt;30%,FALSE)</f>
        <v>0</v>
      </c>
      <c r="J284" s="589"/>
      <c r="K284" s="589">
        <f>IF(L284,K283+1,K283)</f>
        <v>4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570</v>
      </c>
      <c r="X284" s="592" t="s">
        <v>574</v>
      </c>
      <c r="Y284" s="37"/>
    </row>
    <row r="285" spans="5:25" ht="15" thickBot="1" x14ac:dyDescent="0.25">
      <c r="E285" s="124">
        <f>IF(F284,E284+1,E284)</f>
        <v>4</v>
      </c>
      <c r="F285" s="693" t="str">
        <f>TEXT(F$129,"0 %")</f>
        <v>59 %</v>
      </c>
      <c r="G285" s="602"/>
      <c r="H285" s="589">
        <f>IF(I284,H284+1,H284)</f>
        <v>4</v>
      </c>
      <c r="I285" s="693" t="str">
        <f>TEXT(I$129,"0 %")</f>
        <v>57 %</v>
      </c>
      <c r="J285" s="591"/>
      <c r="K285" s="589">
        <f>IF(L284,K284+1,K284)</f>
        <v>4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4</v>
      </c>
      <c r="F286" s="589" t="b">
        <f>IFERROR(F61&gt;F70,FALSE)</f>
        <v>0</v>
      </c>
      <c r="G286" s="602"/>
      <c r="H286" s="589">
        <f>IF(I286,H285+1,H285)</f>
        <v>4</v>
      </c>
      <c r="I286" s="589" t="b">
        <f>IFERROR(I61&gt;I70,FALSE)</f>
        <v>0</v>
      </c>
      <c r="J286" s="589"/>
      <c r="K286" s="589">
        <f>IF(L286,K285+1,K285)</f>
        <v>4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621</v>
      </c>
      <c r="X286" s="592" t="s">
        <v>622</v>
      </c>
      <c r="Y286" s="37"/>
    </row>
    <row r="287" spans="5:25" ht="15" thickBot="1" x14ac:dyDescent="0.25">
      <c r="E287" s="124">
        <f>IF(F286,E286+1,E286)</f>
        <v>4</v>
      </c>
      <c r="F287" s="606" t="str">
        <f>IF(F286,"","")</f>
        <v/>
      </c>
      <c r="G287" s="602"/>
      <c r="H287" s="589">
        <f>IF(I286,H286+1,H286)</f>
        <v>4</v>
      </c>
      <c r="I287" s="606" t="str">
        <f>IF(I286,"","")</f>
        <v/>
      </c>
      <c r="J287" s="591"/>
      <c r="K287" s="589">
        <f>IF(L286,K286+1,K286)</f>
        <v>4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5</v>
      </c>
      <c r="F288" s="589" t="b">
        <v>1</v>
      </c>
      <c r="G288" s="602"/>
      <c r="H288" s="589">
        <f>IF(I288,H287+1,H287)</f>
        <v>5</v>
      </c>
      <c r="I288" s="589" t="b">
        <v>1</v>
      </c>
      <c r="J288" s="589"/>
      <c r="K288" s="589">
        <f>IF(L288,K287+1,K287)</f>
        <v>5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6</v>
      </c>
      <c r="F289" s="606" t="s">
        <v>33</v>
      </c>
      <c r="G289" s="602"/>
      <c r="H289" s="589">
        <f>IF(I288,H288+1,H288)</f>
        <v>6</v>
      </c>
      <c r="I289" s="606" t="s">
        <v>33</v>
      </c>
      <c r="J289" s="591"/>
      <c r="K289" s="589">
        <f>IF(L288,K288+1,K288)</f>
        <v>6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7</v>
      </c>
      <c r="F290" s="589" t="b">
        <v>1</v>
      </c>
      <c r="G290" s="602"/>
      <c r="H290" s="589">
        <f>IF(I290,H289+1,H289)</f>
        <v>7</v>
      </c>
      <c r="I290" s="589" t="b">
        <v>1</v>
      </c>
      <c r="J290" s="589"/>
      <c r="K290" s="589">
        <f>IF(L290,K289+1,K289)</f>
        <v>7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8</v>
      </c>
      <c r="F291" s="606" t="s">
        <v>33</v>
      </c>
      <c r="G291" s="602"/>
      <c r="H291" s="589">
        <f>IF(I290,H290+1,H290)</f>
        <v>8</v>
      </c>
      <c r="I291" s="606" t="s">
        <v>33</v>
      </c>
      <c r="J291" s="591"/>
      <c r="K291" s="589">
        <f>IF(L290,K290+1,K290)</f>
        <v>8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9</v>
      </c>
      <c r="F292" s="589" t="b">
        <v>1</v>
      </c>
      <c r="G292" s="602"/>
      <c r="H292" s="589">
        <f>IF(I292,H291+1,H291)</f>
        <v>9</v>
      </c>
      <c r="I292" s="589" t="b">
        <v>1</v>
      </c>
      <c r="J292" s="589"/>
      <c r="K292" s="589">
        <f>IF(L292,K291+1,K291)</f>
        <v>9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10</v>
      </c>
      <c r="F293" s="606" t="s">
        <v>33</v>
      </c>
      <c r="G293" s="591"/>
      <c r="H293" s="605">
        <f>IF(I292,H292+1,H292)</f>
        <v>10</v>
      </c>
      <c r="I293" s="606" t="s">
        <v>33</v>
      </c>
      <c r="J293" s="591"/>
      <c r="K293" s="605">
        <f>IF(L292,K292+1,K292)</f>
        <v>10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04766B2F-FA81-44CD-910D-7DF676D541DF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99"/>
    </row>
    <row r="2" spans="1:1" x14ac:dyDescent="0.2">
      <c r="A2" s="119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5" bestFit="1" customWidth="1"/>
    <col min="2" max="2" width="8" style="1115" bestFit="1" customWidth="1"/>
    <col min="3" max="3" width="8.625" style="1115" bestFit="1" customWidth="1"/>
    <col min="4" max="4" width="8.5" style="1115" bestFit="1" customWidth="1"/>
    <col min="5" max="5" width="8" style="1115" bestFit="1" customWidth="1"/>
    <col min="6" max="6" width="11.75" style="1115" bestFit="1" customWidth="1"/>
    <col min="7" max="7" width="9.875" style="1115" bestFit="1" customWidth="1"/>
    <col min="8" max="8" width="8.75" style="1115" bestFit="1" customWidth="1"/>
    <col min="9" max="9" width="16.75" style="1115" bestFit="1" customWidth="1"/>
    <col min="10" max="10" width="3.75" style="1115" customWidth="1"/>
    <col min="11" max="11" width="16.5" style="1138"/>
    <col min="12" max="16384" width="16.5" style="1115"/>
  </cols>
  <sheetData>
    <row r="1" spans="1:14" x14ac:dyDescent="0.2">
      <c r="A1" s="1114"/>
      <c r="B1" s="1114"/>
      <c r="C1" s="1114"/>
      <c r="D1" s="1114"/>
      <c r="E1" s="1114" t="str">
        <f>CONCATENATE(MID($D$9,1,2),".",MID($D$9,3,2),".",MID($D$9,5,4))</f>
        <v>12.06.20</v>
      </c>
      <c r="F1" s="1114"/>
      <c r="G1" s="1114"/>
      <c r="H1" s="1114"/>
      <c r="I1" s="1114"/>
      <c r="N1" s="1138" t="s">
        <v>941</v>
      </c>
    </row>
    <row r="2" spans="1:14" ht="38.25" x14ac:dyDescent="0.2">
      <c r="A2" s="1114" t="s">
        <v>919</v>
      </c>
      <c r="B2" s="1114" t="s">
        <v>920</v>
      </c>
      <c r="C2" s="1114" t="s">
        <v>921</v>
      </c>
      <c r="D2" s="1114" t="s">
        <v>922</v>
      </c>
      <c r="E2" s="1116" t="s">
        <v>923</v>
      </c>
      <c r="F2" s="1117" t="s">
        <v>924</v>
      </c>
      <c r="G2" s="1118" t="s">
        <v>925</v>
      </c>
      <c r="H2" s="1119" t="s">
        <v>928</v>
      </c>
      <c r="I2" s="1120" t="s">
        <v>929</v>
      </c>
      <c r="N2" s="1138" t="s">
        <v>942</v>
      </c>
    </row>
    <row r="3" spans="1:14" s="1126" customFormat="1" x14ac:dyDescent="0.2">
      <c r="A3" s="1121" t="s">
        <v>926</v>
      </c>
      <c r="B3" s="1122">
        <v>121400</v>
      </c>
      <c r="C3" s="1122">
        <v>121400</v>
      </c>
      <c r="D3" s="1122"/>
      <c r="E3" s="1137" t="str">
        <f t="shared" ref="E3:E5" si="0">MID($B$9,1,6)</f>
        <v>1,1319</v>
      </c>
      <c r="F3" s="1123"/>
      <c r="G3" s="1122"/>
      <c r="H3" s="1124">
        <f t="shared" ref="H3:H5" si="1">(C3/100+G3*E3)/1000*(1+F3)</f>
        <v>1.214</v>
      </c>
      <c r="I3" s="1125">
        <f t="shared" ref="I3:I5" si="2">H3/E3</f>
        <v>1.0725329092676033</v>
      </c>
      <c r="N3" s="1139"/>
    </row>
    <row r="4" spans="1:14" s="1133" customFormat="1" x14ac:dyDescent="0.2">
      <c r="A4" s="1127" t="s">
        <v>927</v>
      </c>
      <c r="B4" s="1128">
        <v>121000</v>
      </c>
      <c r="C4" s="1128">
        <v>121000</v>
      </c>
      <c r="D4" s="1128"/>
      <c r="E4" s="1136" t="str">
        <f t="shared" si="0"/>
        <v>1,1319</v>
      </c>
      <c r="F4" s="1129">
        <v>0.1</v>
      </c>
      <c r="G4" s="1130">
        <v>180</v>
      </c>
      <c r="H4" s="1131">
        <f t="shared" si="1"/>
        <v>1.5551162000000003</v>
      </c>
      <c r="I4" s="1132">
        <f t="shared" si="2"/>
        <v>1.3738989310009722</v>
      </c>
      <c r="K4" s="1133" t="s">
        <v>951</v>
      </c>
      <c r="N4" s="1140"/>
    </row>
    <row r="5" spans="1:14" s="1126" customFormat="1" x14ac:dyDescent="0.2">
      <c r="A5" s="1121" t="s">
        <v>947</v>
      </c>
      <c r="B5" s="1122">
        <v>120600</v>
      </c>
      <c r="C5" s="1122">
        <v>120600</v>
      </c>
      <c r="D5" s="1122"/>
      <c r="E5" s="1137" t="str">
        <f t="shared" si="0"/>
        <v>1,1319</v>
      </c>
      <c r="F5" s="1123"/>
      <c r="G5" s="1122"/>
      <c r="H5" s="1124">
        <f t="shared" si="1"/>
        <v>1.206</v>
      </c>
      <c r="I5" s="1125">
        <f t="shared" si="2"/>
        <v>1.0654651470978003</v>
      </c>
      <c r="N5" s="1139"/>
    </row>
    <row r="6" spans="1:14" x14ac:dyDescent="0.2">
      <c r="A6" s="1114"/>
      <c r="B6" s="1114"/>
      <c r="C6" s="1114"/>
      <c r="D6" s="1114"/>
      <c r="E6" s="1114"/>
      <c r="F6" s="1114"/>
      <c r="G6" s="1114"/>
      <c r="H6" s="1114"/>
      <c r="I6" s="1114"/>
      <c r="N6" s="1138"/>
    </row>
    <row r="7" spans="1:14" x14ac:dyDescent="0.2">
      <c r="N7" s="1138"/>
    </row>
    <row r="8" spans="1:14" ht="14.25" x14ac:dyDescent="0.2">
      <c r="A8" s="511" t="s">
        <v>930</v>
      </c>
      <c r="B8" t="s">
        <v>931</v>
      </c>
      <c r="C8" t="s">
        <v>932</v>
      </c>
      <c r="D8" t="s">
        <v>72</v>
      </c>
      <c r="E8" t="s">
        <v>933</v>
      </c>
      <c r="F8" t="s">
        <v>934</v>
      </c>
      <c r="G8" t="s">
        <v>935</v>
      </c>
      <c r="H8" t="s">
        <v>936</v>
      </c>
      <c r="N8" s="1138" t="s">
        <v>943</v>
      </c>
    </row>
    <row r="9" spans="1:14" ht="14.25" x14ac:dyDescent="0.2">
      <c r="A9" s="1134" t="s">
        <v>937</v>
      </c>
      <c r="B9" s="1134" t="s">
        <v>953</v>
      </c>
      <c r="C9" s="1134" t="s">
        <v>954</v>
      </c>
      <c r="D9">
        <v>120620</v>
      </c>
      <c r="E9" s="1135">
        <v>0.47638888888888886</v>
      </c>
      <c r="F9" s="1134" t="s">
        <v>955</v>
      </c>
      <c r="G9" s="1134" t="s">
        <v>956</v>
      </c>
      <c r="H9" s="1134" t="s">
        <v>957</v>
      </c>
    </row>
    <row r="10" spans="1:14" ht="14.25" x14ac:dyDescent="0.2">
      <c r="A10" s="1134" t="s">
        <v>937</v>
      </c>
      <c r="B10" s="1134" t="s">
        <v>958</v>
      </c>
      <c r="C10" s="1134" t="s">
        <v>938</v>
      </c>
      <c r="D10">
        <v>100620</v>
      </c>
      <c r="E10" s="1135">
        <v>0.5854166666666667</v>
      </c>
      <c r="F10" s="1134" t="s">
        <v>939</v>
      </c>
      <c r="G10" s="1134" t="s">
        <v>958</v>
      </c>
      <c r="H10" s="1134" t="s">
        <v>958</v>
      </c>
    </row>
    <row r="11" spans="1:14" ht="14.25" x14ac:dyDescent="0.2">
      <c r="A11" s="1134" t="s">
        <v>937</v>
      </c>
      <c r="B11" s="1134" t="s">
        <v>956</v>
      </c>
      <c r="C11" s="1134" t="s">
        <v>959</v>
      </c>
      <c r="D11">
        <v>110620</v>
      </c>
      <c r="E11" s="1135">
        <v>0.55277777777777781</v>
      </c>
      <c r="F11" s="1134" t="s">
        <v>939</v>
      </c>
      <c r="G11" s="1134" t="s">
        <v>956</v>
      </c>
      <c r="H11" s="1134" t="s">
        <v>956</v>
      </c>
    </row>
    <row r="12" spans="1:14" ht="14.25" x14ac:dyDescent="0.2">
      <c r="A12" s="1134" t="s">
        <v>937</v>
      </c>
      <c r="B12" s="1134" t="s">
        <v>953</v>
      </c>
      <c r="C12" s="1134" t="s">
        <v>960</v>
      </c>
      <c r="D12">
        <v>120620</v>
      </c>
      <c r="E12" s="1135">
        <v>0.47569444444444442</v>
      </c>
      <c r="F12" s="1134" t="s">
        <v>939</v>
      </c>
      <c r="G12" s="1134" t="s">
        <v>956</v>
      </c>
      <c r="H12" s="1134" t="s">
        <v>961</v>
      </c>
    </row>
    <row r="13" spans="1:14" ht="14.25" x14ac:dyDescent="0.2">
      <c r="A13" s="1134" t="s">
        <v>940</v>
      </c>
      <c r="B13" s="1134" t="s">
        <v>962</v>
      </c>
      <c r="C13" s="1134" t="s">
        <v>963</v>
      </c>
      <c r="D13">
        <v>120620</v>
      </c>
      <c r="E13" s="1135">
        <v>0.46597222222222223</v>
      </c>
      <c r="F13" s="1134" t="s">
        <v>964</v>
      </c>
      <c r="G13" s="1134" t="s">
        <v>965</v>
      </c>
      <c r="H13" s="1134" t="s">
        <v>966</v>
      </c>
    </row>
    <row r="16" spans="1:14" x14ac:dyDescent="0.2">
      <c r="E16" s="1114" t="str">
        <f>CONCATENATE(MID($D$9,1,2),".",MID($D$9,3,2),".",MID($D$9,5,4))</f>
        <v>12.06.20</v>
      </c>
    </row>
    <row r="17" spans="1:14" ht="38.25" x14ac:dyDescent="0.2">
      <c r="A17" s="1114" t="s">
        <v>919</v>
      </c>
      <c r="B17" s="1114" t="s">
        <v>920</v>
      </c>
      <c r="C17" s="1114" t="s">
        <v>921</v>
      </c>
      <c r="D17" s="1114" t="s">
        <v>922</v>
      </c>
      <c r="E17" s="1116" t="s">
        <v>923</v>
      </c>
      <c r="F17" s="1117" t="s">
        <v>924</v>
      </c>
      <c r="G17" s="1118" t="s">
        <v>925</v>
      </c>
      <c r="H17" s="1119" t="s">
        <v>928</v>
      </c>
      <c r="I17" s="1120" t="s">
        <v>929</v>
      </c>
    </row>
    <row r="18" spans="1:14" x14ac:dyDescent="0.2">
      <c r="A18" s="1121" t="s">
        <v>926</v>
      </c>
      <c r="B18" s="1122">
        <v>158200</v>
      </c>
      <c r="C18" s="1122">
        <v>158200</v>
      </c>
      <c r="D18" s="1122"/>
      <c r="E18" s="1137" t="str">
        <f t="shared" ref="E18:E21" si="3">MID($B$9,1,6)</f>
        <v>1,1319</v>
      </c>
      <c r="F18" s="1123"/>
      <c r="G18" s="1122"/>
      <c r="H18" s="1124">
        <f t="shared" ref="H18:H21" si="4">(C18/100+G18*E18)/1000*(1+F18)</f>
        <v>1.5820000000000001</v>
      </c>
      <c r="I18" s="1125">
        <f t="shared" ref="I18:I21" si="5">H18/E18</f>
        <v>1.3976499690785407</v>
      </c>
      <c r="N18" s="1138" t="s">
        <v>949</v>
      </c>
    </row>
    <row r="19" spans="1:14" x14ac:dyDescent="0.2">
      <c r="A19" s="1127" t="s">
        <v>927</v>
      </c>
      <c r="B19" s="1127">
        <v>160550</v>
      </c>
      <c r="C19" s="1127">
        <v>160550</v>
      </c>
      <c r="D19" s="1127"/>
      <c r="E19" s="1127" t="str">
        <f t="shared" si="3"/>
        <v>1,1319</v>
      </c>
      <c r="F19" s="1129">
        <v>0.1</v>
      </c>
      <c r="G19" s="1130">
        <v>400</v>
      </c>
      <c r="H19" s="1131">
        <f t="shared" si="4"/>
        <v>2.2640860000000003</v>
      </c>
      <c r="I19" s="1132">
        <f t="shared" si="5"/>
        <v>2.0002526724975707</v>
      </c>
      <c r="K19" s="1133" t="s">
        <v>950</v>
      </c>
    </row>
    <row r="20" spans="1:14" x14ac:dyDescent="0.2">
      <c r="A20" s="1121" t="s">
        <v>947</v>
      </c>
      <c r="B20" s="1122">
        <v>170500</v>
      </c>
      <c r="C20" s="1122">
        <v>170500</v>
      </c>
      <c r="D20" s="1122"/>
      <c r="E20" s="1137" t="str">
        <f t="shared" si="3"/>
        <v>1,1319</v>
      </c>
      <c r="F20" s="1123"/>
      <c r="G20" s="1122"/>
      <c r="H20" s="1124">
        <f t="shared" si="4"/>
        <v>1.7050000000000001</v>
      </c>
      <c r="I20" s="1125">
        <f t="shared" si="5"/>
        <v>1.5063168124392616</v>
      </c>
    </row>
    <row r="21" spans="1:14" x14ac:dyDescent="0.2">
      <c r="A21" s="1121" t="s">
        <v>948</v>
      </c>
      <c r="B21" s="1122">
        <v>178150</v>
      </c>
      <c r="C21" s="1122">
        <v>178150</v>
      </c>
      <c r="D21" s="1122"/>
      <c r="E21" s="1137" t="str">
        <f t="shared" si="3"/>
        <v>1,1319</v>
      </c>
      <c r="F21" s="1123"/>
      <c r="G21" s="1122"/>
      <c r="H21" s="1124">
        <f t="shared" si="4"/>
        <v>1.7815000000000001</v>
      </c>
      <c r="I21" s="1125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2022-02-28T09:37:31Z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
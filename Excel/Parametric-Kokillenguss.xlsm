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26067D7A-6BAC-4E54-BDDE-827025C0B3A5}" xr6:coauthVersionLast="47" xr6:coauthVersionMax="47" xr10:uidLastSave="{00000000-0000-0000-0000-000000000000}"/>
  <bookViews>
    <workbookView xWindow="-120" yWindow="-120" windowWidth="29040" windowHeight="15840" tabRatio="955" activeTab="10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Parametrikber!$B$3:$D$273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Parametrikber!$B$3:$D$191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1" i="15" l="1"/>
  <c r="R51" i="15"/>
  <c r="O51" i="15"/>
  <c r="U50" i="15"/>
  <c r="R50" i="15"/>
  <c r="O50" i="15"/>
  <c r="L60" i="15"/>
  <c r="L37" i="15" s="1"/>
  <c r="I60" i="15"/>
  <c r="I37" i="15" s="1"/>
  <c r="F60" i="15"/>
  <c r="F37" i="15" s="1"/>
  <c r="U60" i="15"/>
  <c r="R60" i="15"/>
  <c r="O60" i="15"/>
  <c r="L45" i="15" l="1"/>
  <c r="I45" i="15"/>
  <c r="F45" i="15"/>
  <c r="U236" i="15"/>
  <c r="R236" i="15"/>
  <c r="O236" i="15"/>
  <c r="B234" i="15"/>
  <c r="B235" i="15" s="1"/>
  <c r="B236" i="15" s="1"/>
  <c r="S23" i="3"/>
  <c r="P23" i="3"/>
  <c r="M23" i="3"/>
  <c r="B238" i="15" l="1"/>
  <c r="B239" i="15" s="1"/>
  <c r="B240" i="15" s="1"/>
  <c r="U146" i="15"/>
  <c r="R146" i="15"/>
  <c r="O146" i="15"/>
  <c r="U58" i="15" l="1"/>
  <c r="R58" i="15"/>
  <c r="O58" i="15"/>
  <c r="O57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9" i="15" l="1"/>
  <c r="U234" i="15"/>
  <c r="U233" i="15" s="1"/>
  <c r="O59" i="15"/>
  <c r="O234" i="15"/>
  <c r="O233" i="15" s="1"/>
  <c r="R59" i="15"/>
  <c r="R234" i="15"/>
  <c r="R233" i="15" s="1"/>
  <c r="U57" i="15"/>
  <c r="I57" i="15"/>
  <c r="F57" i="15"/>
  <c r="R57" i="15"/>
  <c r="L57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23" i="15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4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9" i="15" l="1"/>
  <c r="L30" i="15"/>
  <c r="L56" i="15"/>
  <c r="L55" i="15"/>
  <c r="S39" i="3"/>
  <c r="S40" i="3" s="1"/>
  <c r="L49" i="15" l="1"/>
  <c r="L50" i="15" s="1"/>
  <c r="S41" i="3"/>
  <c r="S42" i="3" l="1"/>
  <c r="S43" i="3" l="1"/>
  <c r="S44" i="3" s="1"/>
  <c r="S45" i="3" s="1"/>
  <c r="S10" i="3" l="1"/>
  <c r="S20" i="3" s="1"/>
  <c r="L32" i="15" s="1"/>
  <c r="L31" i="15" s="1"/>
  <c r="L28" i="15" s="1"/>
  <c r="L36" i="15" s="1"/>
  <c r="P10" i="3"/>
  <c r="P11" i="3" s="1"/>
  <c r="S8" i="3"/>
  <c r="S9" i="3"/>
  <c r="P9" i="3"/>
  <c r="S12" i="3"/>
  <c r="S13" i="3" s="1"/>
  <c r="P12" i="3"/>
  <c r="P13" i="3" s="1"/>
  <c r="S11" i="3" l="1"/>
  <c r="F267" i="15"/>
  <c r="I267" i="15"/>
  <c r="L267" i="15"/>
  <c r="F155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43" i="15"/>
  <c r="B244" i="15" s="1"/>
  <c r="B245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52" i="15" l="1"/>
  <c r="B253" i="15" s="1"/>
  <c r="B254" i="15" s="1"/>
  <c r="B255" i="15" s="1"/>
  <c r="B257" i="15" s="1"/>
  <c r="B258" i="15" s="1"/>
  <c r="B259" i="15" s="1"/>
  <c r="F139" i="15"/>
  <c r="B260" i="15" l="1"/>
  <c r="B266" i="15"/>
  <c r="B267" i="15" s="1"/>
  <c r="B268" i="15" s="1"/>
  <c r="B270" i="15"/>
  <c r="B271" i="15" s="1"/>
  <c r="B272" i="15" s="1"/>
  <c r="B262" i="15"/>
  <c r="B263" i="15" s="1"/>
  <c r="B264" i="15" s="1"/>
  <c r="O51" i="2" l="1"/>
  <c r="O50" i="2"/>
  <c r="O49" i="2"/>
  <c r="O48" i="2"/>
  <c r="O47" i="2"/>
  <c r="O46" i="2"/>
  <c r="L221" i="15" l="1"/>
  <c r="I221" i="15"/>
  <c r="F221" i="15"/>
  <c r="H45" i="7"/>
  <c r="L139" i="15"/>
  <c r="I139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8" i="15"/>
  <c r="L61" i="15" s="1"/>
  <c r="I228" i="15"/>
  <c r="I61" i="15" s="1"/>
  <c r="F228" i="15"/>
  <c r="F61" i="15" s="1"/>
  <c r="F118" i="15" l="1"/>
  <c r="F245" i="15" s="1"/>
  <c r="D231" i="15"/>
  <c r="B228" i="15"/>
  <c r="B229" i="15" s="1"/>
  <c r="B230" i="15" s="1"/>
  <c r="B231" i="15" s="1"/>
  <c r="B232" i="15" s="1"/>
  <c r="F244" i="15" l="1"/>
  <c r="F243" i="15"/>
  <c r="F242" i="15"/>
  <c r="L118" i="15"/>
  <c r="I118" i="15"/>
  <c r="I245" i="15" s="1"/>
  <c r="E73" i="14"/>
  <c r="E72" i="14"/>
  <c r="E71" i="14"/>
  <c r="L245" i="15" l="1"/>
  <c r="L244" i="15"/>
  <c r="L243" i="15"/>
  <c r="L242" i="15"/>
  <c r="I243" i="15"/>
  <c r="I244" i="15"/>
  <c r="I242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4" i="15" s="1"/>
  <c r="M22" i="3"/>
  <c r="F54" i="15" s="1"/>
  <c r="I56" i="15" l="1"/>
  <c r="I55" i="15"/>
  <c r="I53" i="15" s="1"/>
  <c r="F55" i="15"/>
  <c r="F56" i="15"/>
  <c r="P32" i="3"/>
  <c r="M32" i="3"/>
  <c r="P50" i="3"/>
  <c r="I33" i="15" s="1"/>
  <c r="P21" i="3"/>
  <c r="P28" i="3"/>
  <c r="M29" i="3"/>
  <c r="M28" i="3"/>
  <c r="F270" i="15" s="1"/>
  <c r="L266" i="15"/>
  <c r="P31" i="3"/>
  <c r="P30" i="3"/>
  <c r="P29" i="3"/>
  <c r="P27" i="3"/>
  <c r="I266" i="15" s="1"/>
  <c r="P26" i="3"/>
  <c r="M31" i="3"/>
  <c r="M30" i="3"/>
  <c r="M27" i="3"/>
  <c r="F266" i="15" s="1"/>
  <c r="M26" i="3"/>
  <c r="F53" i="15" l="1"/>
  <c r="L262" i="15"/>
  <c r="L219" i="15"/>
  <c r="F262" i="15"/>
  <c r="F219" i="15"/>
  <c r="I262" i="15"/>
  <c r="I219" i="15"/>
  <c r="N137" i="7"/>
  <c r="L49" i="31" s="1"/>
  <c r="P59" i="3"/>
  <c r="K137" i="7" s="1"/>
  <c r="H49" i="31" s="1"/>
  <c r="M59" i="3"/>
  <c r="F25" i="15"/>
  <c r="I25" i="15"/>
  <c r="L25" i="15"/>
  <c r="P25" i="3"/>
  <c r="I252" i="15" s="1"/>
  <c r="L252" i="15"/>
  <c r="M25" i="3"/>
  <c r="F252" i="15" s="1"/>
  <c r="E57" i="14"/>
  <c r="E56" i="14"/>
  <c r="E55" i="14"/>
  <c r="E54" i="14"/>
  <c r="I253" i="15" l="1"/>
  <c r="I254" i="15" s="1"/>
  <c r="I96" i="15"/>
  <c r="F253" i="15"/>
  <c r="F254" i="15" s="1"/>
  <c r="F96" i="15"/>
  <c r="L96" i="15"/>
  <c r="L253" i="15"/>
  <c r="L254" i="15" s="1"/>
  <c r="L30" i="31"/>
  <c r="G10" i="3"/>
  <c r="H30" i="31"/>
  <c r="M10" i="3"/>
  <c r="L256" i="15" l="1"/>
  <c r="L255" i="15"/>
  <c r="L259" i="15"/>
  <c r="I255" i="15"/>
  <c r="I256" i="15"/>
  <c r="I259" i="15"/>
  <c r="F256" i="15"/>
  <c r="F255" i="15"/>
  <c r="D30" i="31"/>
  <c r="M11" i="3"/>
  <c r="L296" i="15"/>
  <c r="F296" i="15"/>
  <c r="I296" i="15"/>
  <c r="H9" i="7"/>
  <c r="H11" i="7" s="1"/>
  <c r="K9" i="7"/>
  <c r="K11" i="7" s="1"/>
  <c r="N9" i="7"/>
  <c r="N11" i="7" s="1"/>
  <c r="D12" i="25"/>
  <c r="F259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48" i="15"/>
  <c r="I248" i="15"/>
  <c r="F248" i="15"/>
  <c r="L247" i="15"/>
  <c r="I247" i="15"/>
  <c r="F247" i="15"/>
  <c r="B247" i="15" l="1"/>
  <c r="B248" i="15" s="1"/>
  <c r="B249" i="15" s="1"/>
  <c r="B250" i="15" s="1"/>
  <c r="M29" i="4" l="1"/>
  <c r="F97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32" i="15" l="1"/>
  <c r="L231" i="15" s="1"/>
  <c r="F232" i="15"/>
  <c r="F231" i="15" s="1"/>
  <c r="I232" i="15"/>
  <c r="I231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70" i="15"/>
  <c r="I170" i="15"/>
  <c r="F170" i="15"/>
  <c r="L167" i="15"/>
  <c r="I167" i="15"/>
  <c r="F167" i="15"/>
  <c r="L155" i="15"/>
  <c r="I155" i="15"/>
  <c r="L136" i="15"/>
  <c r="I136" i="15"/>
  <c r="F136" i="15"/>
  <c r="L123" i="15"/>
  <c r="I123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238" i="15" l="1"/>
  <c r="L234" i="15"/>
  <c r="I234" i="15"/>
  <c r="F234" i="15"/>
  <c r="I238" i="15"/>
  <c r="F238" i="15"/>
  <c r="L147" i="15"/>
  <c r="L148" i="15" s="1"/>
  <c r="L239" i="15"/>
  <c r="L237" i="15" s="1"/>
  <c r="F239" i="15"/>
  <c r="I239" i="15"/>
  <c r="F147" i="15"/>
  <c r="F148" i="15" s="1"/>
  <c r="I147" i="15"/>
  <c r="I148" i="15" s="1"/>
  <c r="L198" i="15"/>
  <c r="I198" i="15"/>
  <c r="I113" i="15"/>
  <c r="F198" i="15"/>
  <c r="L263" i="15"/>
  <c r="L271" i="15"/>
  <c r="L181" i="15"/>
  <c r="I271" i="15"/>
  <c r="I181" i="15"/>
  <c r="I263" i="15"/>
  <c r="F263" i="15"/>
  <c r="F271" i="15"/>
  <c r="F181" i="15"/>
  <c r="F218" i="15"/>
  <c r="L218" i="15"/>
  <c r="I218" i="15"/>
  <c r="F112" i="15"/>
  <c r="F113" i="15"/>
  <c r="L113" i="15"/>
  <c r="L112" i="15"/>
  <c r="I112" i="15"/>
  <c r="I293" i="15"/>
  <c r="I214" i="15"/>
  <c r="I189" i="15"/>
  <c r="I93" i="15"/>
  <c r="I288" i="15"/>
  <c r="I205" i="15"/>
  <c r="I185" i="15"/>
  <c r="I176" i="15"/>
  <c r="L213" i="15"/>
  <c r="L14" i="15"/>
  <c r="L13" i="15" s="1"/>
  <c r="L288" i="15"/>
  <c r="L205" i="15"/>
  <c r="L185" i="15"/>
  <c r="L176" i="15"/>
  <c r="L293" i="15"/>
  <c r="L214" i="15"/>
  <c r="L189" i="15"/>
  <c r="L93" i="15"/>
  <c r="F185" i="15"/>
  <c r="F93" i="15"/>
  <c r="F288" i="15"/>
  <c r="F189" i="15"/>
  <c r="F176" i="15"/>
  <c r="F214" i="15"/>
  <c r="F293" i="15"/>
  <c r="F205" i="15"/>
  <c r="I213" i="15"/>
  <c r="I14" i="15"/>
  <c r="I13" i="15" s="1"/>
  <c r="F149" i="15"/>
  <c r="L149" i="15"/>
  <c r="I149" i="15"/>
  <c r="L215" i="15"/>
  <c r="L125" i="15"/>
  <c r="I215" i="15"/>
  <c r="I125" i="15"/>
  <c r="F14" i="15"/>
  <c r="F13" i="15" s="1"/>
  <c r="F213" i="15"/>
  <c r="F125" i="15"/>
  <c r="F215" i="15"/>
  <c r="F137" i="15"/>
  <c r="F160" i="15"/>
  <c r="I160" i="15"/>
  <c r="I137" i="15"/>
  <c r="L160" i="15"/>
  <c r="L137" i="15"/>
  <c r="I237" i="15" l="1"/>
  <c r="L241" i="15"/>
  <c r="L240" i="15"/>
  <c r="F237" i="15"/>
  <c r="L150" i="15"/>
  <c r="I150" i="15"/>
  <c r="F150" i="15"/>
  <c r="L188" i="15"/>
  <c r="I188" i="15"/>
  <c r="F188" i="15"/>
  <c r="L94" i="15"/>
  <c r="I94" i="15"/>
  <c r="F94" i="15"/>
  <c r="M78" i="3"/>
  <c r="L78" i="3" s="1"/>
  <c r="B198" i="15"/>
  <c r="B199" i="15" s="1"/>
  <c r="B200" i="15" s="1"/>
  <c r="B201" i="15" s="1"/>
  <c r="B202" i="15" s="1"/>
  <c r="B203" i="15" s="1"/>
  <c r="L224" i="15"/>
  <c r="I224" i="15"/>
  <c r="F224" i="15"/>
  <c r="B223" i="15"/>
  <c r="B224" i="15" s="1"/>
  <c r="N8" i="7"/>
  <c r="L11" i="31" s="1"/>
  <c r="P35" i="3"/>
  <c r="K8" i="7" s="1"/>
  <c r="H11" i="31" s="1"/>
  <c r="M35" i="3"/>
  <c r="H8" i="7" s="1"/>
  <c r="D11" i="31" s="1"/>
  <c r="B79" i="15"/>
  <c r="B80" i="15" s="1"/>
  <c r="B81" i="15" s="1"/>
  <c r="B82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62" i="15"/>
  <c r="L289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62" i="15" s="1"/>
  <c r="P48" i="3"/>
  <c r="P37" i="3"/>
  <c r="I101" i="15" s="1"/>
  <c r="P36" i="3"/>
  <c r="P19" i="3"/>
  <c r="P18" i="3"/>
  <c r="I289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89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7" i="7" s="1"/>
  <c r="D49" i="31" s="1"/>
  <c r="M53" i="3"/>
  <c r="M54" i="3" s="1"/>
  <c r="M55" i="3" s="1"/>
  <c r="M51" i="3"/>
  <c r="M49" i="3"/>
  <c r="F162" i="15" s="1"/>
  <c r="M48" i="3"/>
  <c r="F161" i="15" s="1"/>
  <c r="D84" i="3"/>
  <c r="C84" i="3"/>
  <c r="M84" i="3"/>
  <c r="M74" i="3"/>
  <c r="L74" i="3" s="1"/>
  <c r="M68" i="3"/>
  <c r="L68" i="3" s="1"/>
  <c r="M67" i="3"/>
  <c r="L67" i="3" s="1"/>
  <c r="B136" i="15"/>
  <c r="B137" i="15" s="1"/>
  <c r="B138" i="15" s="1"/>
  <c r="M58" i="7"/>
  <c r="J58" i="7"/>
  <c r="G58" i="7"/>
  <c r="L133" i="15"/>
  <c r="I133" i="15"/>
  <c r="F133" i="15"/>
  <c r="B84" i="15"/>
  <c r="B85" i="15" s="1"/>
  <c r="B86" i="15" s="1"/>
  <c r="B87" i="15" s="1"/>
  <c r="L158" i="15"/>
  <c r="I158" i="15"/>
  <c r="F158" i="15"/>
  <c r="N105" i="7"/>
  <c r="K105" i="7"/>
  <c r="H105" i="7"/>
  <c r="C62" i="14"/>
  <c r="C61" i="14"/>
  <c r="L97" i="15"/>
  <c r="I97" i="15"/>
  <c r="B37" i="15"/>
  <c r="L16" i="15"/>
  <c r="I16" i="15"/>
  <c r="F16" i="15"/>
  <c r="L9" i="15"/>
  <c r="I9" i="15"/>
  <c r="F9" i="15"/>
  <c r="L5" i="15"/>
  <c r="I5" i="15"/>
  <c r="F5" i="15"/>
  <c r="B296" i="15"/>
  <c r="B297" i="15" s="1"/>
  <c r="G2" i="3"/>
  <c r="D19" i="25"/>
  <c r="H48" i="25"/>
  <c r="B131" i="15"/>
  <c r="B132" i="15" s="1"/>
  <c r="B133" i="15" s="1"/>
  <c r="B134" i="15" s="1"/>
  <c r="B127" i="15"/>
  <c r="B128" i="15" s="1"/>
  <c r="B129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8" i="15"/>
  <c r="L78" i="15"/>
  <c r="I78" i="15"/>
  <c r="F235" i="15" l="1"/>
  <c r="L235" i="15"/>
  <c r="I235" i="15"/>
  <c r="D58" i="7"/>
  <c r="D75" i="7"/>
  <c r="D72" i="7"/>
  <c r="F29" i="15"/>
  <c r="F30" i="15"/>
  <c r="I30" i="15"/>
  <c r="I29" i="15"/>
  <c r="D48" i="7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2" i="7"/>
  <c r="D93" i="7"/>
  <c r="D84" i="7"/>
  <c r="D80" i="7"/>
  <c r="D77" i="7"/>
  <c r="D83" i="7"/>
  <c r="D104" i="7"/>
  <c r="D103" i="7"/>
  <c r="D97" i="7"/>
  <c r="D101" i="7"/>
  <c r="D95" i="7"/>
  <c r="D100" i="7"/>
  <c r="D96" i="7"/>
  <c r="D99" i="7"/>
  <c r="I29" i="3"/>
  <c r="C23" i="24" s="1"/>
  <c r="S46" i="3"/>
  <c r="N7" i="7" s="1"/>
  <c r="P46" i="3"/>
  <c r="K7" i="7" s="1"/>
  <c r="D86" i="7"/>
  <c r="D78" i="7"/>
  <c r="D79" i="7"/>
  <c r="D81" i="7"/>
  <c r="D102" i="7"/>
  <c r="D98" i="7"/>
  <c r="D82" i="7"/>
  <c r="D105" i="7"/>
  <c r="D106" i="7"/>
  <c r="C48" i="31"/>
  <c r="I2" i="1"/>
  <c r="J2" i="1"/>
  <c r="O2" i="1"/>
  <c r="Q2" i="1"/>
  <c r="L2" i="1"/>
  <c r="M2" i="1"/>
  <c r="K2" i="1"/>
  <c r="P2" i="1"/>
  <c r="N2" i="1"/>
  <c r="I203" i="15"/>
  <c r="I201" i="15" s="1"/>
  <c r="I270" i="15"/>
  <c r="D22" i="7"/>
  <c r="C36" i="31" s="1"/>
  <c r="D21" i="7"/>
  <c r="I174" i="15"/>
  <c r="D31" i="7"/>
  <c r="D30" i="7"/>
  <c r="I63" i="3"/>
  <c r="C57" i="24" s="1"/>
  <c r="D136" i="7"/>
  <c r="D137" i="7"/>
  <c r="C49" i="31" s="1"/>
  <c r="D20" i="25"/>
  <c r="D12" i="30"/>
  <c r="D19" i="7"/>
  <c r="C32" i="30"/>
  <c r="F203" i="15"/>
  <c r="F201" i="15" s="1"/>
  <c r="L203" i="15"/>
  <c r="L201" i="15" s="1"/>
  <c r="L270" i="15"/>
  <c r="K84" i="3"/>
  <c r="R3" i="3"/>
  <c r="R4" i="3"/>
  <c r="D67" i="7"/>
  <c r="D66" i="7"/>
  <c r="L174" i="15"/>
  <c r="L268" i="15"/>
  <c r="F268" i="15"/>
  <c r="I268" i="15"/>
  <c r="D76" i="7"/>
  <c r="D85" i="7"/>
  <c r="D74" i="7"/>
  <c r="D110" i="7"/>
  <c r="D89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19" i="7"/>
  <c r="D115" i="7"/>
  <c r="C38" i="31" s="1"/>
  <c r="D120" i="7"/>
  <c r="D18" i="7"/>
  <c r="D45" i="7"/>
  <c r="D87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0" i="7"/>
  <c r="C42" i="31" s="1"/>
  <c r="D109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2" i="15"/>
  <c r="L272" i="15"/>
  <c r="I42" i="15"/>
  <c r="P20" i="3"/>
  <c r="F42" i="15"/>
  <c r="M20" i="3"/>
  <c r="H34" i="30"/>
  <c r="M38" i="3"/>
  <c r="M39" i="3" s="1"/>
  <c r="K39" i="3" s="1"/>
  <c r="L101" i="15"/>
  <c r="P39" i="3"/>
  <c r="N39" i="3" s="1"/>
  <c r="N38" i="3"/>
  <c r="I100" i="15"/>
  <c r="F101" i="15"/>
  <c r="I3" i="15"/>
  <c r="Q57" i="3"/>
  <c r="N37" i="3"/>
  <c r="F100" i="15"/>
  <c r="F103" i="15" s="1"/>
  <c r="L100" i="15"/>
  <c r="B226" i="15"/>
  <c r="B225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74" i="15"/>
  <c r="F196" i="15"/>
  <c r="F275" i="15"/>
  <c r="F278" i="15"/>
  <c r="L275" i="15"/>
  <c r="L196" i="15"/>
  <c r="L278" i="15"/>
  <c r="K14" i="7"/>
  <c r="I196" i="15"/>
  <c r="D145" i="7"/>
  <c r="D132" i="7"/>
  <c r="D122" i="7"/>
  <c r="D117" i="7"/>
  <c r="D61" i="7"/>
  <c r="D53" i="7"/>
  <c r="D51" i="7"/>
  <c r="D34" i="7"/>
  <c r="D27" i="7"/>
  <c r="D5" i="7"/>
  <c r="D143" i="7"/>
  <c r="D135" i="7"/>
  <c r="D129" i="7"/>
  <c r="D108" i="7"/>
  <c r="D62" i="7"/>
  <c r="D50" i="7"/>
  <c r="D37" i="7"/>
  <c r="D33" i="7"/>
  <c r="D25" i="7"/>
  <c r="C35" i="30" s="1"/>
  <c r="D141" i="7"/>
  <c r="D134" i="7"/>
  <c r="D127" i="7"/>
  <c r="D121" i="7"/>
  <c r="D114" i="7"/>
  <c r="C43" i="31" s="1"/>
  <c r="D112" i="7"/>
  <c r="D64" i="7"/>
  <c r="D60" i="7"/>
  <c r="D57" i="7"/>
  <c r="D52" i="7"/>
  <c r="D40" i="7"/>
  <c r="D36" i="7"/>
  <c r="D17" i="7"/>
  <c r="D139" i="7"/>
  <c r="D133" i="7"/>
  <c r="D125" i="7"/>
  <c r="D94" i="7"/>
  <c r="D63" i="7"/>
  <c r="D65" i="7"/>
  <c r="D55" i="7"/>
  <c r="D39" i="7"/>
  <c r="D1" i="7"/>
  <c r="J13" i="3"/>
  <c r="D22" i="25"/>
  <c r="I161" i="15"/>
  <c r="L161" i="15"/>
  <c r="L79" i="15"/>
  <c r="L80" i="15"/>
  <c r="L81" i="15"/>
  <c r="L82" i="15" s="1"/>
  <c r="I75" i="3"/>
  <c r="C69" i="24" s="1"/>
  <c r="I77" i="3"/>
  <c r="C71" i="24" s="1"/>
  <c r="I76" i="3"/>
  <c r="C70" i="24" s="1"/>
  <c r="F80" i="15"/>
  <c r="F81" i="15"/>
  <c r="F82" i="15" s="1"/>
  <c r="F79" i="15"/>
  <c r="I80" i="15"/>
  <c r="I79" i="15"/>
  <c r="I81" i="15"/>
  <c r="I82" i="15" s="1"/>
  <c r="I278" i="15"/>
  <c r="I275" i="15"/>
  <c r="P54" i="3"/>
  <c r="K55" i="3"/>
  <c r="M56" i="3"/>
  <c r="K54" i="3"/>
  <c r="I31" i="3"/>
  <c r="C25" i="24" s="1"/>
  <c r="C24" i="24"/>
  <c r="C2" i="14"/>
  <c r="I46" i="3"/>
  <c r="C40" i="24" s="1"/>
  <c r="I80" i="3"/>
  <c r="D113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9" i="15"/>
  <c r="W304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5" i="15"/>
  <c r="I58" i="3"/>
  <c r="C52" i="24" s="1"/>
  <c r="I74" i="3"/>
  <c r="I60" i="3"/>
  <c r="I21" i="3"/>
  <c r="I9" i="3"/>
  <c r="I15" i="3"/>
  <c r="C10" i="24" s="1"/>
  <c r="I36" i="3"/>
  <c r="C116" i="15"/>
  <c r="I37" i="3"/>
  <c r="I78" i="3"/>
  <c r="I83" i="3"/>
  <c r="C121" i="15"/>
  <c r="I17" i="3"/>
  <c r="C12" i="24" s="1"/>
  <c r="C120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I49" i="15" l="1"/>
  <c r="I50" i="15" s="1"/>
  <c r="F49" i="15"/>
  <c r="F50" i="15" s="1"/>
  <c r="F241" i="15"/>
  <c r="I240" i="15"/>
  <c r="I241" i="15"/>
  <c r="F240" i="15"/>
  <c r="I236" i="15"/>
  <c r="L236" i="15"/>
  <c r="F236" i="15"/>
  <c r="I66" i="15"/>
  <c r="L66" i="15"/>
  <c r="F66" i="15"/>
  <c r="F32" i="15"/>
  <c r="F31" i="15" s="1"/>
  <c r="F28" i="15" s="1"/>
  <c r="F36" i="15" s="1"/>
  <c r="I272" i="15"/>
  <c r="I32" i="15"/>
  <c r="I31" i="15" s="1"/>
  <c r="I28" i="15" s="1"/>
  <c r="I36" i="15" s="1"/>
  <c r="C38" i="30"/>
  <c r="K38" i="30" s="1"/>
  <c r="I265" i="15"/>
  <c r="L265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9" i="15"/>
  <c r="F230" i="15"/>
  <c r="L269" i="15"/>
  <c r="C18" i="24"/>
  <c r="K14" i="30"/>
  <c r="G14" i="30"/>
  <c r="C14" i="30"/>
  <c r="L229" i="15"/>
  <c r="L230" i="15"/>
  <c r="G32" i="30"/>
  <c r="K32" i="30"/>
  <c r="C17" i="24"/>
  <c r="K13" i="30"/>
  <c r="C13" i="30"/>
  <c r="K33" i="30"/>
  <c r="G33" i="30"/>
  <c r="K35" i="30"/>
  <c r="G35" i="30"/>
  <c r="I223" i="15"/>
  <c r="I225" i="15" s="1"/>
  <c r="I200" i="15"/>
  <c r="F223" i="15"/>
  <c r="F225" i="15" s="1"/>
  <c r="F200" i="15"/>
  <c r="L223" i="15"/>
  <c r="L225" i="15" s="1"/>
  <c r="L200" i="15"/>
  <c r="F265" i="15"/>
  <c r="C16" i="24"/>
  <c r="I269" i="15"/>
  <c r="F272" i="15"/>
  <c r="F269" i="15" s="1"/>
  <c r="H82" i="7" s="1"/>
  <c r="F264" i="15"/>
  <c r="F261" i="15" s="1"/>
  <c r="I264" i="15"/>
  <c r="I261" i="15" s="1"/>
  <c r="L264" i="15"/>
  <c r="L261" i="15" s="1"/>
  <c r="F186" i="15"/>
  <c r="I186" i="15"/>
  <c r="L191" i="15"/>
  <c r="L186" i="15"/>
  <c r="D88" i="7"/>
  <c r="C67" i="24"/>
  <c r="I229" i="15"/>
  <c r="I230" i="15"/>
  <c r="B73" i="14"/>
  <c r="B72" i="14"/>
  <c r="B71" i="14"/>
  <c r="F207" i="15"/>
  <c r="B38" i="14"/>
  <c r="G22" i="3" s="1"/>
  <c r="B57" i="14"/>
  <c r="B56" i="14"/>
  <c r="B55" i="14"/>
  <c r="B54" i="14"/>
  <c r="L102" i="15"/>
  <c r="Q40" i="3"/>
  <c r="I102" i="15"/>
  <c r="N13" i="3"/>
  <c r="C8" i="24"/>
  <c r="C6" i="24"/>
  <c r="L103" i="15"/>
  <c r="M40" i="3"/>
  <c r="M41" i="3" s="1"/>
  <c r="K41" i="3" s="1"/>
  <c r="K38" i="3"/>
  <c r="I191" i="15"/>
  <c r="F129" i="15"/>
  <c r="F191" i="15"/>
  <c r="P40" i="3"/>
  <c r="N40" i="3" s="1"/>
  <c r="F102" i="15"/>
  <c r="F104" i="15" s="1"/>
  <c r="F105" i="15" s="1"/>
  <c r="I103" i="15"/>
  <c r="X5" i="3"/>
  <c r="L40" i="15"/>
  <c r="Q56" i="3"/>
  <c r="Q55" i="3"/>
  <c r="F182" i="15"/>
  <c r="K20" i="3"/>
  <c r="F40" i="15"/>
  <c r="N131" i="7"/>
  <c r="L47" i="31" s="1"/>
  <c r="I68" i="31" s="1"/>
  <c r="B9" i="14"/>
  <c r="I40" i="15"/>
  <c r="L182" i="15"/>
  <c r="L129" i="15"/>
  <c r="Q20" i="3"/>
  <c r="I129" i="15"/>
  <c r="N20" i="3"/>
  <c r="I182" i="15"/>
  <c r="B61" i="14"/>
  <c r="C72" i="24"/>
  <c r="D107" i="7"/>
  <c r="D7" i="7"/>
  <c r="F226" i="15"/>
  <c r="L226" i="15"/>
  <c r="I226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7" i="15"/>
  <c r="W302" i="15" s="1"/>
  <c r="D131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3" i="7"/>
  <c r="C55" i="24"/>
  <c r="D13" i="7"/>
  <c r="C7" i="24"/>
  <c r="C58" i="24"/>
  <c r="D56" i="7"/>
  <c r="C60" i="24"/>
  <c r="D124" i="7"/>
  <c r="C77" i="24"/>
  <c r="C5" i="24"/>
  <c r="C61" i="24"/>
  <c r="D59" i="7"/>
  <c r="C14" i="31" s="1"/>
  <c r="C76" i="24"/>
  <c r="D123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46" i="15" l="1"/>
  <c r="L145" i="15" s="1"/>
  <c r="I146" i="15"/>
  <c r="I145" i="15" s="1"/>
  <c r="F146" i="15"/>
  <c r="F145" i="15" s="1"/>
  <c r="H20" i="7" s="1"/>
  <c r="K82" i="7"/>
  <c r="K83" i="7" s="1"/>
  <c r="N82" i="7"/>
  <c r="N83" i="7" s="1"/>
  <c r="G33" i="3"/>
  <c r="N86" i="7"/>
  <c r="N87" i="7" s="1"/>
  <c r="H86" i="7"/>
  <c r="K86" i="7"/>
  <c r="K87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7" i="15"/>
  <c r="H37" i="7" s="1"/>
  <c r="L66" i="3"/>
  <c r="B27" i="24"/>
  <c r="B21" i="24"/>
  <c r="B41" i="24"/>
  <c r="L62" i="3"/>
  <c r="L227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7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104" i="15"/>
  <c r="L105" i="15" s="1"/>
  <c r="L98" i="15" s="1"/>
  <c r="L99" i="15" s="1"/>
  <c r="L106" i="15" s="1"/>
  <c r="I104" i="15"/>
  <c r="I105" i="15" s="1"/>
  <c r="I98" i="15" s="1"/>
  <c r="I99" i="15" s="1"/>
  <c r="I106" i="15" s="1"/>
  <c r="Q41" i="3"/>
  <c r="P41" i="3"/>
  <c r="N41" i="3" s="1"/>
  <c r="K40" i="3"/>
  <c r="M42" i="3"/>
  <c r="K42" i="3" s="1"/>
  <c r="L38" i="15"/>
  <c r="F291" i="15"/>
  <c r="G30" i="3"/>
  <c r="G31" i="3"/>
  <c r="G29" i="3"/>
  <c r="I38" i="15"/>
  <c r="I39" i="15" s="1"/>
  <c r="K47" i="3"/>
  <c r="H29" i="25"/>
  <c r="P56" i="3"/>
  <c r="N55" i="3"/>
  <c r="H131" i="7"/>
  <c r="D47" i="31" s="1"/>
  <c r="I57" i="31" s="1"/>
  <c r="K21" i="3"/>
  <c r="F98" i="15"/>
  <c r="F127" i="15"/>
  <c r="K26" i="3"/>
  <c r="L210" i="15"/>
  <c r="I57" i="3"/>
  <c r="C51" i="24" s="1"/>
  <c r="I41" i="3"/>
  <c r="C35" i="24" s="1"/>
  <c r="I42" i="3"/>
  <c r="C36" i="24" s="1"/>
  <c r="N39" i="7"/>
  <c r="R66" i="3"/>
  <c r="K50" i="3"/>
  <c r="K32" i="3"/>
  <c r="K30" i="3" s="1"/>
  <c r="F64" i="15"/>
  <c r="G32" i="3"/>
  <c r="I207" i="15"/>
  <c r="P66" i="3"/>
  <c r="O66" i="3" s="1"/>
  <c r="I7" i="15"/>
  <c r="I53" i="3"/>
  <c r="C47" i="24" s="1"/>
  <c r="I210" i="15"/>
  <c r="F210" i="15"/>
  <c r="G46" i="3"/>
  <c r="K46" i="3"/>
  <c r="I38" i="3"/>
  <c r="F163" i="15"/>
  <c r="H93" i="7" s="1"/>
  <c r="H92" i="7" s="1"/>
  <c r="I56" i="3"/>
  <c r="C50" i="24" s="1"/>
  <c r="H39" i="7"/>
  <c r="F7" i="15"/>
  <c r="F11" i="15"/>
  <c r="F18" i="15"/>
  <c r="L127" i="15"/>
  <c r="F19" i="15"/>
  <c r="F134" i="15" s="1"/>
  <c r="I163" i="15"/>
  <c r="I40" i="3"/>
  <c r="C34" i="24" s="1"/>
  <c r="I127" i="15"/>
  <c r="L163" i="15"/>
  <c r="K97" i="7" l="1"/>
  <c r="K96" i="7" s="1"/>
  <c r="K84" i="7"/>
  <c r="K101" i="7"/>
  <c r="K100" i="7" s="1"/>
  <c r="K93" i="7"/>
  <c r="K92" i="7" s="1"/>
  <c r="K104" i="7"/>
  <c r="K103" i="7" s="1"/>
  <c r="N104" i="7"/>
  <c r="N103" i="7" s="1"/>
  <c r="N84" i="7"/>
  <c r="N97" i="7"/>
  <c r="N96" i="7" s="1"/>
  <c r="N93" i="7"/>
  <c r="N92" i="7" s="1"/>
  <c r="N101" i="7"/>
  <c r="N100" i="7" s="1"/>
  <c r="H104" i="7"/>
  <c r="H103" i="7" s="1"/>
  <c r="H84" i="7"/>
  <c r="H101" i="7"/>
  <c r="H100" i="7" s="1"/>
  <c r="H97" i="7"/>
  <c r="H96" i="7" s="1"/>
  <c r="P72" i="3"/>
  <c r="O72" i="3" s="1"/>
  <c r="H87" i="7"/>
  <c r="M72" i="3"/>
  <c r="L72" i="3" s="1"/>
  <c r="H83" i="7"/>
  <c r="R75" i="3"/>
  <c r="R76" i="3"/>
  <c r="C32" i="24"/>
  <c r="M43" i="3"/>
  <c r="M44" i="3" s="1"/>
  <c r="K44" i="3" s="1"/>
  <c r="I128" i="15"/>
  <c r="L66" i="7" s="1"/>
  <c r="L128" i="15"/>
  <c r="L126" i="15" s="1"/>
  <c r="F34" i="15"/>
  <c r="F195" i="15"/>
  <c r="J66" i="7"/>
  <c r="M66" i="7"/>
  <c r="G29" i="7"/>
  <c r="F26" i="15"/>
  <c r="F294" i="15"/>
  <c r="F190" i="15"/>
  <c r="F187" i="15" s="1"/>
  <c r="F297" i="15"/>
  <c r="F295" i="15" s="1"/>
  <c r="H136" i="7" s="1"/>
  <c r="F211" i="15"/>
  <c r="F168" i="15"/>
  <c r="F202" i="15" s="1"/>
  <c r="F138" i="15"/>
  <c r="F135" i="15" s="1"/>
  <c r="F10" i="15"/>
  <c r="F157" i="15"/>
  <c r="F159" i="15" s="1"/>
  <c r="F171" i="15"/>
  <c r="F17" i="15"/>
  <c r="F15" i="15" s="1"/>
  <c r="F6" i="15"/>
  <c r="F4" i="15" s="1"/>
  <c r="Q42" i="3"/>
  <c r="L39" i="15"/>
  <c r="P42" i="3"/>
  <c r="N42" i="3" s="1"/>
  <c r="L291" i="15"/>
  <c r="I108" i="15"/>
  <c r="I291" i="15"/>
  <c r="L108" i="15"/>
  <c r="H12" i="7"/>
  <c r="D32" i="31" s="1"/>
  <c r="K13" i="3"/>
  <c r="F38" i="15"/>
  <c r="F128" i="15" s="1"/>
  <c r="F126" i="15" s="1"/>
  <c r="F21" i="15"/>
  <c r="F199" i="15" s="1"/>
  <c r="F277" i="15"/>
  <c r="F276" i="15" s="1"/>
  <c r="F274" i="15"/>
  <c r="F273" i="15" s="1"/>
  <c r="F20" i="15"/>
  <c r="H74" i="7" s="1"/>
  <c r="F22" i="15"/>
  <c r="H94" i="7" s="1"/>
  <c r="N56" i="3"/>
  <c r="P57" i="3"/>
  <c r="N57" i="3" s="1"/>
  <c r="K29" i="3"/>
  <c r="K31" i="3"/>
  <c r="K22" i="3"/>
  <c r="L7" i="15"/>
  <c r="F99" i="15"/>
  <c r="F106" i="15" s="1"/>
  <c r="F108" i="15" s="1"/>
  <c r="L207" i="15"/>
  <c r="I11" i="15"/>
  <c r="I18" i="15"/>
  <c r="L67" i="15"/>
  <c r="K39" i="7"/>
  <c r="L73" i="15"/>
  <c r="L75" i="15" s="1"/>
  <c r="L77" i="15" s="1"/>
  <c r="F73" i="15"/>
  <c r="K12" i="7"/>
  <c r="H32" i="31" s="1"/>
  <c r="L11" i="15"/>
  <c r="F153" i="15"/>
  <c r="H61" i="7" s="1"/>
  <c r="I19" i="15"/>
  <c r="L18" i="15"/>
  <c r="I64" i="15"/>
  <c r="I153" i="15"/>
  <c r="K61" i="7" s="1"/>
  <c r="I73" i="15"/>
  <c r="L153" i="15"/>
  <c r="N61" i="7" s="1"/>
  <c r="L19" i="15"/>
  <c r="L22" i="15" s="1"/>
  <c r="F67" i="15"/>
  <c r="F68" i="15"/>
  <c r="G56" i="7"/>
  <c r="G66" i="7"/>
  <c r="N19" i="3"/>
  <c r="Q19" i="3" l="1"/>
  <c r="M76" i="3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94" i="15"/>
  <c r="F193" i="15"/>
  <c r="K43" i="3"/>
  <c r="I126" i="15"/>
  <c r="F27" i="15"/>
  <c r="F116" i="15" s="1"/>
  <c r="F192" i="15"/>
  <c r="F197" i="15"/>
  <c r="L109" i="15"/>
  <c r="L110" i="15" s="1"/>
  <c r="L107" i="15" s="1"/>
  <c r="F169" i="15"/>
  <c r="F246" i="15"/>
  <c r="H43" i="7" s="1"/>
  <c r="H75" i="7"/>
  <c r="I34" i="15"/>
  <c r="I195" i="15"/>
  <c r="I194" i="15" s="1"/>
  <c r="F109" i="15"/>
  <c r="F110" i="15" s="1"/>
  <c r="F107" i="15" s="1"/>
  <c r="F220" i="15" s="1"/>
  <c r="F217" i="15" s="1"/>
  <c r="I109" i="15"/>
  <c r="I110" i="15" s="1"/>
  <c r="I107" i="15" s="1"/>
  <c r="L34" i="15"/>
  <c r="L195" i="15"/>
  <c r="L194" i="15" s="1"/>
  <c r="H15" i="7"/>
  <c r="K15" i="7"/>
  <c r="F209" i="15"/>
  <c r="H112" i="7" s="1"/>
  <c r="I297" i="15"/>
  <c r="I295" i="15" s="1"/>
  <c r="K136" i="7" s="1"/>
  <c r="I294" i="15"/>
  <c r="I26" i="15"/>
  <c r="I211" i="15"/>
  <c r="I190" i="15"/>
  <c r="I187" i="15" s="1"/>
  <c r="I168" i="15"/>
  <c r="I171" i="15"/>
  <c r="I17" i="15"/>
  <c r="I15" i="15" s="1"/>
  <c r="I138" i="15"/>
  <c r="I135" i="15" s="1"/>
  <c r="I10" i="15"/>
  <c r="I157" i="15"/>
  <c r="I159" i="15" s="1"/>
  <c r="I134" i="15"/>
  <c r="I6" i="15"/>
  <c r="I4" i="15" s="1"/>
  <c r="L294" i="15"/>
  <c r="L26" i="15"/>
  <c r="L211" i="15"/>
  <c r="L190" i="15"/>
  <c r="L187" i="15" s="1"/>
  <c r="L297" i="15"/>
  <c r="L295" i="15" s="1"/>
  <c r="N136" i="7" s="1"/>
  <c r="L171" i="15"/>
  <c r="L17" i="15"/>
  <c r="L15" i="15" s="1"/>
  <c r="L138" i="15"/>
  <c r="L135" i="15" s="1"/>
  <c r="L10" i="15"/>
  <c r="L157" i="15"/>
  <c r="L159" i="15" s="1"/>
  <c r="L134" i="15"/>
  <c r="L6" i="15"/>
  <c r="L4" i="15" s="1"/>
  <c r="L168" i="15"/>
  <c r="L202" i="15" s="1"/>
  <c r="Q43" i="3"/>
  <c r="F39" i="15"/>
  <c r="P43" i="3"/>
  <c r="N43" i="3" s="1"/>
  <c r="M45" i="3"/>
  <c r="F281" i="15" s="1"/>
  <c r="F222" i="15" s="1"/>
  <c r="F75" i="15"/>
  <c r="F77" i="15" s="1"/>
  <c r="F74" i="15"/>
  <c r="L68" i="15"/>
  <c r="L65" i="15" s="1"/>
  <c r="L69" i="15" s="1"/>
  <c r="L70" i="15" s="1"/>
  <c r="L63" i="15" s="1"/>
  <c r="L64" i="15"/>
  <c r="I21" i="15"/>
  <c r="I199" i="15" s="1"/>
  <c r="I20" i="15"/>
  <c r="K74" i="7" s="1"/>
  <c r="I277" i="15"/>
  <c r="I276" i="15" s="1"/>
  <c r="I193" i="15" s="1"/>
  <c r="I274" i="15"/>
  <c r="I273" i="15" s="1"/>
  <c r="I22" i="15"/>
  <c r="L20" i="15"/>
  <c r="N74" i="7" s="1"/>
  <c r="L21" i="15"/>
  <c r="L199" i="15" s="1"/>
  <c r="L274" i="15"/>
  <c r="L273" i="15" s="1"/>
  <c r="L277" i="15"/>
  <c r="L276" i="15" s="1"/>
  <c r="L193" i="15" s="1"/>
  <c r="K131" i="7"/>
  <c r="H47" i="31" s="1"/>
  <c r="I63" i="31" s="1"/>
  <c r="L74" i="15"/>
  <c r="I68" i="15"/>
  <c r="I67" i="15"/>
  <c r="I75" i="15"/>
  <c r="I77" i="15" s="1"/>
  <c r="I74" i="15"/>
  <c r="F65" i="15"/>
  <c r="F69" i="15" s="1"/>
  <c r="F62" i="15" s="1"/>
  <c r="F85" i="15" s="1"/>
  <c r="H62" i="7"/>
  <c r="H40" i="7"/>
  <c r="H54" i="7"/>
  <c r="K19" i="3" l="1"/>
  <c r="L27" i="15"/>
  <c r="L116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87" i="15"/>
  <c r="F282" i="15" s="1"/>
  <c r="L192" i="15"/>
  <c r="L279" i="15" s="1"/>
  <c r="N90" i="7" s="1"/>
  <c r="K16" i="30" s="1"/>
  <c r="I192" i="15"/>
  <c r="I279" i="15" s="1"/>
  <c r="K90" i="7" s="1"/>
  <c r="G16" i="30" s="1"/>
  <c r="F279" i="15"/>
  <c r="H90" i="7" s="1"/>
  <c r="C16" i="30" s="1"/>
  <c r="F12" i="15"/>
  <c r="F8" i="15" s="1"/>
  <c r="F164" i="15"/>
  <c r="F165" i="15"/>
  <c r="F166" i="15" s="1"/>
  <c r="F151" i="15"/>
  <c r="I27" i="15"/>
  <c r="I116" i="15" s="1"/>
  <c r="I132" i="15"/>
  <c r="I220" i="15"/>
  <c r="I217" i="15" s="1"/>
  <c r="L132" i="15"/>
  <c r="L220" i="15"/>
  <c r="L217" i="15" s="1"/>
  <c r="I202" i="15"/>
  <c r="I197" i="15" s="1"/>
  <c r="L216" i="15"/>
  <c r="L197" i="15"/>
  <c r="Q44" i="3"/>
  <c r="Q37" i="3" s="1"/>
  <c r="K75" i="7"/>
  <c r="N75" i="7"/>
  <c r="F132" i="15"/>
  <c r="F216" i="15"/>
  <c r="F84" i="15"/>
  <c r="F87" i="15" s="1"/>
  <c r="I216" i="15"/>
  <c r="I209" i="15"/>
  <c r="L209" i="15"/>
  <c r="N112" i="7" s="1"/>
  <c r="L246" i="15"/>
  <c r="L287" i="15"/>
  <c r="L151" i="15"/>
  <c r="I246" i="15"/>
  <c r="F208" i="15"/>
  <c r="F204" i="15" s="1"/>
  <c r="L152" i="15"/>
  <c r="N53" i="7" s="1"/>
  <c r="L12" i="15"/>
  <c r="L8" i="15" s="1"/>
  <c r="L164" i="15"/>
  <c r="L165" i="15"/>
  <c r="L166" i="15" s="1"/>
  <c r="L257" i="15" s="1"/>
  <c r="L169" i="15"/>
  <c r="I169" i="15"/>
  <c r="P44" i="3"/>
  <c r="K94" i="7"/>
  <c r="I66" i="7"/>
  <c r="H21" i="7"/>
  <c r="F140" i="15"/>
  <c r="K45" i="3"/>
  <c r="K62" i="7"/>
  <c r="L76" i="15"/>
  <c r="I76" i="15"/>
  <c r="F76" i="15"/>
  <c r="G50" i="7"/>
  <c r="K54" i="7"/>
  <c r="K40" i="7"/>
  <c r="F70" i="15"/>
  <c r="F63" i="15" s="1"/>
  <c r="F71" i="15" s="1"/>
  <c r="L62" i="15"/>
  <c r="I65" i="15"/>
  <c r="I69" i="15" s="1"/>
  <c r="N94" i="7"/>
  <c r="N62" i="7"/>
  <c r="N54" i="7"/>
  <c r="N40" i="7"/>
  <c r="F257" i="15" l="1"/>
  <c r="F258" i="15" s="1"/>
  <c r="F251" i="15" s="1"/>
  <c r="F131" i="15" s="1"/>
  <c r="F130" i="15" s="1"/>
  <c r="L85" i="15"/>
  <c r="L84" i="15" s="1"/>
  <c r="L87" i="15" s="1"/>
  <c r="L71" i="15"/>
  <c r="N85" i="7"/>
  <c r="F283" i="15"/>
  <c r="K85" i="7"/>
  <c r="F284" i="15"/>
  <c r="F212" i="15"/>
  <c r="L283" i="15"/>
  <c r="L282" i="15"/>
  <c r="L140" i="15"/>
  <c r="I12" i="15"/>
  <c r="I8" i="15" s="1"/>
  <c r="I287" i="15"/>
  <c r="I282" i="15" s="1"/>
  <c r="I164" i="15"/>
  <c r="F172" i="15"/>
  <c r="F154" i="15" s="1"/>
  <c r="H52" i="7" s="1"/>
  <c r="I165" i="15"/>
  <c r="I166" i="15" s="1"/>
  <c r="I152" i="15"/>
  <c r="K53" i="7" s="1"/>
  <c r="I151" i="15"/>
  <c r="L172" i="15"/>
  <c r="L154" i="15" s="1"/>
  <c r="N52" i="7" s="1"/>
  <c r="N55" i="7" s="1"/>
  <c r="L258" i="15"/>
  <c r="L251" i="15" s="1"/>
  <c r="L131" i="15" s="1"/>
  <c r="L130" i="15" s="1"/>
  <c r="N66" i="7" s="1"/>
  <c r="N67" i="7" s="1"/>
  <c r="F152" i="15"/>
  <c r="H53" i="7" s="1"/>
  <c r="H108" i="7"/>
  <c r="H109" i="7" s="1"/>
  <c r="E42" i="31" s="1"/>
  <c r="F206" i="15"/>
  <c r="F302" i="15"/>
  <c r="K112" i="7"/>
  <c r="F86" i="15"/>
  <c r="F72" i="15" s="1"/>
  <c r="O302" i="15"/>
  <c r="U302" i="15"/>
  <c r="L284" i="15"/>
  <c r="I208" i="15"/>
  <c r="I204" i="15" s="1"/>
  <c r="I212" i="15" s="1"/>
  <c r="L208" i="15"/>
  <c r="L204" i="15" s="1"/>
  <c r="L212" i="15" s="1"/>
  <c r="K43" i="7"/>
  <c r="N43" i="7"/>
  <c r="P45" i="3"/>
  <c r="N44" i="3"/>
  <c r="L86" i="15"/>
  <c r="L72" i="15" s="1"/>
  <c r="I70" i="15"/>
  <c r="I63" i="15" s="1"/>
  <c r="I62" i="15"/>
  <c r="I85" i="15" s="1"/>
  <c r="L302" i="15" l="1"/>
  <c r="I257" i="15"/>
  <c r="I258" i="15" s="1"/>
  <c r="I251" i="15" s="1"/>
  <c r="I131" i="15" s="1"/>
  <c r="I130" i="15" s="1"/>
  <c r="K66" i="7" s="1"/>
  <c r="K67" i="7" s="1"/>
  <c r="F285" i="15"/>
  <c r="F292" i="15" s="1"/>
  <c r="F290" i="15" s="1"/>
  <c r="H135" i="7" s="1"/>
  <c r="D48" i="31" s="1"/>
  <c r="E49" i="31" s="1"/>
  <c r="E44" i="30"/>
  <c r="I284" i="15"/>
  <c r="Q45" i="3"/>
  <c r="L281" i="15"/>
  <c r="L222" i="15" s="1"/>
  <c r="N21" i="7" s="1"/>
  <c r="I283" i="15"/>
  <c r="H55" i="7"/>
  <c r="I172" i="15"/>
  <c r="I154" i="15" s="1"/>
  <c r="K52" i="7" s="1"/>
  <c r="K55" i="7" s="1"/>
  <c r="L178" i="15"/>
  <c r="H66" i="7"/>
  <c r="H67" i="7" s="1"/>
  <c r="F178" i="15"/>
  <c r="I206" i="15"/>
  <c r="L206" i="15"/>
  <c r="I84" i="15"/>
  <c r="I302" i="15" s="1"/>
  <c r="I86" i="15"/>
  <c r="N108" i="7"/>
  <c r="N109" i="7" s="1"/>
  <c r="M42" i="31" s="1"/>
  <c r="K108" i="7"/>
  <c r="K109" i="7" s="1"/>
  <c r="I42" i="31" s="1"/>
  <c r="I281" i="15"/>
  <c r="I222" i="15" s="1"/>
  <c r="K21" i="7" s="1"/>
  <c r="N45" i="3"/>
  <c r="I140" i="15"/>
  <c r="I71" i="15"/>
  <c r="L83" i="15"/>
  <c r="F83" i="15"/>
  <c r="L303" i="15"/>
  <c r="F303" i="15"/>
  <c r="L124" i="15" l="1"/>
  <c r="L122" i="15" s="1"/>
  <c r="N60" i="7" s="1"/>
  <c r="N63" i="7" s="1"/>
  <c r="N64" i="7" s="1"/>
  <c r="F280" i="15"/>
  <c r="F141" i="15" s="1"/>
  <c r="M44" i="30"/>
  <c r="I44" i="30"/>
  <c r="L285" i="15"/>
  <c r="L280" i="15" s="1"/>
  <c r="L141" i="15" s="1"/>
  <c r="I285" i="15"/>
  <c r="I292" i="15" s="1"/>
  <c r="O312" i="15"/>
  <c r="O313" i="15" s="1"/>
  <c r="U312" i="15"/>
  <c r="U313" i="15" s="1"/>
  <c r="F175" i="15"/>
  <c r="F173" i="15" s="1"/>
  <c r="H57" i="7" s="1"/>
  <c r="I178" i="15"/>
  <c r="L184" i="15"/>
  <c r="L183" i="15" s="1"/>
  <c r="I87" i="15"/>
  <c r="R302" i="15"/>
  <c r="R303" i="15"/>
  <c r="L312" i="15"/>
  <c r="L313" i="15" s="1"/>
  <c r="F312" i="15"/>
  <c r="F313" i="15" s="1"/>
  <c r="F90" i="15"/>
  <c r="F95" i="15" s="1"/>
  <c r="L90" i="15"/>
  <c r="I72" i="15"/>
  <c r="I83" i="15"/>
  <c r="G48" i="7"/>
  <c r="E302" i="15"/>
  <c r="O303" i="15"/>
  <c r="U303" i="15"/>
  <c r="K302" i="15"/>
  <c r="F92" i="15" l="1"/>
  <c r="F286" i="15"/>
  <c r="F308" i="15" s="1"/>
  <c r="F142" i="15"/>
  <c r="F143" i="15" s="1"/>
  <c r="F144" i="15" s="1"/>
  <c r="H48" i="7" s="1"/>
  <c r="L292" i="15"/>
  <c r="L290" i="15" s="1"/>
  <c r="N135" i="7" s="1"/>
  <c r="L48" i="31" s="1"/>
  <c r="M49" i="31" s="1"/>
  <c r="U309" i="15"/>
  <c r="R309" i="15"/>
  <c r="I312" i="15"/>
  <c r="I313" i="15" s="1"/>
  <c r="L95" i="15"/>
  <c r="R308" i="15"/>
  <c r="U308" i="15"/>
  <c r="O309" i="15"/>
  <c r="L142" i="15"/>
  <c r="L310" i="15" s="1"/>
  <c r="L286" i="15"/>
  <c r="N134" i="7" s="1"/>
  <c r="I290" i="15"/>
  <c r="K135" i="7" s="1"/>
  <c r="H48" i="31" s="1"/>
  <c r="I49" i="31" s="1"/>
  <c r="I280" i="15"/>
  <c r="O308" i="15"/>
  <c r="E303" i="15"/>
  <c r="K303" i="15"/>
  <c r="I90" i="15"/>
  <c r="Q302" i="15"/>
  <c r="I303" i="15"/>
  <c r="U304" i="15"/>
  <c r="O304" i="15"/>
  <c r="N302" i="15"/>
  <c r="T302" i="15"/>
  <c r="L92" i="15" l="1"/>
  <c r="N20" i="7" s="1"/>
  <c r="H134" i="7"/>
  <c r="F311" i="15"/>
  <c r="F309" i="15"/>
  <c r="F310" i="15"/>
  <c r="O310" i="15"/>
  <c r="O311" i="15"/>
  <c r="I95" i="15"/>
  <c r="R311" i="15"/>
  <c r="U311" i="15"/>
  <c r="H58" i="7"/>
  <c r="L309" i="15"/>
  <c r="L308" i="15"/>
  <c r="L143" i="15"/>
  <c r="L144" i="15" s="1"/>
  <c r="L311" i="15"/>
  <c r="I286" i="15"/>
  <c r="I141" i="15"/>
  <c r="R312" i="15"/>
  <c r="R313" i="15" s="1"/>
  <c r="Q303" i="15"/>
  <c r="N303" i="15"/>
  <c r="N304" i="15" s="1"/>
  <c r="N305" i="15" s="1"/>
  <c r="T303" i="15"/>
  <c r="T304" i="15" s="1"/>
  <c r="T305" i="15" s="1"/>
  <c r="U307" i="15"/>
  <c r="O307" i="15"/>
  <c r="H302" i="15"/>
  <c r="O306" i="15"/>
  <c r="U305" i="15"/>
  <c r="O305" i="15"/>
  <c r="I92" i="15" l="1"/>
  <c r="K20" i="7" s="1"/>
  <c r="I309" i="15"/>
  <c r="K134" i="7"/>
  <c r="R310" i="15"/>
  <c r="U310" i="15"/>
  <c r="H69" i="7"/>
  <c r="R307" i="15"/>
  <c r="N48" i="7"/>
  <c r="I142" i="15"/>
  <c r="I310" i="15" s="1"/>
  <c r="I308" i="15"/>
  <c r="R304" i="15"/>
  <c r="Q304" i="15" s="1"/>
  <c r="U306" i="15"/>
  <c r="T306" i="15" s="1"/>
  <c r="H303" i="15"/>
  <c r="N306" i="15"/>
  <c r="I111" i="15" l="1"/>
  <c r="K28" i="7" s="1"/>
  <c r="I143" i="15"/>
  <c r="I311" i="15"/>
  <c r="R305" i="15"/>
  <c r="T307" i="15"/>
  <c r="T308" i="15" s="1"/>
  <c r="T309" i="15" s="1"/>
  <c r="T310" i="15" s="1"/>
  <c r="T311" i="15" s="1"/>
  <c r="T312" i="15" s="1"/>
  <c r="T313" i="15" s="1"/>
  <c r="T314" i="15" s="1"/>
  <c r="T315" i="15" s="1"/>
  <c r="T316" i="15" s="1"/>
  <c r="T317" i="15" s="1"/>
  <c r="T318" i="15" s="1"/>
  <c r="Q305" i="15"/>
  <c r="N307" i="15"/>
  <c r="I120" i="15" l="1"/>
  <c r="I121" i="15" s="1"/>
  <c r="K34" i="7" s="1"/>
  <c r="I114" i="15"/>
  <c r="I24" i="15"/>
  <c r="I23" i="15" s="1"/>
  <c r="I250" i="15" s="1"/>
  <c r="I249" i="15" s="1"/>
  <c r="I115" i="15"/>
  <c r="K36" i="7"/>
  <c r="K31" i="7"/>
  <c r="K27" i="7"/>
  <c r="R306" i="15"/>
  <c r="Q306" i="15" s="1"/>
  <c r="Q307" i="15" s="1"/>
  <c r="Q308" i="15" s="1"/>
  <c r="Q309" i="15" s="1"/>
  <c r="Q310" i="15" s="1"/>
  <c r="Q311" i="15" s="1"/>
  <c r="Q312" i="15" s="1"/>
  <c r="Q313" i="15" s="1"/>
  <c r="Q314" i="15" s="1"/>
  <c r="Q315" i="15" s="1"/>
  <c r="Q316" i="15" s="1"/>
  <c r="Q317" i="15" s="1"/>
  <c r="Q318" i="15" s="1"/>
  <c r="Q319" i="15" s="1"/>
  <c r="I144" i="15"/>
  <c r="K48" i="7" s="1"/>
  <c r="T319" i="15"/>
  <c r="N308" i="15"/>
  <c r="N309" i="15" s="1"/>
  <c r="N310" i="15" s="1"/>
  <c r="N311" i="15" s="1"/>
  <c r="N312" i="15" s="1"/>
  <c r="N313" i="15" s="1"/>
  <c r="N314" i="15" s="1"/>
  <c r="N315" i="15" s="1"/>
  <c r="N316" i="15" s="1"/>
  <c r="N317" i="15" s="1"/>
  <c r="N318" i="15" s="1"/>
  <c r="L233" i="15" l="1"/>
  <c r="K33" i="7"/>
  <c r="K42" i="7"/>
  <c r="N319" i="15"/>
  <c r="L43" i="15" l="1"/>
  <c r="L44" i="15" s="1"/>
  <c r="L48" i="15"/>
  <c r="L46" i="15" l="1"/>
  <c r="L41" i="15"/>
  <c r="L52" i="15" s="1"/>
  <c r="L53" i="15" s="1"/>
  <c r="L47" i="15"/>
  <c r="L51" i="15" l="1"/>
  <c r="L91" i="15"/>
  <c r="N50" i="7"/>
  <c r="N32" i="7"/>
  <c r="L177" i="15"/>
  <c r="L175" i="15" s="1"/>
  <c r="L173" i="15" s="1"/>
  <c r="N57" i="7" s="1"/>
  <c r="L180" i="15"/>
  <c r="L179" i="15" s="1"/>
  <c r="I233" i="15"/>
  <c r="I43" i="15" l="1"/>
  <c r="I48" i="15"/>
  <c r="L89" i="15"/>
  <c r="M89" i="15" s="1"/>
  <c r="L304" i="15"/>
  <c r="L88" i="15"/>
  <c r="N89" i="7" s="1"/>
  <c r="N129" i="7"/>
  <c r="L58" i="15"/>
  <c r="L59" i="15" s="1"/>
  <c r="I46" i="15"/>
  <c r="N58" i="7"/>
  <c r="L307" i="15"/>
  <c r="L117" i="15"/>
  <c r="L119" i="15" s="1"/>
  <c r="L111" i="15" s="1"/>
  <c r="K17" i="7"/>
  <c r="I44" i="15"/>
  <c r="W4" i="7"/>
  <c r="N69" i="7" l="1"/>
  <c r="N70" i="7" s="1"/>
  <c r="L306" i="15"/>
  <c r="N31" i="7"/>
  <c r="L120" i="15"/>
  <c r="L121" i="15" s="1"/>
  <c r="N34" i="7" s="1"/>
  <c r="L24" i="15"/>
  <c r="L23" i="15" s="1"/>
  <c r="L250" i="15" s="1"/>
  <c r="L115" i="15"/>
  <c r="L114" i="15"/>
  <c r="N33" i="7" s="1"/>
  <c r="N41" i="7" s="1"/>
  <c r="N27" i="7"/>
  <c r="N36" i="7"/>
  <c r="N38" i="7" s="1"/>
  <c r="N28" i="7"/>
  <c r="I41" i="15"/>
  <c r="I47" i="15"/>
  <c r="I51" i="15" s="1"/>
  <c r="M43" i="30"/>
  <c r="M41" i="31"/>
  <c r="K304" i="15"/>
  <c r="L305" i="15"/>
  <c r="I177" i="15"/>
  <c r="I175" i="15" s="1"/>
  <c r="I173" i="15" s="1"/>
  <c r="K57" i="7" s="1"/>
  <c r="K58" i="7" s="1"/>
  <c r="I91" i="15"/>
  <c r="I37" i="30"/>
  <c r="K18" i="7"/>
  <c r="I35" i="31"/>
  <c r="K32" i="7" l="1"/>
  <c r="I52" i="15"/>
  <c r="I124" i="15"/>
  <c r="I122" i="15" s="1"/>
  <c r="K60" i="7" s="1"/>
  <c r="K50" i="7"/>
  <c r="K129" i="7" s="1"/>
  <c r="I184" i="15"/>
  <c r="I183" i="15" s="1"/>
  <c r="N35" i="7"/>
  <c r="I180" i="15"/>
  <c r="I179" i="15" s="1"/>
  <c r="L249" i="15"/>
  <c r="N42" i="7" s="1"/>
  <c r="N44" i="7" s="1"/>
  <c r="N19" i="7"/>
  <c r="N22" i="7" s="1"/>
  <c r="M42" i="30"/>
  <c r="M40" i="31"/>
  <c r="K305" i="15"/>
  <c r="I117" i="15"/>
  <c r="I119" i="15" s="1"/>
  <c r="K44" i="7"/>
  <c r="K38" i="7"/>
  <c r="K41" i="7"/>
  <c r="K35" i="7"/>
  <c r="K19" i="7"/>
  <c r="K22" i="7" s="1"/>
  <c r="K24" i="7" s="1"/>
  <c r="I88" i="15"/>
  <c r="K89" i="7" s="1"/>
  <c r="I304" i="15"/>
  <c r="I89" i="15"/>
  <c r="J89" i="15" s="1"/>
  <c r="K69" i="7"/>
  <c r="I307" i="15"/>
  <c r="K63" i="7"/>
  <c r="K64" i="7" s="1"/>
  <c r="I306" i="15" s="1"/>
  <c r="I58" i="15" l="1"/>
  <c r="I59" i="15" s="1"/>
  <c r="N46" i="7"/>
  <c r="K306" i="15"/>
  <c r="M38" i="30"/>
  <c r="M36" i="31"/>
  <c r="I305" i="15"/>
  <c r="H304" i="15"/>
  <c r="K70" i="7"/>
  <c r="I43" i="30"/>
  <c r="I41" i="31"/>
  <c r="K46" i="7"/>
  <c r="K25" i="7"/>
  <c r="I37" i="31"/>
  <c r="I39" i="30"/>
  <c r="I36" i="31"/>
  <c r="I38" i="30"/>
  <c r="M39" i="31" l="1"/>
  <c r="M41" i="30"/>
  <c r="N111" i="7"/>
  <c r="N114" i="7" s="1"/>
  <c r="M43" i="31" s="1"/>
  <c r="L38" i="31" s="1"/>
  <c r="K307" i="15"/>
  <c r="I41" i="30"/>
  <c r="I39" i="31"/>
  <c r="K111" i="7"/>
  <c r="K125" i="7" s="1"/>
  <c r="H305" i="15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H316" i="15" s="1"/>
  <c r="H317" i="15" s="1"/>
  <c r="H318" i="15" s="1"/>
  <c r="H319" i="15" s="1"/>
  <c r="H33" i="31"/>
  <c r="C63" i="31" s="1"/>
  <c r="D64" i="31" s="1"/>
  <c r="H35" i="30"/>
  <c r="D68" i="31"/>
  <c r="I40" i="31"/>
  <c r="I42" i="30"/>
  <c r="N115" i="7" l="1"/>
  <c r="K308" i="15"/>
  <c r="K141" i="7"/>
  <c r="K142" i="7"/>
  <c r="H46" i="31"/>
  <c r="I47" i="31" s="1"/>
  <c r="K146" i="7"/>
  <c r="H47" i="30"/>
  <c r="H45" i="31"/>
  <c r="F63" i="31" s="1"/>
  <c r="K145" i="7"/>
  <c r="K114" i="7"/>
  <c r="I43" i="31" s="1"/>
  <c r="K144" i="7"/>
  <c r="H38" i="31"/>
  <c r="D63" i="31" s="1"/>
  <c r="E64" i="31" s="1"/>
  <c r="K143" i="7"/>
  <c r="G63" i="31"/>
  <c r="H63" i="31" s="1"/>
  <c r="G47" i="31"/>
  <c r="K47" i="31"/>
  <c r="L34" i="30"/>
  <c r="Q13" i="3"/>
  <c r="N12" i="7"/>
  <c r="N15" i="7" s="1"/>
  <c r="M36" i="30" s="1"/>
  <c r="N121" i="7" l="1"/>
  <c r="L40" i="30"/>
  <c r="M45" i="30"/>
  <c r="K309" i="15"/>
  <c r="I45" i="31"/>
  <c r="K115" i="7"/>
  <c r="L32" i="31"/>
  <c r="N17" i="7"/>
  <c r="M34" i="31"/>
  <c r="K310" i="15" l="1"/>
  <c r="K118" i="7"/>
  <c r="K121" i="7"/>
  <c r="H40" i="30"/>
  <c r="I45" i="30"/>
  <c r="M37" i="30"/>
  <c r="M35" i="31"/>
  <c r="N18" i="7"/>
  <c r="K311" i="15" l="1"/>
  <c r="K120" i="7"/>
  <c r="K122" i="7" s="1"/>
  <c r="N24" i="7"/>
  <c r="K312" i="15" l="1"/>
  <c r="H44" i="31"/>
  <c r="H46" i="30"/>
  <c r="K127" i="7"/>
  <c r="M39" i="30"/>
  <c r="M37" i="31"/>
  <c r="L33" i="31" s="1"/>
  <c r="N25" i="7"/>
  <c r="K313" i="15" l="1"/>
  <c r="H48" i="30"/>
  <c r="I47" i="30" s="1"/>
  <c r="K2" i="7"/>
  <c r="K3" i="7" s="1"/>
  <c r="K4" i="7" s="1"/>
  <c r="K132" i="7"/>
  <c r="K133" i="7" s="1"/>
  <c r="E63" i="31"/>
  <c r="F64" i="31" s="1"/>
  <c r="I44" i="31"/>
  <c r="C68" i="31"/>
  <c r="D69" i="31" s="1"/>
  <c r="E69" i="31" s="1"/>
  <c r="N118" i="7"/>
  <c r="N125" i="7"/>
  <c r="L35" i="30"/>
  <c r="K314" i="15" l="1"/>
  <c r="K315" i="15" s="1"/>
  <c r="K316" i="15" s="1"/>
  <c r="K317" i="15" s="1"/>
  <c r="K318" i="15" s="1"/>
  <c r="N141" i="7"/>
  <c r="N145" i="7"/>
  <c r="I46" i="30"/>
  <c r="L47" i="30"/>
  <c r="L45" i="31"/>
  <c r="N120" i="7"/>
  <c r="N122" i="7" s="1"/>
  <c r="K319" i="15" l="1"/>
  <c r="N143" i="7"/>
  <c r="L44" i="31"/>
  <c r="L46" i="31" s="1"/>
  <c r="L46" i="30"/>
  <c r="N127" i="7"/>
  <c r="F68" i="31"/>
  <c r="N146" i="7" l="1"/>
  <c r="N142" i="7"/>
  <c r="N144" i="7"/>
  <c r="L48" i="30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  <c r="F111" i="15" l="1"/>
  <c r="F24" i="15" s="1"/>
  <c r="F23" i="15"/>
  <c r="F250" i="15" s="1"/>
  <c r="F249" i="15" s="1"/>
  <c r="H42" i="7" s="1"/>
  <c r="F179" i="15"/>
  <c r="H27" i="7" l="1"/>
  <c r="F115" i="15"/>
  <c r="F114" i="15"/>
  <c r="H36" i="7"/>
  <c r="H28" i="7"/>
  <c r="F120" i="15"/>
  <c r="F121" i="15" s="1"/>
  <c r="H34" i="7" s="1"/>
  <c r="H31" i="7"/>
  <c r="H33" i="7" s="1"/>
  <c r="F233" i="15" l="1"/>
  <c r="H89" i="7"/>
  <c r="E41" i="31" s="1"/>
  <c r="F43" i="15" l="1"/>
  <c r="F46" i="15" s="1"/>
  <c r="F48" i="15"/>
  <c r="E43" i="30"/>
  <c r="H17" i="7" l="1"/>
  <c r="E35" i="31" s="1"/>
  <c r="F44" i="15"/>
  <c r="F47" i="15" s="1"/>
  <c r="F51" i="15" s="1"/>
  <c r="F41" i="15" l="1"/>
  <c r="E37" i="30"/>
  <c r="H18" i="7"/>
  <c r="F124" i="15"/>
  <c r="F122" i="15" s="1"/>
  <c r="H60" i="7" s="1"/>
  <c r="H32" i="7" l="1"/>
  <c r="F91" i="15"/>
  <c r="F304" i="15" s="1"/>
  <c r="F52" i="15"/>
  <c r="H50" i="7" s="1"/>
  <c r="F177" i="15"/>
  <c r="F180" i="15"/>
  <c r="F184" i="15"/>
  <c r="F183" i="15" s="1"/>
  <c r="F117" i="15"/>
  <c r="F119" i="15" s="1"/>
  <c r="F307" i="15"/>
  <c r="H63" i="7"/>
  <c r="H64" i="7" s="1"/>
  <c r="H44" i="7"/>
  <c r="H41" i="7"/>
  <c r="H19" i="7"/>
  <c r="H22" i="7" s="1"/>
  <c r="H35" i="7"/>
  <c r="H38" i="7"/>
  <c r="F88" i="15"/>
  <c r="F58" i="15" l="1"/>
  <c r="F59" i="15" s="1"/>
  <c r="H129" i="7"/>
  <c r="F89" i="15"/>
  <c r="G89" i="15" s="1"/>
  <c r="F305" i="15"/>
  <c r="E304" i="15"/>
  <c r="E38" i="30"/>
  <c r="E36" i="31"/>
  <c r="D33" i="31" s="1"/>
  <c r="H24" i="7"/>
  <c r="H46" i="7"/>
  <c r="F306" i="15"/>
  <c r="H70" i="7"/>
  <c r="E39" i="31" l="1"/>
  <c r="E41" i="30"/>
  <c r="H111" i="7"/>
  <c r="E40" i="31"/>
  <c r="E42" i="30"/>
  <c r="E37" i="31"/>
  <c r="E39" i="30"/>
  <c r="H25" i="7"/>
  <c r="D46" i="31"/>
  <c r="C57" i="31"/>
  <c r="D58" i="31" s="1"/>
  <c r="E305" i="15"/>
  <c r="E306" i="15" s="1"/>
  <c r="E307" i="15" l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D38" i="31"/>
  <c r="D57" i="31" s="1"/>
  <c r="E58" i="31" s="1"/>
  <c r="G57" i="31"/>
  <c r="H57" i="31" s="1"/>
  <c r="E47" i="31"/>
  <c r="D35" i="30"/>
  <c r="D48" i="30" s="1"/>
  <c r="H125" i="7"/>
  <c r="H114" i="7"/>
  <c r="E43" i="31" s="1"/>
  <c r="H142" i="7" l="1"/>
  <c r="H141" i="7"/>
  <c r="H145" i="7"/>
  <c r="H146" i="7"/>
  <c r="H144" i="7"/>
  <c r="H143" i="7"/>
  <c r="H115" i="7"/>
  <c r="D45" i="31"/>
  <c r="D47" i="30"/>
  <c r="E47" i="30" s="1"/>
  <c r="F57" i="31" l="1"/>
  <c r="E45" i="31"/>
  <c r="E45" i="30"/>
  <c r="H121" i="7"/>
  <c r="D40" i="30"/>
  <c r="H118" i="7"/>
  <c r="H120" i="7" l="1"/>
  <c r="H122" i="7" s="1"/>
  <c r="H127" i="7" s="1"/>
  <c r="H2" i="7" l="1"/>
  <c r="H3" i="7" s="1"/>
  <c r="H4" i="7" s="1"/>
  <c r="H132" i="7"/>
  <c r="H133" i="7" s="1"/>
  <c r="D46" i="30"/>
  <c r="E46" i="30" s="1"/>
  <c r="D44" i="31"/>
  <c r="E44" i="31" l="1"/>
  <c r="E57" i="31"/>
  <c r="F58" i="31" s="1"/>
  <c r="U54" i="15" l="1"/>
  <c r="R54" i="15"/>
  <c r="O54" i="15"/>
  <c r="U239" i="15"/>
  <c r="R239" i="15"/>
  <c r="O239" i="15"/>
  <c r="U235" i="15"/>
  <c r="R235" i="15"/>
  <c r="O235" i="15"/>
  <c r="U238" i="15" l="1"/>
  <c r="U237" i="15" s="1"/>
  <c r="U56" i="15"/>
  <c r="U52" i="15" s="1"/>
  <c r="U53" i="15" s="1"/>
  <c r="U55" i="15"/>
  <c r="U32" i="15"/>
  <c r="U31" i="15" s="1"/>
  <c r="U28" i="15" s="1"/>
  <c r="U30" i="15"/>
  <c r="U29" i="15"/>
  <c r="U241" i="15"/>
  <c r="U240" i="15"/>
  <c r="R241" i="15"/>
  <c r="R240" i="15"/>
  <c r="R29" i="15"/>
  <c r="R30" i="15"/>
  <c r="R238" i="15"/>
  <c r="R237" i="15" s="1"/>
  <c r="R55" i="15"/>
  <c r="R56" i="15"/>
  <c r="O29" i="15"/>
  <c r="O30" i="15"/>
  <c r="O238" i="15"/>
  <c r="O237" i="15" s="1"/>
  <c r="O56" i="15"/>
  <c r="O55" i="15"/>
  <c r="O240" i="15"/>
  <c r="O241" i="15"/>
  <c r="R32" i="15"/>
  <c r="R31" i="15" s="1"/>
  <c r="R28" i="15" s="1"/>
  <c r="O52" i="15" l="1"/>
  <c r="O53" i="15" s="1"/>
  <c r="R52" i="15"/>
  <c r="R53" i="15" s="1"/>
  <c r="O32" i="15"/>
  <c r="O31" i="15" s="1"/>
  <c r="O28" i="15" s="1"/>
  <c r="U49" i="15"/>
  <c r="U47" i="15"/>
  <c r="U48" i="15"/>
  <c r="U46" i="15"/>
  <c r="R47" i="15"/>
  <c r="R49" i="15"/>
  <c r="R48" i="15"/>
  <c r="R46" i="15"/>
  <c r="O48" i="15"/>
  <c r="O46" i="15"/>
  <c r="O47" i="15"/>
  <c r="O49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11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11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11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11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11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11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<sst xmlns="http://schemas.openxmlformats.org/spreadsheetml/2006/main" count="3318" uniqueCount="1054">
  <si>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</si>
  <si>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</si>
  <si>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</si>
  <si>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</si>
  <si>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</si>
  <si>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</si>
  <si>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</si>
  <si>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</si>
  <si>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</si>
  <si>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</si>
  <si>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</si>
  <si>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</si>
  <si>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</si>
  <si>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</si>
  <si>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</si>
  <si>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</si>
  <si>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</si>
  <si>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</si>
  <si>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</si>
  <si>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</si>
  <si>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</si>
  <si>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</si>
  <si>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</si>
  <si>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</si>
  <si>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</si>
  <si>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</si>
  <si>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</si>
  <si>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</si>
  <si>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</si>
  <si>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</si>
  <si>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</si>
  <si>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</si>
  <si>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</si>
  <si>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</si>
  <si>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</si>
  <si>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</si>
  <si>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</si>
  <si>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</si>
  <si>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</si>
  <si>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</si>
  <si>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</si>
  <si>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</si>
  <si>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</si>
  <si>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</si>
  <si>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</si>
  <si>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</si>
  <si>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</si>
  <si>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</si>
  <si>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</si>
  <si>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</si>
  <si>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</si>
  <si>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</si>
  <si>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</si>
  <si>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</si>
  <si>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</si>
  <si>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</si>
  <si>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</si>
  <si>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</si>
  <si>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</si>
  <si>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</si>
  <si>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</si>
  <si>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</si>
  <si>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</si>
  <si>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</si>
  <si>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</si>
  <si>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</si>
  <si>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</si>
  <si>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</si>
  <si>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</si>
  <si>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</si>
  <si>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</si>
  <si>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</si>
  <si>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</si>
  <si>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</si>
  <si>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</si>
  <si>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</si>
  <si>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</si>
  <si>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</si>
  <si>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</si>
  <si>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</si>
  <si>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</si>
  <si>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</si>
  <si>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</si>
  <si>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</si>
  <si>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</si>
  <si>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</si>
  <si>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</si>
  <si>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</si>
  <si>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</si>
  <si>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</si>
  <si>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</si>
  <si>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</si>
  <si>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</si>
  <si>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</si>
  <si>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</si>
  <si>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</si>
  <si>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</si>
  <si>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</si>
  <si>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</si>
  <si>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</si>
  <si>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</si>
  <si>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</si>
  <si>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</si>
  <si>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</si>
  <si>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</si>
  <si>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</si>
  <si>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</si>
  <si>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</si>
  <si>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</si>
  <si>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</si>
  <si>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</si>
  <si>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</si>
  <si>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</si>
  <si>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</si>
  <si>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</si>
  <si>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</si>
  <si>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</si>
  <si>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</si>
  <si>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</si>
  <si>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</si>
  <si>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</si>
  <si>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</si>
  <si>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</si>
  <si>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</si>
  <si>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</si>
  <si>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</si>
  <si>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</si>
  <si>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</si>
  <si>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</si>
  <si>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</si>
  <si>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</si>
  <si>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</si>
  <si>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</si>
  <si>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</si>
  <si>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</si>
  <si>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</si>
  <si>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</si>
  <si>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</si>
  <si>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</si>
  <si>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</si>
  <si>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</si>
  <si>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</si>
  <si>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</si>
  <si>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</si>
  <si>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</si>
  <si>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</si>
  <si>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</si>
  <si>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</si>
  <si>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</si>
  <si>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</si>
  <si>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</si>
  <si>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</si>
  <si>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</si>
  <si>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</si>
  <si>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</si>
  <si>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</si>
  <si>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</si>
  <si>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</si>
  <si>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</si>
  <si>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</si>
  <si>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</si>
  <si>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</si>
  <si>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</si>
  <si>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</si>
  <si>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</si>
  <si>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</si>
  <si>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</si>
  <si>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</si>
  <si>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</si>
  <si>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</si>
  <si>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</si>
  <si>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</si>
  <si>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</si>
  <si>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</si>
  <si>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</si>
  <si>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</si>
  <si>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</si>
  <si>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</si>
  <si>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</si>
  <si>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</si>
  <si>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</si>
  <si>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</si>
  <si>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</si>
  <si>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</si>
  <si>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</si>
  <si>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</si>
  <si>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</si>
  <si>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</si>
  <si>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</si>
  <si>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</si>
  <si>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</si>
  <si>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</si>
  <si>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</si>
  <si>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</si>
  <si>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</si>
  <si>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</si>
  <si>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</si>
  <si>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</si>
  <si>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</si>
  <si>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</si>
  <si>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</si>
  <si>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</si>
  <si>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</si>
  <si>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</si>
  <si>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</si>
  <si>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</si>
  <si>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</si>
  <si>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</si>
  <si>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</si>
  <si>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</si>
  <si>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</si>
  <si>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</si>
  <si>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</si>
  <si>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</si>
  <si>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</si>
  <si>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</si>
  <si>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</si>
  <si>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</si>
  <si>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</si>
  <si>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</si>
  <si>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</si>
  <si>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</si>
  <si>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</si>
  <si>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</si>
  <si>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</si>
  <si>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</si>
  <si>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</si>
  <si>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</si>
  <si>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</si>
  <si>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</si>
  <si>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</si>
  <si>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</si>
  <si>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</si>
  <si>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</si>
  <si>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</si>
  <si>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</si>
  <si>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</si>
  <si>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</si>
  <si>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</si>
  <si>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</si>
  <si>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</si>
  <si>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</si>
  <si>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</si>
  <si>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</si>
  <si>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</si>
  <si>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</si>
  <si>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</si>
  <si>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</si>
  <si>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</si>
  <si>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</si>
  <si>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</si>
  <si>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</si>
  <si>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</si>
  <si>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</si>
  <si>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</si>
  <si>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</si>
  <si>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</si>
  <si>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</si>
  <si>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</si>
  <si>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</si>
  <si>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</si>
  <si>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</si>
  <si>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</si>
  <si>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</si>
  <si>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</si>
  <si>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</si>
  <si>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</si>
  <si>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</si>
  <si>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</si>
  <si>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</si>
  <si>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</si>
  <si>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</si>
  <si>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</si>
  <si>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</si>
  <si>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</si>
  <si>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</si>
  <si>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</si>
  <si>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</si>
  <si>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</si>
  <si>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</si>
  <si>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</si>
  <si>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</si>
  <si>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</si>
  <si>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</si>
  <si>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</si>
  <si>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</si>
  <si>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</si>
  <si>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</si>
  <si>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</si>
  <si>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</si>
  <si>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</si>
  <si>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</si>
  <si>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</si>
  <si>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</si>
  <si>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</si>
  <si>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</si>
  <si>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</si>
  <si>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</si>
  <si>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</si>
  <si>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</si>
  <si>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</si>
  <si>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</si>
  <si>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</si>
  <si>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</si>
  <si>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</si>
  <si>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</si>
  <si>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</si>
  <si>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</si>
  <si>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</si>
  <si>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</si>
  <si>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</si>
  <si>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</si>
  <si>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</si>
  <si>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</si>
  <si>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</si>
  <si>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</si>
  <si>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</si>
  <si>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</si>
  <si>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</si>
  <si>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</si>
  <si>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</si>
  <si>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</si>
  <si>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</si>
  <si>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</si>
  <si>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</si>
  <si>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</si>
  <si>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</si>
  <si>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</si>
  <si>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</si>
  <si>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</si>
  <si>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</si>
  <si>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</si>
  <si>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</si>
  <si>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</si>
  <si>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</si>
  <si>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</si>
  <si>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</si>
  <si>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</si>
  <si>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</si>
  <si>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</si>
  <si>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</si>
  <si>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</si>
  <si>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</si>
  <si>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</si>
  <si>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</si>
  <si>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</si>
  <si>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</si>
  <si>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</si>
  <si>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</si>
  <si>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</si>
  <si>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</si>
  <si>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</si>
  <si>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</si>
  <si>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</si>
  <si>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</si>
  <si>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</si>
  <si>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</si>
  <si>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</si>
  <si>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</si>
  <si>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</si>
  <si>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</si>
  <si>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</si>
  <si>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</si>
  <si>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</si>
  <si>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</si>
  <si>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</si>
  <si>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</si>
  <si>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</si>
  <si>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</si>
  <si>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</si>
  <si>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</si>
  <si>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</si>
  <si>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</si>
  <si>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</si>
  <si>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</si>
  <si>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</si>
  <si>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</si>
  <si>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</si>
  <si>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</si>
  <si>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</si>
  <si>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</si>
  <si>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</si>
  <si>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</si>
  <si>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</si>
  <si>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</si>
  <si>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</si>
  <si>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</si>
  <si>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</si>
  <si>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</si>
  <si>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</si>
  <si>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</si>
  <si>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</si>
  <si>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</si>
  <si>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</si>
  <si>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</si>
  <si>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</si>
  <si>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</si>
  <si>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</si>
  <si>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</si>
  <si>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</si>
  <si>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</si>
  <si>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</si>
  <si>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</si>
  <si>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</si>
  <si>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</si>
  <si>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</si>
  <si>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</si>
  <si>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</si>
  <si>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</si>
  <si>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</si>
  <si>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</si>
  <si>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</si>
  <si>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</si>
  <si>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</si>
  <si>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</si>
  <si>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</si>
  <si>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</si>
  <si>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</si>
  <si>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</si>
  <si>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</si>
  <si>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</si>
  <si>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</si>
  <si>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</si>
  <si>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</si>
  <si>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</si>
  <si>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</si>
  <si>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</si>
  <si>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</si>
  <si>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</si>
  <si>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</si>
  <si>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</si>
  <si>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Anguss / Teil (kg)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</si>
  <si>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</si>
  <si>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</si>
  <si>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</si>
  <si>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</si>
  <si>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</si>
  <si>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</si>
  <si>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</si>
  <si>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</si>
  <si>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</si>
  <si>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</si>
  <si>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</si>
  <si>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</si>
  <si>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</si>
  <si>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</si>
  <si>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</si>
  <si>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</si>
  <si>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</si>
  <si>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</si>
  <si>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</si>
  <si>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</si>
  <si>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</si>
  <si>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</si>
  <si>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</si>
  <si>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</si>
  <si>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</si>
  <si>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</si>
  <si>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</si>
  <si>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</si>
  <si>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</si>
  <si>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</si>
  <si>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</si>
  <si>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</si>
  <si>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</si>
  <si>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</si>
  <si>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</si>
  <si>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</si>
  <si>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</si>
  <si>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</si>
  <si>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</si>
  <si>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</si>
  <si>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</si>
  <si>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</si>
  <si>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</si>
  <si>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</si>
  <si>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</si>
  <si>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</si>
  <si>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</si>
  <si>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</si>
  <si>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</si>
  <si>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</si>
  <si>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</si>
  <si>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</si>
  <si>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</si>
  <si>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</si>
  <si>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</si>
  <si>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</si>
  <si>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</si>
  <si>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</si>
  <si>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</si>
  <si>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</si>
  <si>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</si>
  <si>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</si>
  <si>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</si>
  <si>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</si>
  <si>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</si>
  <si>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</si>
  <si>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</si>
  <si>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</si>
  <si>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</si>
  <si>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</si>
  <si>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</si>
  <si>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</si>
  <si>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</si>
  <si>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</si>
  <si>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</si>
  <si>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</si>
  <si>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</si>
  <si>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</si>
  <si>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</si>
  <si>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</si>
  <si>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</si>
  <si>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</si>
  <si>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</si>
  <si>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</si>
  <si>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</si>
  <si>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</si>
  <si>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</si>
  <si>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</si>
  <si>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</si>
  <si>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</si>
  <si>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</si>
  <si>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</si>
  <si>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</si>
  <si>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</si>
  <si>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</si>
  <si>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</si>
  <si>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</si>
  <si>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</si>
  <si>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</si>
  <si>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</si>
  <si>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</si>
  <si>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</si>
  <si>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</si>
  <si>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</si>
  <si>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</si>
  <si>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</si>
  <si>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</si>
  <si>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</si>
  <si>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</si>
  <si>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</si>
  <si>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</si>
  <si>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</si>
  <si>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</si>
  <si>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</si>
  <si>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</si>
  <si>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</si>
  <si>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</si>
  <si>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</si>
  <si>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</si>
  <si>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</si>
  <si>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</si>
  <si>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</si>
  <si>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</si>
  <si>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</si>
  <si>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</si>
  <si>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</si>
  <si>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</si>
  <si>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</si>
  <si>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</si>
  <si>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</si>
  <si>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</si>
  <si>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</si>
  <si>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</si>
  <si>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</si>
  <si>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</si>
  <si>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</si>
  <si>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</si>
  <si>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</si>
  <si>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</si>
  <si>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</si>
  <si>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</si>
  <si>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</si>
  <si>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</si>
  <si>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</si>
  <si>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</si>
  <si>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</si>
  <si>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</si>
  <si>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</si>
  <si>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</si>
  <si>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</si>
  <si>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</si>
  <si>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</si>
  <si>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</si>
  <si>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</si>
  <si>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</si>
  <si>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</si>
  <si>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</si>
  <si>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</si>
  <si>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</si>
  <si>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</si>
  <si>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</si>
  <si>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</si>
  <si>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</si>
  <si>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</si>
  <si>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</si>
  <si>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</si>
  <si>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</si>
  <si>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</si>
  <si>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</si>
  <si>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</si>
  <si>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</si>
  <si>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</si>
  <si>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</si>
  <si>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</si>
  <si>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</si>
  <si>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</si>
  <si>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</si>
  <si>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</si>
  <si>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</si>
  <si>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</si>
  <si>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</si>
  <si>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</si>
  <si>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</si>
  <si>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</si>
  <si>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</si>
  <si>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</si>
  <si>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</si>
  <si>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</si>
  <si>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</si>
  <si>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</si>
  <si>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</si>
  <si>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</si>
  <si>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</si>
  <si>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</si>
  <si>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</si>
  <si>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</si>
  <si>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</si>
  <si>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</si>
  <si>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</si>
  <si>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</si>
  <si>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</si>
  <si>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</si>
  <si>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</si>
  <si>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</si>
  <si>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</si>
  <si>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</si>
  <si>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</si>
  <si>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</si>
  <si>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</si>
  <si>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</si>
  <si>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</si>
  <si>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</si>
  <si>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</si>
  <si>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</si>
  <si>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</si>
  <si>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</si>
  <si>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</si>
  <si>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</si>
  <si>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</si>
  <si>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</si>
  <si>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</si>
  <si>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</si>
  <si>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</si>
  <si>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</si>
  <si>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</si>
  <si>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</si>
  <si>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</si>
  <si>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</si>
  <si>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</si>
  <si>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</si>
  <si>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</si>
  <si>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</si>
  <si>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</si>
  <si>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</si>
  <si>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</si>
  <si>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</si>
  <si>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</si>
  <si>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</si>
  <si>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</si>
  <si>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</si>
  <si>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</si>
  <si>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</si>
  <si>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</si>
  <si>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</si>
  <si>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</si>
  <si>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</si>
  <si>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</si>
  <si>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</si>
  <si>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</si>
  <si>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</si>
  <si>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</si>
  <si>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</si>
  <si>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</si>
  <si>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</si>
  <si>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</si>
  <si>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</si>
  <si>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</si>
  <si>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</si>
  <si>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</si>
  <si>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</si>
  <si>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</si>
  <si>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</si>
  <si>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</si>
  <si>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</si>
  <si>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</si>
  <si>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</si>
  <si>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</si>
  <si>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</si>
  <si>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</si>
  <si>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</si>
  <si>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</si>
  <si>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</si>
  <si>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</si>
  <si>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</si>
  <si>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</si>
  <si>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</si>
  <si>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</si>
  <si>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</si>
  <si>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</si>
  <si>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</si>
  <si>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</si>
  <si>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</si>
  <si>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</si>
  <si>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</si>
  <si>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</si>
  <si>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</si>
  <si>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</si>
  <si>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</si>
  <si>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</si>
  <si>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</si>
  <si>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</si>
  <si>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</si>
  <si>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</si>
  <si>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</si>
  <si>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</si>
  <si>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</si>
  <si>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</si>
  <si>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</si>
  <si>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</si>
  <si>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</si>
  <si>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</si>
  <si>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</si>
  <si>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</si>
  <si>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</si>
  <si>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</si>
  <si>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</si>
  <si>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</si>
  <si>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</si>
  <si>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</si>
  <si>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</si>
  <si>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</si>
  <si>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</si>
  <si>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</si>
  <si>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</si>
  <si>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</si>
  <si>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</si>
  <si>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</si>
  <si>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</si>
  <si>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</si>
  <si>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</si>
  <si>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</si>
  <si>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</si>
  <si>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</si>
  <si>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</si>
  <si>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</si>
  <si>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</si>
  <si>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</si>
  <si>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</si>
  <si>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</si>
  <si>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</si>
  <si>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</si>
  <si>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</si>
  <si>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</si>
  <si>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</si>
  <si>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</si>
  <si>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</si>
  <si>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</si>
  <si>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</si>
  <si>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</si>
  <si>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</si>
  <si>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</si>
  <si>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</si>
  <si>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</si>
  <si>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</si>
  <si>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</si>
  <si>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</si>
  <si>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</si>
  <si>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</si>
  <si>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</si>
  <si>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</si>
  <si>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</si>
  <si>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</si>
  <si>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</si>
  <si>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</si>
  <si>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</si>
  <si>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</si>
  <si>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</si>
  <si>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</si>
  <si>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</si>
  <si>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</si>
  <si>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</si>
  <si>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</si>
  <si>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</si>
  <si>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</si>
  <si>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</si>
  <si>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</si>
  <si>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</si>
  <si>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</si>
  <si>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</si>
  <si>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</si>
  <si>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</si>
  <si>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</si>
  <si>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</si>
  <si>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</si>
  <si>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</si>
  <si>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</si>
  <si>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</si>
  <si>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</si>
  <si>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</si>
  <si>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</si>
  <si>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</si>
  <si>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</si>
  <si>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</si>
  <si>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</si>
  <si>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</si>
  <si>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</si>
  <si>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</si>
  <si>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</si>
  <si>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</si>
  <si>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</si>
  <si>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</si>
  <si>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</si>
  <si>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</si>
  <si>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</si>
  <si>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</si>
  <si>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</si>
  <si>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</si>
  <si>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</si>
  <si>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</si>
  <si>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</si>
  <si>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</si>
  <si>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</si>
  <si>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</si>
  <si>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</si>
  <si>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</si>
  <si>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</si>
  <si>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</si>
  <si>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</si>
  <si>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</si>
  <si>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</si>
  <si>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</si>
  <si>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</si>
  <si>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</si>
  <si>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</si>
  <si>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</si>
  <si>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</si>
  <si>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</si>
  <si>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</si>
  <si>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</si>
  <si>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</si>
  <si>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</si>
  <si>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</si>
  <si>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</si>
  <si>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</si>
  <si>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</si>
  <si>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</si>
  <si>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</si>
  <si>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</si>
  <si>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</si>
  <si>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</si>
  <si>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</si>
  <si>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</si>
  <si>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</si>
  <si>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</si>
  <si>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</si>
  <si>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</si>
  <si>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</si>
  <si>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</si>
  <si>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</si>
  <si>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</si>
  <si>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</si>
  <si>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</si>
  <si>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</si>
  <si>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</si>
  <si>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</si>
  <si>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</si>
  <si>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</si>
  <si>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</si>
  <si>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</si>
  <si>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</si>
  <si>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</si>
  <si>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</si>
  <si>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</si>
  <si>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</si>
  <si>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</si>
  <si>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</si>
  <si>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</si>
  <si>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</si>
  <si>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</si>
  <si>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</si>
  <si>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</si>
  <si>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</si>
  <si>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</si>
  <si>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</si>
  <si>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</si>
  <si>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</si>
  <si>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</si>
  <si>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</si>
  <si>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</si>
  <si>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</si>
  <si>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</si>
  <si>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</si>
  <si>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</si>
  <si>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</si>
  <si>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</si>
  <si>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</si>
  <si>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</si>
  <si>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</si>
  <si>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</si>
  <si>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</si>
  <si>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</si>
  <si>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</si>
  <si>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</si>
  <si>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</si>
  <si>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</si>
  <si>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</si>
  <si>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</si>
  <si>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</si>
  <si>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</si>
  <si>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</si>
  <si>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</si>
  <si>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</si>
  <si>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</si>
  <si>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</si>
  <si>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</si>
  <si>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</si>
  <si>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</si>
  <si>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</si>
  <si>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</si>
  <si>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</si>
  <si>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</si>
  <si>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</si>
  <si>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</si>
  <si>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</si>
  <si>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</si>
  <si>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</si>
  <si>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</si>
  <si>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</si>
  <si>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</si>
  <si>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</si>
  <si>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</si>
  <si>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</si>
  <si>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</si>
  <si>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</si>
  <si>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</si>
  <si>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</si>
  <si>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</si>
  <si>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</si>
  <si>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</si>
  <si>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</si>
  <si>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</si>
  <si>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</si>
  <si>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</si>
  <si>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</si>
  <si>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</si>
  <si>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</si>
  <si>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</si>
  <si>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</si>
  <si>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</si>
  <si>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</si>
  <si>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</si>
  <si>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</si>
  <si>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</si>
  <si>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</si>
  <si>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</si>
  <si>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</si>
  <si>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</si>
  <si>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</si>
  <si>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</si>
  <si>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</si>
  <si>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</si>
  <si>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</si>
  <si>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</si>
  <si>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</si>
  <si>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</si>
  <si>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</si>
  <si>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</si>
  <si>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</si>
  <si>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</si>
  <si>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</si>
  <si>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</si>
  <si>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</si>
  <si>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</si>
  <si>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</si>
  <si>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</si>
  <si>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</si>
  <si>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</si>
  <si>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</si>
  <si>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</si>
  <si>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</si>
  <si>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</si>
  <si>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</si>
  <si>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</si>
  <si>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</si>
  <si>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</si>
  <si>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</si>
  <si>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</si>
  <si>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</si>
  <si>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</si>
  <si>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</si>
  <si>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</si>
  <si>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</si>
  <si>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</si>
  <si>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</si>
  <si>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</si>
  <si>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</si>
  <si>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</si>
  <si>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</si>
  <si>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</si>
  <si>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</si>
  <si>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</si>
  <si>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</si>
  <si>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</si>
  <si>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</si>
  <si>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</si>
  <si>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</si>
  <si>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</si>
  <si>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</si>
  <si>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</si>
  <si>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</si>
  <si>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</si>
  <si>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</si>
  <si>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</si>
  <si>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</si>
  <si>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</si>
  <si>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</si>
  <si>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</si>
  <si>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</si>
  <si>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</si>
  <si>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</si>
  <si>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</si>
  <si>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</si>
  <si>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</si>
  <si>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</si>
  <si>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</si>
  <si>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</si>
  <si>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</si>
  <si>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</si>
  <si>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</si>
  <si>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</si>
  <si>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</si>
  <si>
    <t>WKZ-Vergrößerung (Kühlung)</t>
  </si>
  <si>
    <t>Gusstechnik = ND</t>
  </si>
  <si>
    <t xml:space="preserve">max. Wanddicke &gt; </t>
  </si>
  <si>
    <t>zusätzliche WKZ-Dicke Kühlung (cm)</t>
  </si>
  <si>
    <t>Vertriebs/Verw-GK</t>
  </si>
  <si>
    <t>WKZ-Größe Breite (cm)</t>
  </si>
  <si>
    <t>WKZ-Größe Höhe (cm)</t>
  </si>
  <si>
    <t>Rand WKZ-Kavität (cm) (gfls incl. Kühlung)</t>
  </si>
  <si>
    <t>Kavitäten nebeinander</t>
  </si>
  <si>
    <t>Kavitäten übereinander</t>
  </si>
  <si>
    <t>Flächenverhältnis (Nutzfl. / WKZ)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</si>
</sst>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6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6" fillId="2" borderId="2" xfId="0" applyFont="1" applyFill="1" applyBorder="1" applyAlignment="1">
      <alignment horizontal="left"/>
    </xf>
    <xf numFmtId="3" fontId="6" fillId="0" borderId="19" xfId="5" applyNumberFormat="1" applyFont="1" applyFill="1" applyBorder="1" applyAlignment="1">
      <alignment horizontal="center"/>
    </xf>
    <xf numFmtId="0" fontId="29" fillId="2" borderId="35" xfId="0" applyFont="1" applyFill="1" applyBorder="1" applyAlignment="1">
      <alignment horizontal="left"/>
    </xf>
    <xf numFmtId="0" fontId="6" fillId="2" borderId="33" xfId="0" applyFont="1" applyFill="1" applyBorder="1" applyAlignment="1">
      <alignment horizontal="right"/>
    </xf>
    <xf numFmtId="0" fontId="0" fillId="2" borderId="35" xfId="0" applyFill="1" applyBorder="1"/>
    <xf numFmtId="9" fontId="6" fillId="3" borderId="20" xfId="5" applyFont="1" applyFill="1" applyBorder="1" applyAlignment="1">
      <alignment horizontal="center"/>
    </xf>
    <xf numFmtId="0" fontId="3" fillId="2" borderId="7" xfId="0" applyFont="1" applyFill="1" applyBorder="1"/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6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51</xdr:row>
      <xdr:rowOff>95250</xdr:rowOff>
    </xdr:from>
    <xdr:to>
      <xdr:col>3</xdr:col>
      <xdr:colOff>504825</xdr:colOff>
      <xdr:row>52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17">
          <cell r="V17" t="str">
            <v>?</v>
          </cell>
          <cell r="Y17" t="str">
            <v>?</v>
          </cell>
          <cell r="AB17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0</v>
          </cell>
          <cell r="K50">
            <v>0</v>
          </cell>
          <cell r="N50">
            <v>0</v>
          </cell>
          <cell r="Q50">
            <v>0</v>
          </cell>
          <cell r="T50">
            <v>0</v>
          </cell>
          <cell r="W50">
            <v>0</v>
          </cell>
        </row>
      </sheetData>
      <sheetData sheetId="3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  <row r="33">
          <cell r="I33">
            <v>0.12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5" dataDxfId="184">
  <autoFilter ref="A2:I5" xr:uid="{00000000-0009-0000-0100-000001000000}"/>
  <tableColumns count="9">
    <tableColumn id="1" xr3:uid="{00000000-0010-0000-0000-000001000000}" uniqueName="1" name="Contract" queryTableFieldId="1" dataDxfId="183"/>
    <tableColumn id="2" xr3:uid="{00000000-0010-0000-0000-000002000000}" uniqueName="2" name="Bid (US$ / Tonne)" queryTableFieldId="2" dataDxfId="182"/>
    <tableColumn id="3" xr3:uid="{00000000-0010-0000-0000-000003000000}" uniqueName="3" name="Offer (US$ / Tonne)*" queryTableFieldId="3" dataDxfId="181"/>
    <tableColumn id="11" xr3:uid="{00000000-0010-0000-0000-00000B000000}" uniqueName="11" name="Spalte2" queryTableFieldId="11" dataDxfId="180"/>
    <tableColumn id="6" xr3:uid="{00000000-0010-0000-0000-000006000000}" uniqueName="6" name="Exchange [$/€]" queryTableFieldId="6" dataDxfId="179">
      <calculatedColumnFormula>MID($B$9,1,6)</calculatedColumnFormula>
    </tableColumn>
    <tableColumn id="13" xr3:uid="{00000000-0010-0000-0000-00000D000000}" uniqueName="13" name="Abbrand" queryTableFieldId="4" dataDxfId="178"/>
    <tableColumn id="12" xr3:uid="{00000000-0010-0000-0000-00000C000000}" uniqueName="12" name="Premium_x000a_[€/t]" queryTableFieldId="5" dataDxfId="177"/>
    <tableColumn id="8" xr3:uid="{00000000-0010-0000-0000-000008000000}" uniqueName="8" name="Alu-Alloy_x000a_3-months [$/kg]" queryTableFieldId="8" dataDxfId="176">
      <calculatedColumnFormula>(C3/100+G3*E3)/1000*(1+F3)</calculatedColumnFormula>
    </tableColumn>
    <tableColumn id="9" xr3:uid="{00000000-0010-0000-0000-000009000000}" uniqueName="9" name="Alu-Alloy_x000a_3-months [€/kg]" queryTableFieldId="9" dataDxfId="175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4"/>
    <tableColumn id="2" xr3:uid="{00000000-0010-0000-0100-000002000000}" uniqueName="2" name="Kurs" queryTableFieldId="2" dataDxfId="173"/>
    <tableColumn id="3" xr3:uid="{00000000-0010-0000-0100-000003000000}" uniqueName="3" name="Diff. %" queryTableFieldId="3" dataDxfId="172"/>
    <tableColumn id="4" xr3:uid="{00000000-0010-0000-0100-000004000000}" uniqueName="4" name="Datum" queryTableFieldId="4"/>
    <tableColumn id="5" xr3:uid="{00000000-0010-0000-0100-000005000000}" uniqueName="5" name="Zeit" queryTableFieldId="5" dataDxfId="171"/>
    <tableColumn id="6" xr3:uid="{00000000-0010-0000-0100-000006000000}" uniqueName="6" name="Eröffnung" queryTableFieldId="6" dataDxfId="170"/>
    <tableColumn id="7" xr3:uid="{00000000-0010-0000-0100-000007000000}" uniqueName="7" name="T.-Hoch" queryTableFieldId="7" dataDxfId="169"/>
    <tableColumn id="8" xr3:uid="{00000000-0010-0000-0100-000008000000}" uniqueName="8" name="T.-Tief" queryTableFieldId="8" dataDxfId="16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7" dataCellStyle="Standard 4"/>
    <tableColumn id="2" xr3:uid="{00000000-0010-0000-0200-000002000000}" uniqueName="2" name="Bid (US$ / Tonne)" queryTableFieldId="2" dataDxfId="166" dataCellStyle="Standard 4"/>
    <tableColumn id="3" xr3:uid="{00000000-0010-0000-0200-000003000000}" uniqueName="3" name="Offer (US$ / Tonne)*" queryTableFieldId="3" dataDxfId="165" dataCellStyle="Standard 4"/>
    <tableColumn id="4" xr3:uid="{00000000-0010-0000-0200-000004000000}" uniqueName="4" name="Spalte2" queryTableFieldId="4" dataDxfId="164" dataCellStyle="Standard 4"/>
    <tableColumn id="5" xr3:uid="{00000000-0010-0000-0200-000005000000}" uniqueName="5" name="Exchange [$/€]" queryTableFieldId="5" dataDxfId="163" dataCellStyle="Standard 4">
      <calculatedColumnFormula>MID($B$9,1,6)</calculatedColumnFormula>
    </tableColumn>
    <tableColumn id="6" xr3:uid="{00000000-0010-0000-0200-000006000000}" uniqueName="6" name="Abbrand" queryTableFieldId="6" dataDxfId="162" dataCellStyle="Prozent 3"/>
    <tableColumn id="7" xr3:uid="{00000000-0010-0000-0200-000007000000}" uniqueName="7" name="Premium_x000a_[€/t]" queryTableFieldId="7" dataDxfId="161" dataCellStyle="Standard 4"/>
    <tableColumn id="8" xr3:uid="{00000000-0010-0000-0200-000008000000}" uniqueName="8" name="Alu-Alloy_x000a_3-months [$/kg]" queryTableFieldId="8" dataDxfId="160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59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09"/>
      <c r="D2" s="1010"/>
      <c r="E2" s="1010"/>
      <c r="F2" s="1010"/>
      <c r="G2" s="1010"/>
      <c r="H2" s="1010"/>
      <c r="I2" s="1010"/>
      <c r="J2" s="1010"/>
      <c r="K2" s="1010"/>
      <c r="L2" s="1010"/>
      <c r="M2" s="1011"/>
      <c r="N2" s="913"/>
      <c r="O2" s="912"/>
    </row>
    <row r="3" spans="1:28" x14ac:dyDescent="0.2">
      <c r="A3" s="910"/>
      <c r="B3" s="913"/>
      <c r="C3" s="1012"/>
      <c r="D3" s="1013"/>
      <c r="E3" s="1013"/>
      <c r="F3" s="1013"/>
      <c r="G3" s="1013"/>
      <c r="H3" s="1013"/>
      <c r="I3" s="1013"/>
      <c r="J3" s="1013"/>
      <c r="K3" s="1013"/>
      <c r="L3" s="1013"/>
      <c r="M3" s="1015">
        <f ca="1">TODAY()</f>
        <v>44638</v>
      </c>
      <c r="N3" s="913"/>
      <c r="O3" s="912"/>
    </row>
    <row r="4" spans="1:28" ht="20.25" x14ac:dyDescent="0.3">
      <c r="A4" s="910"/>
      <c r="B4" s="913"/>
      <c r="C4" s="1037" t="str">
        <f>'Quick Input'!O2</f>
        <v>Kokillenguss</v>
      </c>
      <c r="D4" s="1013"/>
      <c r="E4" s="1013"/>
      <c r="F4" s="1013"/>
      <c r="G4" s="1017" t="str">
        <f>'Quick Input'!R2</f>
        <v>Siemens Standort</v>
      </c>
      <c r="H4" s="1018" t="str">
        <f>'Quick Input'!U2</f>
        <v>Erlangen</v>
      </c>
      <c r="I4" s="1013"/>
      <c r="J4" s="1013"/>
      <c r="K4" s="1013"/>
      <c r="L4" s="1013"/>
      <c r="M4" s="1038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2" t="str">
        <f>CONCATENATE('Quick Input'!I9,": ",'Quick Input'!L9," / ESN: ",'Quick Input'!L8)</f>
        <v>Bezeichnung: Housing / ESN: 58622</v>
      </c>
      <c r="D5" s="1016"/>
      <c r="E5" s="1013"/>
      <c r="F5" s="1013"/>
      <c r="G5" s="1017" t="str">
        <f>'Quick Input'!R3</f>
        <v>Lieferant</v>
      </c>
      <c r="H5" s="1018" t="str">
        <f>'Quick Input'!U3</f>
        <v>MGG</v>
      </c>
      <c r="I5" s="1013"/>
      <c r="J5" s="1013"/>
      <c r="K5" s="1013"/>
      <c r="L5" s="1013"/>
      <c r="M5" s="1019"/>
      <c r="N5" s="913"/>
      <c r="O5" s="912"/>
    </row>
    <row r="6" spans="1:28" ht="15" x14ac:dyDescent="0.25">
      <c r="A6" s="910"/>
      <c r="B6" s="913"/>
      <c r="C6" s="1012"/>
      <c r="D6" s="1013"/>
      <c r="E6" s="1013"/>
      <c r="F6" s="1013"/>
      <c r="G6" s="1017" t="str">
        <f>'Quick Input'!R4</f>
        <v>Werk</v>
      </c>
      <c r="H6" s="1018" t="str">
        <f>'Quick Input'!U4</f>
        <v>DI MC</v>
      </c>
      <c r="I6" s="1013"/>
      <c r="J6" s="1013"/>
      <c r="K6" s="1013"/>
      <c r="L6" s="1013"/>
      <c r="M6" s="1015"/>
      <c r="N6" s="913"/>
      <c r="O6" s="912"/>
    </row>
    <row r="7" spans="1:28" ht="15" x14ac:dyDescent="0.25">
      <c r="A7" s="910"/>
      <c r="B7" s="913"/>
      <c r="C7" s="1012"/>
      <c r="D7" s="1013"/>
      <c r="E7" s="1013"/>
      <c r="F7" s="1013"/>
      <c r="G7" s="1017" t="str">
        <f>'Quick Input'!R5</f>
        <v>Ansprechpartner</v>
      </c>
      <c r="H7" s="1018" t="str">
        <f>'Quick Input'!U5</f>
        <v>JM_PUC AL</v>
      </c>
      <c r="I7" s="1013"/>
      <c r="J7" s="1013"/>
      <c r="K7" s="1013"/>
      <c r="L7" s="1013"/>
      <c r="M7" s="1015"/>
      <c r="N7" s="913"/>
      <c r="O7" s="912"/>
    </row>
    <row r="8" spans="1:28" ht="5.0999999999999996" customHeight="1" x14ac:dyDescent="0.2">
      <c r="A8" s="910"/>
      <c r="B8" s="913"/>
      <c r="C8" s="1020"/>
      <c r="D8" s="1021"/>
      <c r="E8" s="1021"/>
      <c r="F8" s="1021"/>
      <c r="G8" s="1022"/>
      <c r="H8" s="1021"/>
      <c r="I8" s="1021"/>
      <c r="J8" s="1021"/>
      <c r="K8" s="1021"/>
      <c r="L8" s="1021"/>
      <c r="M8" s="1023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4" t="str">
        <f>Refkalkulation!H7</f>
        <v>Deutschland</v>
      </c>
      <c r="D10" s="1025"/>
      <c r="E10" s="1026"/>
      <c r="F10" s="931"/>
      <c r="G10" s="1024" t="str">
        <f>Refkalkulation!K7</f>
        <v>Polen</v>
      </c>
      <c r="H10" s="1025"/>
      <c r="I10" s="1026"/>
      <c r="J10" s="931"/>
      <c r="K10" s="1024" t="str">
        <f>Refkalkulation!N7</f>
        <v>Deutschland</v>
      </c>
      <c r="L10" s="1025"/>
      <c r="M10" s="1027"/>
      <c r="N10" s="913"/>
      <c r="O10" s="912"/>
    </row>
    <row r="11" spans="1:28" x14ac:dyDescent="0.2">
      <c r="A11" s="910"/>
      <c r="B11" s="913"/>
      <c r="C11" s="1030" t="s">
        <v>868</v>
      </c>
      <c r="D11" s="1014">
        <f>Refkalkulation!H8</f>
        <v>43531</v>
      </c>
      <c r="E11" s="1019"/>
      <c r="F11" s="913"/>
      <c r="G11" s="1030" t="str">
        <f>C11</f>
        <v>Project-Start:</v>
      </c>
      <c r="H11" s="1014">
        <f>Refkalkulation!K8</f>
        <v>43531</v>
      </c>
      <c r="I11" s="1019"/>
      <c r="J11" s="913"/>
      <c r="K11" s="1030" t="str">
        <f>C11</f>
        <v>Project-Start:</v>
      </c>
      <c r="L11" s="1014">
        <f>Refkalkulation!N8</f>
        <v>43531</v>
      </c>
      <c r="M11" s="1019"/>
      <c r="N11" s="913"/>
      <c r="O11" s="912"/>
    </row>
    <row r="12" spans="1:28" x14ac:dyDescent="0.2">
      <c r="A12" s="910"/>
      <c r="B12" s="913"/>
      <c r="C12" s="1030" t="str">
        <f>CONCATENATE('Quick Input'!$I$36,": ")</f>
        <v xml:space="preserve">Laufzeit (Jahre): </v>
      </c>
      <c r="D12" s="1028">
        <f>'Quick Input'!L36</f>
        <v>6</v>
      </c>
      <c r="E12" s="1019"/>
      <c r="F12" s="913"/>
      <c r="G12" s="1030" t="str">
        <f>CONCATENATE('Quick Input'!$I$36,": ")</f>
        <v xml:space="preserve">Laufzeit (Jahre): </v>
      </c>
      <c r="H12" s="1028">
        <f>'Quick Input'!O36</f>
        <v>6</v>
      </c>
      <c r="I12" s="1019"/>
      <c r="J12" s="913"/>
      <c r="K12" s="1030" t="str">
        <f>CONCATENATE('Quick Input'!$I$36,": ")</f>
        <v xml:space="preserve">Laufzeit (Jahre): </v>
      </c>
      <c r="L12" s="1028">
        <f>'Quick Input'!R36</f>
        <v>6</v>
      </c>
      <c r="M12" s="1019"/>
      <c r="N12" s="913"/>
      <c r="O12" s="912"/>
    </row>
    <row r="13" spans="1:28" x14ac:dyDescent="0.2">
      <c r="A13" s="910"/>
      <c r="B13" s="913"/>
      <c r="C13" s="1031" t="str">
        <f>CONCATENATE('Quick Input'!$I$37,": ")</f>
        <v xml:space="preserve">Stückzahl pa (peak): </v>
      </c>
      <c r="D13" s="1028">
        <f>'Quick Input'!L37</f>
        <v>5000</v>
      </c>
      <c r="E13" s="1019"/>
      <c r="F13" s="913"/>
      <c r="G13" s="1031" t="str">
        <f>CONCATENATE('Quick Input'!$I$37,": ")</f>
        <v xml:space="preserve">Stückzahl pa (peak): </v>
      </c>
      <c r="H13" s="1028">
        <f>'Quick Input'!O37</f>
        <v>5000</v>
      </c>
      <c r="I13" s="1019"/>
      <c r="J13" s="913"/>
      <c r="K13" s="1031" t="str">
        <f>CONCATENATE('Quick Input'!$I$37,": ")</f>
        <v xml:space="preserve">Stückzahl pa (peak): </v>
      </c>
      <c r="L13" s="1028">
        <f>'Quick Input'!R37</f>
        <v>5000</v>
      </c>
      <c r="M13" s="1019"/>
      <c r="N13" s="913"/>
      <c r="O13" s="912"/>
    </row>
    <row r="14" spans="1:28" x14ac:dyDescent="0.2">
      <c r="A14" s="910"/>
      <c r="B14" s="913"/>
      <c r="C14" s="1031" t="str">
        <f>Refkalkulation!D59</f>
        <v>Fertigungslosgröße</v>
      </c>
      <c r="D14" s="1028">
        <f>Refkalkulation!H59</f>
        <v>100</v>
      </c>
      <c r="E14" s="1019"/>
      <c r="F14" s="913"/>
      <c r="G14" s="1031" t="str">
        <f>$C$14</f>
        <v>Fertigungslosgröße</v>
      </c>
      <c r="H14" s="1028">
        <f>Refkalkulation!K59</f>
        <v>100</v>
      </c>
      <c r="I14" s="1019"/>
      <c r="J14" s="913"/>
      <c r="K14" s="1031" t="str">
        <f>$C$14</f>
        <v>Fertigungslosgröße</v>
      </c>
      <c r="L14" s="1028">
        <f>Refkalkulation!N59</f>
        <v>100</v>
      </c>
      <c r="M14" s="1019"/>
      <c r="N14" s="913"/>
      <c r="O14" s="912"/>
    </row>
    <row r="15" spans="1:28" ht="15" x14ac:dyDescent="0.25">
      <c r="A15" s="910"/>
      <c r="B15" s="913"/>
      <c r="C15" s="1032" t="str">
        <f>CONCATENATE('Quick Input'!I22,": ",'Quick Input'!L22," / Sandkern: ",'Quick Input'!L23)</f>
        <v>Giesstechnik: Niederdruck / Sandkern: cast machine</v>
      </c>
      <c r="D15" s="1033"/>
      <c r="E15" s="1019"/>
      <c r="F15" s="913"/>
      <c r="G15" s="1032" t="str">
        <f>CONCATENATE('Quick Input'!I22,": ",'Quick Input'!O22," / Sandkern: ",'Quick Input'!O23)</f>
        <v>Giesstechnik: Niederdruck / Sandkern: Dosiergerät</v>
      </c>
      <c r="H15" s="1034"/>
      <c r="I15" s="1035"/>
      <c r="J15" s="913"/>
      <c r="K15" s="1032" t="str">
        <f>CONCATENATE('Quick Input'!I22,": ",'Quick Input'!R22," / Sandkern: ",'Quick Input'!R23)</f>
        <v>Giesstechnik: Schwerkaft / Sandkern: Entnahmegerät</v>
      </c>
      <c r="L15" s="1013"/>
      <c r="M15" s="1019"/>
      <c r="N15" s="913"/>
      <c r="O15" s="912"/>
    </row>
    <row r="16" spans="1:28" x14ac:dyDescent="0.2">
      <c r="A16" s="910"/>
      <c r="B16" s="913"/>
      <c r="C16" s="1012"/>
      <c r="D16" s="1013"/>
      <c r="E16" s="1019"/>
      <c r="F16" s="913"/>
      <c r="G16" s="1012"/>
      <c r="H16" s="1013"/>
      <c r="I16" s="1019"/>
      <c r="J16" s="913"/>
      <c r="K16" s="1012"/>
      <c r="L16" s="1013"/>
      <c r="M16" s="1019"/>
      <c r="N16" s="913"/>
      <c r="O16" s="912"/>
    </row>
    <row r="17" spans="1:15" x14ac:dyDescent="0.2">
      <c r="A17" s="910"/>
      <c r="B17" s="913"/>
      <c r="C17" s="1012"/>
      <c r="D17" s="1013"/>
      <c r="E17" s="1019"/>
      <c r="F17" s="913"/>
      <c r="G17" s="1012"/>
      <c r="H17" s="1013"/>
      <c r="I17" s="1019"/>
      <c r="J17" s="913"/>
      <c r="K17" s="1012"/>
      <c r="L17" s="1013"/>
      <c r="M17" s="1019"/>
      <c r="N17" s="913"/>
      <c r="O17" s="912"/>
    </row>
    <row r="18" spans="1:15" x14ac:dyDescent="0.2">
      <c r="A18" s="910"/>
      <c r="B18" s="913"/>
      <c r="C18" s="1012"/>
      <c r="D18" s="1013"/>
      <c r="E18" s="1019"/>
      <c r="F18" s="913"/>
      <c r="G18" s="1012"/>
      <c r="H18" s="1013"/>
      <c r="I18" s="1019"/>
      <c r="J18" s="913"/>
      <c r="K18" s="1012"/>
      <c r="L18" s="1013"/>
      <c r="M18" s="1019"/>
      <c r="N18" s="913"/>
      <c r="O18" s="912"/>
    </row>
    <row r="19" spans="1:15" x14ac:dyDescent="0.2">
      <c r="A19" s="910"/>
      <c r="B19" s="913"/>
      <c r="C19" s="1012"/>
      <c r="D19" s="1013"/>
      <c r="E19" s="1019"/>
      <c r="F19" s="913"/>
      <c r="G19" s="1012"/>
      <c r="H19" s="1013"/>
      <c r="I19" s="1019"/>
      <c r="J19" s="913"/>
      <c r="K19" s="1012"/>
      <c r="L19" s="1013"/>
      <c r="M19" s="1019"/>
      <c r="N19" s="913"/>
      <c r="O19" s="912"/>
    </row>
    <row r="20" spans="1:15" x14ac:dyDescent="0.2">
      <c r="A20" s="910"/>
      <c r="B20" s="913"/>
      <c r="C20" s="1012"/>
      <c r="D20" s="1013"/>
      <c r="E20" s="1019"/>
      <c r="F20" s="913"/>
      <c r="G20" s="1012"/>
      <c r="H20" s="1013"/>
      <c r="I20" s="1019"/>
      <c r="J20" s="913"/>
      <c r="K20" s="1012"/>
      <c r="L20" s="1013"/>
      <c r="M20" s="1019"/>
      <c r="N20" s="913"/>
      <c r="O20" s="912"/>
    </row>
    <row r="21" spans="1:15" x14ac:dyDescent="0.2">
      <c r="A21" s="910"/>
      <c r="B21" s="913"/>
      <c r="C21" s="1012"/>
      <c r="D21" s="1013"/>
      <c r="E21" s="1019"/>
      <c r="F21" s="913"/>
      <c r="G21" s="1012"/>
      <c r="H21" s="1013"/>
      <c r="I21" s="1019"/>
      <c r="J21" s="913"/>
      <c r="K21" s="1012"/>
      <c r="L21" s="1013"/>
      <c r="M21" s="1019"/>
      <c r="N21" s="913"/>
      <c r="O21" s="912"/>
    </row>
    <row r="22" spans="1:15" x14ac:dyDescent="0.2">
      <c r="A22" s="910"/>
      <c r="B22" s="913"/>
      <c r="C22" s="1012"/>
      <c r="D22" s="1013"/>
      <c r="E22" s="1019"/>
      <c r="F22" s="913"/>
      <c r="G22" s="1012"/>
      <c r="H22" s="1013"/>
      <c r="I22" s="1019"/>
      <c r="J22" s="913"/>
      <c r="K22" s="1012"/>
      <c r="L22" s="1013"/>
      <c r="M22" s="1019"/>
      <c r="N22" s="913"/>
      <c r="O22" s="912"/>
    </row>
    <row r="23" spans="1:15" x14ac:dyDescent="0.2">
      <c r="A23" s="910"/>
      <c r="B23" s="913"/>
      <c r="C23" s="1012"/>
      <c r="D23" s="1013"/>
      <c r="E23" s="1019"/>
      <c r="F23" s="913"/>
      <c r="G23" s="1012"/>
      <c r="H23" s="1013"/>
      <c r="I23" s="1019"/>
      <c r="J23" s="913"/>
      <c r="K23" s="1012"/>
      <c r="L23" s="1013"/>
      <c r="M23" s="1019"/>
      <c r="N23" s="913"/>
      <c r="O23" s="912"/>
    </row>
    <row r="24" spans="1:15" x14ac:dyDescent="0.2">
      <c r="A24" s="910"/>
      <c r="B24" s="913"/>
      <c r="C24" s="1012"/>
      <c r="D24" s="1013"/>
      <c r="E24" s="1019"/>
      <c r="F24" s="913"/>
      <c r="G24" s="1012"/>
      <c r="H24" s="1013"/>
      <c r="I24" s="1019"/>
      <c r="J24" s="913"/>
      <c r="K24" s="1012"/>
      <c r="L24" s="1013"/>
      <c r="M24" s="1019"/>
      <c r="N24" s="913"/>
      <c r="O24" s="912"/>
    </row>
    <row r="25" spans="1:15" x14ac:dyDescent="0.2">
      <c r="A25" s="910"/>
      <c r="B25" s="913"/>
      <c r="C25" s="1012"/>
      <c r="D25" s="1013"/>
      <c r="E25" s="1019"/>
      <c r="F25" s="913"/>
      <c r="G25" s="1012"/>
      <c r="H25" s="1013"/>
      <c r="I25" s="1019"/>
      <c r="J25" s="913"/>
      <c r="K25" s="1012"/>
      <c r="L25" s="1013"/>
      <c r="M25" s="1019"/>
      <c r="N25" s="913"/>
      <c r="O25" s="912"/>
    </row>
    <row r="26" spans="1:15" x14ac:dyDescent="0.2">
      <c r="A26" s="910"/>
      <c r="B26" s="913"/>
      <c r="C26" s="1012"/>
      <c r="D26" s="1013"/>
      <c r="E26" s="1019"/>
      <c r="F26" s="913"/>
      <c r="G26" s="1012"/>
      <c r="H26" s="1013"/>
      <c r="I26" s="1019"/>
      <c r="J26" s="913"/>
      <c r="K26" s="1012"/>
      <c r="L26" s="1013"/>
      <c r="M26" s="1019"/>
      <c r="N26" s="913"/>
      <c r="O26" s="912"/>
    </row>
    <row r="27" spans="1:15" x14ac:dyDescent="0.2">
      <c r="A27" s="910"/>
      <c r="B27" s="913"/>
      <c r="C27" s="1012"/>
      <c r="D27" s="1013"/>
      <c r="E27" s="1019"/>
      <c r="F27" s="913"/>
      <c r="G27" s="1012"/>
      <c r="H27" s="1013"/>
      <c r="I27" s="1019"/>
      <c r="J27" s="913"/>
      <c r="K27" s="1012"/>
      <c r="L27" s="1013"/>
      <c r="M27" s="1019"/>
      <c r="N27" s="913"/>
      <c r="O27" s="912"/>
    </row>
    <row r="28" spans="1:15" x14ac:dyDescent="0.2">
      <c r="A28" s="910"/>
      <c r="B28" s="913"/>
      <c r="C28" s="1012"/>
      <c r="D28" s="1013"/>
      <c r="E28" s="1019"/>
      <c r="F28" s="913"/>
      <c r="G28" s="1012"/>
      <c r="H28" s="1013"/>
      <c r="I28" s="1019"/>
      <c r="J28" s="913"/>
      <c r="K28" s="1012"/>
      <c r="L28" s="1013"/>
      <c r="M28" s="1019"/>
      <c r="N28" s="913"/>
      <c r="O28" s="912"/>
    </row>
    <row r="29" spans="1:15" x14ac:dyDescent="0.2">
      <c r="A29" s="910"/>
      <c r="B29" s="913"/>
      <c r="C29" s="1012"/>
      <c r="D29" s="1013"/>
      <c r="E29" s="1019"/>
      <c r="F29" s="913"/>
      <c r="G29" s="1012"/>
      <c r="H29" s="1013"/>
      <c r="I29" s="1019"/>
      <c r="J29" s="913"/>
      <c r="K29" s="1012"/>
      <c r="L29" s="1013"/>
      <c r="M29" s="1019"/>
      <c r="N29" s="913"/>
      <c r="O29" s="912"/>
    </row>
    <row r="30" spans="1:15" x14ac:dyDescent="0.2">
      <c r="A30" s="910"/>
      <c r="B30" s="913"/>
      <c r="C30" s="1039" t="s">
        <v>861</v>
      </c>
      <c r="D30" s="1040" t="str">
        <f>'Quick Input'!M10</f>
        <v>EN AC-46100</v>
      </c>
      <c r="E30" s="1027"/>
      <c r="F30" s="913"/>
      <c r="G30" s="1039" t="str">
        <f>C30</f>
        <v>Material - Information:</v>
      </c>
      <c r="H30" s="1040" t="str">
        <f>'Quick Input'!P10</f>
        <v>EN AC-43100</v>
      </c>
      <c r="I30" s="1027"/>
      <c r="J30" s="913"/>
      <c r="K30" s="1039" t="str">
        <f>C30</f>
        <v>Material - Information:</v>
      </c>
      <c r="L30" s="1040" t="str">
        <f>'Quick Input'!S10</f>
        <v>EN AC-43100</v>
      </c>
      <c r="M30" s="1027"/>
      <c r="N30" s="913"/>
      <c r="O30" s="912"/>
    </row>
    <row r="31" spans="1:15" x14ac:dyDescent="0.2">
      <c r="A31" s="910"/>
      <c r="B31" s="913"/>
      <c r="C31" s="1041" t="str">
        <f>CONCATENATE("               ",Refkalkulation!D9)</f>
        <v xml:space="preserve">               Materialien</v>
      </c>
      <c r="D31" s="1042" t="str">
        <f>'Quick Input'!M11</f>
        <v>Al Si10Cu2(Fe)</v>
      </c>
      <c r="E31" s="1043"/>
      <c r="F31" s="913"/>
      <c r="G31" s="1041" t="str">
        <f t="shared" ref="G31:G46" si="0">C31</f>
        <v xml:space="preserve">               Materialien</v>
      </c>
      <c r="H31" s="1042" t="str">
        <f>'Quick Input'!P11</f>
        <v>Al Si10Mg(b)</v>
      </c>
      <c r="I31" s="1043"/>
      <c r="J31" s="913"/>
      <c r="K31" s="1041" t="str">
        <f t="shared" ref="K31:K46" si="1">C31</f>
        <v xml:space="preserve">               Materialien</v>
      </c>
      <c r="L31" s="1042" t="str">
        <f>'Quick Input'!S11</f>
        <v>Al Si10Mg(b)</v>
      </c>
      <c r="M31" s="1043"/>
      <c r="N31" s="913"/>
      <c r="O31" s="912"/>
    </row>
    <row r="32" spans="1:15" x14ac:dyDescent="0.2">
      <c r="A32" s="910"/>
      <c r="B32" s="913"/>
      <c r="C32" s="1044" t="str">
        <f>CONCATENATE("               ",'Quick Input'!I13)</f>
        <v xml:space="preserve">               Al-Materialpreis (€/kg)</v>
      </c>
      <c r="D32" s="1045">
        <f>Refkalkulation!H12</f>
        <v>2.0002526724975707</v>
      </c>
      <c r="E32" s="1046"/>
      <c r="F32" s="940"/>
      <c r="G32" s="1044" t="str">
        <f t="shared" si="0"/>
        <v xml:space="preserve">               Al-Materialpreis (€/kg)</v>
      </c>
      <c r="H32" s="1045">
        <f>Refkalkulation!K12</f>
        <v>1.9670528580208975</v>
      </c>
      <c r="I32" s="1046"/>
      <c r="J32" s="940"/>
      <c r="K32" s="1044" t="str">
        <f t="shared" si="1"/>
        <v xml:space="preserve">               Al-Materialpreis (€/kg)</v>
      </c>
      <c r="L32" s="1045">
        <f>Refkalkulation!N12</f>
        <v>1.9670528580208975</v>
      </c>
      <c r="M32" s="1046"/>
      <c r="N32" s="913"/>
      <c r="O32" s="912"/>
    </row>
    <row r="33" spans="1:16" ht="15" x14ac:dyDescent="0.25">
      <c r="A33" s="910"/>
      <c r="B33" s="913"/>
      <c r="C33" s="1047" t="str">
        <f>Refkalkulation!D9</f>
        <v>Materialien</v>
      </c>
      <c r="D33" s="1048" t="e">
        <f>SUM(E34:E37)</f>
        <v>#REF!</v>
      </c>
      <c r="E33" s="1049"/>
      <c r="F33" s="913"/>
      <c r="G33" s="1047" t="str">
        <f t="shared" si="0"/>
        <v>Materialien</v>
      </c>
      <c r="H33" s="1048" t="e">
        <f>SUM(I34:I37)</f>
        <v>#REF!</v>
      </c>
      <c r="I33" s="1049"/>
      <c r="J33" s="913"/>
      <c r="K33" s="1047" t="str">
        <f t="shared" si="1"/>
        <v>Materialien</v>
      </c>
      <c r="L33" s="1048" t="e">
        <f>SUM(M34:M37)</f>
        <v>#REF!</v>
      </c>
      <c r="M33" s="1049"/>
      <c r="N33" s="913"/>
      <c r="O33" s="912"/>
    </row>
    <row r="34" spans="1:16" x14ac:dyDescent="0.2">
      <c r="A34" s="910"/>
      <c r="B34" s="913"/>
      <c r="C34" s="1050" t="str">
        <f>CONCATENATE("               ",Refkalkulation!D15)</f>
        <v xml:space="preserve">               Materialkosten Rohteil</v>
      </c>
      <c r="D34" s="1051"/>
      <c r="E34" s="1052">
        <f>Refkalkulation!H15</f>
        <v>80.010106899902823</v>
      </c>
      <c r="F34" s="947"/>
      <c r="G34" s="1050" t="str">
        <f t="shared" si="0"/>
        <v xml:space="preserve">               Materialkosten Rohteil</v>
      </c>
      <c r="H34" s="1051"/>
      <c r="I34" s="1052">
        <f>Refkalkulation!K15</f>
        <v>9.8352642901044867</v>
      </c>
      <c r="J34" s="947"/>
      <c r="K34" s="1050" t="str">
        <f t="shared" si="1"/>
        <v xml:space="preserve">               Materialkosten Rohteil</v>
      </c>
      <c r="L34" s="1051"/>
      <c r="M34" s="1052">
        <f>Refkalkulation!N15</f>
        <v>9.8352642901044867</v>
      </c>
      <c r="N34" s="947"/>
      <c r="O34" s="912"/>
    </row>
    <row r="35" spans="1:16" x14ac:dyDescent="0.2">
      <c r="A35" s="910"/>
      <c r="B35" s="913"/>
      <c r="C35" s="1050" t="str">
        <f>CONCATENATE("               ",Refkalkulation!D17)</f>
        <v xml:space="preserve">               Kosten Schmelzverlust</v>
      </c>
      <c r="D35" s="1051"/>
      <c r="E35" s="1052">
        <f>Refkalkulation!H17</f>
        <v>5.4618899475218656</v>
      </c>
      <c r="F35" s="947"/>
      <c r="G35" s="1050" t="str">
        <f t="shared" si="0"/>
        <v xml:space="preserve">               Kosten Schmelzverlust</v>
      </c>
      <c r="H35" s="1051"/>
      <c r="I35" s="1052">
        <f>Refkalkulation!K17</f>
        <v>0.67140431676398282</v>
      </c>
      <c r="J35" s="947"/>
      <c r="K35" s="1050" t="str">
        <f t="shared" si="1"/>
        <v xml:space="preserve">               Kosten Schmelzverlust</v>
      </c>
      <c r="L35" s="1051"/>
      <c r="M35" s="1052">
        <f>Refkalkulation!N17</f>
        <v>0.88974718400430253</v>
      </c>
      <c r="N35" s="947"/>
      <c r="O35" s="912"/>
    </row>
    <row r="36" spans="1:16" x14ac:dyDescent="0.2">
      <c r="A36" s="910"/>
      <c r="B36" s="913"/>
      <c r="C36" s="1050" t="str">
        <f>CONCATENATE("               ",Refkalkulation!D22)</f>
        <v xml:space="preserve">               Kosten Hilfsstoffe (€/Stk.)</v>
      </c>
      <c r="D36" s="1051"/>
      <c r="E36" s="1052" t="e">
        <f>Refkalkulation!H22</f>
        <v>#REF!</v>
      </c>
      <c r="F36" s="947"/>
      <c r="G36" s="1050" t="str">
        <f t="shared" si="0"/>
        <v xml:space="preserve">               Kosten Hilfsstoffe (€/Stk.)</v>
      </c>
      <c r="H36" s="1051"/>
      <c r="I36" s="1052" t="e">
        <f>Refkalkulation!K22</f>
        <v>#REF!</v>
      </c>
      <c r="J36" s="947"/>
      <c r="K36" s="1050" t="str">
        <f t="shared" si="1"/>
        <v xml:space="preserve">               Kosten Hilfsstoffe (€/Stk.)</v>
      </c>
      <c r="L36" s="1051"/>
      <c r="M36" s="1052" t="e">
        <f>Refkalkulation!N22</f>
        <v>#REF!</v>
      </c>
      <c r="N36" s="947"/>
      <c r="O36" s="912"/>
    </row>
    <row r="37" spans="1:16" x14ac:dyDescent="0.2">
      <c r="A37" s="910"/>
      <c r="B37" s="913"/>
      <c r="C37" s="1053" t="str">
        <f>CONCATENATE("               ",Refkalkulation!D24)</f>
        <v xml:space="preserve">               Materialgemeinkosten</v>
      </c>
      <c r="D37" s="1054"/>
      <c r="E37" s="1055" t="e">
        <f>Refkalkulation!H24</f>
        <v>#REF!</v>
      </c>
      <c r="F37" s="947"/>
      <c r="G37" s="1053" t="str">
        <f t="shared" si="0"/>
        <v xml:space="preserve">               Materialgemeinkosten</v>
      </c>
      <c r="H37" s="1054"/>
      <c r="I37" s="1055" t="e">
        <f>Refkalkulation!K24</f>
        <v>#REF!</v>
      </c>
      <c r="J37" s="947"/>
      <c r="K37" s="1053" t="str">
        <f t="shared" si="1"/>
        <v xml:space="preserve">               Materialgemeinkosten</v>
      </c>
      <c r="L37" s="1054"/>
      <c r="M37" s="1055" t="e">
        <f>Refkalkulation!N24</f>
        <v>#REF!</v>
      </c>
      <c r="N37" s="947"/>
      <c r="O37" s="912"/>
    </row>
    <row r="38" spans="1:16" ht="15" x14ac:dyDescent="0.25">
      <c r="A38" s="910"/>
      <c r="B38" s="913"/>
      <c r="C38" s="1047" t="str">
        <f>Refkalkulation!D115</f>
        <v>Fertigungskosten gesamt</v>
      </c>
      <c r="D38" s="1048" t="e">
        <f>SUM(E39:E43)</f>
        <v>#N/A</v>
      </c>
      <c r="E38" s="1056"/>
      <c r="F38" s="954"/>
      <c r="G38" s="1047" t="str">
        <f t="shared" si="0"/>
        <v>Fertigungskosten gesamt</v>
      </c>
      <c r="H38" s="1048" t="e">
        <f>SUM(I39:I43)</f>
        <v>#REF!</v>
      </c>
      <c r="I38" s="1056"/>
      <c r="J38" s="954"/>
      <c r="K38" s="1047" t="str">
        <f t="shared" si="1"/>
        <v>Fertigungskosten gesamt</v>
      </c>
      <c r="L38" s="1048" t="e">
        <f>SUM(M39:M43)</f>
        <v>#REF!</v>
      </c>
      <c r="M38" s="1056"/>
      <c r="N38" s="954"/>
      <c r="O38" s="912"/>
    </row>
    <row r="39" spans="1:16" x14ac:dyDescent="0.2">
      <c r="A39" s="910"/>
      <c r="B39" s="913"/>
      <c r="C39" s="1057" t="str">
        <f>CONCATENATE("               ",Refkalkulation!D27)</f>
        <v xml:space="preserve">               Prozess Schmelzen</v>
      </c>
      <c r="D39" s="1058"/>
      <c r="E39" s="1059">
        <f>Refkalkulation!H46</f>
        <v>3.2111427824391021</v>
      </c>
      <c r="F39" s="958"/>
      <c r="G39" s="1057" t="str">
        <f t="shared" si="0"/>
        <v xml:space="preserve">               Prozess Schmelzen</v>
      </c>
      <c r="H39" s="1058"/>
      <c r="I39" s="1059">
        <f>Refkalkulation!K46</f>
        <v>0.66425434509993386</v>
      </c>
      <c r="J39" s="958"/>
      <c r="K39" s="1057" t="str">
        <f t="shared" si="1"/>
        <v xml:space="preserve">               Prozess Schmelzen</v>
      </c>
      <c r="L39" s="1058"/>
      <c r="M39" s="1059">
        <f>Refkalkulation!N46</f>
        <v>0.59928113312805198</v>
      </c>
      <c r="N39" s="958"/>
      <c r="O39" s="912"/>
    </row>
    <row r="40" spans="1:16" x14ac:dyDescent="0.2">
      <c r="A40" s="910"/>
      <c r="B40" s="913"/>
      <c r="C40" s="1057" t="str">
        <f>CONCATENATE("               ",Refkalkulation!D47)</f>
        <v xml:space="preserve">               Prozess Kokillenguss</v>
      </c>
      <c r="D40" s="1060"/>
      <c r="E40" s="1059" t="e">
        <f>Refkalkulation!H70</f>
        <v>#N/A</v>
      </c>
      <c r="F40" s="958"/>
      <c r="G40" s="1057" t="str">
        <f t="shared" si="0"/>
        <v xml:space="preserve">               Prozess Kokillenguss</v>
      </c>
      <c r="H40" s="1060"/>
      <c r="I40" s="1059" t="e">
        <f>Refkalkulation!K70</f>
        <v>#REF!</v>
      </c>
      <c r="J40" s="958"/>
      <c r="K40" s="1057" t="str">
        <f t="shared" si="1"/>
        <v xml:space="preserve">               Prozess Kokillenguss</v>
      </c>
      <c r="L40" s="1060"/>
      <c r="M40" s="1059" t="e">
        <f>Refkalkulation!N70</f>
        <v>#REF!</v>
      </c>
      <c r="N40" s="958"/>
      <c r="O40" s="912"/>
    </row>
    <row r="41" spans="1:16" x14ac:dyDescent="0.2">
      <c r="A41" s="910"/>
      <c r="B41" s="913"/>
      <c r="C41" s="1057" t="str">
        <f>CONCATENATE("               ",Refkalkulation!D71)</f>
        <v xml:space="preserve">               Nachbehandlung</v>
      </c>
      <c r="D41" s="1060"/>
      <c r="E41" s="1059" t="e">
        <f>Refkalkulation!H89</f>
        <v>#REF!</v>
      </c>
      <c r="F41" s="958"/>
      <c r="G41" s="1057" t="str">
        <f t="shared" si="0"/>
        <v xml:space="preserve">               Nachbehandlung</v>
      </c>
      <c r="H41" s="1060"/>
      <c r="I41" s="1059" t="e">
        <f>Refkalkulation!K89</f>
        <v>#REF!</v>
      </c>
      <c r="J41" s="958"/>
      <c r="K41" s="1057" t="str">
        <f t="shared" si="1"/>
        <v xml:space="preserve">               Nachbehandlung</v>
      </c>
      <c r="L41" s="1060"/>
      <c r="M41" s="1059" t="e">
        <f>Refkalkulation!N89</f>
        <v>#REF!</v>
      </c>
      <c r="N41" s="958"/>
      <c r="O41" s="912"/>
    </row>
    <row r="42" spans="1:16" x14ac:dyDescent="0.2">
      <c r="A42" s="910"/>
      <c r="B42" s="913"/>
      <c r="C42" s="1057" t="str">
        <f>CONCATENATE("               ",Refkalkulation!D90)</f>
        <v xml:space="preserve">               Prüfen</v>
      </c>
      <c r="D42" s="1060"/>
      <c r="E42" s="1059">
        <f>Refkalkulation!H109+Refkalkulation!H112/Refkalkulation!H59</f>
        <v>6.3502320254629634</v>
      </c>
      <c r="F42" s="958"/>
      <c r="G42" s="1057" t="str">
        <f t="shared" si="0"/>
        <v xml:space="preserve">               Prüfen</v>
      </c>
      <c r="H42" s="1060"/>
      <c r="I42" s="1059">
        <f>Refkalkulation!K109+Refkalkulation!K112/Refkalkulation!K59</f>
        <v>3.2506872407407412</v>
      </c>
      <c r="J42" s="958"/>
      <c r="K42" s="1057" t="str">
        <f t="shared" si="1"/>
        <v xml:space="preserve">               Prüfen</v>
      </c>
      <c r="L42" s="1060"/>
      <c r="M42" s="1059">
        <f>Refkalkulation!N109+Refkalkulation!N112/Refkalkulation!N59</f>
        <v>4.4772743518518521</v>
      </c>
      <c r="N42" s="958"/>
      <c r="O42" s="912"/>
    </row>
    <row r="43" spans="1:16" x14ac:dyDescent="0.2">
      <c r="A43" s="910"/>
      <c r="B43" s="913"/>
      <c r="C43" s="1057" t="str">
        <f>CONCATENATE("               ",Refkalkulation!D114)</f>
        <v xml:space="preserve">               Fertigungsgemeinkosten</v>
      </c>
      <c r="D43" s="1060"/>
      <c r="E43" s="1059" t="e">
        <f>Refkalkulation!H114</f>
        <v>#N/A</v>
      </c>
      <c r="F43" s="958"/>
      <c r="G43" s="1057" t="str">
        <f t="shared" si="0"/>
        <v xml:space="preserve">               Fertigungsgemeinkosten</v>
      </c>
      <c r="H43" s="1060"/>
      <c r="I43" s="1059" t="e">
        <f>Refkalkulation!K114</f>
        <v>#REF!</v>
      </c>
      <c r="J43" s="958"/>
      <c r="K43" s="1057" t="str">
        <f t="shared" si="1"/>
        <v xml:space="preserve">               Fertigungsgemeinkosten</v>
      </c>
      <c r="L43" s="1060"/>
      <c r="M43" s="1059" t="e">
        <f>Refkalkulation!N114</f>
        <v>#REF!</v>
      </c>
      <c r="N43" s="958"/>
      <c r="O43" s="912"/>
    </row>
    <row r="44" spans="1:16" x14ac:dyDescent="0.2">
      <c r="A44" s="910"/>
      <c r="B44" s="913"/>
      <c r="C44" s="1061" t="str">
        <f>Refkalkulation!D122</f>
        <v>Gesamtgemeinkosten</v>
      </c>
      <c r="D44" s="1062" t="e">
        <f>Refkalkulation!H122</f>
        <v>#REF!</v>
      </c>
      <c r="E44" s="1063" t="e">
        <f>D44/D46</f>
        <v>#REF!</v>
      </c>
      <c r="F44" s="958"/>
      <c r="G44" s="1061" t="str">
        <f t="shared" si="0"/>
        <v>Gesamtgemeinkosten</v>
      </c>
      <c r="H44" s="1062" t="e">
        <f>Refkalkulation!K122</f>
        <v>#REF!</v>
      </c>
      <c r="I44" s="1063" t="e">
        <f>H44/H46</f>
        <v>#REF!</v>
      </c>
      <c r="J44" s="913"/>
      <c r="K44" s="1061" t="str">
        <f t="shared" si="1"/>
        <v>Gesamtgemeinkosten</v>
      </c>
      <c r="L44" s="1062" t="e">
        <f>Refkalkulation!N122</f>
        <v>#REF!</v>
      </c>
      <c r="M44" s="1063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4" t="str">
        <f>Refkalkulation!D125</f>
        <v>Gesamtgewinn</v>
      </c>
      <c r="D45" s="1062" t="e">
        <f>Refkalkulation!H125</f>
        <v>#REF!</v>
      </c>
      <c r="E45" s="1065" t="e">
        <f>D45/D46</f>
        <v>#REF!</v>
      </c>
      <c r="F45" s="958"/>
      <c r="G45" s="1064" t="str">
        <f t="shared" si="0"/>
        <v>Gesamtgewinn</v>
      </c>
      <c r="H45" s="1062" t="e">
        <f>Refkalkulation!K125</f>
        <v>#REF!</v>
      </c>
      <c r="I45" s="1065" t="e">
        <f>H45/H46</f>
        <v>#REF!</v>
      </c>
      <c r="J45" s="913"/>
      <c r="K45" s="1064" t="str">
        <f t="shared" si="1"/>
        <v>Gesamtgewinn</v>
      </c>
      <c r="L45" s="1062" t="e">
        <f>Refkalkulation!N125</f>
        <v>#REF!</v>
      </c>
      <c r="M45" s="1065" t="e">
        <f>L45/L46</f>
        <v>#REF!</v>
      </c>
      <c r="N45" s="913"/>
      <c r="O45" s="912"/>
    </row>
    <row r="46" spans="1:16" ht="15" x14ac:dyDescent="0.2">
      <c r="A46" s="910"/>
      <c r="B46" s="913"/>
      <c r="C46" s="1070" t="str">
        <f>Refkalkulation!D127</f>
        <v>Bauteilpreis gesamt</v>
      </c>
      <c r="D46" s="1066" t="e">
        <f>SUM(D33:D45)</f>
        <v>#REF!</v>
      </c>
      <c r="E46" s="1067" t="s">
        <v>862</v>
      </c>
      <c r="F46" s="1029"/>
      <c r="G46" s="1070" t="str">
        <f t="shared" si="0"/>
        <v>Bauteilpreis gesamt</v>
      </c>
      <c r="H46" s="1066" t="e">
        <f>SUM(H33:H45)</f>
        <v>#REF!</v>
      </c>
      <c r="I46" s="1067" t="s">
        <v>862</v>
      </c>
      <c r="J46" s="1029"/>
      <c r="K46" s="1070" t="str">
        <f t="shared" si="1"/>
        <v>Bauteilpreis gesamt</v>
      </c>
      <c r="L46" s="1066" t="e">
        <f>SUM(L33:L45)</f>
        <v>#REF!</v>
      </c>
      <c r="M46" s="1067" t="s">
        <v>862</v>
      </c>
      <c r="N46" s="969"/>
      <c r="O46" s="912"/>
    </row>
    <row r="47" spans="1:16" x14ac:dyDescent="0.2">
      <c r="A47" s="910"/>
      <c r="B47" s="913"/>
      <c r="C47" s="1071" t="str">
        <f>Refkalkulation!D131</f>
        <v>Zielpreis Bauteil</v>
      </c>
      <c r="D47" s="1068">
        <f>Refkalkulation!H131</f>
        <v>55</v>
      </c>
      <c r="E47" s="1069" t="e">
        <f>(D47-D46)*D13</f>
        <v>#REF!</v>
      </c>
      <c r="F47" s="1029"/>
      <c r="G47" s="1071" t="str">
        <f>C47</f>
        <v>Zielpreis Bauteil</v>
      </c>
      <c r="H47" s="1068">
        <f>Refkalkulation!K131</f>
        <v>55</v>
      </c>
      <c r="I47" s="1069" t="e">
        <f>(H47-H46)*H13</f>
        <v>#REF!</v>
      </c>
      <c r="J47" s="1029"/>
      <c r="K47" s="1071" t="str">
        <f>C47</f>
        <v>Zielpreis Bauteil</v>
      </c>
      <c r="L47" s="1068">
        <f>Refkalkulation!N131</f>
        <v>55</v>
      </c>
      <c r="M47" s="1069" t="e">
        <f>(L47-L46)*L13</f>
        <v>#REF!</v>
      </c>
      <c r="N47" s="969"/>
      <c r="O47" s="912"/>
    </row>
    <row r="48" spans="1:16" ht="15" x14ac:dyDescent="0.2">
      <c r="A48" s="910"/>
      <c r="B48" s="913"/>
      <c r="C48" s="1070" t="str">
        <f>IF(Deutsch,"Modellkosten geschätzt","Pattern Cost estimated")</f>
        <v>Modellkosten geschätzt</v>
      </c>
      <c r="D48" s="1066" t="e">
        <f>Refkalkulation!H135+Refkalkulation!H136</f>
        <v>#REF!</v>
      </c>
      <c r="E48" s="1067" t="s">
        <v>863</v>
      </c>
      <c r="F48" s="1029"/>
      <c r="G48" s="1070" t="str">
        <f>C48</f>
        <v>Modellkosten geschätzt</v>
      </c>
      <c r="H48" s="1066" t="e">
        <f>Refkalkulation!K135+Refkalkulation!K136</f>
        <v>#REF!</v>
      </c>
      <c r="I48" s="1067" t="s">
        <v>863</v>
      </c>
      <c r="J48" s="1029"/>
      <c r="K48" s="1070" t="str">
        <f>C48</f>
        <v>Modellkosten geschätzt</v>
      </c>
      <c r="L48" s="1066" t="e">
        <f>Refkalkulation!N135+Refkalkulation!N136</f>
        <v>#REF!</v>
      </c>
      <c r="M48" s="1067" t="s">
        <v>863</v>
      </c>
      <c r="N48" s="969"/>
      <c r="O48" s="912"/>
      <c r="P48" s="1099"/>
    </row>
    <row r="49" spans="1:15" x14ac:dyDescent="0.2">
      <c r="A49" s="910"/>
      <c r="B49" s="913"/>
      <c r="C49" s="1071" t="str">
        <f>Refkalkulation!D137</f>
        <v>Modellkosten Angebot</v>
      </c>
      <c r="D49" s="1068">
        <f>Refkalkulation!H137</f>
        <v>10500</v>
      </c>
      <c r="E49" s="1069" t="e">
        <f>D49-D48</f>
        <v>#REF!</v>
      </c>
      <c r="F49" s="1029"/>
      <c r="G49" s="1071" t="str">
        <f>C49</f>
        <v>Modellkosten Angebot</v>
      </c>
      <c r="H49" s="1068">
        <f>Refkalkulation!K137</f>
        <v>6000</v>
      </c>
      <c r="I49" s="1069" t="e">
        <f>H49-H48</f>
        <v>#REF!</v>
      </c>
      <c r="J49" s="1029"/>
      <c r="K49" s="1071" t="str">
        <f>C49</f>
        <v>Modellkosten Angebot</v>
      </c>
      <c r="L49" s="1068">
        <f>Refkalkulation!N137</f>
        <v>8050</v>
      </c>
      <c r="M49" s="1069" t="e">
        <f>L49-L48</f>
        <v>#REF!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Deutschland</v>
      </c>
      <c r="C56" s="909" t="s">
        <v>864</v>
      </c>
      <c r="D56" s="909" t="s">
        <v>865</v>
      </c>
      <c r="E56" s="909" t="s">
        <v>866</v>
      </c>
      <c r="F56" s="909" t="s">
        <v>867</v>
      </c>
      <c r="G56" s="909" t="s">
        <v>870</v>
      </c>
      <c r="H56" s="909" t="s">
        <v>869</v>
      </c>
      <c r="I56" s="909" t="s">
        <v>871</v>
      </c>
    </row>
    <row r="57" spans="1:15" ht="0.2" customHeight="1" x14ac:dyDescent="0.2">
      <c r="C57" s="1036" t="e">
        <f>D33</f>
        <v>#REF!</v>
      </c>
      <c r="D57" s="1036" t="e">
        <f>D38</f>
        <v>#N/A</v>
      </c>
      <c r="E57" s="1036" t="e">
        <f>D44</f>
        <v>#REF!</v>
      </c>
      <c r="F57" s="1036" t="e">
        <f>D45</f>
        <v>#REF!</v>
      </c>
      <c r="G57" s="1036" t="e">
        <f>D46</f>
        <v>#REF!</v>
      </c>
      <c r="H57" s="1036" t="e">
        <f>I57-G57</f>
        <v>#REF!</v>
      </c>
      <c r="I57" s="1036">
        <f>D47</f>
        <v>55</v>
      </c>
    </row>
    <row r="58" spans="1:15" ht="0.2" customHeight="1" x14ac:dyDescent="0.2">
      <c r="C58" s="1036"/>
      <c r="D58" s="1036" t="e">
        <f>C57</f>
        <v>#REF!</v>
      </c>
      <c r="E58" s="1036" t="e">
        <f>D57+D58</f>
        <v>#N/A</v>
      </c>
      <c r="F58" s="1036" t="e">
        <f>E57+E58</f>
        <v>#REF!</v>
      </c>
      <c r="G58" s="1036"/>
      <c r="H58" s="1036"/>
      <c r="I58" s="1036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Polen</v>
      </c>
      <c r="C62" s="909" t="s">
        <v>864</v>
      </c>
      <c r="D62" s="909" t="s">
        <v>865</v>
      </c>
      <c r="E62" s="909" t="s">
        <v>866</v>
      </c>
      <c r="F62" s="909" t="s">
        <v>867</v>
      </c>
      <c r="G62" s="909" t="s">
        <v>870</v>
      </c>
      <c r="H62" s="909" t="s">
        <v>869</v>
      </c>
      <c r="I62" s="909" t="s">
        <v>871</v>
      </c>
    </row>
    <row r="63" spans="1:15" ht="0.2" customHeight="1" x14ac:dyDescent="0.2">
      <c r="C63" s="1036" t="e">
        <f>H33</f>
        <v>#REF!</v>
      </c>
      <c r="D63" s="1036" t="e">
        <f>H38</f>
        <v>#REF!</v>
      </c>
      <c r="E63" s="1036" t="e">
        <f>H44</f>
        <v>#REF!</v>
      </c>
      <c r="F63" s="1036" t="e">
        <f>H45</f>
        <v>#REF!</v>
      </c>
      <c r="G63" s="1036" t="e">
        <f>H46</f>
        <v>#REF!</v>
      </c>
      <c r="H63" s="1036" t="e">
        <f>I63-G63</f>
        <v>#REF!</v>
      </c>
      <c r="I63" s="1036">
        <f>H47</f>
        <v>55</v>
      </c>
    </row>
    <row r="64" spans="1:15" ht="0.2" customHeight="1" x14ac:dyDescent="0.2">
      <c r="C64" s="1036"/>
      <c r="D64" s="1036" t="e">
        <f>C63</f>
        <v>#REF!</v>
      </c>
      <c r="E64" s="1036" t="e">
        <f>D63+D64</f>
        <v>#REF!</v>
      </c>
      <c r="F64" s="1036" t="e">
        <f>E63+E64</f>
        <v>#REF!</v>
      </c>
      <c r="G64" s="1036"/>
      <c r="H64" s="1036"/>
      <c r="I64" s="1036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Deutschland</v>
      </c>
      <c r="C67" s="909" t="s">
        <v>864</v>
      </c>
      <c r="D67" s="909" t="s">
        <v>865</v>
      </c>
      <c r="E67" s="909" t="s">
        <v>866</v>
      </c>
      <c r="F67" s="909" t="s">
        <v>867</v>
      </c>
      <c r="G67" s="909" t="s">
        <v>870</v>
      </c>
      <c r="H67" s="909" t="s">
        <v>869</v>
      </c>
      <c r="I67" s="909" t="s">
        <v>871</v>
      </c>
    </row>
    <row r="68" spans="1:9" ht="0.2" customHeight="1" x14ac:dyDescent="0.2">
      <c r="C68" s="1036" t="e">
        <f>L33</f>
        <v>#REF!</v>
      </c>
      <c r="D68" s="1036" t="e">
        <f>L38</f>
        <v>#REF!</v>
      </c>
      <c r="E68" s="1036" t="e">
        <f>L44</f>
        <v>#REF!</v>
      </c>
      <c r="F68" s="1036" t="e">
        <f>L45</f>
        <v>#REF!</v>
      </c>
      <c r="G68" s="1036" t="e">
        <f>L46</f>
        <v>#REF!</v>
      </c>
      <c r="H68" s="1036" t="e">
        <f>I68-G68</f>
        <v>#REF!</v>
      </c>
      <c r="I68" s="1036">
        <f>L47</f>
        <v>55</v>
      </c>
    </row>
    <row r="69" spans="1:9" ht="0.2" customHeight="1" x14ac:dyDescent="0.2">
      <c r="C69" s="1036"/>
      <c r="D69" s="1036" t="e">
        <f>C68</f>
        <v>#REF!</v>
      </c>
      <c r="E69" s="1036" t="e">
        <f>D68+D69</f>
        <v>#REF!</v>
      </c>
      <c r="F69" s="1036" t="e">
        <f>E68+E69</f>
        <v>#REF!</v>
      </c>
      <c r="G69" s="1036"/>
      <c r="H69" s="1036"/>
      <c r="I69" s="1036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44638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Standort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Lieferant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Werk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Deutschland</v>
      </c>
      <c r="D12" s="929" t="str">
        <f>Refkalkulation!H$6</f>
        <v>Housing</v>
      </c>
      <c r="E12" s="930"/>
      <c r="F12" s="931"/>
      <c r="G12" s="928" t="str">
        <f>Refkalkulation!K7</f>
        <v>Polen</v>
      </c>
      <c r="H12" s="929" t="str">
        <f>Refkalkulation!K$6</f>
        <v>Housing</v>
      </c>
      <c r="I12" s="930"/>
      <c r="J12" s="931"/>
      <c r="K12" s="928" t="str">
        <f>Refkalkulation!N7</f>
        <v>Deutschland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Giesstechnik Niederdruck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Giesstechnik Niederdruck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Giesstechnik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Automatisierungsgrad cast machine: 20 ltr</v>
      </c>
      <c r="D14" s="913"/>
      <c r="E14" s="912"/>
      <c r="F14" s="913"/>
      <c r="G14" s="910" t="str">
        <f>CONCATENATE('Quick Input'!$I23," ",'Quick Input'!O23,": ",Refkalkulation!K65," ltr")</f>
        <v>Automatisierungsgrad Dosiergerät: 0 ltr</v>
      </c>
      <c r="H14" s="913"/>
      <c r="I14" s="912"/>
      <c r="J14" s="913"/>
      <c r="K14" s="910" t="str">
        <f>CONCATENATE('Quick Input'!$I23," ",'Quick Input'!R23,": ",Refkalkulation!N65," ltr")</f>
        <v>Automatisierungsgrad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Sandstrahlen Gleitschleifen</v>
      </c>
      <c r="D15" s="913"/>
      <c r="E15" s="912"/>
      <c r="F15" s="913"/>
      <c r="G15" s="910" t="str">
        <f>Refkalkulation!K71</f>
        <v>Sandstrahlen Gleitschleifen</v>
      </c>
      <c r="H15" s="913"/>
      <c r="I15" s="912"/>
      <c r="J15" s="913"/>
      <c r="K15" s="910" t="str">
        <f>Refkalkulation!N71</f>
        <v>Sandstrahlen Gleitschleifen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Refkalkulation!H90</f>
        <v>US PT Röntgen prüfen</v>
      </c>
      <c r="D16" s="913"/>
      <c r="E16" s="912"/>
      <c r="F16" s="913"/>
      <c r="G16" s="910" t="str">
        <f>Refkalkulation!K90</f>
        <v>US PT Röntgen prüfen</v>
      </c>
      <c r="H16" s="913"/>
      <c r="I16" s="912"/>
      <c r="J16" s="913"/>
      <c r="K16" s="910" t="str">
        <f>Refkalkulation!N90</f>
        <v>US PT Röntgen prüfen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- Information:</v>
      </c>
      <c r="D32" s="933"/>
      <c r="E32" s="908"/>
      <c r="F32" s="913"/>
      <c r="G32" s="932" t="str">
        <f>C32</f>
        <v>Material - Information:</v>
      </c>
      <c r="H32" s="933"/>
      <c r="I32" s="908"/>
      <c r="J32" s="913"/>
      <c r="K32" s="932" t="str">
        <f>C32</f>
        <v>Material -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Bezeichnung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Bezeichnung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Bezeichnung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Al-Materialpreis (€/kg)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Al-Materialpreis (€/kg)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Al-Materialpreis (€/kg)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Materialkosten gesamt</v>
      </c>
      <c r="D35" s="942" t="e">
        <f>Refkalkulation!H25</f>
        <v>#REF!</v>
      </c>
      <c r="E35" s="943"/>
      <c r="F35" s="913"/>
      <c r="G35" s="941" t="str">
        <f t="shared" si="0"/>
        <v>Materialkosten gesamt</v>
      </c>
      <c r="H35" s="942" t="e">
        <f>Refkalkulation!K25</f>
        <v>#REF!</v>
      </c>
      <c r="I35" s="943"/>
      <c r="J35" s="913"/>
      <c r="K35" s="941" t="str">
        <f t="shared" si="1"/>
        <v>Materialkosten gesamt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Materialkosten Rohteil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Materialkosten Rohteil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Materialkosten Rohteil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Kosten Schmelzverlust</v>
      </c>
      <c r="D37" s="945"/>
      <c r="E37" s="946">
        <f>Refkalkulation!H17</f>
        <v>5.4618899475218656</v>
      </c>
      <c r="F37" s="947"/>
      <c r="G37" s="944" t="str">
        <f t="shared" si="0"/>
        <v xml:space="preserve">               Kosten Schmelzverlust</v>
      </c>
      <c r="H37" s="945"/>
      <c r="I37" s="946">
        <f>Refkalkulation!K17</f>
        <v>0.67140431676398282</v>
      </c>
      <c r="J37" s="947"/>
      <c r="K37" s="944" t="str">
        <f t="shared" si="1"/>
        <v xml:space="preserve">               Kosten Schmelzverlust</v>
      </c>
      <c r="L37" s="945"/>
      <c r="M37" s="946">
        <f>Refkalkulation!N17</f>
        <v>0.88974718400430253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Kosten Hilfsstoffe (€/Stk.)</v>
      </c>
      <c r="D38" s="945"/>
      <c r="E38" s="946" t="e">
        <f>Refkalkulation!H22</f>
        <v>#REF!</v>
      </c>
      <c r="F38" s="947"/>
      <c r="G38" s="944" t="str">
        <f t="shared" si="0"/>
        <v xml:space="preserve">               Kosten Hilfsstoffe (€/Stk.)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Kosten Hilfsstoffe (€/Stk.)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Materialgemeinkosten</v>
      </c>
      <c r="D39" s="949"/>
      <c r="E39" s="950" t="e">
        <f>Refkalkulation!H24</f>
        <v>#REF!</v>
      </c>
      <c r="F39" s="947"/>
      <c r="G39" s="948" t="str">
        <f t="shared" si="0"/>
        <v xml:space="preserve">               Materialgemeinkosten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Materialgemeinkosten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855</v>
      </c>
      <c r="D40" s="952" t="e">
        <f>Refkalkulation!H115</f>
        <v>#N/A</v>
      </c>
      <c r="E40" s="953"/>
      <c r="F40" s="954"/>
      <c r="G40" s="951" t="str">
        <f t="shared" si="0"/>
        <v>Fertigungskosten</v>
      </c>
      <c r="H40" s="952" t="e">
        <f>Refkalkulation!K115</f>
        <v>#REF!</v>
      </c>
      <c r="I40" s="953"/>
      <c r="J40" s="954"/>
      <c r="K40" s="951" t="str">
        <f t="shared" si="1"/>
        <v>Fertigungskosten</v>
      </c>
      <c r="L40" s="952" t="e">
        <f>Refkalkulation!N115</f>
        <v>#REF!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Prozess Schmelzen</v>
      </c>
      <c r="D41" s="956"/>
      <c r="E41" s="957">
        <f>Refkalkulation!H46</f>
        <v>3.2111427824391021</v>
      </c>
      <c r="F41" s="958"/>
      <c r="G41" s="955" t="str">
        <f t="shared" si="0"/>
        <v xml:space="preserve">               Prozess Schmelzen</v>
      </c>
      <c r="H41" s="956"/>
      <c r="I41" s="957">
        <f>Refkalkulation!K46</f>
        <v>0.66425434509993386</v>
      </c>
      <c r="J41" s="958"/>
      <c r="K41" s="955" t="str">
        <f t="shared" si="1"/>
        <v xml:space="preserve">               Prozess Schmelzen</v>
      </c>
      <c r="L41" s="956"/>
      <c r="M41" s="957">
        <f>Refkalkulation!N46</f>
        <v>0.59928113312805198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Prozess Kokillenguss</v>
      </c>
      <c r="D42" s="959"/>
      <c r="E42" s="957" t="e">
        <f>Refkalkulation!H70</f>
        <v>#N/A</v>
      </c>
      <c r="F42" s="958"/>
      <c r="G42" s="955" t="str">
        <f t="shared" si="0"/>
        <v xml:space="preserve">               Prozess Kokillenguss</v>
      </c>
      <c r="H42" s="959"/>
      <c r="I42" s="957" t="e">
        <f>Refkalkulation!K70</f>
        <v>#REF!</v>
      </c>
      <c r="J42" s="958"/>
      <c r="K42" s="955" t="str">
        <f t="shared" si="1"/>
        <v xml:space="preserve">               Prozess Kokillenguss</v>
      </c>
      <c r="L42" s="959"/>
      <c r="M42" s="957" t="e">
        <f>Refkalkulation!N70</f>
        <v>#REF!</v>
      </c>
      <c r="N42" s="958"/>
      <c r="O42" s="912"/>
    </row>
    <row r="43" spans="1:15" x14ac:dyDescent="0.2">
      <c r="A43" s="910"/>
      <c r="B43" s="913"/>
      <c r="C43" s="955" t="s">
        <v>856</v>
      </c>
      <c r="D43" s="959"/>
      <c r="E43" s="957" t="e">
        <f>Refkalkulation!H89</f>
        <v>#REF!</v>
      </c>
      <c r="F43" s="958"/>
      <c r="G43" s="955" t="str">
        <f t="shared" si="0"/>
        <v xml:space="preserve">               Nachbehandlung</v>
      </c>
      <c r="H43" s="959"/>
      <c r="I43" s="957" t="e">
        <f>Refkalkulation!K89</f>
        <v>#REF!</v>
      </c>
      <c r="J43" s="958"/>
      <c r="K43" s="955" t="str">
        <f t="shared" si="1"/>
        <v xml:space="preserve">               Nachbehandlung</v>
      </c>
      <c r="L43" s="959"/>
      <c r="M43" s="957" t="e">
        <f>Refkalkulation!N89</f>
        <v>#REF!</v>
      </c>
      <c r="N43" s="958"/>
      <c r="O43" s="912"/>
    </row>
    <row r="44" spans="1:15" x14ac:dyDescent="0.2">
      <c r="A44" s="910"/>
      <c r="B44" s="913"/>
      <c r="C44" s="955" t="s">
        <v>857</v>
      </c>
      <c r="D44" s="959"/>
      <c r="E44" s="957">
        <f>Refkalkulation!H109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Refkalkulation!K109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Refkalkulation!N109</f>
        <v>4.4772743518518521</v>
      </c>
      <c r="N44" s="958"/>
      <c r="O44" s="912"/>
    </row>
    <row r="45" spans="1:15" x14ac:dyDescent="0.2">
      <c r="A45" s="910"/>
      <c r="B45" s="913"/>
      <c r="C45" s="955" t="s">
        <v>858</v>
      </c>
      <c r="D45" s="959"/>
      <c r="E45" s="957" t="e">
        <f>Refkalkulation!H115-Refkalkulation!H111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Refkalkulation!K115-Refkalkulation!K111</f>
        <v>#REF!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Refkalkulation!N115-Refkalkulation!N111</f>
        <v>#REF!</v>
      </c>
      <c r="N45" s="958"/>
      <c r="O45" s="912"/>
    </row>
    <row r="46" spans="1:15" ht="15" x14ac:dyDescent="0.25">
      <c r="A46" s="910"/>
      <c r="B46" s="913"/>
      <c r="C46" s="960" t="str">
        <f>Refkalkulation!D122</f>
        <v>Gesamtgemeinkosten</v>
      </c>
      <c r="D46" s="961" t="e">
        <f>Refkalkulation!H122</f>
        <v>#REF!</v>
      </c>
      <c r="E46" s="962" t="e">
        <f>D46/D48</f>
        <v>#REF!</v>
      </c>
      <c r="F46" s="958"/>
      <c r="G46" s="960" t="str">
        <f t="shared" si="0"/>
        <v>Gesamtgemeinkosten</v>
      </c>
      <c r="H46" s="961" t="e">
        <f>Refkalkulation!K122</f>
        <v>#REF!</v>
      </c>
      <c r="I46" s="962" t="e">
        <f>H46/H48</f>
        <v>#REF!</v>
      </c>
      <c r="J46" s="913"/>
      <c r="K46" s="960" t="str">
        <f t="shared" si="1"/>
        <v>Gesamtgemeinkosten</v>
      </c>
      <c r="L46" s="961" t="e">
        <f>Refkalkulation!N122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Refkalkulation!D125</f>
        <v>Gesamtgewinn</v>
      </c>
      <c r="D47" s="964" t="e">
        <f>Refkalkulation!H125</f>
        <v>#REF!</v>
      </c>
      <c r="E47" s="965" t="e">
        <f>D47/D48</f>
        <v>#REF!</v>
      </c>
      <c r="F47" s="958"/>
      <c r="G47" s="963" t="str">
        <f t="shared" si="0"/>
        <v>Gesamtgewinn</v>
      </c>
      <c r="H47" s="964" t="e">
        <f>Refkalkulation!K125</f>
        <v>#REF!</v>
      </c>
      <c r="I47" s="965" t="e">
        <f>H47/H48</f>
        <v>#REF!</v>
      </c>
      <c r="J47" s="913"/>
      <c r="K47" s="963" t="str">
        <f t="shared" si="1"/>
        <v>Gesamtgewinn</v>
      </c>
      <c r="L47" s="964" t="e">
        <f>Refkalkulation!N125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Refkalkulation!D127</f>
        <v>Bauteilpreis gesamt</v>
      </c>
      <c r="D48" s="967" t="e">
        <f>SUM(D35:D47)</f>
        <v>#REF!</v>
      </c>
      <c r="E48" s="968"/>
      <c r="F48" s="969"/>
      <c r="G48" s="966" t="str">
        <f t="shared" si="0"/>
        <v>Bauteilpreis gesamt</v>
      </c>
      <c r="H48" s="967" t="e">
        <f>SUM(H35:H47)</f>
        <v>#REF!</v>
      </c>
      <c r="I48" s="968"/>
      <c r="J48" s="969"/>
      <c r="K48" s="966" t="str">
        <f t="shared" si="1"/>
        <v>Bauteilpreis gesamt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25" activePane="bottomRight" state="frozenSplit"/>
      <selection activeCell="L30" sqref="L30"/>
      <selection pane="topRight" activeCell="L30" sqref="L30"/>
      <selection pane="bottomLeft" activeCell="L30" sqref="L30"/>
      <selection pane="bottomRight" activeCell="L16" sqref="L16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2" t="s">
        <v>92</v>
      </c>
      <c r="M2" s="371"/>
      <c r="N2" s="372"/>
      <c r="O2" s="821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5" t="s">
        <v>229</v>
      </c>
      <c r="T2" s="7"/>
      <c r="U2" s="368" t="s">
        <v>511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2" t="str">
        <f>IF($G$2,"Version ","release ")</f>
        <v xml:space="preserve">Version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502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1" t="s">
        <v>860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6" t="s">
        <v>229</v>
      </c>
      <c r="T3" s="4"/>
      <c r="U3" s="189" t="s">
        <v>898</v>
      </c>
      <c r="V3" s="4"/>
      <c r="W3" s="4"/>
      <c r="X3" s="613" t="s">
        <v>845</v>
      </c>
      <c r="Y3" s="10"/>
      <c r="Z3" s="4"/>
      <c r="AA3" s="804" t="s">
        <v>947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44638</v>
      </c>
      <c r="H4" s="125"/>
      <c r="I4" s="255" t="str">
        <f>IF(Deutsch,C4,D4)</f>
        <v>Datum</v>
      </c>
      <c r="J4" s="257" t="s">
        <v>229</v>
      </c>
      <c r="K4" s="34">
        <f ca="1">TODAY()</f>
        <v>44638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6" t="s">
        <v>229</v>
      </c>
      <c r="T4" s="10"/>
      <c r="U4" s="189" t="s">
        <v>900</v>
      </c>
      <c r="V4" s="4"/>
      <c r="W4" s="4"/>
      <c r="X4" s="186" t="b">
        <f>ISERROR('Artikel-DB'!$B$2)</f>
        <v>0</v>
      </c>
      <c r="Y4" s="10"/>
      <c r="Z4" s="4"/>
      <c r="AA4" s="806" t="s">
        <v>973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7" t="s">
        <v>229</v>
      </c>
      <c r="T5" s="10"/>
      <c r="U5" s="1132" t="s">
        <v>899</v>
      </c>
      <c r="V5" s="4"/>
      <c r="W5" s="4"/>
      <c r="X5" s="1133" t="b">
        <f>X4</f>
        <v>0</v>
      </c>
      <c r="Y5" s="4"/>
      <c r="Z5" s="4"/>
      <c r="AA5" s="1163" t="s">
        <v>948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29"/>
      <c r="T7" s="805"/>
      <c r="AB7" s="4"/>
      <c r="AC7" s="1131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906</v>
      </c>
      <c r="M9" s="104" t="str">
        <f>L$9</f>
        <v>Housing</v>
      </c>
      <c r="N9" s="104"/>
      <c r="O9" s="52" t="s">
        <v>906</v>
      </c>
      <c r="P9" s="104" t="str">
        <f>O$9</f>
        <v>Housing</v>
      </c>
      <c r="Q9" s="104"/>
      <c r="R9" s="52" t="s">
        <v>906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0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753</v>
      </c>
      <c r="D13" s="318" t="s">
        <v>754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381</v>
      </c>
      <c r="D16" s="318" t="s">
        <v>382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30</v>
      </c>
      <c r="M17" s="106">
        <f>L$17</f>
        <v>30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360</v>
      </c>
      <c r="D19" s="318" t="s">
        <v>361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 t="e">
        <f>0.9*Parametrikber!F$39</f>
        <v>#REF!</v>
      </c>
      <c r="L19" s="490">
        <v>40</v>
      </c>
      <c r="M19" s="107">
        <f>L$19</f>
        <v>40</v>
      </c>
      <c r="N19" s="108" t="e">
        <f>0.9*Parametrikber!I$39</f>
        <v>#REF!</v>
      </c>
      <c r="O19" s="491">
        <v>5</v>
      </c>
      <c r="P19" s="107">
        <f>O$19</f>
        <v>5</v>
      </c>
      <c r="Q19" s="108" t="e">
        <f>0.9*Parametrikber!L$39</f>
        <v>#REF!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412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e">
        <f>VLOOKUP(L21,Auswahlfelder!$B$16:$C$19,2,FALSE)</f>
        <v>#N/A</v>
      </c>
      <c r="L21" s="294" t="s">
        <v>404</v>
      </c>
      <c r="M21" s="104" t="str">
        <f>IFERROR(VLOOKUP(L$21,Auswahlfelder!$D$16:$D$19,1,FALSE),VLOOKUP(L$21,Auswahlfelder!$C$16:$D$19,2,FALSE))</f>
        <v>schwierig</v>
      </c>
      <c r="N21" s="104"/>
      <c r="O21" s="52" t="s">
        <v>404</v>
      </c>
      <c r="P21" s="104" t="str">
        <f>IFERROR(VLOOKUP(O$21,Auswahlfelder!$D$16:$D$19,1,FALSE),VLOOKUP(O$21,Auswahlfelder!$C$16:$D$19,2,FALSE))</f>
        <v>schwierig</v>
      </c>
      <c r="Q21" s="104"/>
      <c r="R21" s="52" t="s">
        <v>398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955</v>
      </c>
      <c r="D22" s="318" t="s">
        <v>956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7"/>
      <c r="K22" s="104" t="e">
        <f>IF(K$32=$G32,0,L22)</f>
        <v>#N/A</v>
      </c>
      <c r="L22" s="518" t="s">
        <v>952</v>
      </c>
      <c r="M22" s="104" t="str">
        <f>IFERROR(VLOOKUP(L$22,Auswahlfelder!$D$36:$D$38,1,FALSE),VLOOKUP(L$22,Auswahlfelder!$C$36:$D$38,2,FALSE))</f>
        <v>Niederdruck</v>
      </c>
      <c r="N22" s="104"/>
      <c r="O22" s="507" t="s">
        <v>952</v>
      </c>
      <c r="P22" s="104" t="str">
        <f>IFERROR(VLOOKUP(O$22,Auswahlfelder!$D$36:$D$38,1,FALSE),VLOOKUP(O$22,Auswahlfelder!$C$36:$D$38,2,FALSE))</f>
        <v>Niederdruck</v>
      </c>
      <c r="Q22" s="104"/>
      <c r="R22" s="507" t="s">
        <v>954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410</v>
      </c>
      <c r="C23" s="318" t="s">
        <v>3</v>
      </c>
      <c r="D23" s="318" t="s">
        <v>923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959</v>
      </c>
      <c r="M23" s="104" t="str">
        <f>IFERROR(VLOOKUP(L$23,Auswahlfelder!$D$81:$D$87,1,FALSE),VLOOKUP(L$23,Auswahlfelder!$C$81:$D$87,2,FALSE))</f>
        <v>Dosiergerät</v>
      </c>
      <c r="N23" s="104"/>
      <c r="O23" s="294" t="s">
        <v>960</v>
      </c>
      <c r="P23" s="104" t="str">
        <f>IFERROR(VLOOKUP(O$23,Auswahlfelder!$D$81:$D$87,1,FALSE),VLOOKUP(O$23,Auswahlfelder!$C$81:$D$87,2,FALSE))</f>
        <v>Dosiergerät</v>
      </c>
      <c r="Q23" s="104"/>
      <c r="R23" s="294" t="s">
        <v>962</v>
      </c>
      <c r="S23" s="104" t="str">
        <f>IFERROR(VLOOKUP(R$23,Auswahlfelder!$D$81:$D$87,1,FALSE),VLOOKUP(R$23,Auswahlfelder!$C$81:$D$87,2,FALSE))</f>
        <v>Entnahmegerät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971</v>
      </c>
      <c r="D24" s="318" t="s">
        <v>972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370</v>
      </c>
      <c r="M24" s="104"/>
      <c r="N24" s="104"/>
      <c r="O24" s="294" t="s">
        <v>370</v>
      </c>
      <c r="P24" s="104"/>
      <c r="Q24" s="104"/>
      <c r="R24" s="294" t="s">
        <v>370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716</v>
      </c>
      <c r="D25" s="318" t="s">
        <v>715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714</v>
      </c>
      <c r="M25" s="104" t="str">
        <f>IFERROR(VLOOKUP(L$25,Auswahlfelder!$D$54:$D$57,1,FALSE),VLOOKUP(L$25,Auswahlfelder!$C$54:$D$57,2,FALSE))</f>
        <v>BeachBox</v>
      </c>
      <c r="N25" s="104"/>
      <c r="O25" s="47" t="s">
        <v>710</v>
      </c>
      <c r="P25" s="104" t="str">
        <f>IFERROR(VLOOKUP(O$25,Auswahlfelder!$D$54:$D$57,1,FALSE),VLOOKUP(O$25,Auswahlfelder!$C$54:$D$57,2,FALSE))</f>
        <v>Hot Box</v>
      </c>
      <c r="Q25" s="104"/>
      <c r="R25" s="47" t="s">
        <v>717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719</v>
      </c>
      <c r="D26" s="318" t="s">
        <v>720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721</v>
      </c>
      <c r="D27" s="318" t="s">
        <v>722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723</v>
      </c>
      <c r="D28" s="318" t="s">
        <v>724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552</v>
      </c>
      <c r="D29" s="318" t="s">
        <v>553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554</v>
      </c>
      <c r="D30" s="318" t="s">
        <v>555</v>
      </c>
      <c r="E30" s="333"/>
      <c r="F30" s="334"/>
      <c r="G30" s="43" t="str">
        <f>INDEX(AW_JaNein,1)</f>
        <v>nein</v>
      </c>
      <c r="H30" s="17"/>
      <c r="I30" s="514" t="s">
        <v>941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556</v>
      </c>
      <c r="D31" s="318" t="s">
        <v>557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518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519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420</v>
      </c>
      <c r="D34" s="318" t="s">
        <v>415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7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8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535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726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727</v>
      </c>
      <c r="D59" s="324" t="s">
        <v>725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0">
        <f>IF(M23=Auswahlfelder!$D$49,0,L$59)</f>
        <v>500</v>
      </c>
      <c r="N59" s="39"/>
      <c r="O59" s="188">
        <v>400</v>
      </c>
      <c r="P59" s="610">
        <f>IF(P23=Auswahlfelder!$D$49,0,O$59)</f>
        <v>400</v>
      </c>
      <c r="Q59" s="39"/>
      <c r="R59" s="188">
        <v>550</v>
      </c>
      <c r="S59" s="610">
        <f>IF(S23=Auswahlfelder!$D$49,0,R$59)</f>
        <v>550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771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760</v>
      </c>
      <c r="D62" s="318" t="s">
        <v>759</v>
      </c>
      <c r="E62" s="335"/>
      <c r="F62" s="336"/>
      <c r="G62" s="715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853</v>
      </c>
      <c r="D63" s="318" t="s">
        <v>854</v>
      </c>
      <c r="E63" s="335"/>
      <c r="F63" s="336"/>
      <c r="G63" s="980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374</v>
      </c>
      <c r="D64" s="318" t="s">
        <v>375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3</v>
      </c>
      <c r="M65" s="272">
        <f>Refkalkulation!H$51</f>
        <v>3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516</v>
      </c>
      <c r="D66" s="318" t="s">
        <v>517</v>
      </c>
      <c r="E66" s="333"/>
      <c r="F66" s="341"/>
      <c r="G66" s="715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3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ohne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1032</v>
      </c>
      <c r="D69" s="318" t="s">
        <v>1033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781</v>
      </c>
      <c r="D70" s="318" t="s">
        <v>780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782</v>
      </c>
      <c r="D71" s="318" t="s">
        <v>783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79">
        <f>M$72</f>
        <v>0.7</v>
      </c>
      <c r="M72" s="122">
        <f>Refkalkulation!H$86</f>
        <v>0.7</v>
      </c>
      <c r="N72" s="122"/>
      <c r="O72" s="879">
        <f>P$72</f>
        <v>0.4</v>
      </c>
      <c r="P72" s="122">
        <f>Refkalkulation!K$86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784</v>
      </c>
      <c r="D73" s="318" t="s">
        <v>785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Refkalkulation!H$88</f>
        <v>0.02</v>
      </c>
      <c r="N73" s="273"/>
      <c r="O73" s="135">
        <f>P$73</f>
        <v>0.02</v>
      </c>
      <c r="P73" s="233">
        <f>Refkalkulation!K$88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936</v>
      </c>
      <c r="D74" s="318" t="s">
        <v>937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Refkalkulation!H$91</f>
        <v>400</v>
      </c>
      <c r="N74" s="273"/>
      <c r="O74" s="187">
        <f>P$74</f>
        <v>300</v>
      </c>
      <c r="P74" s="272">
        <f>Refkalkulation!K$91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558</v>
      </c>
      <c r="D75" s="318" t="s">
        <v>559</v>
      </c>
      <c r="E75" s="333"/>
      <c r="F75" s="341"/>
      <c r="G75" s="715">
        <v>0</v>
      </c>
      <c r="H75" s="17"/>
      <c r="I75" s="21" t="str">
        <f>IF($G$2,C75,D75)</f>
        <v>Kosten US-Prüfung</v>
      </c>
      <c r="J75" s="18"/>
      <c r="K75" s="120"/>
      <c r="L75" s="879">
        <f>M$75</f>
        <v>0.41742621527777779</v>
      </c>
      <c r="M75" s="272">
        <f>Refkalkulation!H$97</f>
        <v>0.41742621527777779</v>
      </c>
      <c r="N75" s="273"/>
      <c r="O75" s="879">
        <f>P$75</f>
        <v>0.30864583333333334</v>
      </c>
      <c r="P75" s="272">
        <f>Refkalkulation!K$97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560</v>
      </c>
      <c r="D76" s="318" t="s">
        <v>561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Kosten FE-Prüfung</v>
      </c>
      <c r="J76" s="18"/>
      <c r="K76" s="120"/>
      <c r="L76" s="879">
        <f>M$76</f>
        <v>0.37082465277777776</v>
      </c>
      <c r="M76" s="233">
        <f>Refkalkulation!H$101</f>
        <v>0.37082465277777776</v>
      </c>
      <c r="N76" s="273"/>
      <c r="O76" s="879">
        <f>P$76</f>
        <v>0.34611111111111109</v>
      </c>
      <c r="P76" s="233">
        <f>Refkalkulation!K$101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562</v>
      </c>
      <c r="D77" s="318" t="s">
        <v>563</v>
      </c>
      <c r="E77" s="335"/>
      <c r="F77" s="336"/>
      <c r="G77" s="715">
        <v>0</v>
      </c>
      <c r="H77" s="17"/>
      <c r="I77" s="21" t="str">
        <f t="shared" si="24"/>
        <v>Kosten X-Prüfung</v>
      </c>
      <c r="J77" s="18"/>
      <c r="K77" s="120"/>
      <c r="L77" s="879">
        <f>M$77</f>
        <v>1.8357928240740744</v>
      </c>
      <c r="M77" s="233">
        <f>Refkalkulation!H$104</f>
        <v>1.8357928240740744</v>
      </c>
      <c r="N77" s="273"/>
      <c r="O77" s="879">
        <f>P$77</f>
        <v>1.7619212962962969</v>
      </c>
      <c r="P77" s="233">
        <f>Refkalkulation!K$104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576</v>
      </c>
      <c r="D78" s="318" t="s">
        <v>577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Anteil Nachprüfung</v>
      </c>
      <c r="J78" s="18"/>
      <c r="K78" s="120"/>
      <c r="L78" s="717">
        <f>M$78</f>
        <v>0.5</v>
      </c>
      <c r="M78" s="233">
        <f>Refkalkulation!H$107</f>
        <v>0.5</v>
      </c>
      <c r="N78" s="273"/>
      <c r="O78" s="717">
        <f>P$78</f>
        <v>0.5</v>
      </c>
      <c r="P78" s="233">
        <f>Refkalkulation!K$107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503</v>
      </c>
      <c r="D79" s="318" t="s">
        <v>504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Refkalkulation!H$106</f>
        <v>0</v>
      </c>
      <c r="N79" s="122"/>
      <c r="O79" s="135">
        <f>P$79</f>
        <v>0</v>
      </c>
      <c r="P79" s="122">
        <f>Refkalkulation!K$106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Refkalkulation!H$113</f>
        <v>0.1</v>
      </c>
      <c r="N80" s="273"/>
      <c r="O80" s="135">
        <f>P$80</f>
        <v>0.1</v>
      </c>
      <c r="P80" s="233">
        <f>Refkalkulation!K$113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779</v>
      </c>
      <c r="D81" s="318" t="s">
        <v>778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Refkalkulation!H$119</f>
        <v>0.12</v>
      </c>
      <c r="N81" s="273"/>
      <c r="O81" s="135">
        <f>P$81</f>
        <v>0.12</v>
      </c>
      <c r="P81" s="233">
        <f>Refkalkulation!K$119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Refkalkulation!H$123</f>
        <v>0</v>
      </c>
      <c r="N82" s="273"/>
      <c r="O82" s="135">
        <f>P$82</f>
        <v>0</v>
      </c>
      <c r="P82" s="233">
        <f>Refkalkulation!K$123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Refkalkulation!H$124</f>
        <v>0</v>
      </c>
      <c r="N83" s="273"/>
      <c r="O83" s="135">
        <f>P$83</f>
        <v>0</v>
      </c>
      <c r="P83" s="233">
        <f>Refkalkulation!K$124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1" t="str">
        <f>L84</f>
        <v>P. Pawar</v>
      </c>
      <c r="L84" s="135" t="s">
        <v>826</v>
      </c>
      <c r="M84" s="982" t="str">
        <f>$L$3</f>
        <v>Dr.P. Pawar</v>
      </c>
      <c r="N84" s="982"/>
      <c r="O84" s="135" t="str">
        <f>P$84</f>
        <v>Dr.P. Pawar</v>
      </c>
      <c r="P84" s="982" t="str">
        <f>$L$3</f>
        <v>Dr.P. Pawar</v>
      </c>
      <c r="Q84" s="982"/>
      <c r="R84" s="135" t="str">
        <f>S$84</f>
        <v>Dr.P. Pawar</v>
      </c>
      <c r="S84" s="982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7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58" priority="65" stopIfTrue="1">
      <formula>VALUE(L12="Materialdatenbank")</formula>
    </cfRule>
  </conditionalFormatting>
  <conditionalFormatting sqref="O37 R37 L37">
    <cfRule type="cellIs" dxfId="157" priority="66" stopIfTrue="1" operator="notBetween">
      <formula>$E$37</formula>
      <formula>$F$37</formula>
    </cfRule>
  </conditionalFormatting>
  <conditionalFormatting sqref="L11 L20 O20 R20 O11 R11">
    <cfRule type="expression" dxfId="156" priority="70" stopIfTrue="1">
      <formula>K$11=0</formula>
    </cfRule>
  </conditionalFormatting>
  <conditionalFormatting sqref="L45">
    <cfRule type="cellIs" dxfId="155" priority="71" stopIfTrue="1" operator="lessThan">
      <formula>$E45</formula>
    </cfRule>
  </conditionalFormatting>
  <conditionalFormatting sqref="R38:R44 O38:O44 L38:L44">
    <cfRule type="cellIs" dxfId="154" priority="72" stopIfTrue="1" operator="greaterThan">
      <formula>M$37</formula>
    </cfRule>
  </conditionalFormatting>
  <conditionalFormatting sqref="O8:O9 R8:R9 L9">
    <cfRule type="cellIs" dxfId="153" priority="73" operator="equal">
      <formula>"?"</formula>
    </cfRule>
  </conditionalFormatting>
  <conditionalFormatting sqref="X4:X5">
    <cfRule type="cellIs" dxfId="152" priority="74" operator="equal">
      <formula>FALSE</formula>
    </cfRule>
  </conditionalFormatting>
  <conditionalFormatting sqref="L13 O13 R13">
    <cfRule type="cellIs" dxfId="151" priority="431" operator="notBetween">
      <formula>$E13</formula>
      <formula>$F13</formula>
    </cfRule>
  </conditionalFormatting>
  <conditionalFormatting sqref="L29">
    <cfRule type="expression" dxfId="150" priority="60" stopIfTrue="1">
      <formula>VALUE(#REF!="Materialdatenbank")</formula>
    </cfRule>
  </conditionalFormatting>
  <conditionalFormatting sqref="L30">
    <cfRule type="expression" dxfId="149" priority="59" stopIfTrue="1">
      <formula>VALUE(#REF!="Materialdatenbank")</formula>
    </cfRule>
  </conditionalFormatting>
  <conditionalFormatting sqref="L31">
    <cfRule type="expression" dxfId="148" priority="58" stopIfTrue="1">
      <formula>VALUE(#REF!="Materialdatenbank")</formula>
    </cfRule>
  </conditionalFormatting>
  <conditionalFormatting sqref="O29">
    <cfRule type="expression" dxfId="147" priority="57" stopIfTrue="1">
      <formula>VALUE(#REF!="Materialdatenbank")</formula>
    </cfRule>
  </conditionalFormatting>
  <conditionalFormatting sqref="O30">
    <cfRule type="expression" dxfId="146" priority="56" stopIfTrue="1">
      <formula>VALUE(#REF!="Materialdatenbank")</formula>
    </cfRule>
  </conditionalFormatting>
  <conditionalFormatting sqref="O31">
    <cfRule type="expression" dxfId="145" priority="55" stopIfTrue="1">
      <formula>VALUE(#REF!="Materialdatenbank")</formula>
    </cfRule>
  </conditionalFormatting>
  <conditionalFormatting sqref="R29">
    <cfRule type="expression" dxfId="144" priority="42" stopIfTrue="1">
      <formula>VALUE(#REF!="Materialdatenbank")</formula>
    </cfRule>
  </conditionalFormatting>
  <conditionalFormatting sqref="R30">
    <cfRule type="expression" dxfId="143" priority="41" stopIfTrue="1">
      <formula>VALUE(#REF!="Materialdatenbank")</formula>
    </cfRule>
  </conditionalFormatting>
  <conditionalFormatting sqref="R31">
    <cfRule type="expression" dxfId="142" priority="40" stopIfTrue="1">
      <formula>VALUE(#REF!="Materialdatenbank")</formula>
    </cfRule>
  </conditionalFormatting>
  <conditionalFormatting sqref="L26">
    <cfRule type="expression" dxfId="141" priority="23" stopIfTrue="1">
      <formula>VALUE(#REF!="Materialdatenbank")</formula>
    </cfRule>
  </conditionalFormatting>
  <conditionalFormatting sqref="O26">
    <cfRule type="expression" dxfId="140" priority="22" stopIfTrue="1">
      <formula>VALUE(#REF!="Materialdatenbank")</formula>
    </cfRule>
  </conditionalFormatting>
  <conditionalFormatting sqref="R26">
    <cfRule type="expression" dxfId="139" priority="21" stopIfTrue="1">
      <formula>VALUE(#REF!="Materialdatenbank")</formula>
    </cfRule>
  </conditionalFormatting>
  <conditionalFormatting sqref="L27">
    <cfRule type="expression" dxfId="138" priority="17" stopIfTrue="1">
      <formula>VALUE(#REF!="Materialdatenbank")</formula>
    </cfRule>
  </conditionalFormatting>
  <conditionalFormatting sqref="O27">
    <cfRule type="expression" dxfId="137" priority="16" stopIfTrue="1">
      <formula>VALUE(#REF!="Materialdatenbank")</formula>
    </cfRule>
  </conditionalFormatting>
  <conditionalFormatting sqref="R27">
    <cfRule type="expression" dxfId="136" priority="15" stopIfTrue="1">
      <formula>VALUE(#REF!="Materialdatenbank")</formula>
    </cfRule>
  </conditionalFormatting>
  <conditionalFormatting sqref="L28">
    <cfRule type="expression" dxfId="135" priority="11" stopIfTrue="1">
      <formula>VALUE(#REF!="Materialdatenbank")</formula>
    </cfRule>
  </conditionalFormatting>
  <conditionalFormatting sqref="O28">
    <cfRule type="expression" dxfId="134" priority="10" stopIfTrue="1">
      <formula>VALUE(#REF!="Materialdatenbank")</formula>
    </cfRule>
  </conditionalFormatting>
  <conditionalFormatting sqref="R28">
    <cfRule type="expression" dxfId="133" priority="9" stopIfTrue="1">
      <formula>VALUE(#REF!="Materialdatenbank")</formula>
    </cfRule>
  </conditionalFormatting>
  <conditionalFormatting sqref="L8">
    <cfRule type="cellIs" dxfId="132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zoomScaleNormal="100" workbookViewId="0">
      <pane xSplit="6" ySplit="8" topLeftCell="G40" activePane="bottomRight" state="frozenSplit"/>
      <selection activeCell="L30" sqref="L30"/>
      <selection pane="topRight" activeCell="L30" sqref="L30"/>
      <selection pane="bottomLeft" activeCell="L30" sqref="L30"/>
      <selection pane="bottomRight" activeCell="H52" sqref="H52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1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39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>OR(ISERROR(H127),H5="?",H5=0,H12=0,H16=0,H23=0)</f>
        <v>1</v>
      </c>
      <c r="I2" s="67"/>
      <c r="J2" s="67"/>
      <c r="K2" s="375" t="b">
        <f>OR(ISERROR(K127),K5="?",K5=0,K12=0,K16=0,K23=0)</f>
        <v>1</v>
      </c>
      <c r="L2" s="67"/>
      <c r="M2" s="67"/>
      <c r="N2" s="375" t="b">
        <f>OR(ISERROR(N127),N5="?",N5=0,N12=0,N16=0,N23=0)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0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0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1">
        <f>W3</f>
        <v>0</v>
      </c>
      <c r="X4" s="355"/>
      <c r="Y4" s="78"/>
    </row>
    <row r="5" spans="1:25" ht="15.75" customHeight="1" thickBot="1" x14ac:dyDescent="0.25">
      <c r="D5" s="1240" t="str">
        <f>IF(Deutsch,"Artikel (Nr.  /  Bezeichnung)","part (no. / name)")</f>
        <v>Artikel (Nr.  /  Bezeichnung)</v>
      </c>
      <c r="E5" s="1241"/>
      <c r="F5" s="1242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43"/>
      <c r="E6" s="1244"/>
      <c r="F6" s="1245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699</v>
      </c>
      <c r="M6" s="78"/>
      <c r="N6" s="70" t="str">
        <f>'Quick Input'!S9</f>
        <v>Housing</v>
      </c>
      <c r="O6" s="1134" t="s">
        <v>699</v>
      </c>
      <c r="Y6" s="55" t="s">
        <v>33</v>
      </c>
    </row>
    <row r="7" spans="1:25" ht="15.75" customHeight="1" thickBot="1" x14ac:dyDescent="0.25">
      <c r="D7" s="1260" t="str">
        <f>'Quick Input'!$I$46</f>
        <v>Produktionsregion</v>
      </c>
      <c r="E7" s="1261"/>
      <c r="F7" s="1262"/>
      <c r="G7" s="571"/>
      <c r="H7" s="68" t="str">
        <f>VLOOKUP('Quick Input'!M$46,DB_Länder,IF(Deutsch,1,2),FALSE)</f>
        <v>Deutschland</v>
      </c>
      <c r="I7" s="579" t="s">
        <v>699</v>
      </c>
      <c r="J7" s="579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4" t="s">
        <v>284</v>
      </c>
      <c r="Y7" s="55" t="s">
        <v>33</v>
      </c>
    </row>
    <row r="8" spans="1:25" ht="16.5" customHeight="1" thickBot="1" x14ac:dyDescent="0.25">
      <c r="D8" s="1263" t="str">
        <f>'Quick Input'!$I$4</f>
        <v>Datum</v>
      </c>
      <c r="E8" s="1264"/>
      <c r="F8" s="1265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4" t="s">
        <v>284</v>
      </c>
      <c r="Y8" s="55" t="s">
        <v>33</v>
      </c>
    </row>
    <row r="9" spans="1:25" ht="14.25" customHeight="1" thickBot="1" x14ac:dyDescent="0.25">
      <c r="D9" s="1257" t="str">
        <f>IF(Deutsch,"Materialien","materials")</f>
        <v>Materialien</v>
      </c>
      <c r="E9" s="1258"/>
      <c r="F9" s="1259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6" t="str">
        <f>'Quick Input'!S$10</f>
        <v>EN AC-43100</v>
      </c>
      <c r="O9" s="1137" t="s">
        <v>284</v>
      </c>
      <c r="Y9" s="55" t="s">
        <v>33</v>
      </c>
    </row>
    <row r="10" spans="1:25" ht="13.5" customHeight="1" thickBot="1" x14ac:dyDescent="0.25">
      <c r="D10" s="1257"/>
      <c r="E10" s="1258"/>
      <c r="F10" s="1259"/>
      <c r="G10" s="571"/>
      <c r="H10" s="621" t="str">
        <f>'Quick Input'!M$11</f>
        <v>Al Si10Cu2(Fe)</v>
      </c>
      <c r="I10" s="579" t="s">
        <v>699</v>
      </c>
      <c r="J10" s="579"/>
      <c r="K10" s="621" t="str">
        <f>'Quick Input'!P$11</f>
        <v>Al Si10Mg(b)</v>
      </c>
      <c r="L10" s="824" t="s">
        <v>699</v>
      </c>
      <c r="M10" s="78"/>
      <c r="N10" s="621" t="str">
        <f>'Quick Input'!S$11</f>
        <v>Al Si10Mg(b)</v>
      </c>
      <c r="O10" s="1134" t="s">
        <v>699</v>
      </c>
      <c r="Y10" s="55" t="s">
        <v>33</v>
      </c>
    </row>
    <row r="11" spans="1:25" ht="13.5" customHeight="1" thickBot="1" x14ac:dyDescent="0.25">
      <c r="D11" s="1249"/>
      <c r="E11" s="1250"/>
      <c r="F11" s="1251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4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4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manuell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manuell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manuell</v>
      </c>
      <c r="O13" s="1134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4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Materialkosten Rohteil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4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4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1"/>
      <c r="H17" s="74">
        <f>H$15*(1+Parametrikber!F$43)*H$16</f>
        <v>5.4618899475218656</v>
      </c>
      <c r="I17" s="579" t="s">
        <v>284</v>
      </c>
      <c r="J17" s="579"/>
      <c r="K17" s="74">
        <f>K$15*(1+Parametrikber!I$43)*K$16</f>
        <v>0.67140431676398282</v>
      </c>
      <c r="L17" s="78" t="s">
        <v>284</v>
      </c>
      <c r="M17" s="78"/>
      <c r="N17" s="74">
        <f>N$15*(1+Parametrikber!L$43)*N$16</f>
        <v>0.88974718400430253</v>
      </c>
      <c r="O17" s="1134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Materialkosten Aluminium (€/Stk.)</v>
      </c>
      <c r="E18" s="73"/>
      <c r="F18" s="75"/>
      <c r="G18" s="571"/>
      <c r="H18" s="85">
        <f>H15+H17</f>
        <v>85.471996847424691</v>
      </c>
      <c r="I18" s="579" t="s">
        <v>284</v>
      </c>
      <c r="J18" s="579"/>
      <c r="K18" s="85">
        <f>K15+K17</f>
        <v>10.50666860686847</v>
      </c>
      <c r="L18" s="579" t="s">
        <v>284</v>
      </c>
      <c r="M18" s="579"/>
      <c r="N18" s="85">
        <f>N15+N17</f>
        <v>10.72501147410879</v>
      </c>
      <c r="O18" s="1134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2"/>
      <c r="F19" s="75"/>
      <c r="G19" s="571"/>
      <c r="H19" s="74">
        <f>'Länder-DB'!$M$39*H$32/1000*(1+Parametrikber!F250)</f>
        <v>0.45585892394000005</v>
      </c>
      <c r="I19" s="579" t="s">
        <v>284</v>
      </c>
      <c r="J19" s="579"/>
      <c r="K19" s="74">
        <f>'Länder-DB'!$M$39*K$32/1000*(1+Parametrikber!I250)</f>
        <v>9.8180641492499998E-2</v>
      </c>
      <c r="L19" s="500" t="s">
        <v>284</v>
      </c>
      <c r="M19" s="500"/>
      <c r="N19" s="74">
        <f>'Länder-DB'!$M$39*N$32/1000*(1+Parametrikber!L250)</f>
        <v>0.13010930539250001</v>
      </c>
      <c r="O19" s="1134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2"/>
      <c r="F20" s="75"/>
      <c r="G20" s="571"/>
      <c r="H20" s="74">
        <f>H$65*Parametrikber!F$145</f>
        <v>23.314909</v>
      </c>
      <c r="I20" s="579"/>
      <c r="J20" s="579"/>
      <c r="K20" s="74" t="e">
        <f>K$65*Parametrikber!I$92</f>
        <v>#N/A</v>
      </c>
      <c r="L20" s="500"/>
      <c r="M20" s="500"/>
      <c r="N20" s="74" t="e">
        <f>N$65*Parametrikber!L$92</f>
        <v>#N/A</v>
      </c>
      <c r="O20" s="1134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1"/>
      <c r="H21" s="74">
        <f>Parametrikber!F$222</f>
        <v>0</v>
      </c>
      <c r="I21" s="579" t="s">
        <v>284</v>
      </c>
      <c r="J21" s="567"/>
      <c r="K21" s="74">
        <f>Parametrikber!I$222</f>
        <v>0</v>
      </c>
      <c r="L21" s="500" t="s">
        <v>284</v>
      </c>
      <c r="M21" s="166"/>
      <c r="N21" s="74">
        <f>Parametrikber!L$222</f>
        <v>0</v>
      </c>
      <c r="O21" s="1134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Kosten Hilfsstoffe (€/Stk.)</v>
      </c>
      <c r="E22" s="73"/>
      <c r="F22" s="75"/>
      <c r="G22" s="571"/>
      <c r="H22" s="85" t="e">
        <f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4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4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1"/>
      <c r="H24" s="85" t="e">
        <f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4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1"/>
      <c r="H25" s="77" t="e">
        <f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4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8" t="s">
        <v>284</v>
      </c>
      <c r="Y26" s="55" t="s">
        <v>33</v>
      </c>
    </row>
    <row r="27" spans="1:25" ht="14.25" customHeight="1" thickBot="1" x14ac:dyDescent="0.25">
      <c r="D27" s="1246" t="str">
        <f>IF(Deutsch,"Prozess Schmelzen","melting process")</f>
        <v>Prozess Schmelzen</v>
      </c>
      <c r="E27" s="1252"/>
      <c r="F27" s="1253"/>
      <c r="G27" s="855"/>
      <c r="H27" s="856" t="str">
        <f>CONCATENATE(VLOOKUP(Parametrikber!F$111,DB_Ofen,11,FALSE),"-",IF(Deutsch,"Ofen","oven"))</f>
        <v>Schacht-Ofen</v>
      </c>
      <c r="I27" s="578" t="s">
        <v>284</v>
      </c>
      <c r="J27" s="578"/>
      <c r="K27" s="856" t="str">
        <f>CONCATENATE(VLOOKUP(Parametrikber!I$111,DB_Ofen,11,FALSE),"-",IF(Deutsch,"Ofen","oven"))</f>
        <v>Schacht-Ofen</v>
      </c>
      <c r="L27" s="266" t="s">
        <v>284</v>
      </c>
      <c r="M27" s="266"/>
      <c r="N27" s="856" t="str">
        <f>CONCATENATE(VLOOKUP(Parametrikber!L$111,DB_Ofen,11,FALSE),"-",IF(Deutsch,"Ofen","oven"))</f>
        <v>Schacht-Ofen</v>
      </c>
      <c r="O27" s="1135" t="s">
        <v>284</v>
      </c>
      <c r="Y27" s="55" t="s">
        <v>33</v>
      </c>
    </row>
    <row r="28" spans="1:25" ht="12.75" customHeight="1" thickBot="1" x14ac:dyDescent="0.25">
      <c r="D28" s="1254"/>
      <c r="E28" s="1255"/>
      <c r="F28" s="1256"/>
      <c r="G28" s="814"/>
      <c r="H28" s="537" t="str">
        <f>CONCATENATE(VLOOKUP(Parametrikber!F111,DB_Ofen,5,FALSE)," kg / ",VLOOKUP(Parametrikber!F$111,DB_Ofen,2,FALSE))</f>
        <v>3000 kg / Gas</v>
      </c>
      <c r="I28" s="579" t="s">
        <v>284</v>
      </c>
      <c r="J28" s="579"/>
      <c r="K28" s="537" t="str">
        <f>CONCATENATE(VLOOKUP(Parametrikber!I111,DB_Ofen,5,FALSE)," kg / ",VLOOKUP(Parametrikber!I$111,DB_Ofen,2,FALSE))</f>
        <v>3000 kg / Gas</v>
      </c>
      <c r="L28" s="579" t="s">
        <v>284</v>
      </c>
      <c r="M28" s="579"/>
      <c r="N28" s="537" t="str">
        <f>CONCATENATE(VLOOKUP(Parametrikber!L111,DB_Ofen,5,FALSE)," kg / ",VLOOKUP(Parametrikber!L$111,DB_Ofen,2,FALSE))</f>
        <v>3000 kg / Gas</v>
      </c>
      <c r="O28" s="1134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7">
        <f>Parametrikber!F$127</f>
        <v>1.7777777777777777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4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4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4"/>
      <c r="H31" s="80">
        <f>VLOOKUP(Parametrikber!F$111,DB_Ofen,7,FALSE)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VLOOKUP(Parametrikber!I$111,DB_Ofen,7,FALSE)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VLOOKUP(Parametrikber!L$111,DB_Ofen,7,FALSE)</f>
        <v>2000</v>
      </c>
      <c r="O31" s="1134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4"/>
      <c r="H32" s="492">
        <f>Parametrikber!F$41/H$49*(1+H$16)</f>
        <v>51.930600000000005</v>
      </c>
      <c r="I32" s="579" t="s">
        <v>284</v>
      </c>
      <c r="J32" s="579"/>
      <c r="K32" s="492">
        <f>Parametrikber!I$41/K$49*(1+K$16)</f>
        <v>6.4913250000000007</v>
      </c>
      <c r="L32" s="78" t="s">
        <v>284</v>
      </c>
      <c r="M32" s="78"/>
      <c r="N32" s="492">
        <f>Parametrikber!L$41/N$49*(1+N$16)</f>
        <v>8.6023250000000004</v>
      </c>
      <c r="O32" s="1134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4"/>
      <c r="H33" s="114">
        <f>Parametrikber!F$114/H31*60+VLOOKUP(Parametrikber!F$111,DB_Ofen,14,FALSE)</f>
        <v>117</v>
      </c>
      <c r="I33" s="579" t="s">
        <v>284</v>
      </c>
      <c r="J33" s="579"/>
      <c r="K33" s="114">
        <f>Parametrikber!I$114/K31*60+VLOOKUP(Parametrikber!I$111,DB_Ofen,14,FALSE)</f>
        <v>117</v>
      </c>
      <c r="L33" s="78" t="s">
        <v>284</v>
      </c>
      <c r="M33" s="78"/>
      <c r="N33" s="114">
        <f>Parametrikber!L$114/N31*60+VLOOKUP(Parametrikber!L$111,DB_Ofen,14,FALSE)</f>
        <v>117</v>
      </c>
      <c r="O33" s="1134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4"/>
      <c r="H34" s="136">
        <f>Parametrikber!F$121</f>
        <v>12.513528138528136</v>
      </c>
      <c r="I34" s="579" t="s">
        <v>284</v>
      </c>
      <c r="J34" s="579"/>
      <c r="K34" s="136">
        <f>Parametrikber!I$121</f>
        <v>15.245912447257387</v>
      </c>
      <c r="L34" s="78" t="s">
        <v>284</v>
      </c>
      <c r="M34" s="78"/>
      <c r="N34" s="136">
        <f>Parametrikber!L$121</f>
        <v>22.671568627450977</v>
      </c>
      <c r="O34" s="1134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4"/>
      <c r="H35" s="85">
        <f>H$33/60*H$32/Parametrikber!F$114*H$34</f>
        <v>0.43695803361509172</v>
      </c>
      <c r="I35" s="579" t="s">
        <v>284</v>
      </c>
      <c r="J35" s="579"/>
      <c r="K35" s="85">
        <f>K$33/60*K$32/Parametrikber!I$114*K$34</f>
        <v>6.6546219518121189E-2</v>
      </c>
      <c r="L35" s="579" t="s">
        <v>284</v>
      </c>
      <c r="M35" s="579"/>
      <c r="N35" s="85">
        <f>N$33/60*N$32/Parametrikber!L$114*N$34</f>
        <v>0.13113965279538536</v>
      </c>
      <c r="O35" s="1134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4"/>
      <c r="H36" s="80">
        <f>VLOOKUP(Parametrikber!F$111,DB_Ofen,12,FALSE)</f>
        <v>0.68700000000000006</v>
      </c>
      <c r="I36" s="579" t="s">
        <v>284</v>
      </c>
      <c r="J36" s="579"/>
      <c r="K36" s="80">
        <f>VLOOKUP(Parametrikber!I$111,DB_Ofen,12,FALSE)</f>
        <v>0.68700000000000006</v>
      </c>
      <c r="L36" s="579" t="s">
        <v>284</v>
      </c>
      <c r="M36" s="579"/>
      <c r="N36" s="80">
        <f>VLOOKUP(Parametrikber!L$111,DB_Ofen,12,FALSE)</f>
        <v>0.68700000000000006</v>
      </c>
      <c r="O36" s="1134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4"/>
      <c r="H37" s="101">
        <f>Parametrikber!F$227</f>
        <v>5.2999999999999999E-2</v>
      </c>
      <c r="I37" s="579" t="s">
        <v>284</v>
      </c>
      <c r="J37" s="579"/>
      <c r="K37" s="101">
        <f>Parametrikber!I$227</f>
        <v>0.1237</v>
      </c>
      <c r="L37" s="579" t="s">
        <v>284</v>
      </c>
      <c r="M37" s="579"/>
      <c r="N37" s="101">
        <f>Parametrikber!L$227</f>
        <v>5.2999999999999999E-2</v>
      </c>
      <c r="O37" s="1134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4"/>
      <c r="H38" s="85">
        <f>H$32*H$36*H$37</f>
        <v>1.8908450766000005</v>
      </c>
      <c r="I38" s="579" t="s">
        <v>284</v>
      </c>
      <c r="J38" s="579"/>
      <c r="K38" s="85">
        <f>K$32*K$36*K$37</f>
        <v>0.55164513201750009</v>
      </c>
      <c r="L38" s="78" t="s">
        <v>284</v>
      </c>
      <c r="M38" s="78"/>
      <c r="N38" s="85">
        <f>N$32*N$36*N$37</f>
        <v>0.31321925557500002</v>
      </c>
      <c r="O38" s="1134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4"/>
      <c r="H39" s="81">
        <f>Parametrikber!F$150</f>
        <v>0.7</v>
      </c>
      <c r="I39" s="579" t="s">
        <v>284</v>
      </c>
      <c r="J39" s="579"/>
      <c r="K39" s="81">
        <f>Parametrikber!I$150</f>
        <v>0.7</v>
      </c>
      <c r="L39" s="78" t="s">
        <v>284</v>
      </c>
      <c r="M39" s="78"/>
      <c r="N39" s="81">
        <f>Parametrikber!L$150</f>
        <v>0.7</v>
      </c>
      <c r="O39" s="1134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4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4"/>
      <c r="H41" s="85">
        <f>H$32*(1+H$16)/Parametrikber!F$114*H$33/60*H$39*H$40</f>
        <v>0.75904863245583654</v>
      </c>
      <c r="I41" s="579" t="s">
        <v>284</v>
      </c>
      <c r="J41" s="579"/>
      <c r="K41" s="85">
        <f>K$32*(1+K$16)/Parametrikber!I$114*K$33/60*K$39*K$40</f>
        <v>2.4044727162269405E-2</v>
      </c>
      <c r="L41" s="78" t="s">
        <v>284</v>
      </c>
      <c r="M41" s="78"/>
      <c r="N41" s="85">
        <f>N$32*(1+N$16)/Parametrikber!L$114*N$33/60*N$39*N$40</f>
        <v>0.12573671452266399</v>
      </c>
      <c r="O41" s="1134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4"/>
      <c r="H42" s="81">
        <f>Parametrikber!F249</f>
        <v>14.8</v>
      </c>
      <c r="I42" s="579" t="s">
        <v>284</v>
      </c>
      <c r="J42" s="579"/>
      <c r="K42" s="81">
        <f>Parametrikber!I249</f>
        <v>25.4</v>
      </c>
      <c r="L42" s="78" t="s">
        <v>284</v>
      </c>
      <c r="M42" s="78"/>
      <c r="N42" s="81">
        <f>Parametrikber!L249</f>
        <v>25.4</v>
      </c>
      <c r="O42" s="1134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4"/>
      <c r="H43" s="136">
        <f>Parametrikber!F246</f>
        <v>13.884145</v>
      </c>
      <c r="I43" s="579" t="s">
        <v>284</v>
      </c>
      <c r="J43" s="579"/>
      <c r="K43" s="136">
        <f>Parametrikber!I246</f>
        <v>9.4911577999999999</v>
      </c>
      <c r="L43" s="78" t="s">
        <v>284</v>
      </c>
      <c r="M43" s="78"/>
      <c r="N43" s="136">
        <f>Parametrikber!L246</f>
        <v>13.884145</v>
      </c>
      <c r="O43" s="1134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2"/>
      <c r="F44" s="75"/>
      <c r="G44" s="814"/>
      <c r="H44" s="85">
        <f>H$42/60*H$43*H$32/Parametrikber!F$114</f>
        <v>6.1327455798779323E-2</v>
      </c>
      <c r="I44" s="579" t="s">
        <v>284</v>
      </c>
      <c r="J44" s="579"/>
      <c r="K44" s="85">
        <f>K$42/60*K$43*K$32/Parametrikber!I$114</f>
        <v>8.9936714000836727E-3</v>
      </c>
      <c r="L44" s="78" t="s">
        <v>284</v>
      </c>
      <c r="M44" s="78"/>
      <c r="N44" s="85">
        <f>N$42/60*N$43*N$32/Parametrikber!L$114</f>
        <v>1.7434899781511349E-2</v>
      </c>
      <c r="O44" s="1134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1"/>
      <c r="H45" s="873">
        <f>H$68+H$88</f>
        <v>0.02</v>
      </c>
      <c r="I45" s="580"/>
      <c r="J45" s="580"/>
      <c r="K45" s="873">
        <f>K$68+K$88</f>
        <v>0.02</v>
      </c>
      <c r="L45" s="580"/>
      <c r="M45" s="580"/>
      <c r="N45" s="873">
        <f>N$68+N$88</f>
        <v>0.02</v>
      </c>
      <c r="O45" s="1134"/>
    </row>
    <row r="46" spans="2:15" ht="16.5" customHeight="1" thickBot="1" x14ac:dyDescent="0.25">
      <c r="D46" s="973" t="str">
        <f>IF(Deutsch,"Schmelzkosten pro Stück","melting cost per part")</f>
        <v>Schmelzkosten pro Stück</v>
      </c>
      <c r="E46" s="164"/>
      <c r="F46" s="165"/>
      <c r="G46" s="810"/>
      <c r="H46" s="974">
        <f>(H41+H35+H38+H44)*(1+H45)</f>
        <v>3.2111427824391021</v>
      </c>
      <c r="I46" s="975" t="s">
        <v>284</v>
      </c>
      <c r="J46" s="975"/>
      <c r="K46" s="974">
        <f>(K41+K35+K38+K44)*(1+K45)</f>
        <v>0.66425434509993386</v>
      </c>
      <c r="L46" s="976" t="s">
        <v>284</v>
      </c>
      <c r="M46" s="976"/>
      <c r="N46" s="974">
        <f>(N41+N35+N38+N44)*(1+N45)</f>
        <v>0.59928113312805198</v>
      </c>
      <c r="O46" s="1138" t="s">
        <v>284</v>
      </c>
    </row>
    <row r="47" spans="2:15" ht="24.75" thickBot="1" x14ac:dyDescent="0.25">
      <c r="D47" s="1254" t="str">
        <f>IF(Deutsch,"Prozess Kokillenguss","die casting process")</f>
        <v>Prozess Kokillenguss</v>
      </c>
      <c r="E47" s="1255"/>
      <c r="F47" s="1256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5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1" t="e">
        <f>Parametrikber!F83</f>
        <v>#REF!</v>
      </c>
      <c r="H48" s="114">
        <f>IFERROR(Parametrikber!F$144,1)</f>
        <v>1</v>
      </c>
      <c r="I48" s="579" t="s">
        <v>284</v>
      </c>
      <c r="J48" s="579"/>
      <c r="K48" s="114">
        <f>IFERROR(Parametrikber!I$144,1)</f>
        <v>1</v>
      </c>
      <c r="L48" s="78" t="s">
        <v>284</v>
      </c>
      <c r="M48" s="78"/>
      <c r="N48" s="114">
        <f>IFERROR(Parametrikber!L$144,1)</f>
        <v>1</v>
      </c>
      <c r="O48" s="1134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4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1">
        <f>Parametrikber!F$74</f>
        <v>3</v>
      </c>
      <c r="H50" s="114">
        <f>Parametrikber!F$53</f>
        <v>3</v>
      </c>
      <c r="I50" s="579" t="s">
        <v>284</v>
      </c>
      <c r="J50" s="579"/>
      <c r="K50" s="114">
        <f>Parametrikber!I$53</f>
        <v>3</v>
      </c>
      <c r="L50" s="579" t="s">
        <v>284</v>
      </c>
      <c r="M50" s="579"/>
      <c r="N50" s="114">
        <f>Parametrikber!L$53</f>
        <v>7</v>
      </c>
      <c r="O50" s="1134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2"/>
      <c r="H51" s="121">
        <v>3</v>
      </c>
      <c r="I51" s="581"/>
      <c r="J51" s="581"/>
      <c r="K51" s="121">
        <v>3</v>
      </c>
      <c r="L51" s="478"/>
      <c r="M51" s="478"/>
      <c r="N51" s="121">
        <v>3</v>
      </c>
      <c r="O51" s="1134"/>
    </row>
    <row r="52" spans="2:15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71"/>
      <c r="H52" s="74">
        <f>Parametrikber!F$154</f>
        <v>647.81872735507261</v>
      </c>
      <c r="I52" s="579" t="s">
        <v>284</v>
      </c>
      <c r="J52" s="579"/>
      <c r="K52" s="74">
        <f>Parametrikber!I$154</f>
        <v>555.26357928711673</v>
      </c>
      <c r="L52" s="78" t="s">
        <v>284</v>
      </c>
      <c r="M52" s="67"/>
      <c r="N52" s="74">
        <f>Parametrikber!L$154</f>
        <v>658.50996376811599</v>
      </c>
      <c r="O52" s="1134" t="s">
        <v>284</v>
      </c>
    </row>
    <row r="53" spans="2:15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71"/>
      <c r="H53" s="262">
        <f>Parametrikber!F$152</f>
        <v>4</v>
      </c>
      <c r="I53" s="579" t="s">
        <v>284</v>
      </c>
      <c r="J53" s="579"/>
      <c r="K53" s="262" t="e">
        <f>Parametrikber!I$152</f>
        <v>#REF!</v>
      </c>
      <c r="L53" s="78" t="s">
        <v>284</v>
      </c>
      <c r="M53" s="67"/>
      <c r="N53" s="262" t="e">
        <f>Parametrikber!L$152</f>
        <v>#REF!</v>
      </c>
      <c r="O53" s="1134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4" t="s">
        <v>284</v>
      </c>
    </row>
    <row r="55" spans="2:15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71"/>
      <c r="H55" s="74">
        <f>H$52+H$53*H$54</f>
        <v>765.50162735507263</v>
      </c>
      <c r="I55" s="579" t="s">
        <v>284</v>
      </c>
      <c r="J55" s="579"/>
      <c r="K55" s="74" t="e">
        <f>K$52+K$53*K$54</f>
        <v>#REF!</v>
      </c>
      <c r="L55" s="579" t="s">
        <v>284</v>
      </c>
      <c r="M55" s="567"/>
      <c r="N55" s="74" t="e">
        <f t="shared" ref="N55" si="0">N$52+N$53*N$54</f>
        <v>#REF!</v>
      </c>
      <c r="O55" s="1134" t="s">
        <v>284</v>
      </c>
    </row>
    <row r="56" spans="2:15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74">
        <f>Parametrikber!F$127</f>
        <v>1.7777777777777777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4"/>
    </row>
    <row r="57" spans="2:15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71"/>
      <c r="H57" s="140">
        <f>ROUND(Parametrikber!F$173,0)</f>
        <v>5340016</v>
      </c>
      <c r="I57" s="642" t="str">
        <f>IFERROR(VLOOKUP(H$56,Auswahlfelder!$D$65:$D$68,1),VLOOKUP(H$56,Auswahlfelder!$C$65:$D$68,2,FALSE))</f>
        <v>ohne</v>
      </c>
      <c r="J57" s="567"/>
      <c r="K57" s="140">
        <f>ROUND(Parametrikber!I$173,0)</f>
        <v>5340017</v>
      </c>
      <c r="L57" s="642" t="str">
        <f>IFERROR(VLOOKUP(K$56,Auswahlfelder!$D$65:$D$68,1),VLOOKUP(K$56,Auswahlfelder!$C$65:$D$68,2,FALSE))</f>
        <v>ohne</v>
      </c>
      <c r="M57" s="67"/>
      <c r="N57" s="140">
        <f>ROUND(Parametrikber!L$173,0)</f>
        <v>5340016</v>
      </c>
      <c r="O57" s="1134"/>
    </row>
    <row r="58" spans="2:15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73">
        <f>H$49</f>
        <v>1</v>
      </c>
      <c r="H58" s="85">
        <f>H$55/3600*H$57/H$49</f>
        <v>1135497.4828061459</v>
      </c>
      <c r="I58" s="579" t="s">
        <v>284</v>
      </c>
      <c r="J58" s="568">
        <f>K$49</f>
        <v>1</v>
      </c>
      <c r="K58" s="85" t="e">
        <f>K$55/3600*K$57/K$49</f>
        <v>#REF!</v>
      </c>
      <c r="L58" s="78" t="s">
        <v>284</v>
      </c>
      <c r="M58" s="544">
        <f>N$49</f>
        <v>1</v>
      </c>
      <c r="N58" s="85" t="e">
        <f>N$55/3600*N$57/N$49</f>
        <v>#REF!</v>
      </c>
      <c r="O58" s="1134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4"/>
    </row>
    <row r="60" spans="2:15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71"/>
      <c r="H60" s="114" t="e">
        <f>Parametrikber!F$122</f>
        <v>#N/A</v>
      </c>
      <c r="J60" s="567"/>
      <c r="K60" s="114" t="e">
        <f>Parametrikber!I$122</f>
        <v>#N/A</v>
      </c>
      <c r="M60" s="67"/>
      <c r="N60" s="114" t="e">
        <f>Parametrikber!L$122</f>
        <v>#N/A</v>
      </c>
      <c r="O60" s="1134"/>
    </row>
    <row r="61" spans="2:15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71"/>
      <c r="H61" s="114">
        <f>Parametrikber!F$153</f>
        <v>0</v>
      </c>
      <c r="I61" s="579" t="s">
        <v>284</v>
      </c>
      <c r="J61" s="567"/>
      <c r="K61" s="114">
        <f>Parametrikber!I$153</f>
        <v>0</v>
      </c>
      <c r="L61" s="78" t="s">
        <v>284</v>
      </c>
      <c r="M61" s="67"/>
      <c r="N61" s="114">
        <f>Parametrikber!L$153</f>
        <v>1</v>
      </c>
      <c r="O61" s="1134" t="s">
        <v>284</v>
      </c>
    </row>
    <row r="62" spans="2:15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4" t="s">
        <v>284</v>
      </c>
    </row>
    <row r="63" spans="2:15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71"/>
      <c r="H63" s="74" t="e">
        <f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4" t="s">
        <v>284</v>
      </c>
    </row>
    <row r="64" spans="2:15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71"/>
      <c r="H64" s="85" t="e">
        <f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4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4"/>
    </row>
    <row r="66" spans="2:15" ht="15" customHeight="1" thickBot="1" x14ac:dyDescent="0.25">
      <c r="D66" s="72" t="str">
        <f>IF(Deutsch,"Sandkerne (€/ltr)","cores €/ltr.")</f>
        <v>Sandkerne (€/ltr)</v>
      </c>
      <c r="E66" s="456"/>
      <c r="F66" s="75"/>
      <c r="G66" s="574">
        <f>Parametrikber!F$127</f>
        <v>1.7777777777777777</v>
      </c>
      <c r="H66" s="74">
        <f>Parametrikber!F$130</f>
        <v>0.25774596669241484</v>
      </c>
      <c r="I66" s="569" t="e">
        <f>Parametrikber!F$128</f>
        <v>#REF!</v>
      </c>
      <c r="J66" s="569">
        <f>Parametrikber!I$127</f>
        <v>0.22172949002217293</v>
      </c>
      <c r="K66" s="74">
        <f>Parametrikber!I$130</f>
        <v>0.21115500376222723</v>
      </c>
      <c r="L66" s="469" t="e">
        <f>Parametrikber!I128</f>
        <v>#REF!</v>
      </c>
      <c r="M66" s="469">
        <f>Parametrikber!L127</f>
        <v>0.22172949002217293</v>
      </c>
      <c r="N66" s="74">
        <f>Parametrikber!L$130</f>
        <v>0.25</v>
      </c>
      <c r="O66" s="1134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6"/>
      <c r="F67" s="75"/>
      <c r="G67" s="574"/>
      <c r="H67" s="85">
        <f>H$65*H$66</f>
        <v>5.154919333848297</v>
      </c>
      <c r="I67" s="569"/>
      <c r="J67" s="569"/>
      <c r="K67" s="85">
        <f>K$65*K$66</f>
        <v>0</v>
      </c>
      <c r="L67" s="569"/>
      <c r="M67" s="569"/>
      <c r="N67" s="85">
        <f t="shared" ref="N67" si="1">N$65*N$66</f>
        <v>0</v>
      </c>
      <c r="O67" s="1134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4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71"/>
      <c r="H69" s="74">
        <f t="shared" ref="H69" si="2">H$68*H$58</f>
        <v>0</v>
      </c>
      <c r="I69" s="579" t="s">
        <v>284</v>
      </c>
      <c r="J69" s="579"/>
      <c r="K69" s="74" t="e">
        <f t="shared" ref="K69" si="3">K$68*K$58</f>
        <v>#REF!</v>
      </c>
      <c r="L69" s="579" t="s">
        <v>284</v>
      </c>
      <c r="M69" s="579"/>
      <c r="N69" s="74" t="e">
        <f t="shared" ref="N69" si="4">N$68*N$58</f>
        <v>#REF!</v>
      </c>
      <c r="O69" s="1134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Formkosten gesamt pro Stück</v>
      </c>
      <c r="E70" s="94"/>
      <c r="F70" s="89"/>
      <c r="G70" s="575"/>
      <c r="H70" s="808" t="e">
        <f>H$58+H$64+H$67+H$69</f>
        <v>#N/A</v>
      </c>
      <c r="I70" s="585" t="s">
        <v>284</v>
      </c>
      <c r="J70" s="809"/>
      <c r="K70" s="808" t="e">
        <f>K$58+K$64+K$67+K$69</f>
        <v>#REF!</v>
      </c>
      <c r="L70" s="585" t="s">
        <v>284</v>
      </c>
      <c r="M70" s="809"/>
      <c r="N70" s="808" t="e">
        <f t="shared" ref="N70" si="5">N$58+N$64+N$67+N$69</f>
        <v>#REF!</v>
      </c>
      <c r="O70" s="1138" t="s">
        <v>284</v>
      </c>
    </row>
    <row r="71" spans="2:15" ht="33" customHeight="1" thickBot="1" x14ac:dyDescent="0.25">
      <c r="D71" s="1266" t="str">
        <f>IF(Deutsch,"Nachbehandlung","after care")</f>
        <v>Nachbehandlung</v>
      </c>
      <c r="E71" s="1267"/>
      <c r="F71" s="1268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35" t="s">
        <v>284</v>
      </c>
    </row>
    <row r="72" spans="2:15" ht="15" thickBot="1" x14ac:dyDescent="0.25">
      <c r="C72" s="78"/>
      <c r="D72" s="72" t="str">
        <f>IF(Deutsch,"Entkernen (min/Stk.)","cleaning cores (min/pc.)")</f>
        <v>Entkernen (min/Stk.)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4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71"/>
      <c r="H73" s="1146">
        <v>60</v>
      </c>
      <c r="I73" s="865"/>
      <c r="J73" s="865"/>
      <c r="K73" s="859">
        <v>5</v>
      </c>
      <c r="L73" s="866"/>
      <c r="M73" s="866"/>
      <c r="N73" s="859">
        <v>5</v>
      </c>
      <c r="O73" s="1134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4" t="s">
        <v>284</v>
      </c>
    </row>
    <row r="75" spans="2:15" ht="15" thickBot="1" x14ac:dyDescent="0.25">
      <c r="C75" s="78"/>
      <c r="D75" s="72" t="str">
        <f>IF(Deutsch,"Trennen und Säubern pro Bauteil","cutting and cleaning per part")</f>
        <v>Trennen und Säubern pro Bauteil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4" t="s">
        <v>284</v>
      </c>
    </row>
    <row r="76" spans="2:15" ht="15" thickBot="1" x14ac:dyDescent="0.25">
      <c r="C76" s="78"/>
      <c r="D76" s="1151" t="str">
        <f>IF(Deutsch,"Prozesszeit Strahlen (sec)","process time sand blasting (sec)")</f>
        <v>Prozesszeit Strahlen (sec)</v>
      </c>
      <c r="E76" s="1152"/>
      <c r="F76" s="1150"/>
      <c r="G76" s="571"/>
      <c r="H76" s="1162">
        <v>0</v>
      </c>
      <c r="I76" s="579" t="s">
        <v>284</v>
      </c>
      <c r="J76" s="579"/>
      <c r="K76" s="1162">
        <v>0</v>
      </c>
      <c r="L76" s="579" t="s">
        <v>284</v>
      </c>
      <c r="M76" s="579"/>
      <c r="N76" s="1162">
        <v>0</v>
      </c>
      <c r="O76" s="1134" t="s">
        <v>284</v>
      </c>
    </row>
    <row r="77" spans="2:15" ht="15" thickBot="1" x14ac:dyDescent="0.25">
      <c r="C77" s="78"/>
      <c r="D77" s="1151" t="str">
        <f>IF(Deutsch,"Strahlkosten (€/Std.)","blasting costs (€/h)")</f>
        <v>Strahlkosten (€/Std.)</v>
      </c>
      <c r="E77" s="1152"/>
      <c r="F77" s="1150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4"/>
    </row>
    <row r="78" spans="2:15" ht="15" thickBot="1" x14ac:dyDescent="0.25">
      <c r="C78" s="78"/>
      <c r="D78" s="1151" t="str">
        <f>IF(Deutsch,"Strahlkosten (€/Stk.)","blasting costs (€/Stk.)")</f>
        <v>Strahlkosten (€/Stk.)</v>
      </c>
      <c r="E78" s="1152"/>
      <c r="F78" s="1150"/>
      <c r="G78" s="571"/>
      <c r="H78" s="85">
        <f>IF('Quick Input'!L26="ja",(H$76/3600*H$74)+'Maschinen-DB'!E72*(1+'Maschinen-DB'!F72)/'Länder-DB'!I27/Parametrikber!F163/3600*H76+'Maschinen-DB'!G72/3600*H76*VLOOKUP('Quick Input'!M$46,DB_Länder,7,FALSE) + 'Maschinen-DB'!H72*VLOOKUP('Quick Input'!M$46,DB_Länder,8,FALSE)*12/Parametrikber!F163/3600*H76,0)</f>
        <v>0</v>
      </c>
      <c r="I78" s="579"/>
      <c r="J78" s="579"/>
      <c r="K78" s="85">
        <f>IF('Quick Input'!O26="ja",(K$76/3600*K$74)+'Maschinen-DB'!E72*(1+'Maschinen-DB'!F72)/'Länder-DB'!I27/Parametrikber!I163/3600*K76+'Maschinen-DB'!G72/3600*K76*VLOOKUP('Quick Input'!P$46,DB_Länder,7,FALSE) + 'Maschinen-DB'!H72*VLOOKUP('Quick Input'!P$46,DB_Länder,8,FALSE)*12/Parametrikber!I163/3600*K76,0)</f>
        <v>0</v>
      </c>
      <c r="L78" s="579"/>
      <c r="M78" s="579"/>
      <c r="N78" s="85">
        <f>IF('Quick Input'!R26="ja",(N$76/3600*N$74)+'Maschinen-DB'!E72*(1+'Maschinen-DB'!F72)/'Länder-DB'!I27/Parametrikber!L163/3600*N76+'Maschinen-DB'!G72/3600*N76*VLOOKUP('Quick Input'!S$46,DB_Länder,7,FALSE) + 'Maschinen-DB'!H72*VLOOKUP('Quick Input'!S$46,DB_Länder,8,FALSE)*12/Parametrikber!L163/3600*N76,0)</f>
        <v>0</v>
      </c>
      <c r="O78" s="1134"/>
    </row>
    <row r="79" spans="2:15" ht="15" thickBot="1" x14ac:dyDescent="0.25">
      <c r="C79" s="78"/>
      <c r="D79" s="1151" t="str">
        <f>IF(Deutsch,"Prozesszeit Gleitschleifen (sec)","process time Slide grinding (sec)")</f>
        <v>Prozesszeit Gleitschleifen (sec)</v>
      </c>
      <c r="E79" s="1152"/>
      <c r="F79" s="1150"/>
      <c r="G79" s="571"/>
      <c r="H79" s="1162">
        <v>0</v>
      </c>
      <c r="I79" s="579"/>
      <c r="J79" s="579"/>
      <c r="K79" s="1162">
        <v>0</v>
      </c>
      <c r="L79" s="579"/>
      <c r="M79" s="579"/>
      <c r="N79" s="1162">
        <v>0</v>
      </c>
      <c r="O79" s="1134"/>
    </row>
    <row r="80" spans="2:15" ht="15" thickBot="1" x14ac:dyDescent="0.25">
      <c r="C80" s="78"/>
      <c r="D80" s="1151" t="str">
        <f>IF(Deutsch,"Kosten Gleitschleifen (€/Std.)","costs Slide grinding (€/h)")</f>
        <v>Kosten Gleitschleifen (€/Std.)</v>
      </c>
      <c r="E80" s="1152"/>
      <c r="F80" s="1150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4"/>
    </row>
    <row r="81" spans="2:20" ht="15" thickBot="1" x14ac:dyDescent="0.25">
      <c r="C81" s="78"/>
      <c r="D81" s="1151" t="str">
        <f>IF(Deutsch,"Kosten Gleitschleifen (€/Stk.)","costs Slide grinding (€/Stk.)")</f>
        <v>Kosten Gleitschleifen (€/Stk.)</v>
      </c>
      <c r="E81" s="1152"/>
      <c r="F81" s="1150"/>
      <c r="G81" s="571"/>
      <c r="H81" s="85">
        <f>IF('Quick Input'!L27="ja",(H$79/3600*H$74)+'Maschinen-DB'!E73*(1+'Maschinen-DB'!F73)/'Länder-DB'!I27/Parametrikber!F163/3600*H79+'Maschinen-DB'!G73/3600*H79*VLOOKUP('Quick Input'!M$46,DB_Länder,7,FALSE) + 'Maschinen-DB'!H73*VLOOKUP('Quick Input'!M$46,DB_Länder,8,FALSE)*12/Parametrikber!F163/3600*H79,0)</f>
        <v>0</v>
      </c>
      <c r="I81" s="642"/>
      <c r="J81" s="642"/>
      <c r="K81" s="85">
        <f>IF('Quick Input'!L27="ja",(K$79/3600*K$74)+'Maschinen-DB'!E73*(1+'Maschinen-DB'!F73)/'Länder-DB'!I27/Parametrikber!I163/3600*K79+'Maschinen-DB'!G73/3600*K79*VLOOKUP('Quick Input'!P$46,DB_Länder,7,FALSE) + 'Maschinen-DB'!H73*VLOOKUP('Quick Input'!P$46,DB_Länder,8,FALSE)*12/Parametrikber!F163/3600*K79,0)</f>
        <v>0</v>
      </c>
      <c r="L81" s="642"/>
      <c r="M81" s="642"/>
      <c r="N81" s="85">
        <f>IF('Quick Input'!R27="ja",(N$79/3600*N$74)+'Maschinen-DB'!E73*(1+'Maschinen-DB'!F73)/'Länder-DB'!I27/Parametrikber!F163/3600*N79+'Maschinen-DB'!G73/3600*N79*VLOOKUP('Quick Input'!S$46,DB_Länder,7,FALSE) + 'Maschinen-DB'!H73*VLOOKUP('Quick Input'!S$46,DB_Länder,8,FALSE)*12/Parametrikber!F163/3600*N79,0)</f>
        <v>0</v>
      </c>
      <c r="O81" s="1134"/>
    </row>
    <row r="82" spans="2:20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71"/>
      <c r="H82" s="140">
        <f>Parametrikber!F$269</f>
        <v>0</v>
      </c>
      <c r="I82" s="579" t="s">
        <v>284</v>
      </c>
      <c r="J82" s="579"/>
      <c r="K82" s="140">
        <f>Parametrikber!I$269</f>
        <v>0</v>
      </c>
      <c r="L82" s="579" t="s">
        <v>284</v>
      </c>
      <c r="M82" s="579"/>
      <c r="N82" s="140">
        <f>Parametrikber!L$269</f>
        <v>0</v>
      </c>
      <c r="O82" s="1134" t="s">
        <v>284</v>
      </c>
    </row>
    <row r="83" spans="2:20" ht="15" thickBot="1" x14ac:dyDescent="0.25">
      <c r="C83" s="78"/>
      <c r="D83" s="1151" t="str">
        <f>IF(Deutsch,"Kosten Feinputzen (€/Std.)"," costs fine grinding (€/h)")</f>
        <v>Kosten Feinputzen (€/Std.)</v>
      </c>
      <c r="E83" s="1152"/>
      <c r="F83" s="1150"/>
      <c r="G83" s="571"/>
      <c r="H83" s="1145">
        <f>IF(H82&gt;0,H84/H82*3600,0)</f>
        <v>0</v>
      </c>
      <c r="I83" s="579"/>
      <c r="J83" s="579"/>
      <c r="K83" s="1145">
        <f>IF(K82&gt;0,K84/K82*3600,0)</f>
        <v>0</v>
      </c>
      <c r="L83" s="579"/>
      <c r="M83" s="579"/>
      <c r="N83" s="1145">
        <f>IF(N82&gt;0,N84/N82*3600,0)</f>
        <v>0</v>
      </c>
      <c r="O83" s="1134"/>
    </row>
    <row r="84" spans="2:20" ht="15" thickBot="1" x14ac:dyDescent="0.25">
      <c r="C84" s="78"/>
      <c r="D84" s="1151" t="str">
        <f>IF(Deutsch,"Kosten Feinputzen (€/Stk.)"," costs fine grinding (€/pc.)")</f>
        <v>Kosten Feinputzen (€/Stk.)</v>
      </c>
      <c r="E84" s="1152"/>
      <c r="F84" s="1150"/>
      <c r="G84" s="571"/>
      <c r="H84" s="1145">
        <f>'Maschinen-DB'!E75*(1+'Maschinen-DB'!F75)/'Länder-DB'!I27/Parametrikber!F163/3600*H82+'Maschinen-DB'!G75/3600*H82*VLOOKUP('Quick Input'!M$46,DB_Länder,7,FALSE)
+'Maschinen-DB'!H75*VLOOKUP('Quick Input'!M$46,DB_Länder,8,FALSE)*12/Parametrikber!F163/3600*H82</f>
        <v>0</v>
      </c>
      <c r="I84" s="579"/>
      <c r="J84" s="579"/>
      <c r="K84" s="1145">
        <f>'Maschinen-DB'!E75*(1+'Maschinen-DB'!F75)/'Länder-DB'!I27/Parametrikber!I163/3600*K82+'Maschinen-DB'!G75/3600*K82*VLOOKUP('Quick Input'!P$46,DB_Länder,7,FALSE)
+'Maschinen-DB'!H75*VLOOKUP('Quick Input'!P$46,DB_Länder,8,FALSE)*12/Parametrikber!I163/3600*K82</f>
        <v>0</v>
      </c>
      <c r="L84" s="579"/>
      <c r="M84" s="579"/>
      <c r="N84" s="1145">
        <f>'Maschinen-DB'!E75*(1+'Maschinen-DB'!F75)/'Länder-DB'!I27/Parametrikber!L163/3600*N82+'Maschinen-DB'!G75/3600*N82*VLOOKUP('Quick Input'!S$46,DB_Länder,7,FALSE)
+'Maschinen-DB'!H75*VLOOKUP('Quick Input'!S$46,DB_Länder,8,FALSE)*12/Parametrikber!L163/3600*N82</f>
        <v>0</v>
      </c>
      <c r="O84" s="1134"/>
    </row>
    <row r="85" spans="2:20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4" t="s">
        <v>284</v>
      </c>
      <c r="T85" s="1156"/>
    </row>
    <row r="86" spans="2:20" ht="15" thickBot="1" x14ac:dyDescent="0.25">
      <c r="C86" s="78"/>
      <c r="D86" s="1151" t="str">
        <f>CONCATENATE(IF(Deutsch,'Quick Input'!C72,'Quick Input'!D72)," (€/kg)")</f>
        <v>Wärmebehandlung (€/kg)</v>
      </c>
      <c r="E86" s="1153"/>
      <c r="F86" s="1154"/>
      <c r="G86" s="571"/>
      <c r="H86" s="74">
        <f>VLOOKUP('Quick Input'!L33,Auswahlfelder!B41:F46,5,FALSE)</f>
        <v>0.7</v>
      </c>
      <c r="I86" s="580"/>
      <c r="J86" s="580"/>
      <c r="K86" s="74">
        <f>VLOOKUP('Quick Input'!O33,Auswahlfelder!B41:F46,5,FALSE)</f>
        <v>0.4</v>
      </c>
      <c r="L86" s="354"/>
      <c r="M86" s="354"/>
      <c r="N86" s="74">
        <f>VLOOKUP('Quick Input'!R33,Auswahlfelder!B41:F46,5,FALSE)</f>
        <v>0.5</v>
      </c>
      <c r="O86" s="1134"/>
    </row>
    <row r="87" spans="2:20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571"/>
      <c r="H87" s="85">
        <f>H$86*H$14</f>
        <v>28</v>
      </c>
      <c r="I87" s="579"/>
      <c r="J87" s="579"/>
      <c r="K87" s="85">
        <f>K$86*K$14</f>
        <v>2</v>
      </c>
      <c r="L87" s="78"/>
      <c r="M87" s="78"/>
      <c r="N87" s="85">
        <f>N$86*N$14</f>
        <v>2.5</v>
      </c>
      <c r="O87" s="1134"/>
    </row>
    <row r="88" spans="2:20" ht="15" thickBot="1" x14ac:dyDescent="0.25">
      <c r="B88" s="55" t="s">
        <v>126</v>
      </c>
      <c r="C88" s="78"/>
      <c r="D88" s="236" t="str">
        <f>'Quick Input'!I73</f>
        <v>Fertigungsausschuss 2</v>
      </c>
      <c r="E88" s="73"/>
      <c r="F88" s="75"/>
      <c r="G88" s="571"/>
      <c r="H88" s="119">
        <v>0.02</v>
      </c>
      <c r="I88" s="580"/>
      <c r="J88" s="580"/>
      <c r="K88" s="119">
        <v>0.02</v>
      </c>
      <c r="L88" s="354"/>
      <c r="M88" s="354"/>
      <c r="N88" s="119">
        <v>0.02</v>
      </c>
      <c r="O88" s="1134"/>
    </row>
    <row r="89" spans="2:20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10"/>
      <c r="H89" s="808" t="e">
        <f>(1+H88)*(H75+H85+#REF!+H$87)</f>
        <v>#REF!</v>
      </c>
      <c r="I89" s="585" t="s">
        <v>284</v>
      </c>
      <c r="J89" s="585"/>
      <c r="K89" s="808" t="e">
        <f>(1+K88)*(K75+K85+#REF!+K$87)</f>
        <v>#REF!</v>
      </c>
      <c r="L89" s="585" t="s">
        <v>284</v>
      </c>
      <c r="M89" s="585"/>
      <c r="N89" s="808" t="e">
        <f>(1+N88)*(N75+N85+#REF!+N$87)</f>
        <v>#REF!</v>
      </c>
      <c r="O89" s="1138" t="s">
        <v>284</v>
      </c>
    </row>
    <row r="90" spans="2:20" ht="28.5" customHeight="1" thickBot="1" x14ac:dyDescent="0.25">
      <c r="C90" s="78"/>
      <c r="D90" s="1266" t="str">
        <f>IF(Deutsch,"Prüfen","testing")</f>
        <v>Prüfen</v>
      </c>
      <c r="E90" s="1267"/>
      <c r="F90" s="1268"/>
      <c r="G90" s="571"/>
      <c r="H90" s="867" t="str">
        <f>Parametrikber!F$279</f>
        <v>US PT Röntgen prüfen</v>
      </c>
      <c r="I90" s="868" t="s">
        <v>284</v>
      </c>
      <c r="J90" s="868"/>
      <c r="K90" s="867" t="str">
        <f>Parametrikber!I$279</f>
        <v>US PT Röntgen prüfen</v>
      </c>
      <c r="L90" s="868" t="s">
        <v>284</v>
      </c>
      <c r="M90" s="868"/>
      <c r="N90" s="867" t="str">
        <f>Parametrikber!L$279</f>
        <v>US PT Röntgen prüfen</v>
      </c>
      <c r="O90" s="1135" t="s">
        <v>284</v>
      </c>
      <c r="T90" s="1155"/>
    </row>
    <row r="91" spans="2:20" ht="15" thickBot="1" x14ac:dyDescent="0.25">
      <c r="B91" s="55" t="s">
        <v>126</v>
      </c>
      <c r="C91" s="78"/>
      <c r="D91" s="72" t="str">
        <f>'Quick Input'!I74</f>
        <v>VT Prüfzeit/Teil (sec)</v>
      </c>
      <c r="E91" s="73"/>
      <c r="F91" s="75"/>
      <c r="G91" s="571"/>
      <c r="H91" s="121">
        <v>400</v>
      </c>
      <c r="I91" s="580"/>
      <c r="J91" s="580"/>
      <c r="K91" s="121">
        <v>300</v>
      </c>
      <c r="L91" s="354"/>
      <c r="M91" s="354"/>
      <c r="N91" s="121">
        <v>300</v>
      </c>
      <c r="O91" s="1134"/>
    </row>
    <row r="92" spans="2:20" ht="15" thickBot="1" x14ac:dyDescent="0.25">
      <c r="C92" s="78"/>
      <c r="D92" s="1151" t="str">
        <f>IF(Deutsch,"VT Prüfung (€/Std.)","vt testing (€/h)")</f>
        <v>VT Prüfung (€/Std.)</v>
      </c>
      <c r="E92" s="1150"/>
      <c r="F92" s="1150"/>
      <c r="G92" s="571"/>
      <c r="H92" s="1144">
        <f>IF(H91&lt;&gt;0,H93/H91*3600,0)</f>
        <v>1.21171875</v>
      </c>
      <c r="I92" s="579"/>
      <c r="J92" s="579"/>
      <c r="K92" s="1144">
        <f>IF(K91&lt;&gt;0,K93/K91*3600,0)</f>
        <v>1.0840625000000002</v>
      </c>
      <c r="L92" s="579"/>
      <c r="M92" s="579"/>
      <c r="N92" s="1144">
        <f>IF(N91&lt;&gt;0,N93/N91*3600,0)</f>
        <v>1.2117187500000002</v>
      </c>
      <c r="O92" s="1134"/>
    </row>
    <row r="93" spans="2:20" ht="15" thickBot="1" x14ac:dyDescent="0.25">
      <c r="C93" s="78"/>
      <c r="D93" s="1151" t="str">
        <f>IF(Deutsch,"VT Prüfung (€/Stk.)","vt testing (€/pc.)")</f>
        <v>VT Prüfung (€/Stk.)</v>
      </c>
      <c r="E93" s="1152"/>
      <c r="F93" s="1150"/>
      <c r="G93" s="571"/>
      <c r="H93" s="1144">
        <f>'Maschinen-DB'!E74*(1+'Maschinen-DB'!F74)/'Länder-DB'!I27/Parametrikber!F163/3600*H91+'Maschinen-DB'!G74/3600*H91*VLOOKUP('Quick Input'!M$46,DB_Länder,7,FALSE) + 'Maschinen-DB'!H74*VLOOKUP('Quick Input'!M$46,DB_Länder,8,FALSE)*12/Parametrikber!F163/3600*H91</f>
        <v>0.13463541666666667</v>
      </c>
      <c r="I93" s="580"/>
      <c r="J93" s="580"/>
      <c r="K93" s="1144">
        <f>'Maschinen-DB'!E74*(1+'Maschinen-DB'!F74)/'Länder-DB'!I27/Parametrikber!I163/3600*K91+'Maschinen-DB'!G74/3600*K91*VLOOKUP('Quick Input'!P$46,DB_Länder,7,FALSE) + 'Maschinen-DB'!H74*VLOOKUP('Quick Input'!P$46,DB_Länder,8,FALSE)*12/Parametrikber!I163/3600*K91</f>
        <v>9.0338541666666675E-2</v>
      </c>
      <c r="L93" s="354"/>
      <c r="M93" s="354"/>
      <c r="N93" s="1144">
        <f>'Maschinen-DB'!E74*(1+'Maschinen-DB'!F74)/'Länder-DB'!I27/Parametrikber!L163/3600*N91+'Maschinen-DB'!G74/3600*N91*VLOOKUP('Quick Input'!S$46,DB_Länder,7,FALSE)
+ 'Maschinen-DB'!H74*VLOOKUP('Quick Input'!S$46,DB_Länder,8,FALSE)*12/Parametrikber!L163/3600*N91</f>
        <v>0.10097656250000002</v>
      </c>
      <c r="O93" s="1134"/>
      <c r="T93" s="1156"/>
    </row>
    <row r="94" spans="2:20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571"/>
      <c r="H94" s="74">
        <f>Parametrikber!F$22</f>
        <v>33.535694999999997</v>
      </c>
      <c r="I94" s="579" t="s">
        <v>284</v>
      </c>
      <c r="J94" s="579"/>
      <c r="K94" s="74">
        <f>Parametrikber!I$22</f>
        <v>10.008107999999998</v>
      </c>
      <c r="L94" s="78" t="s">
        <v>284</v>
      </c>
      <c r="M94" s="78"/>
      <c r="N94" s="74">
        <f>Parametrikber!L$22</f>
        <v>33.535694999999997</v>
      </c>
      <c r="O94" s="1134" t="s">
        <v>284</v>
      </c>
    </row>
    <row r="95" spans="2:20" ht="15" thickBot="1" x14ac:dyDescent="0.25">
      <c r="C95" s="78"/>
      <c r="D95" s="1151" t="str">
        <f>IF(Deutsch,"Ultraschall Prüfzeit (sec)","ultrasonic testing time (sec)")</f>
        <v>Ultraschall Prüfzeit (sec)</v>
      </c>
      <c r="E95" s="1150"/>
      <c r="F95" s="1150"/>
      <c r="G95" s="571"/>
      <c r="H95" s="1162">
        <v>500</v>
      </c>
      <c r="I95" s="579"/>
      <c r="J95" s="579"/>
      <c r="K95" s="1162">
        <v>400</v>
      </c>
      <c r="L95" s="78"/>
      <c r="M95" s="78"/>
      <c r="N95" s="1162">
        <v>400</v>
      </c>
      <c r="O95" s="1134"/>
    </row>
    <row r="96" spans="2:20" ht="15" thickBot="1" x14ac:dyDescent="0.25">
      <c r="C96" s="78"/>
      <c r="D96" s="1151" t="str">
        <f>IF(Deutsch,"Ultraschall Prüfung (€/Std.)","ultrasonic testing (€/h)")</f>
        <v>Ultraschall Prüfung (€/Std.)</v>
      </c>
      <c r="E96" s="1150"/>
      <c r="F96" s="1150"/>
      <c r="G96" s="571"/>
      <c r="H96" s="1144">
        <f>IF(H95&lt;&gt;0,H97/H95*3600,0)</f>
        <v>3.0054687499999999</v>
      </c>
      <c r="I96" s="579"/>
      <c r="J96" s="579"/>
      <c r="K96" s="1144">
        <f>IF(K95&lt;&gt;0,K97/K95*3600,0)</f>
        <v>2.7778125</v>
      </c>
      <c r="L96" s="579"/>
      <c r="M96" s="579"/>
      <c r="N96" s="1144">
        <f>IF(N95&lt;&gt;0,N97/N95*3600,0)</f>
        <v>3.0054687499999999</v>
      </c>
      <c r="O96" s="1134"/>
    </row>
    <row r="97" spans="3:15" ht="15" thickBot="1" x14ac:dyDescent="0.25">
      <c r="C97" s="78"/>
      <c r="D97" s="1151" t="str">
        <f>IF(Deutsch,"Ultraschall Prüfung (€/Stk.)","ultrasonic testing (€/pc.)")</f>
        <v>Ultraschall Prüfung (€/Stk.)</v>
      </c>
      <c r="E97" s="1150"/>
      <c r="F97" s="1150"/>
      <c r="G97" s="571"/>
      <c r="H97" s="1144">
        <f>IF('Quick Input'!L29="ja",'Maschinen-DB'!E66*(1+'Maschinen-DB'!F66)/'Länder-DB'!I27/Parametrikber!F163/3600*H95+'Maschinen-DB'!G66/3600*H95*VLOOKUP('Quick Input'!M$46,DB_Länder,7,FALSE) + 'Maschinen-DB'!H66*VLOOKUP('Quick Input'!M$46,DB_Länder,8,FALSE)*12/Parametrikber!F163/3600*H95,0)</f>
        <v>0.41742621527777779</v>
      </c>
      <c r="I97" s="580"/>
      <c r="J97" s="580"/>
      <c r="K97" s="1144">
        <f>IF('Quick Input'!O29="ja",'Maschinen-DB'!E66*(1+'Maschinen-DB'!F66)/'Länder-DB'!I27/Parametrikber!I163/3600*K95+'Maschinen-DB'!G66/3600*K95*VLOOKUP('Quick Input'!P$46,DB_Länder,7,FALSE) + 'Maschinen-DB'!H66*VLOOKUP('Quick Input'!P$46,DB_Länder,8,FALSE)*12/Parametrikber!I163/3600*K95,0)</f>
        <v>0.30864583333333334</v>
      </c>
      <c r="L97" s="354"/>
      <c r="M97" s="354"/>
      <c r="N97" s="1144">
        <f>IF('Quick Input'!R29="ja",'Maschinen-DB'!E66*(1+'Maschinen-DB'!F66)/'Länder-DB'!I27/Parametrikber!L163/3600*N95+'Maschinen-DB'!G66/3600*N95*VLOOKUP('Quick Input'!S$46,DB_Länder,7,FALSE) + 'Maschinen-DB'!H66*VLOOKUP('Quick Input'!S$46,DB_Länder,8,FALSE)*12/Parametrikber!L163/3600*N95,0)</f>
        <v>0.33394097222222224</v>
      </c>
      <c r="O97" s="1134"/>
    </row>
    <row r="98" spans="3:15" ht="15" thickBot="1" x14ac:dyDescent="0.25">
      <c r="C98" s="78"/>
      <c r="D98" s="1151" t="str">
        <f>IF(Deutsch,"Farbeindring (Anlage)","PT (system)")</f>
        <v>Farbeindring (Anlage)</v>
      </c>
      <c r="E98" s="1150"/>
      <c r="F98" s="1150"/>
      <c r="G98" s="571"/>
      <c r="H98" s="342" t="s">
        <v>938</v>
      </c>
      <c r="I98" s="580"/>
      <c r="J98" s="580"/>
      <c r="K98" s="342" t="s">
        <v>938</v>
      </c>
      <c r="L98" s="354"/>
      <c r="M98" s="354"/>
      <c r="N98" s="342" t="s">
        <v>938</v>
      </c>
      <c r="O98" s="1134"/>
    </row>
    <row r="99" spans="3:15" ht="15" thickBot="1" x14ac:dyDescent="0.25">
      <c r="C99" s="78"/>
      <c r="D99" s="1151" t="str">
        <f>IF(Deutsch,"Farbeindring Prüfzeit (sec)","PT testing time (sec)")</f>
        <v>Farbeindring Prüfzeit (sec)</v>
      </c>
      <c r="E99" s="1150"/>
      <c r="F99" s="1150"/>
      <c r="G99" s="571"/>
      <c r="H99" s="1162">
        <v>600</v>
      </c>
      <c r="I99" s="580"/>
      <c r="J99" s="580"/>
      <c r="K99" s="1162">
        <v>600</v>
      </c>
      <c r="L99" s="354"/>
      <c r="M99" s="354"/>
      <c r="N99" s="1162">
        <v>400</v>
      </c>
      <c r="O99" s="1134"/>
    </row>
    <row r="100" spans="3:15" ht="15" thickBot="1" x14ac:dyDescent="0.25">
      <c r="C100" s="78"/>
      <c r="D100" s="1151" t="str">
        <f>IF(Deutsch,"Farbeindring Prüfung (€/Std.)","PT testing (€/h)")</f>
        <v>Farbeindring Prüfung (€/Std.)</v>
      </c>
      <c r="E100" s="1150"/>
      <c r="F100" s="1150"/>
      <c r="G100" s="571"/>
      <c r="H100" s="1144">
        <f>IF(H99&lt;&gt;0,H101/H99*3600,0)</f>
        <v>2.2249479166666664</v>
      </c>
      <c r="I100" s="580"/>
      <c r="J100" s="580"/>
      <c r="K100" s="1144">
        <f>IF(K99&lt;&gt;0,K101/K99*3600,0)</f>
        <v>2.0766666666666667</v>
      </c>
      <c r="L100" s="354"/>
      <c r="M100" s="354"/>
      <c r="N100" s="1144">
        <f>IF(N99&lt;&gt;0,N101/N99*3600,0)</f>
        <v>2.2249479166666664</v>
      </c>
      <c r="O100" s="1134"/>
    </row>
    <row r="101" spans="3:15" ht="15" thickBot="1" x14ac:dyDescent="0.25">
      <c r="C101" s="78"/>
      <c r="D101" s="1151" t="str">
        <f>IF(Deutsch,"Farbeindring Prüfung (€/Stk.)","PT testing (€/pc.)")</f>
        <v>Farbeindring Prüfung (€/Stk.)</v>
      </c>
      <c r="E101" s="1150"/>
      <c r="F101" s="1150"/>
      <c r="G101" s="571"/>
      <c r="H101" s="1144">
        <f>IF('Quick Input'!L30="ja",VLOOKUP(Refkalkulation!H98,'Maschinen-DB'!B67:H69,4,FALSE)*(1+VLOOKUP(Refkalkulation!H98,'Maschinen-DB'!B67:H69,5,FALSE))/'Länder-DB'!I27/Parametrikber!F163/3600*H99+VLOOKUP(Refkalkulation!H98,'Maschinen-DB'!B67:H69,6,FALSE)/3600*H99*VLOOKUP('Quick Input'!M$46,DB_Länder,7,FALSE) + VLOOKUP(Refkalkulation!H98,'Maschinen-DB'!B67:H69,7,FALSE)*VLOOKUP('Quick Input'!M$46,DB_Länder,8,FALSE)*12/Parametrikber!F163/3600*H99,0)</f>
        <v>0.37082465277777776</v>
      </c>
      <c r="I101" s="580"/>
      <c r="J101" s="580"/>
      <c r="K101" s="1144">
        <f>IF('Quick Input'!O30="ja",VLOOKUP(Refkalkulation!K98,'Maschinen-DB'!B67:K69,4,FALSE)*(1+VLOOKUP(Refkalkulation!K98,'Maschinen-DB'!B67:K69,5,FALSE))/'Länder-DB'!I27/Parametrikber!I163/3600*K99+VLOOKUP(Refkalkulation!K98,'Maschinen-DB'!B67:K69,6,FALSE)/3600*K99*VLOOKUP('Quick Input'!P$46,DB_Länder,7,FALSE) + VLOOKUP(Refkalkulation!K98,'Maschinen-DB'!B67:K69,7,FALSE)*VLOOKUP('Quick Input'!P$46,DB_Länder,8,FALSE)*12/Parametrikber!I163/3600*K99,0)</f>
        <v>0.34611111111111109</v>
      </c>
      <c r="L101" s="354"/>
      <c r="M101" s="354"/>
      <c r="N101" s="1144">
        <f>IF('Quick Input'!R30="ja",VLOOKUP(Refkalkulation!N98,'Maschinen-DB'!B67:N69,4,FALSE)*(1+VLOOKUP(Refkalkulation!N98,'Maschinen-DB'!B67:N69,5,FALSE))/'Länder-DB'!I27/Parametrikber!L163/3600*N99+VLOOKUP(Refkalkulation!N98,'Maschinen-DB'!B67:N69,6,FALSE)/3600*N99*VLOOKUP('Quick Input'!S$46,DB_Länder,7,FALSE) + VLOOKUP(Refkalkulation!N98,'Maschinen-DB'!B67:N69,7,FALSE)*VLOOKUP('Quick Input'!S$46,DB_Länder,8,FALSE)*12/Parametrikber!L163/3600*N99,0)</f>
        <v>0.24721643518518516</v>
      </c>
      <c r="O101" s="1134"/>
    </row>
    <row r="102" spans="3:15" ht="15" thickBot="1" x14ac:dyDescent="0.25">
      <c r="C102" s="78"/>
      <c r="D102" s="1151" t="str">
        <f>IF(Deutsch,"Röntgen Prüfzeit (sec)","X-ray testing time (sec)")</f>
        <v>Röntgen Prüfzeit (sec)</v>
      </c>
      <c r="E102" s="1150"/>
      <c r="F102" s="1150"/>
      <c r="G102" s="571"/>
      <c r="H102" s="1162">
        <v>1000</v>
      </c>
      <c r="I102" s="580"/>
      <c r="J102" s="580"/>
      <c r="K102" s="1162">
        <v>1000</v>
      </c>
      <c r="L102" s="354"/>
      <c r="M102" s="354"/>
      <c r="N102" s="1162">
        <v>600</v>
      </c>
      <c r="O102" s="1134"/>
    </row>
    <row r="103" spans="3:15" ht="15" thickBot="1" x14ac:dyDescent="0.25">
      <c r="C103" s="78"/>
      <c r="D103" s="1151" t="str">
        <f>IF(Deutsch,"Röntgen Prüfung (€/Std.)","X-ray testing (€/h)")</f>
        <v>Röntgen Prüfung (€/Std.)</v>
      </c>
      <c r="E103" s="1150"/>
      <c r="F103" s="1150"/>
      <c r="G103" s="571"/>
      <c r="H103" s="1144">
        <f>IF(H102&lt;&gt;0,H104/H102*3600,0)</f>
        <v>6.6088541666666671</v>
      </c>
      <c r="I103" s="580"/>
      <c r="J103" s="580"/>
      <c r="K103" s="1144">
        <f>IF(K102&lt;&gt;0,K104/K102*3600,0)</f>
        <v>6.3429166666666683</v>
      </c>
      <c r="L103" s="354"/>
      <c r="M103" s="354"/>
      <c r="N103" s="1144">
        <f>IF(N102&lt;&gt;0,N104/N102*3600,0)</f>
        <v>6.6088541666666689</v>
      </c>
      <c r="O103" s="1134"/>
    </row>
    <row r="104" spans="3:15" ht="15" thickBot="1" x14ac:dyDescent="0.25">
      <c r="C104" s="78"/>
      <c r="D104" s="1151" t="str">
        <f>IF(Deutsch,"Röntgen Prüfung (€/Stk.)","X-ray testing (€/pc.)")</f>
        <v>Röntgen Prüfung (€/Stk.)</v>
      </c>
      <c r="E104" s="1150"/>
      <c r="F104" s="1150"/>
      <c r="G104" s="571"/>
      <c r="H104" s="1144">
        <f>IF('Quick Input'!L31="ja",'Maschinen-DB'!E63*(1+'Maschinen-DB'!F63)/'Länder-DB'!I27/Parametrikber!F163/3600*H102+'Maschinen-DB'!G63/3600*H102*VLOOKUP('Quick Input'!M$46,DB_Länder,7,FALSE) + 'Maschinen-DB'!H63*VLOOKUP('Quick Input'!M$46,DB_Länder,8,FALSE)*12/Parametrikber!F163/3600*H102,0)</f>
        <v>1.8357928240740744</v>
      </c>
      <c r="I104" s="580"/>
      <c r="J104" s="580"/>
      <c r="K104" s="1144">
        <f>IF('Quick Input'!O31="ja",'Maschinen-DB'!E63*(1+'Maschinen-DB'!F63)/'Länder-DB'!I27/Parametrikber!F163/3600*K102+'Maschinen-DB'!G63/3600*K102*VLOOKUP('Quick Input'!P$46,DB_Länder,7,FALSE) + 'Maschinen-DB'!H63*VLOOKUP('Quick Input'!P$46,DB_Länder,8,FALSE)*12/Parametrikber!F163/3600*K102,0)</f>
        <v>1.7619212962962969</v>
      </c>
      <c r="L104" s="354"/>
      <c r="M104" s="354"/>
      <c r="N104" s="1144">
        <f>IF('Quick Input'!R31="ja",'Maschinen-DB'!E63*(1+'Maschinen-DB'!F63)/'Länder-DB'!I27/Parametrikber!F163/3600*N102+'Maschinen-DB'!G63/3600*N102*VLOOKUP('Quick Input'!S$46,DB_Länder,7,FALSE) + 'Maschinen-DB'!H63*VLOOKUP('Quick Input'!S$46,DB_Länder,8,FALSE)*12/Parametrikber!F163/3600*N102,0)</f>
        <v>1.1014756944444448</v>
      </c>
      <c r="O104" s="1134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571"/>
      <c r="H105" s="80" t="str">
        <f>'Quick Input'!L$34</f>
        <v>ohne</v>
      </c>
      <c r="I105" s="579"/>
      <c r="J105" s="579"/>
      <c r="K105" s="80" t="str">
        <f>'Quick Input'!O$34</f>
        <v>ohne</v>
      </c>
      <c r="L105" s="78"/>
      <c r="M105" s="78"/>
      <c r="N105" s="80" t="str">
        <f>'Quick Input'!R$34</f>
        <v>ohne</v>
      </c>
      <c r="O105" s="1134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571"/>
      <c r="H106" s="513">
        <v>0</v>
      </c>
      <c r="I106" s="580"/>
      <c r="J106" s="580"/>
      <c r="K106" s="513">
        <v>0</v>
      </c>
      <c r="L106" s="354"/>
      <c r="M106" s="354"/>
      <c r="N106" s="513">
        <v>0</v>
      </c>
      <c r="O106" s="1134"/>
    </row>
    <row r="107" spans="3:15" ht="15" thickBot="1" x14ac:dyDescent="0.25">
      <c r="C107" s="78"/>
      <c r="D107" s="72" t="str">
        <f>'Quick Input'!$I$78</f>
        <v>Anteil Nachprüfung</v>
      </c>
      <c r="E107" s="73"/>
      <c r="F107" s="75"/>
      <c r="G107" s="571"/>
      <c r="H107" s="647">
        <v>0.5</v>
      </c>
      <c r="I107" s="580"/>
      <c r="J107" s="580"/>
      <c r="K107" s="647">
        <v>0.5</v>
      </c>
      <c r="L107" s="354"/>
      <c r="M107" s="354"/>
      <c r="N107" s="647">
        <v>0.5</v>
      </c>
      <c r="O107" s="1134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571"/>
      <c r="H108" s="85">
        <f>IF('Quick Input'!M$34=Auswahlfelder!$D$60,0,Parametrikber!F$204)</f>
        <v>0</v>
      </c>
      <c r="I108" s="579"/>
      <c r="J108" s="579"/>
      <c r="K108" s="85">
        <f>IF('Quick Input'!P$34=Auswahlfelder!$D$60,0,Parametrikber!I$204)</f>
        <v>0</v>
      </c>
      <c r="L108" s="78"/>
      <c r="M108" s="78"/>
      <c r="N108" s="85">
        <f>IF('Quick Input'!S$34=Auswahlfelder!$D$60,0,Parametrikber!L$204)</f>
        <v>0</v>
      </c>
      <c r="O108" s="1134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810"/>
      <c r="H109" s="808">
        <f>H$91/3600*H$94+(H$97+H$101+H$104)*(1+H$107*H$106)+H$106*H$108</f>
        <v>6.3502320254629634</v>
      </c>
      <c r="I109" s="585" t="s">
        <v>284</v>
      </c>
      <c r="J109" s="585"/>
      <c r="K109" s="808">
        <f>K$91/3600*K$94+(K$97+K$101+K$104)*(1+K$107*K$106)+K$106*K$108</f>
        <v>3.2506872407407412</v>
      </c>
      <c r="L109" s="585" t="s">
        <v>284</v>
      </c>
      <c r="M109" s="585"/>
      <c r="N109" s="808">
        <f>N$91/3600*N$94+(N$97+N$101+N$104)*(1+N$107*N$106)+N$106*N$108</f>
        <v>4.4772743518518521</v>
      </c>
      <c r="O109" s="1138" t="s">
        <v>284</v>
      </c>
    </row>
    <row r="110" spans="3:15" ht="11.25" customHeight="1" thickBot="1" x14ac:dyDescent="0.25">
      <c r="C110" s="78"/>
      <c r="D110" s="1246" t="str">
        <f>IF(Deutsch,"Fertigungsnebenkosten","production cost")</f>
        <v>Fertigungsnebenkosten</v>
      </c>
      <c r="E110" s="1247"/>
      <c r="F110" s="1248"/>
      <c r="G110" s="571"/>
      <c r="H110" s="79"/>
      <c r="I110" s="579" t="s">
        <v>284</v>
      </c>
      <c r="J110" s="579"/>
      <c r="K110" s="79"/>
      <c r="L110" s="78" t="s">
        <v>284</v>
      </c>
      <c r="M110" s="78"/>
      <c r="N110" s="79"/>
      <c r="O110" s="1135" t="s">
        <v>284</v>
      </c>
    </row>
    <row r="111" spans="3:15" ht="14.25" customHeight="1" thickBot="1" x14ac:dyDescent="0.25">
      <c r="C111" s="78"/>
      <c r="D111" s="1249"/>
      <c r="E111" s="1250"/>
      <c r="F111" s="1251"/>
      <c r="G111" s="571"/>
      <c r="H111" s="883" t="e">
        <f>H$46+H$70+H89+H$109</f>
        <v>#N/A</v>
      </c>
      <c r="I111" s="579" t="s">
        <v>284</v>
      </c>
      <c r="J111" s="579"/>
      <c r="K111" s="883" t="e">
        <f>K$46+K$70+K89+K$109</f>
        <v>#REF!</v>
      </c>
      <c r="L111" s="579" t="s">
        <v>284</v>
      </c>
      <c r="M111" s="579"/>
      <c r="N111" s="883" t="e">
        <f>N$46+N$70+N89+N$109</f>
        <v>#REF!</v>
      </c>
      <c r="O111" s="1134" t="s">
        <v>284</v>
      </c>
    </row>
    <row r="112" spans="3:15" ht="15" thickBot="1" x14ac:dyDescent="0.25">
      <c r="C112" s="78"/>
      <c r="D112" s="72" t="str">
        <f>CONCATENATE(IF(Deutsch,'Quick Input'!C32,'Quick Input'!D32)," (per lot)")</f>
        <v>Materialprüfzertifikat (per lot)</v>
      </c>
      <c r="E112" s="73"/>
      <c r="F112" s="75"/>
      <c r="G112" s="571"/>
      <c r="H112" s="74">
        <f>Parametrikber!F$209</f>
        <v>0</v>
      </c>
      <c r="I112" s="579" t="s">
        <v>284</v>
      </c>
      <c r="J112" s="579"/>
      <c r="K112" s="74">
        <f>Parametrikber!I$209</f>
        <v>0</v>
      </c>
      <c r="L112" s="579" t="s">
        <v>284</v>
      </c>
      <c r="M112" s="579"/>
      <c r="N112" s="74">
        <f>Parametrikber!L$209</f>
        <v>0</v>
      </c>
      <c r="O112" s="1134" t="s">
        <v>284</v>
      </c>
    </row>
    <row r="113" spans="2:15" ht="14.25" customHeight="1" thickBot="1" x14ac:dyDescent="0.25">
      <c r="B113" s="55" t="s">
        <v>126</v>
      </c>
      <c r="C113" s="78"/>
      <c r="D113" s="236" t="str">
        <f>'Quick Input'!I80</f>
        <v>Fertigungsgemeinkosten</v>
      </c>
      <c r="E113" s="73"/>
      <c r="F113" s="75"/>
      <c r="G113" s="571"/>
      <c r="H113" s="119">
        <v>0.1</v>
      </c>
      <c r="I113" s="580"/>
      <c r="J113" s="580"/>
      <c r="K113" s="119">
        <v>0.1</v>
      </c>
      <c r="L113" s="354"/>
      <c r="M113" s="354"/>
      <c r="N113" s="119">
        <v>0.1</v>
      </c>
      <c r="O113" s="1134"/>
    </row>
    <row r="114" spans="2:15" ht="15" thickBot="1" x14ac:dyDescent="0.25">
      <c r="C114" s="78"/>
      <c r="D114" s="236" t="str">
        <f>IF(Deutsch,'Quick Input'!C80,'Quick Input'!D80)</f>
        <v>Fertigungsgemeinkosten</v>
      </c>
      <c r="E114" s="73"/>
      <c r="F114" s="75"/>
      <c r="G114" s="571"/>
      <c r="H114" s="74" t="e">
        <f>H$113*H$111</f>
        <v>#N/A</v>
      </c>
      <c r="I114" s="579" t="s">
        <v>284</v>
      </c>
      <c r="J114" s="579"/>
      <c r="K114" s="74" t="e">
        <f>K$113*K$111</f>
        <v>#REF!</v>
      </c>
      <c r="L114" s="78" t="s">
        <v>284</v>
      </c>
      <c r="M114" s="78"/>
      <c r="N114" s="74" t="e">
        <f>N$113*N$111</f>
        <v>#REF!</v>
      </c>
      <c r="O114" s="1134" t="s">
        <v>284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571"/>
      <c r="H115" s="113" t="e">
        <f>H$111+H$112/H$59+H$114</f>
        <v>#N/A</v>
      </c>
      <c r="I115" s="579" t="s">
        <v>284</v>
      </c>
      <c r="J115" s="579"/>
      <c r="K115" s="113" t="e">
        <f>K$111+K$112/K$59+K$114</f>
        <v>#REF!</v>
      </c>
      <c r="L115" s="579" t="s">
        <v>284</v>
      </c>
      <c r="M115" s="579"/>
      <c r="N115" s="113" t="e">
        <f>N$111+N$112/N$59+N$114</f>
        <v>#REF!</v>
      </c>
      <c r="O115" s="1134" t="s">
        <v>284</v>
      </c>
    </row>
    <row r="116" spans="2:15" ht="4.5" customHeight="1" thickBot="1" x14ac:dyDescent="0.25">
      <c r="C116" s="87"/>
      <c r="D116" s="88"/>
      <c r="E116" s="87"/>
      <c r="F116" s="89"/>
      <c r="G116" s="571"/>
      <c r="H116" s="91"/>
      <c r="I116" s="579" t="s">
        <v>284</v>
      </c>
      <c r="J116" s="579"/>
      <c r="K116" s="91"/>
      <c r="L116" s="78" t="s">
        <v>284</v>
      </c>
      <c r="M116" s="78"/>
      <c r="N116" s="91"/>
      <c r="O116" s="1138" t="s">
        <v>284</v>
      </c>
    </row>
    <row r="117" spans="2:15" ht="7.5" customHeight="1" thickBot="1" x14ac:dyDescent="0.25">
      <c r="D117" s="1246" t="str">
        <f>IF(Deutsch,"Gemeinkosten &amp; Gewinn","common cost &amp; profit")</f>
        <v>Gemeinkosten &amp; Gewinn</v>
      </c>
      <c r="E117" s="1247"/>
      <c r="F117" s="1248"/>
      <c r="G117" s="571"/>
      <c r="H117" s="79"/>
      <c r="I117" s="579" t="s">
        <v>284</v>
      </c>
      <c r="J117" s="579"/>
      <c r="K117" s="79"/>
      <c r="L117" s="78" t="s">
        <v>284</v>
      </c>
      <c r="M117" s="78"/>
      <c r="N117" s="79"/>
      <c r="O117" s="1135" t="s">
        <v>284</v>
      </c>
    </row>
    <row r="118" spans="2:15" ht="15" thickBot="1" x14ac:dyDescent="0.25">
      <c r="D118" s="1249"/>
      <c r="E118" s="1250"/>
      <c r="F118" s="1251"/>
      <c r="G118" s="571"/>
      <c r="H118" s="74" t="e">
        <f>H$25+H$115</f>
        <v>#REF!</v>
      </c>
      <c r="I118" s="579" t="s">
        <v>284</v>
      </c>
      <c r="J118" s="579"/>
      <c r="K118" s="85" t="e">
        <f>K$25+K$115</f>
        <v>#REF!</v>
      </c>
      <c r="L118" s="579" t="s">
        <v>284</v>
      </c>
      <c r="M118" s="579"/>
      <c r="N118" s="85" t="e">
        <f>N$25+N$115</f>
        <v>#REF!</v>
      </c>
      <c r="O118" s="1134" t="s">
        <v>284</v>
      </c>
    </row>
    <row r="119" spans="2:15" ht="15" thickBot="1" x14ac:dyDescent="0.25">
      <c r="B119" s="55" t="s">
        <v>126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571"/>
      <c r="H119" s="119">
        <v>0.12</v>
      </c>
      <c r="I119" s="580"/>
      <c r="J119" s="580"/>
      <c r="K119" s="119">
        <v>0.12</v>
      </c>
      <c r="L119" s="354"/>
      <c r="M119" s="354"/>
      <c r="N119" s="119">
        <v>0.12</v>
      </c>
      <c r="O119" s="1134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571"/>
      <c r="H120" s="74" t="e">
        <f>H$118*H119</f>
        <v>#REF!</v>
      </c>
      <c r="I120" s="579" t="s">
        <v>284</v>
      </c>
      <c r="J120" s="579"/>
      <c r="K120" s="74" t="e">
        <f>K$118*K119</f>
        <v>#REF!</v>
      </c>
      <c r="L120" s="579" t="s">
        <v>284</v>
      </c>
      <c r="M120" s="579"/>
      <c r="N120" s="74" t="e">
        <f t="shared" ref="N120" si="7">N$118*N119</f>
        <v>#REF!</v>
      </c>
      <c r="O120" s="1134" t="s">
        <v>284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571"/>
      <c r="H121" s="74" t="e">
        <f>H$115*'Länder-DB'!$I$35</f>
        <v>#N/A</v>
      </c>
      <c r="I121" s="579" t="s">
        <v>284</v>
      </c>
      <c r="J121" s="579"/>
      <c r="K121" s="74" t="e">
        <f>K$115*'Länder-DB'!$I$35</f>
        <v>#REF!</v>
      </c>
      <c r="L121" s="78" t="s">
        <v>284</v>
      </c>
      <c r="M121" s="78"/>
      <c r="N121" s="74" t="e">
        <f>N$115*'Länder-DB'!$I$35</f>
        <v>#REF!</v>
      </c>
      <c r="O121" s="1134" t="s">
        <v>284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571"/>
      <c r="H122" s="985" t="e">
        <f>H$120+H$121</f>
        <v>#REF!</v>
      </c>
      <c r="I122" s="579" t="s">
        <v>284</v>
      </c>
      <c r="J122" s="579"/>
      <c r="K122" s="985" t="e">
        <f>K$120+K$121</f>
        <v>#REF!</v>
      </c>
      <c r="L122" s="579" t="s">
        <v>284</v>
      </c>
      <c r="M122" s="579"/>
      <c r="N122" s="985" t="e">
        <f t="shared" ref="N122" si="8">N$120+N$121</f>
        <v>#REF!</v>
      </c>
      <c r="O122" s="1134" t="s">
        <v>284</v>
      </c>
    </row>
    <row r="123" spans="2:15" ht="15" thickBot="1" x14ac:dyDescent="0.25">
      <c r="B123" s="55" t="s">
        <v>126</v>
      </c>
      <c r="D123" s="72" t="str">
        <f>'Quick Input'!I82</f>
        <v>Gewinn auf Material</v>
      </c>
      <c r="E123" s="67"/>
      <c r="F123" s="75"/>
      <c r="G123" s="571"/>
      <c r="H123" s="119">
        <v>0</v>
      </c>
      <c r="I123" s="580"/>
      <c r="J123" s="580"/>
      <c r="K123" s="119">
        <v>0</v>
      </c>
      <c r="L123" s="580"/>
      <c r="M123" s="580"/>
      <c r="N123" s="119">
        <v>0</v>
      </c>
      <c r="O123" s="1134"/>
    </row>
    <row r="124" spans="2:15" ht="15" thickBot="1" x14ac:dyDescent="0.25">
      <c r="B124" s="55" t="s">
        <v>126</v>
      </c>
      <c r="D124" s="72" t="str">
        <f>'Quick Input'!I83</f>
        <v>Gewinn auf Wertschöpfung</v>
      </c>
      <c r="E124" s="67"/>
      <c r="F124" s="75"/>
      <c r="G124" s="571"/>
      <c r="H124" s="119">
        <v>0</v>
      </c>
      <c r="I124" s="580"/>
      <c r="J124" s="580"/>
      <c r="K124" s="119">
        <v>0</v>
      </c>
      <c r="L124" s="580"/>
      <c r="M124" s="580"/>
      <c r="N124" s="119">
        <v>0</v>
      </c>
      <c r="O124" s="1134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571"/>
      <c r="H125" s="984" t="e">
        <f>H$123*H$25+H$124*H$111</f>
        <v>#REF!</v>
      </c>
      <c r="I125" s="579" t="s">
        <v>284</v>
      </c>
      <c r="J125" s="579"/>
      <c r="K125" s="984" t="e">
        <f>K$123*K$25+K$124*K$111</f>
        <v>#REF!</v>
      </c>
      <c r="L125" s="579" t="s">
        <v>284</v>
      </c>
      <c r="M125" s="579"/>
      <c r="N125" s="984" t="e">
        <f>N$123*N$25+N$124*N$111</f>
        <v>#REF!</v>
      </c>
      <c r="O125" s="1134" t="s">
        <v>284</v>
      </c>
    </row>
    <row r="126" spans="2:15" ht="6" customHeight="1" thickBot="1" x14ac:dyDescent="0.25">
      <c r="D126" s="72"/>
      <c r="E126" s="67"/>
      <c r="F126" s="75"/>
      <c r="G126" s="571"/>
      <c r="H126" s="86"/>
      <c r="I126" s="579" t="s">
        <v>284</v>
      </c>
      <c r="J126" s="579"/>
      <c r="K126" s="86"/>
      <c r="L126" s="78" t="s">
        <v>284</v>
      </c>
      <c r="M126" s="78"/>
      <c r="N126" s="86"/>
      <c r="O126" s="1134" t="s">
        <v>284</v>
      </c>
    </row>
    <row r="127" spans="2:15" ht="15" thickBot="1" x14ac:dyDescent="0.25">
      <c r="D127" s="731" t="str">
        <f>IF(Deutsch,"Bauteilpreis gesamt","part cost total")</f>
        <v>Bauteilpreis gesamt</v>
      </c>
      <c r="E127" s="67"/>
      <c r="F127" s="75"/>
      <c r="G127" s="571"/>
      <c r="H127" s="986" t="e">
        <f>H$118+H$122+H$125</f>
        <v>#REF!</v>
      </c>
      <c r="I127" s="579" t="s">
        <v>284</v>
      </c>
      <c r="J127" s="579"/>
      <c r="K127" s="986" t="e">
        <f>K$118+K$122+K$125</f>
        <v>#REF!</v>
      </c>
      <c r="L127" s="579" t="s">
        <v>284</v>
      </c>
      <c r="M127" s="579"/>
      <c r="N127" s="986" t="e">
        <f>N$118+N$122+N$125</f>
        <v>#REF!</v>
      </c>
      <c r="O127" s="1134" t="s">
        <v>284</v>
      </c>
    </row>
    <row r="128" spans="2:15" ht="6" customHeight="1" thickBot="1" x14ac:dyDescent="0.25">
      <c r="D128" s="82"/>
      <c r="E128" s="67"/>
      <c r="F128" s="75"/>
      <c r="G128" s="571"/>
      <c r="H128" s="92"/>
      <c r="I128" s="579" t="s">
        <v>284</v>
      </c>
      <c r="J128" s="579"/>
      <c r="K128" s="92"/>
      <c r="L128" s="78" t="s">
        <v>284</v>
      </c>
      <c r="M128" s="78"/>
      <c r="N128" s="92"/>
      <c r="O128" s="1138" t="s">
        <v>284</v>
      </c>
    </row>
    <row r="129" spans="2:15" ht="14.25" customHeight="1" thickBot="1" x14ac:dyDescent="0.25">
      <c r="D129" s="1246" t="str">
        <f>IF(Deutsch,"Potenziabschätzung","estimation potential")</f>
        <v>Potenziabschätzung</v>
      </c>
      <c r="E129" s="1247"/>
      <c r="F129" s="1248"/>
      <c r="G129" s="571"/>
      <c r="H129" s="280" t="e">
        <f>IF(H49=Parametrikber!F139,IF(H50=#REF!,TRUE,FALSE),FALSE)</f>
        <v>#REF!</v>
      </c>
      <c r="I129" s="579" t="s">
        <v>284</v>
      </c>
      <c r="J129" s="579"/>
      <c r="K129" s="280" t="e">
        <f>IF(K49=Parametrikber!I139,IF(K50=#REF!,TRUE,FALSE),FALSE)</f>
        <v>#REF!</v>
      </c>
      <c r="L129" s="78" t="s">
        <v>284</v>
      </c>
      <c r="M129" s="356"/>
      <c r="N129" s="280" t="e">
        <f>IF(N49=Parametrikber!L139,IF(N50=#REF!,TRUE,FALSE),FALSE)</f>
        <v>#REF!</v>
      </c>
      <c r="O129" s="1135" t="s">
        <v>284</v>
      </c>
    </row>
    <row r="130" spans="2:15" ht="15" thickBot="1" x14ac:dyDescent="0.25">
      <c r="D130" s="1249"/>
      <c r="E130" s="1250"/>
      <c r="F130" s="1251"/>
      <c r="G130" s="571"/>
      <c r="H130" s="143"/>
      <c r="I130" s="579" t="s">
        <v>284</v>
      </c>
      <c r="J130" s="583"/>
      <c r="K130" s="143"/>
      <c r="L130" s="78" t="s">
        <v>284</v>
      </c>
      <c r="M130" s="144"/>
      <c r="N130" s="143"/>
      <c r="O130" s="1134" t="s">
        <v>284</v>
      </c>
    </row>
    <row r="131" spans="2:15" ht="15" thickBot="1" x14ac:dyDescent="0.25">
      <c r="B131" s="55" t="s">
        <v>126</v>
      </c>
      <c r="D131" s="72" t="str">
        <f>'Quick Input'!I52</f>
        <v>Zielpreis Bauteil</v>
      </c>
      <c r="E131" s="73"/>
      <c r="F131" s="75"/>
      <c r="G131" s="571"/>
      <c r="H131" s="85">
        <f>AVERAGE('Quick Input'!M$53:M$57)</f>
        <v>55</v>
      </c>
      <c r="I131" s="579" t="s">
        <v>284</v>
      </c>
      <c r="J131" s="583"/>
      <c r="K131" s="85">
        <f>AVERAGE('Quick Input'!P53:P57)</f>
        <v>55</v>
      </c>
      <c r="L131" s="78" t="s">
        <v>284</v>
      </c>
      <c r="M131" s="357"/>
      <c r="N131" s="85">
        <f>AVERAGE('Quick Input'!S53:S57)</f>
        <v>55</v>
      </c>
      <c r="O131" s="1134" t="s">
        <v>284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571"/>
      <c r="H132" s="85" t="e">
        <f>H$131-H$127</f>
        <v>#REF!</v>
      </c>
      <c r="I132" s="579" t="s">
        <v>284</v>
      </c>
      <c r="J132" s="579"/>
      <c r="K132" s="85" t="e">
        <f>K131-K127</f>
        <v>#REF!</v>
      </c>
      <c r="L132" s="78" t="s">
        <v>284</v>
      </c>
      <c r="M132" s="78"/>
      <c r="N132" s="85" t="e">
        <f>N131-N127</f>
        <v>#REF!</v>
      </c>
      <c r="O132" s="1134" t="s">
        <v>284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571"/>
      <c r="H133" s="93" t="e">
        <f>IF(H$132&gt;0,H$132*'Quick Input'!M$45,0)</f>
        <v>#REF!</v>
      </c>
      <c r="I133" s="579" t="s">
        <v>284</v>
      </c>
      <c r="J133" s="579"/>
      <c r="K133" s="93" t="e">
        <f>IF(K132&gt;0,K132*'Quick Input'!P45,0)</f>
        <v>#REF!</v>
      </c>
      <c r="L133" s="78" t="s">
        <v>284</v>
      </c>
      <c r="M133" s="78"/>
      <c r="N133" s="93" t="e">
        <f>IF(N132&gt;0,N132*'Quick Input'!S45,0)</f>
        <v>#REF!</v>
      </c>
      <c r="O133" s="1134" t="s">
        <v>284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571"/>
      <c r="H134" s="140" t="e">
        <f>CONCATENATE(Parametrikber!F$286," x ",Parametrikber!F$285)</f>
        <v>#REF!</v>
      </c>
      <c r="I134" s="579" t="s">
        <v>284</v>
      </c>
      <c r="J134" s="579"/>
      <c r="K134" s="140" t="e">
        <f>CONCATENATE(Parametrikber!I$286," x ",Parametrikber!I$285)</f>
        <v>#REF!</v>
      </c>
      <c r="L134" s="78" t="s">
        <v>284</v>
      </c>
      <c r="M134" s="78"/>
      <c r="N134" s="140" t="e">
        <f>CONCATENATE(Parametrikber!L$286," x ",Parametrikber!L$285)</f>
        <v>#REF!</v>
      </c>
      <c r="O134" s="1134" t="s">
        <v>284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571"/>
      <c r="H135" s="93" t="e">
        <f>Parametrikber!F$290</f>
        <v>#REF!</v>
      </c>
      <c r="I135" s="579" t="s">
        <v>284</v>
      </c>
      <c r="J135" s="579"/>
      <c r="K135" s="93" t="e">
        <f>Parametrikber!I$290</f>
        <v>#REF!</v>
      </c>
      <c r="L135" s="579" t="s">
        <v>284</v>
      </c>
      <c r="M135" s="579"/>
      <c r="N135" s="93" t="e">
        <f>Parametrikber!L$290</f>
        <v>#REF!</v>
      </c>
      <c r="O135" s="1134" t="s">
        <v>284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571"/>
      <c r="H136" s="93">
        <f>Parametrikber!F$295</f>
        <v>2500</v>
      </c>
      <c r="I136" s="579" t="s">
        <v>284</v>
      </c>
      <c r="J136" s="579"/>
      <c r="K136" s="93">
        <f>Parametrikber!I$295</f>
        <v>1100</v>
      </c>
      <c r="L136" s="579" t="s">
        <v>284</v>
      </c>
      <c r="M136" s="579"/>
      <c r="N136" s="93">
        <f>Parametrikber!L$295</f>
        <v>1200</v>
      </c>
      <c r="O136" s="1134" t="s">
        <v>284</v>
      </c>
    </row>
    <row r="137" spans="2:15" ht="15" thickBot="1" x14ac:dyDescent="0.25">
      <c r="D137" s="730" t="str">
        <f>IF(Deutsch,"Modellkosten Angebot","tool invest - supplier")</f>
        <v>Modellkosten Angebot</v>
      </c>
      <c r="E137" s="94"/>
      <c r="F137" s="89"/>
      <c r="G137" s="575"/>
      <c r="H137" s="358">
        <f>'Quick Input'!M58+'Quick Input'!M59</f>
        <v>10500</v>
      </c>
      <c r="I137" s="584" t="s">
        <v>284</v>
      </c>
      <c r="J137" s="585"/>
      <c r="K137" s="358">
        <f>'Quick Input'!P58+'Quick Input'!P59</f>
        <v>6000</v>
      </c>
      <c r="L137" s="584" t="s">
        <v>284</v>
      </c>
      <c r="M137" s="585"/>
      <c r="N137" s="358">
        <f>'Quick Input'!S58+'Quick Input'!S59</f>
        <v>8050</v>
      </c>
      <c r="O137" s="1138" t="s">
        <v>284</v>
      </c>
    </row>
    <row r="138" spans="2:15" ht="9" customHeight="1" thickBot="1" x14ac:dyDescent="0.25">
      <c r="G138" s="271"/>
    </row>
    <row r="139" spans="2:15" ht="11.25" customHeight="1" x14ac:dyDescent="0.2">
      <c r="D139" s="1234" t="str">
        <f>IF(Deutsch,"Empfehlungen / Info"," suggestion, infos")</f>
        <v>Empfehlungen / Info</v>
      </c>
      <c r="E139" s="1235"/>
      <c r="F139" s="1236"/>
      <c r="G139" s="190"/>
    </row>
    <row r="140" spans="2:15" ht="9.75" customHeight="1" thickBot="1" x14ac:dyDescent="0.25">
      <c r="D140" s="1237"/>
      <c r="E140" s="1238"/>
      <c r="F140" s="1239"/>
      <c r="G140" s="190"/>
      <c r="O140" s="87"/>
    </row>
    <row r="141" spans="2:15" ht="26.25" customHeight="1" thickBot="1" x14ac:dyDescent="0.25">
      <c r="B141" s="55" t="s">
        <v>126</v>
      </c>
      <c r="D141" s="548" t="str">
        <f>IF(Deutsch,"Parameter","parameter")</f>
        <v>Parameter</v>
      </c>
      <c r="E141" s="545"/>
      <c r="F141" s="546"/>
      <c r="G141" s="576"/>
      <c r="H141" s="634" t="e">
        <f>VLOOKUP(1,Parametrikber!E$302:$X$318,IF(Deutsch,19,20),FALSE)</f>
        <v>#N/A</v>
      </c>
      <c r="I141" s="266" t="s">
        <v>284</v>
      </c>
      <c r="J141" s="547"/>
      <c r="K141" s="634" t="e">
        <f>VLOOKUP(1,Parametrikber!H$302:$X$318,IF(Deutsch,16,17),FALSE)</f>
        <v>#N/A</v>
      </c>
      <c r="L141" s="266" t="s">
        <v>284</v>
      </c>
      <c r="M141" s="547"/>
      <c r="N141" s="634" t="e">
        <f>VLOOKUP(1,Parametrikber!K$302:$X$318,IF(Deutsch,13,14),FALSE)</f>
        <v>#N/A</v>
      </c>
      <c r="O141" s="1135" t="s">
        <v>284</v>
      </c>
    </row>
    <row r="142" spans="2:15" ht="15" thickBot="1" x14ac:dyDescent="0.25">
      <c r="D142" s="142"/>
      <c r="E142" s="94"/>
      <c r="F142" s="89"/>
      <c r="G142" s="577"/>
      <c r="H142" s="651" t="e">
        <f>VLOOKUP(2,Parametrikber!E$302:$X$319,2,FALSE)</f>
        <v>#N/A</v>
      </c>
      <c r="I142" s="87" t="s">
        <v>284</v>
      </c>
      <c r="J142" s="87"/>
      <c r="K142" s="635" t="e">
        <f>VLOOKUP(2,Parametrikber!H$302:$X$319,2,FALSE)</f>
        <v>#N/A</v>
      </c>
      <c r="L142" s="87" t="s">
        <v>284</v>
      </c>
      <c r="M142" s="87"/>
      <c r="N142" s="635" t="e">
        <f>VLOOKUP(2,Parametrikber!K$302:$X$319,2,FALSE)</f>
        <v>#N/A</v>
      </c>
      <c r="O142" s="1138" t="s">
        <v>284</v>
      </c>
    </row>
    <row r="143" spans="2:15" ht="25.5" customHeight="1" thickBot="1" x14ac:dyDescent="0.25">
      <c r="D143" s="548" t="str">
        <f>IF(Deutsch,"Parameter","parameter")</f>
        <v>Parameter</v>
      </c>
      <c r="E143" s="545"/>
      <c r="F143" s="546"/>
      <c r="G143" s="576"/>
      <c r="H143" s="634" t="e">
        <f>VLOOKUP(3,Parametrikber!E$302:$X$318,IF(Deutsch,19,20),FALSE)</f>
        <v>#N/A</v>
      </c>
      <c r="I143" s="266" t="s">
        <v>284</v>
      </c>
      <c r="J143" s="547"/>
      <c r="K143" s="634" t="e">
        <f>VLOOKUP(3,Parametrikber!H$302:$X$318,IF(Deutsch,16,17),FALSE)</f>
        <v>#N/A</v>
      </c>
      <c r="L143" s="266" t="s">
        <v>284</v>
      </c>
      <c r="M143" s="547"/>
      <c r="N143" s="634" t="e">
        <f>VLOOKUP(3,Parametrikber!K$302:$X$318,IF(Deutsch,13,14),FALSE)</f>
        <v>#N/A</v>
      </c>
      <c r="O143" s="1135" t="s">
        <v>284</v>
      </c>
    </row>
    <row r="144" spans="2:15" ht="15" thickBot="1" x14ac:dyDescent="0.25">
      <c r="D144" s="142"/>
      <c r="E144" s="94"/>
      <c r="F144" s="89"/>
      <c r="G144" s="577"/>
      <c r="H144" s="650" t="e">
        <f>VLOOKUP(4,Parametrikber!E$302:$X$319,2,FALSE)</f>
        <v>#N/A</v>
      </c>
      <c r="I144" s="87" t="s">
        <v>284</v>
      </c>
      <c r="J144" s="87"/>
      <c r="K144" s="650" t="e">
        <f>VLOOKUP(4,Parametrikber!H$302:$X$319,2,FALSE)</f>
        <v>#N/A</v>
      </c>
      <c r="L144" s="87" t="s">
        <v>284</v>
      </c>
      <c r="M144" s="87"/>
      <c r="N144" s="650" t="e">
        <f>VLOOKUP(4,Parametrikber!K$302:$X$319,2,FALSE)</f>
        <v>#N/A</v>
      </c>
      <c r="O144" s="1138" t="s">
        <v>284</v>
      </c>
    </row>
    <row r="145" spans="4:15" ht="26.2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e">
        <f>VLOOKUP(5,Parametrikber!E$302:$X$318,IF(Deutsch,19,20),FALSE)</f>
        <v>#N/A</v>
      </c>
      <c r="I145" s="266" t="s">
        <v>284</v>
      </c>
      <c r="J145" s="547"/>
      <c r="K145" s="634" t="e">
        <f>VLOOKUP(5,Parametrikber!H$302:$X$318,IF(Deutsch,16,17),FALSE)</f>
        <v>#N/A</v>
      </c>
      <c r="L145" s="266" t="s">
        <v>284</v>
      </c>
      <c r="M145" s="547"/>
      <c r="N145" s="634" t="e">
        <f>VLOOKUP(5,Parametrikber!K$302:$X$318,IF(Deutsch,13,14),FALSE)</f>
        <v>#N/A</v>
      </c>
      <c r="O145" s="1135" t="s">
        <v>284</v>
      </c>
    </row>
    <row r="146" spans="4:15" ht="15" thickBot="1" x14ac:dyDescent="0.25">
      <c r="D146" s="142"/>
      <c r="E146" s="94"/>
      <c r="F146" s="89"/>
      <c r="G146" s="577"/>
      <c r="H146" s="635" t="e">
        <f>VLOOKUP(6,Parametrikber!E$302:$X$319,2,FALSE)</f>
        <v>#N/A</v>
      </c>
      <c r="I146" s="87" t="s">
        <v>284</v>
      </c>
      <c r="J146" s="87"/>
      <c r="K146" s="635" t="e">
        <f>VLOOKUP(6,Parametrikber!H$302:$X$319,2,FALSE)</f>
        <v>#N/A</v>
      </c>
      <c r="L146" s="87" t="s">
        <v>284</v>
      </c>
      <c r="M146" s="87"/>
      <c r="N146" s="635" t="e">
        <f>VLOOKUP(6,Parametrikber!K$302:$X$319,2,FALSE)</f>
        <v>#N/A</v>
      </c>
      <c r="O146" s="1138" t="s">
        <v>284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7:F28"/>
    <mergeCell ref="D117:F118"/>
    <mergeCell ref="D9:F11"/>
    <mergeCell ref="D7:F7"/>
    <mergeCell ref="D8:F8"/>
    <mergeCell ref="D47:F47"/>
    <mergeCell ref="D110:F111"/>
    <mergeCell ref="D71:F71"/>
    <mergeCell ref="D90:F90"/>
  </mergeCells>
  <phoneticPr fontId="4" type="noConversion"/>
  <conditionalFormatting sqref="N128 K128 H15 H63 H128 K15 N15 H120 K120 N120 H46 K18 N18">
    <cfRule type="expression" dxfId="127" priority="500" stopIfTrue="1">
      <formula>VALUE(H16="Materialdatenbank")</formula>
    </cfRule>
  </conditionalFormatting>
  <conditionalFormatting sqref="H126 K126 N126 K52 N52 H52">
    <cfRule type="expression" dxfId="126" priority="501" stopIfTrue="1">
      <formula>VALUE(H54="Materialdatenbank")</formula>
    </cfRule>
  </conditionalFormatting>
  <conditionalFormatting sqref="N58 K58">
    <cfRule type="expression" dxfId="125" priority="503" stopIfTrue="1">
      <formula>VALUE(K124="Materialdatenbank")</formula>
    </cfRule>
  </conditionalFormatting>
  <conditionalFormatting sqref="H33">
    <cfRule type="expression" dxfId="124" priority="505" stopIfTrue="1">
      <formula>VALUE(H32="Materialdatenbank")</formula>
    </cfRule>
  </conditionalFormatting>
  <conditionalFormatting sqref="H54 K54 N54">
    <cfRule type="expression" dxfId="123" priority="506" stopIfTrue="1">
      <formula>VALUE(#REF!="Materialdatenbank")</formula>
    </cfRule>
  </conditionalFormatting>
  <conditionalFormatting sqref="H58">
    <cfRule type="expression" dxfId="122" priority="507" stopIfTrue="1">
      <formula>VALUE(H124="Materialdatenbank")</formula>
    </cfRule>
  </conditionalFormatting>
  <conditionalFormatting sqref="K74 N74 H74">
    <cfRule type="expression" dxfId="121" priority="508" stopIfTrue="1">
      <formula>VALUE(H64="Materialdatenbank")</formula>
    </cfRule>
  </conditionalFormatting>
  <conditionalFormatting sqref="H127 H94 H32 N94 K127 N127 H87 H112 K87 K112 N86:N87 N112 K94 H97:H98 K97:K98 N97:N98">
    <cfRule type="expression" dxfId="120" priority="509" stopIfTrue="1">
      <formula>VALUE(#REF!="Materialdatenbank")</formula>
    </cfRule>
  </conditionalFormatting>
  <conditionalFormatting sqref="H130:H133 K130:K133 N130:N133 H135 H55 H24 H66 K14 N14 K66 N66 H9:H12 K9:K12 N9:N12 K24 N24 K55 N55 K137 H137 K135 N135 N137 H14">
    <cfRule type="expression" dxfId="119" priority="510" stopIfTrue="1">
      <formula>VALUE(#REF!="Materialdatenbank")</formula>
    </cfRule>
  </conditionalFormatting>
  <conditionalFormatting sqref="H118 K118 N118">
    <cfRule type="expression" dxfId="118" priority="512" stopIfTrue="1">
      <formula>VALUE(#REF!="Materialdatenbank")</formula>
    </cfRule>
  </conditionalFormatting>
  <conditionalFormatting sqref="H41">
    <cfRule type="expression" dxfId="117" priority="513" stopIfTrue="1">
      <formula>VALUE(#REF!="Materialdatenbank")</formula>
    </cfRule>
  </conditionalFormatting>
  <conditionalFormatting sqref="H36">
    <cfRule type="expression" dxfId="116" priority="514" stopIfTrue="1">
      <formula>VALUE(#REF!="Materialdatenbank")</formula>
    </cfRule>
  </conditionalFormatting>
  <conditionalFormatting sqref="K2:K4 N2:N4 W4 H2:H4">
    <cfRule type="cellIs" dxfId="115" priority="515" operator="equal">
      <formula>FALSE</formula>
    </cfRule>
  </conditionalFormatting>
  <conditionalFormatting sqref="H17">
    <cfRule type="expression" dxfId="114" priority="516" stopIfTrue="1">
      <formula>VALUE(H23="Materialdatenbank")</formula>
    </cfRule>
  </conditionalFormatting>
  <conditionalFormatting sqref="H19:H20">
    <cfRule type="expression" dxfId="113" priority="495" stopIfTrue="1">
      <formula>VALUE(H24="Materialdatenbank")</formula>
    </cfRule>
  </conditionalFormatting>
  <conditionalFormatting sqref="K17">
    <cfRule type="expression" dxfId="112" priority="468" stopIfTrue="1">
      <formula>VALUE(K23="Materialdatenbank")</formula>
    </cfRule>
  </conditionalFormatting>
  <conditionalFormatting sqref="H108 H106 K108 K106 N108 N106">
    <cfRule type="expression" dxfId="111" priority="479" stopIfTrue="1">
      <formula>VALUE(#REF!="Materialdatenbank")</formula>
    </cfRule>
  </conditionalFormatting>
  <conditionalFormatting sqref="H35">
    <cfRule type="expression" dxfId="110" priority="517" stopIfTrue="1">
      <formula>VALUE(#REF!="Materialdatenbank")</formula>
    </cfRule>
  </conditionalFormatting>
  <conditionalFormatting sqref="H39">
    <cfRule type="expression" dxfId="109" priority="523" stopIfTrue="1">
      <formula>VALUE(H33="Materialdatenbank")</formula>
    </cfRule>
  </conditionalFormatting>
  <conditionalFormatting sqref="N17">
    <cfRule type="expression" dxfId="108" priority="467" stopIfTrue="1">
      <formula>VALUE(N23="Materialdatenbank")</formula>
    </cfRule>
  </conditionalFormatting>
  <conditionalFormatting sqref="H38 K38">
    <cfRule type="expression" dxfId="107" priority="452" stopIfTrue="1">
      <formula>VALUE(H46="Materialdatenbank")</formula>
    </cfRule>
  </conditionalFormatting>
  <conditionalFormatting sqref="K39">
    <cfRule type="expression" dxfId="106" priority="458" stopIfTrue="1">
      <formula>VALUE(K33="Materialdatenbank")</formula>
    </cfRule>
  </conditionalFormatting>
  <conditionalFormatting sqref="N39">
    <cfRule type="expression" dxfId="105" priority="450" stopIfTrue="1">
      <formula>VALUE(N33="Materialdatenbank")</formula>
    </cfRule>
  </conditionalFormatting>
  <conditionalFormatting sqref="K41">
    <cfRule type="expression" dxfId="104" priority="408" stopIfTrue="1">
      <formula>VALUE(#REF!="Materialdatenbank")</formula>
    </cfRule>
  </conditionalFormatting>
  <conditionalFormatting sqref="N41">
    <cfRule type="expression" dxfId="103" priority="407" stopIfTrue="1">
      <formula>VALUE(#REF!="Materialdatenbank")</formula>
    </cfRule>
  </conditionalFormatting>
  <conditionalFormatting sqref="K63">
    <cfRule type="expression" dxfId="102" priority="400" stopIfTrue="1">
      <formula>VALUE(K64="Materialdatenbank")</formula>
    </cfRule>
  </conditionalFormatting>
  <conditionalFormatting sqref="N63">
    <cfRule type="expression" dxfId="101" priority="398" stopIfTrue="1">
      <formula>VALUE(N64="Materialdatenbank")</formula>
    </cfRule>
  </conditionalFormatting>
  <conditionalFormatting sqref="K142">
    <cfRule type="expression" dxfId="100" priority="282" stopIfTrue="1">
      <formula>K142=" "</formula>
    </cfRule>
  </conditionalFormatting>
  <conditionalFormatting sqref="K141">
    <cfRule type="expression" dxfId="99" priority="281" stopIfTrue="1">
      <formula>K141=" "</formula>
    </cfRule>
  </conditionalFormatting>
  <conditionalFormatting sqref="N141">
    <cfRule type="expression" dxfId="98" priority="268" stopIfTrue="1">
      <formula>N141=" "</formula>
    </cfRule>
  </conditionalFormatting>
  <conditionalFormatting sqref="K146">
    <cfRule type="expression" dxfId="97" priority="277" stopIfTrue="1">
      <formula>K146=" "</formula>
    </cfRule>
  </conditionalFormatting>
  <conditionalFormatting sqref="N144">
    <cfRule type="expression" dxfId="96" priority="267" stopIfTrue="1">
      <formula>N144=" "</formula>
    </cfRule>
  </conditionalFormatting>
  <conditionalFormatting sqref="H142">
    <cfRule type="expression" dxfId="95" priority="275" stopIfTrue="1">
      <formula>H142=" "</formula>
    </cfRule>
  </conditionalFormatting>
  <conditionalFormatting sqref="H141">
    <cfRule type="expression" dxfId="94" priority="274" stopIfTrue="1">
      <formula>H141=" "</formula>
    </cfRule>
  </conditionalFormatting>
  <conditionalFormatting sqref="H146">
    <cfRule type="expression" dxfId="93" priority="271" stopIfTrue="1">
      <formula>H146=" "</formula>
    </cfRule>
  </conditionalFormatting>
  <conditionalFormatting sqref="N142">
    <cfRule type="expression" dxfId="92" priority="269" stopIfTrue="1">
      <formula>N142=" "</formula>
    </cfRule>
  </conditionalFormatting>
  <conditionalFormatting sqref="N146">
    <cfRule type="expression" dxfId="91" priority="265" stopIfTrue="1">
      <formula>N146=" "</formula>
    </cfRule>
  </conditionalFormatting>
  <conditionalFormatting sqref="H21">
    <cfRule type="expression" dxfId="90" priority="245" stopIfTrue="1">
      <formula>VALUE(H127="Materialdatenbank")</formula>
    </cfRule>
  </conditionalFormatting>
  <conditionalFormatting sqref="K21">
    <cfRule type="expression" dxfId="89" priority="234" stopIfTrue="1">
      <formula>VALUE(K127="Materialdatenbank")</formula>
    </cfRule>
  </conditionalFormatting>
  <conditionalFormatting sqref="N21">
    <cfRule type="expression" dxfId="88" priority="233" stopIfTrue="1">
      <formula>VALUE(N127="Materialdatenbank")</formula>
    </cfRule>
  </conditionalFormatting>
  <conditionalFormatting sqref="H143">
    <cfRule type="expression" dxfId="87" priority="228" stopIfTrue="1">
      <formula>H143=" "</formula>
    </cfRule>
  </conditionalFormatting>
  <conditionalFormatting sqref="H145">
    <cfRule type="expression" dxfId="86" priority="227" stopIfTrue="1">
      <formula>H145=" "</formula>
    </cfRule>
  </conditionalFormatting>
  <conditionalFormatting sqref="K143">
    <cfRule type="expression" dxfId="85" priority="226" stopIfTrue="1">
      <formula>K143=" "</formula>
    </cfRule>
  </conditionalFormatting>
  <conditionalFormatting sqref="K145">
    <cfRule type="expression" dxfId="84" priority="225" stopIfTrue="1">
      <formula>K145=" "</formula>
    </cfRule>
  </conditionalFormatting>
  <conditionalFormatting sqref="N143">
    <cfRule type="expression" dxfId="83" priority="224" stopIfTrue="1">
      <formula>N143=" "</formula>
    </cfRule>
  </conditionalFormatting>
  <conditionalFormatting sqref="N145">
    <cfRule type="expression" dxfId="82" priority="223" stopIfTrue="1">
      <formula>N145=" "</formula>
    </cfRule>
  </conditionalFormatting>
  <conditionalFormatting sqref="H107 K107 N107">
    <cfRule type="expression" dxfId="81" priority="216" stopIfTrue="1">
      <formula>VALUE(#REF!="Materialdatenbank")</formula>
    </cfRule>
  </conditionalFormatting>
  <conditionalFormatting sqref="H144">
    <cfRule type="expression" dxfId="80" priority="208" stopIfTrue="1">
      <formula>H144=" "</formula>
    </cfRule>
  </conditionalFormatting>
  <conditionalFormatting sqref="K144">
    <cfRule type="expression" dxfId="79" priority="206" stopIfTrue="1">
      <formula>K144=" "</formula>
    </cfRule>
  </conditionalFormatting>
  <conditionalFormatting sqref="H101 K101">
    <cfRule type="expression" dxfId="78" priority="200" stopIfTrue="1">
      <formula>VALUE(#REF!="Materialdatenbank")</formula>
    </cfRule>
  </conditionalFormatting>
  <conditionalFormatting sqref="H104 K104 N104">
    <cfRule type="expression" dxfId="77" priority="199" stopIfTrue="1">
      <formula>VALUE(#REF!="Materialdatenbank")</formula>
    </cfRule>
  </conditionalFormatting>
  <conditionalFormatting sqref="K32">
    <cfRule type="expression" dxfId="76" priority="194" stopIfTrue="1">
      <formula>VALUE(#REF!="Materialdatenbank")</formula>
    </cfRule>
  </conditionalFormatting>
  <conditionalFormatting sqref="N32">
    <cfRule type="expression" dxfId="75" priority="192" stopIfTrue="1">
      <formula>VALUE(#REF!="Materialdatenbank")</formula>
    </cfRule>
  </conditionalFormatting>
  <conditionalFormatting sqref="K36 N36">
    <cfRule type="expression" dxfId="74" priority="184" stopIfTrue="1">
      <formula>VALUE(#REF!="Materialdatenbank")</formula>
    </cfRule>
  </conditionalFormatting>
  <conditionalFormatting sqref="K33">
    <cfRule type="expression" dxfId="73" priority="181" stopIfTrue="1">
      <formula>VALUE(K32="Materialdatenbank")</formula>
    </cfRule>
  </conditionalFormatting>
  <conditionalFormatting sqref="N33">
    <cfRule type="expression" dxfId="72" priority="180" stopIfTrue="1">
      <formula>VALUE(N32="Materialdatenbank")</formula>
    </cfRule>
  </conditionalFormatting>
  <conditionalFormatting sqref="H44">
    <cfRule type="expression" dxfId="71" priority="175" stopIfTrue="1">
      <formula>VALUE(#REF!="Materialdatenbank")</formula>
    </cfRule>
  </conditionalFormatting>
  <conditionalFormatting sqref="H42">
    <cfRule type="expression" dxfId="70" priority="176" stopIfTrue="1">
      <formula>VALUE(H36="Materialdatenbank")</formula>
    </cfRule>
  </conditionalFormatting>
  <conditionalFormatting sqref="K42">
    <cfRule type="expression" dxfId="69" priority="154" stopIfTrue="1">
      <formula>VALUE(K36="Materialdatenbank")</formula>
    </cfRule>
  </conditionalFormatting>
  <conditionalFormatting sqref="N42">
    <cfRule type="expression" dxfId="68" priority="153" stopIfTrue="1">
      <formula>VALUE(N36="Materialdatenbank")</formula>
    </cfRule>
  </conditionalFormatting>
  <conditionalFormatting sqref="K19">
    <cfRule type="expression" dxfId="67" priority="139" stopIfTrue="1">
      <formula>VALUE(K24="Materialdatenbank")</formula>
    </cfRule>
  </conditionalFormatting>
  <conditionalFormatting sqref="N19">
    <cfRule type="expression" dxfId="66" priority="138" stopIfTrue="1">
      <formula>VALUE(N24="Materialdatenbank")</formula>
    </cfRule>
  </conditionalFormatting>
  <conditionalFormatting sqref="K111 H111 N111">
    <cfRule type="expression" dxfId="65" priority="126" stopIfTrue="1">
      <formula>VALUE(H114="Materialdatenbank")</formula>
    </cfRule>
  </conditionalFormatting>
  <conditionalFormatting sqref="H25 K25 N25">
    <cfRule type="expression" dxfId="64" priority="525" stopIfTrue="1">
      <formula>VALUE(#REF!="Materialdatenbank")</formula>
    </cfRule>
  </conditionalFormatting>
  <conditionalFormatting sqref="H18">
    <cfRule type="expression" dxfId="63" priority="123" stopIfTrue="1">
      <formula>VALUE(H19="Materialdatenbank")</formula>
    </cfRule>
  </conditionalFormatting>
  <conditionalFormatting sqref="H22">
    <cfRule type="expression" dxfId="62" priority="122" stopIfTrue="1">
      <formula>VALUE(H26="Materialdatenbank")</formula>
    </cfRule>
  </conditionalFormatting>
  <conditionalFormatting sqref="K22 N22">
    <cfRule type="expression" dxfId="61" priority="106" stopIfTrue="1">
      <formula>VALUE(K26="Materialdatenbank")</formula>
    </cfRule>
  </conditionalFormatting>
  <conditionalFormatting sqref="K44">
    <cfRule type="expression" dxfId="60" priority="105" stopIfTrue="1">
      <formula>VALUE(#REF!="Materialdatenbank")</formula>
    </cfRule>
  </conditionalFormatting>
  <conditionalFormatting sqref="N44">
    <cfRule type="expression" dxfId="59" priority="104" stopIfTrue="1">
      <formula>VALUE(#REF!="Materialdatenbank")</formula>
    </cfRule>
  </conditionalFormatting>
  <conditionalFormatting sqref="K35 N35">
    <cfRule type="expression" dxfId="58" priority="101" stopIfTrue="1">
      <formula>VALUE(#REF!="Materialdatenbank")</formula>
    </cfRule>
  </conditionalFormatting>
  <conditionalFormatting sqref="N38">
    <cfRule type="expression" dxfId="57" priority="100" stopIfTrue="1">
      <formula>VALUE(N46="Materialdatenbank")</formula>
    </cfRule>
  </conditionalFormatting>
  <conditionalFormatting sqref="K89 N89 H89">
    <cfRule type="expression" dxfId="56" priority="532" stopIfTrue="1">
      <formula>VALUE(H63="Materialdatenbank")</formula>
    </cfRule>
  </conditionalFormatting>
  <conditionalFormatting sqref="H62 K62 N62">
    <cfRule type="expression" dxfId="55" priority="544" stopIfTrue="1">
      <formula>VALUE(#REF!="Materialdatenbank")</formula>
    </cfRule>
  </conditionalFormatting>
  <conditionalFormatting sqref="K64 N64 H64 N67">
    <cfRule type="expression" dxfId="54" priority="94" stopIfTrue="1">
      <formula>VALUE(H128="Materialdatenbank")</formula>
    </cfRule>
  </conditionalFormatting>
  <conditionalFormatting sqref="H121 K121 N121">
    <cfRule type="expression" dxfId="53" priority="548" stopIfTrue="1">
      <formula>VALUE(#REF!="Materialdatenbank")</formula>
    </cfRule>
  </conditionalFormatting>
  <conditionalFormatting sqref="N122">
    <cfRule type="expression" dxfId="52" priority="571" stopIfTrue="1">
      <formula>VALUE(N109="Materialdatenbank")</formula>
    </cfRule>
  </conditionalFormatting>
  <conditionalFormatting sqref="K114 N114 H114">
    <cfRule type="expression" dxfId="51" priority="572" stopIfTrue="1">
      <formula>VALUE(H68="Materialdatenbank")</formula>
    </cfRule>
  </conditionalFormatting>
  <conditionalFormatting sqref="K46">
    <cfRule type="expression" dxfId="50" priority="86" stopIfTrue="1">
      <formula>VALUE(K47="Materialdatenbank")</formula>
    </cfRule>
  </conditionalFormatting>
  <conditionalFormatting sqref="N46">
    <cfRule type="expression" dxfId="49" priority="85" stopIfTrue="1">
      <formula>VALUE(N47="Materialdatenbank")</formula>
    </cfRule>
  </conditionalFormatting>
  <conditionalFormatting sqref="H70">
    <cfRule type="expression" dxfId="48" priority="77" stopIfTrue="1">
      <formula>VALUE(H66="Materialdatenbank")</formula>
    </cfRule>
  </conditionalFormatting>
  <conditionalFormatting sqref="H122">
    <cfRule type="expression" dxfId="47" priority="74" stopIfTrue="1">
      <formula>VALUE(H109="Materialdatenbank")</formula>
    </cfRule>
  </conditionalFormatting>
  <conditionalFormatting sqref="H125">
    <cfRule type="expression" dxfId="46" priority="73" stopIfTrue="1">
      <formula>VALUE(H112="Materialdatenbank")</formula>
    </cfRule>
  </conditionalFormatting>
  <conditionalFormatting sqref="K122">
    <cfRule type="expression" dxfId="45" priority="71" stopIfTrue="1">
      <formula>VALUE(K109="Materialdatenbank")</formula>
    </cfRule>
  </conditionalFormatting>
  <conditionalFormatting sqref="N69 K69 H69">
    <cfRule type="expression" dxfId="44" priority="577" stopIfTrue="1">
      <formula>VALUE(#REF!="Materialdatenbank")</formula>
    </cfRule>
  </conditionalFormatting>
  <conditionalFormatting sqref="H115">
    <cfRule type="expression" dxfId="43" priority="69" stopIfTrue="1">
      <formula>VALUE(H118="Materialdatenbank")</formula>
    </cfRule>
  </conditionalFormatting>
  <conditionalFormatting sqref="K115 N115">
    <cfRule type="expression" dxfId="42" priority="68" stopIfTrue="1">
      <formula>VALUE(K118="Materialdatenbank")</formula>
    </cfRule>
  </conditionalFormatting>
  <conditionalFormatting sqref="H109 K109 N109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VALUE(H131="Materialdatenbank")</formula>
    </cfRule>
  </conditionalFormatting>
  <conditionalFormatting sqref="K67">
    <cfRule type="expression" dxfId="35" priority="52" stopIfTrue="1">
      <formula>VALUE(K131="Materialdatenbank")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5 N125">
    <cfRule type="expression" dxfId="33" priority="50" stopIfTrue="1">
      <formula>VALUE(K112="Materialdatenbank")</formula>
    </cfRule>
  </conditionalFormatting>
  <conditionalFormatting sqref="H136 K136 N136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3">
    <cfRule type="expression" dxfId="25" priority="42" stopIfTrue="1">
      <formula>VALUE(#REF!="Materialdatenbank")</formula>
    </cfRule>
  </conditionalFormatting>
  <conditionalFormatting sqref="K93">
    <cfRule type="expression" dxfId="24" priority="41" stopIfTrue="1">
      <formula>VALUE(#REF!="Materialdatenbank")</formula>
    </cfRule>
  </conditionalFormatting>
  <conditionalFormatting sqref="H86">
    <cfRule type="expression" dxfId="23" priority="39" stopIfTrue="1">
      <formula>VALUE(H62="Materialdatenbank")</formula>
    </cfRule>
  </conditionalFormatting>
  <conditionalFormatting sqref="K86">
    <cfRule type="expression" dxfId="22" priority="38" stopIfTrue="1">
      <formula>VALUE(K62="Materialdatenbank")</formula>
    </cfRule>
  </conditionalFormatting>
  <conditionalFormatting sqref="H96 K96 N96">
    <cfRule type="expression" dxfId="21" priority="37" stopIfTrue="1">
      <formula>VALUE(#REF!="Materialdatenbank")</formula>
    </cfRule>
  </conditionalFormatting>
  <conditionalFormatting sqref="N101">
    <cfRule type="expression" dxfId="20" priority="36" stopIfTrue="1">
      <formula>VALUE(#REF!="Materialdatenbank")</formula>
    </cfRule>
  </conditionalFormatting>
  <conditionalFormatting sqref="H100">
    <cfRule type="expression" dxfId="19" priority="35" stopIfTrue="1">
      <formula>VALUE(#REF!="Materialdatenbank")</formula>
    </cfRule>
  </conditionalFormatting>
  <conditionalFormatting sqref="H103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2 K92 N92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3">
    <cfRule type="expression" dxfId="10" priority="8" stopIfTrue="1">
      <formula>VALUE(#REF!="Materialdatenbank")</formula>
    </cfRule>
  </conditionalFormatting>
  <conditionalFormatting sqref="K100">
    <cfRule type="expression" dxfId="9" priority="7" stopIfTrue="1">
      <formula>VALUE(#REF!="Materialdatenbank")</formula>
    </cfRule>
  </conditionalFormatting>
  <conditionalFormatting sqref="N100">
    <cfRule type="expression" dxfId="8" priority="6" stopIfTrue="1">
      <formula>VALUE(#REF!="Materialdatenbank")</formula>
    </cfRule>
  </conditionalFormatting>
  <conditionalFormatting sqref="K103">
    <cfRule type="expression" dxfId="7" priority="5" stopIfTrue="1">
      <formula>VALUE(#REF!="Materialdatenbank")</formula>
    </cfRule>
  </conditionalFormatting>
  <conditionalFormatting sqref="N103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I97:J97 H105:N107 I104:J104 H110:N110 H108:M109 H128:N128 H111:M127 I93:J93 I101:J101 H99:J99 I98:J98 L93:M93 L101:M101 H94:M95 L98:M99 L97:M97 L104:M104" unlockedFormula="1"/>
    <ignoredError sqref="N88:N91 H131:N137 N141:N146 N8:N16 N85 N21:N49 N19 N51 N52:N75" evalError="1"/>
    <ignoredError sqref="N108:N109 N111:N127 H129:N130 N99 N94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Parametrikber!F$242:F$245</xm:f>
          </x14:formula1>
          <xm:sqref>H30 K30 N30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395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497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498</v>
      </c>
      <c r="H30" s="405"/>
      <c r="I30" s="11"/>
    </row>
    <row r="31" spans="2:9" x14ac:dyDescent="0.2">
      <c r="B31" s="9"/>
      <c r="C31" s="404" t="s">
        <v>609</v>
      </c>
      <c r="D31" s="407"/>
      <c r="E31" s="387"/>
      <c r="F31" s="388"/>
      <c r="G31" s="404" t="s">
        <v>498</v>
      </c>
      <c r="H31" s="405"/>
      <c r="I31" s="11"/>
    </row>
    <row r="32" spans="2:9" x14ac:dyDescent="0.2">
      <c r="B32" s="9"/>
      <c r="C32" s="404" t="s">
        <v>396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610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500</v>
      </c>
      <c r="D38" s="390"/>
      <c r="E38" s="288"/>
      <c r="F38" s="388"/>
      <c r="G38" s="409" t="s">
        <v>611</v>
      </c>
      <c r="H38" s="410"/>
      <c r="I38" s="11"/>
    </row>
    <row r="39" spans="2:9" x14ac:dyDescent="0.2">
      <c r="B39" s="9"/>
      <c r="C39" s="404" t="s">
        <v>499</v>
      </c>
      <c r="D39" s="390"/>
      <c r="E39" s="288"/>
      <c r="F39" s="388"/>
      <c r="G39" s="409" t="s">
        <v>612</v>
      </c>
      <c r="H39" s="410"/>
      <c r="I39" s="11"/>
    </row>
    <row r="40" spans="2:9" x14ac:dyDescent="0.2">
      <c r="B40" s="9"/>
      <c r="C40" s="404" t="s">
        <v>501</v>
      </c>
      <c r="D40" s="390"/>
      <c r="E40" s="288"/>
      <c r="F40" s="388"/>
      <c r="G40" s="409" t="s">
        <v>613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614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615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13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0"/>
      <c r="J2" s="1171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6">
        <v>1</v>
      </c>
      <c r="G3" s="1124" t="str">
        <f t="shared" ref="G3:G15" si="0">IF(Deutsch,I3,H3)</f>
        <v>Deutschland</v>
      </c>
      <c r="H3" s="1172" t="str">
        <f>'[3]Länder-DB'!B2</f>
        <v>Germany</v>
      </c>
      <c r="I3" s="1173" t="str">
        <f>'[3]Länder-DB'!A2</f>
        <v>Deutschland</v>
      </c>
      <c r="J3" s="1174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4" t="str">
        <f t="shared" si="0"/>
        <v>Frankreich</v>
      </c>
      <c r="H4" s="1172" t="str">
        <f>'[3]Länder-DB'!B3</f>
        <v>France</v>
      </c>
      <c r="I4" s="1172" t="str">
        <f>'[3]Länder-DB'!A3</f>
        <v>Frankreich</v>
      </c>
      <c r="J4" s="1174">
        <f t="shared" si="1"/>
        <v>2</v>
      </c>
    </row>
    <row r="5" spans="1:12" ht="15" thickBot="1" x14ac:dyDescent="0.25">
      <c r="F5" s="677">
        <v>3</v>
      </c>
      <c r="G5" s="1124" t="str">
        <f t="shared" si="0"/>
        <v>Italien</v>
      </c>
      <c r="H5" s="1172" t="str">
        <f>'[3]Länder-DB'!B4</f>
        <v>Italy</v>
      </c>
      <c r="I5" s="1172" t="str">
        <f>'[3]Länder-DB'!A4</f>
        <v>Italien</v>
      </c>
      <c r="J5" s="1174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4" t="str">
        <f t="shared" si="0"/>
        <v>Tschechien</v>
      </c>
      <c r="H6" s="1172" t="str">
        <f>'[3]Länder-DB'!B5</f>
        <v>Czech Republic</v>
      </c>
      <c r="I6" s="1172" t="str">
        <f>'[3]Länder-DB'!A5</f>
        <v>Tschechien</v>
      </c>
      <c r="J6" s="1174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4">
        <f>A7</f>
        <v>1</v>
      </c>
      <c r="F7" s="677">
        <v>5</v>
      </c>
      <c r="G7" s="1124" t="str">
        <f t="shared" si="0"/>
        <v>Polen</v>
      </c>
      <c r="H7" s="1172" t="str">
        <f>'[3]Länder-DB'!B6</f>
        <v>Poland</v>
      </c>
      <c r="I7" s="1172" t="str">
        <f>'[3]Länder-DB'!A6</f>
        <v>Polen</v>
      </c>
      <c r="J7" s="1174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4">
        <f>A8</f>
        <v>2</v>
      </c>
      <c r="F8" s="677">
        <v>6</v>
      </c>
      <c r="G8" s="1124" t="str">
        <f t="shared" si="0"/>
        <v>Bulgarien</v>
      </c>
      <c r="H8" s="1172" t="str">
        <f>'[3]Länder-DB'!B7</f>
        <v>Bulgaria</v>
      </c>
      <c r="I8" s="1172" t="str">
        <f>'[3]Länder-DB'!A7</f>
        <v>Bulgarien</v>
      </c>
      <c r="J8" s="1174">
        <f t="shared" si="1"/>
        <v>6</v>
      </c>
    </row>
    <row r="9" spans="1:12" ht="15" thickBot="1" x14ac:dyDescent="0.25">
      <c r="A9" s="673">
        <v>3</v>
      </c>
      <c r="B9" s="415" t="str">
        <f>IF(C$2,D9,C9)</f>
        <v>3-Schicht</v>
      </c>
      <c r="C9" s="32" t="s">
        <v>63</v>
      </c>
      <c r="D9" s="32" t="s">
        <v>21</v>
      </c>
      <c r="E9" s="675">
        <v>3</v>
      </c>
      <c r="F9" s="677">
        <v>7</v>
      </c>
      <c r="G9" s="1124" t="str">
        <f t="shared" si="0"/>
        <v>Rumänien</v>
      </c>
      <c r="H9" s="1172" t="str">
        <f>'[3]Länder-DB'!B8</f>
        <v>Romania</v>
      </c>
      <c r="I9" s="1172" t="str">
        <f>'[3]Länder-DB'!A8</f>
        <v>Rumänien</v>
      </c>
      <c r="J9" s="1174">
        <f t="shared" si="1"/>
        <v>7</v>
      </c>
    </row>
    <row r="10" spans="1:12" ht="15" thickBot="1" x14ac:dyDescent="0.25">
      <c r="F10" s="677">
        <v>8</v>
      </c>
      <c r="G10" s="1124" t="str">
        <f t="shared" si="0"/>
        <v>Türkei</v>
      </c>
      <c r="H10" s="1172" t="str">
        <f>'[3]Länder-DB'!B9</f>
        <v>Turkey</v>
      </c>
      <c r="I10" s="1172" t="str">
        <f>'[3]Länder-DB'!A9</f>
        <v>Türkei</v>
      </c>
      <c r="J10" s="1174">
        <f t="shared" si="1"/>
        <v>8</v>
      </c>
    </row>
    <row r="11" spans="1:12" ht="15" thickBot="1" x14ac:dyDescent="0.25">
      <c r="B11" s="35" t="s">
        <v>533</v>
      </c>
      <c r="C11" s="37"/>
      <c r="D11" s="37" t="str">
        <f>'Quick Input'!D12</f>
        <v>pricing source</v>
      </c>
      <c r="E11" s="141"/>
      <c r="F11" s="677">
        <v>9</v>
      </c>
      <c r="G11" s="1124" t="str">
        <f t="shared" si="0"/>
        <v>Indien</v>
      </c>
      <c r="H11" s="1172" t="str">
        <f>'[3]Länder-DB'!B10</f>
        <v>India</v>
      </c>
      <c r="I11" s="1172" t="str">
        <f>'[3]Länder-DB'!A10</f>
        <v>Indien</v>
      </c>
      <c r="J11" s="1174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4" t="str">
        <f t="shared" si="0"/>
        <v>China</v>
      </c>
      <c r="H12" s="1172" t="str">
        <f>'[3]Länder-DB'!B11</f>
        <v>China</v>
      </c>
      <c r="I12" s="1172" t="str">
        <f>'[3]Länder-DB'!A11</f>
        <v>China</v>
      </c>
      <c r="J12" s="1174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4" t="str">
        <f t="shared" si="0"/>
        <v>USA - Illinois</v>
      </c>
      <c r="H13" s="1172" t="str">
        <f>'[3]Länder-DB'!B12</f>
        <v>USA - Illinois</v>
      </c>
      <c r="I13" s="1172" t="str">
        <f>'[3]Länder-DB'!A12</f>
        <v>USA - Illinois</v>
      </c>
      <c r="J13" s="1174">
        <f t="shared" si="1"/>
        <v>11</v>
      </c>
    </row>
    <row r="14" spans="1:12" ht="15" thickBot="1" x14ac:dyDescent="0.25">
      <c r="F14" s="677">
        <v>12</v>
      </c>
      <c r="G14" s="1124" t="str">
        <f t="shared" si="0"/>
        <v>Spanien</v>
      </c>
      <c r="H14" s="1172" t="str">
        <f>'[3]Länder-DB'!B13</f>
        <v>Spain</v>
      </c>
      <c r="I14" s="1172" t="str">
        <f>'[3]Länder-DB'!A13</f>
        <v>Spanien</v>
      </c>
      <c r="J14" s="1174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5" t="str">
        <f t="shared" si="0"/>
        <v>Mexiko</v>
      </c>
      <c r="H15" s="1176" t="str">
        <f>'[3]Länder-DB'!B14</f>
        <v>Mexico</v>
      </c>
      <c r="I15" s="1176" t="str">
        <f>'[3]Länder-DB'!A14</f>
        <v>Mexiko</v>
      </c>
      <c r="J15" s="1177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399</v>
      </c>
      <c r="D16" s="485" t="s">
        <v>397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402</v>
      </c>
      <c r="D17" s="485" t="s">
        <v>398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404</v>
      </c>
      <c r="D18" s="485" t="s">
        <v>401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komplex</v>
      </c>
      <c r="C19" s="486" t="s">
        <v>403</v>
      </c>
      <c r="D19" s="486" t="s">
        <v>400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770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419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406</v>
      </c>
      <c r="D32" s="485" t="s">
        <v>408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Abnahmeprüfzeugnis 3.1</v>
      </c>
      <c r="C33" s="487" t="s">
        <v>407</v>
      </c>
      <c r="D33" s="486" t="s">
        <v>405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4" t="s">
        <v>949</v>
      </c>
      <c r="D36" s="5" t="s">
        <v>952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5" t="s">
        <v>950</v>
      </c>
      <c r="D37" s="5" t="s">
        <v>953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Schwerkaft</v>
      </c>
      <c r="C38" s="1166" t="s">
        <v>951</v>
      </c>
      <c r="D38" s="32" t="s">
        <v>954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0" t="s">
        <v>946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521</v>
      </c>
      <c r="D41" s="485" t="s">
        <v>520</v>
      </c>
      <c r="E41" s="61">
        <f t="shared" si="2"/>
        <v>1</v>
      </c>
      <c r="F41" s="1161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519</v>
      </c>
      <c r="D42" s="485" t="s">
        <v>519</v>
      </c>
      <c r="E42" s="31">
        <f t="shared" si="2"/>
        <v>2</v>
      </c>
      <c r="F42" s="1161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1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1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1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518</v>
      </c>
      <c r="D46" s="486" t="s">
        <v>518</v>
      </c>
      <c r="E46" s="62">
        <f t="shared" si="2"/>
        <v>6</v>
      </c>
      <c r="F46" s="1161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368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370</v>
      </c>
      <c r="D50" s="485" t="s">
        <v>367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708</v>
      </c>
      <c r="C53" s="440">
        <v>1</v>
      </c>
      <c r="D53" s="488" t="s">
        <v>709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713</v>
      </c>
      <c r="D54" s="485" t="s">
        <v>712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711</v>
      </c>
      <c r="D55" s="638" t="s">
        <v>710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Co2-Kerne</v>
      </c>
      <c r="C56" s="638" t="s">
        <v>718</v>
      </c>
      <c r="D56" s="638" t="s">
        <v>717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714</v>
      </c>
      <c r="D57" s="639" t="s">
        <v>714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414</v>
      </c>
      <c r="C59" s="440">
        <v>1</v>
      </c>
      <c r="D59" s="488" t="s">
        <v>415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416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417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512</v>
      </c>
      <c r="C64" s="440">
        <v>1</v>
      </c>
      <c r="D64" s="488" t="s">
        <v>513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760</v>
      </c>
      <c r="C70" s="440">
        <v>2</v>
      </c>
      <c r="D70" s="488" t="s">
        <v>759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755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756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Heizöl</v>
      </c>
      <c r="C73" s="486" t="s">
        <v>758</v>
      </c>
      <c r="D73" s="486" t="s">
        <v>757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369</v>
      </c>
      <c r="D76" s="485" t="s">
        <v>773</v>
      </c>
      <c r="E76" s="41"/>
    </row>
    <row r="77" spans="1:7" ht="15" x14ac:dyDescent="0.25">
      <c r="B77" s="59" t="str">
        <f>IF(C$2,C77,D77)</f>
        <v>Gleitschleifen</v>
      </c>
      <c r="C77" s="485" t="s">
        <v>663</v>
      </c>
      <c r="D77" s="485" t="s">
        <v>664</v>
      </c>
      <c r="E77" s="41"/>
    </row>
    <row r="78" spans="1:7" ht="15" thickBot="1" x14ac:dyDescent="0.25">
      <c r="B78" s="46" t="str">
        <f>IF(C$2,C78,D78)</f>
        <v>Feinputzen</v>
      </c>
      <c r="C78" s="486" t="s">
        <v>665</v>
      </c>
      <c r="D78" s="486" t="s">
        <v>666</v>
      </c>
      <c r="E78" s="983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957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4" t="s">
        <v>176</v>
      </c>
      <c r="D81" s="1167" t="s">
        <v>958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5" t="s">
        <v>959</v>
      </c>
      <c r="D82" t="s">
        <v>960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5" t="s">
        <v>961</v>
      </c>
      <c r="D83" t="s">
        <v>962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5" t="s">
        <v>963</v>
      </c>
      <c r="D84" t="s">
        <v>964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5" t="s">
        <v>965</v>
      </c>
      <c r="D85" t="s">
        <v>966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5" t="s">
        <v>967</v>
      </c>
      <c r="D86" t="s">
        <v>968</v>
      </c>
      <c r="E86" s="61">
        <f t="shared" si="6"/>
        <v>6</v>
      </c>
    </row>
    <row r="87" spans="1:5" ht="15" thickBot="1" x14ac:dyDescent="0.25">
      <c r="A87" s="242">
        <v>7</v>
      </c>
      <c r="B87" s="1168" t="str">
        <f t="shared" si="5"/>
        <v>Roboterzelle mit Verpackung</v>
      </c>
      <c r="C87" s="1169" t="s">
        <v>969</v>
      </c>
      <c r="D87" s="27" t="s">
        <v>970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17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418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7">
        <v>18.940000000000001</v>
      </c>
      <c r="D2" s="988">
        <v>22.45</v>
      </c>
      <c r="E2" s="988">
        <v>25.59</v>
      </c>
      <c r="F2" s="989">
        <v>3.2300000000000002E-2</v>
      </c>
      <c r="G2" s="1100">
        <v>7.0000000000000007E-2</v>
      </c>
      <c r="H2" s="988">
        <v>6.5</v>
      </c>
      <c r="I2" s="1100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999">
        <v>0.621</v>
      </c>
      <c r="O2" s="1000">
        <v>0.71899999999999997</v>
      </c>
    </row>
    <row r="3" spans="1:15" x14ac:dyDescent="0.2">
      <c r="A3" s="694" t="s">
        <v>15</v>
      </c>
      <c r="B3" s="695" t="s">
        <v>543</v>
      </c>
      <c r="C3" s="987">
        <v>13.61</v>
      </c>
      <c r="D3" s="990">
        <v>16.489999999999998</v>
      </c>
      <c r="E3" s="990">
        <v>17.350000000000001</v>
      </c>
      <c r="F3" s="991">
        <v>3.2000000000000001E-2</v>
      </c>
      <c r="G3" s="1101">
        <v>7.0000000000000007E-2</v>
      </c>
      <c r="H3" s="990">
        <v>6.7</v>
      </c>
      <c r="I3" s="1101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1">
        <v>1.0464</v>
      </c>
      <c r="O3" s="1002">
        <v>1.1064000000000001</v>
      </c>
    </row>
    <row r="4" spans="1:15" x14ac:dyDescent="0.2">
      <c r="A4" s="694" t="s">
        <v>13</v>
      </c>
      <c r="B4" s="695" t="s">
        <v>544</v>
      </c>
      <c r="C4" s="987">
        <v>11.84</v>
      </c>
      <c r="D4" s="987">
        <v>12.63</v>
      </c>
      <c r="E4" s="987">
        <v>15.72</v>
      </c>
      <c r="F4" s="992">
        <v>3.5299999999999998E-2</v>
      </c>
      <c r="G4" s="1102">
        <v>0.09</v>
      </c>
      <c r="H4" s="987">
        <v>5.18</v>
      </c>
      <c r="I4" s="1102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1">
        <v>1.2688999999999999</v>
      </c>
      <c r="O4" s="1002">
        <v>1.2688999999999999</v>
      </c>
    </row>
    <row r="5" spans="1:15" x14ac:dyDescent="0.2">
      <c r="A5" s="694" t="s">
        <v>16</v>
      </c>
      <c r="B5" s="695" t="s">
        <v>545</v>
      </c>
      <c r="C5" s="987">
        <v>4.21</v>
      </c>
      <c r="D5" s="987">
        <v>5.63</v>
      </c>
      <c r="E5" s="987">
        <v>6.36</v>
      </c>
      <c r="F5" s="992">
        <v>3.8100000000000002E-2</v>
      </c>
      <c r="G5" s="1102">
        <v>7.0000000000000007E-2</v>
      </c>
      <c r="H5" s="987">
        <v>4.51</v>
      </c>
      <c r="I5" s="1102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1">
        <v>0.70379999999999998</v>
      </c>
      <c r="O5" s="1002">
        <v>0.73709999999999998</v>
      </c>
    </row>
    <row r="6" spans="1:15" x14ac:dyDescent="0.2">
      <c r="A6" s="694" t="s">
        <v>17</v>
      </c>
      <c r="B6" s="695" t="s">
        <v>546</v>
      </c>
      <c r="C6" s="987">
        <v>4.3600000000000003</v>
      </c>
      <c r="D6" s="987">
        <v>5.93</v>
      </c>
      <c r="E6" s="987">
        <v>7.96</v>
      </c>
      <c r="F6" s="992">
        <v>5.2299999999999999E-2</v>
      </c>
      <c r="G6" s="1102">
        <v>0.06</v>
      </c>
      <c r="H6" s="987">
        <v>4.7300000000000004</v>
      </c>
      <c r="I6" s="1102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1">
        <v>0.51459999999999995</v>
      </c>
      <c r="O6" s="1002">
        <v>0.59799999999999998</v>
      </c>
    </row>
    <row r="7" spans="1:15" x14ac:dyDescent="0.2">
      <c r="A7" s="694" t="s">
        <v>547</v>
      </c>
      <c r="B7" s="695" t="s">
        <v>548</v>
      </c>
      <c r="C7" s="987">
        <v>3.19</v>
      </c>
      <c r="D7" s="987">
        <v>3.79</v>
      </c>
      <c r="E7" s="993">
        <v>4.55</v>
      </c>
      <c r="F7" s="994">
        <v>5.3699999999999998E-2</v>
      </c>
      <c r="G7" s="1103">
        <v>0.09</v>
      </c>
      <c r="H7" s="993">
        <v>3.76</v>
      </c>
      <c r="I7" s="1103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1">
        <v>0.56679999999999997</v>
      </c>
      <c r="O7" s="1002">
        <v>0.56679999999999997</v>
      </c>
    </row>
    <row r="8" spans="1:15" ht="15" thickBot="1" x14ac:dyDescent="0.25">
      <c r="A8" s="696" t="s">
        <v>18</v>
      </c>
      <c r="B8" s="697" t="s">
        <v>549</v>
      </c>
      <c r="C8" s="995">
        <v>2.27</v>
      </c>
      <c r="D8" s="995">
        <v>3.35</v>
      </c>
      <c r="E8" s="995">
        <v>5.32</v>
      </c>
      <c r="F8" s="996">
        <v>5.5199999999999999E-2</v>
      </c>
      <c r="G8" s="1104">
        <v>7.0000000000000007E-2</v>
      </c>
      <c r="H8" s="995">
        <v>3.79</v>
      </c>
      <c r="I8" s="1104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3">
        <v>0.62380000000000002</v>
      </c>
      <c r="O8" s="1004">
        <v>0.65959999999999996</v>
      </c>
    </row>
    <row r="9" spans="1:15" x14ac:dyDescent="0.2">
      <c r="A9" s="698" t="s">
        <v>550</v>
      </c>
      <c r="B9" s="699" t="s">
        <v>551</v>
      </c>
      <c r="C9" s="990">
        <v>2.96</v>
      </c>
      <c r="D9" s="987">
        <v>3.89</v>
      </c>
      <c r="E9" s="993">
        <v>4.22</v>
      </c>
      <c r="F9" s="994">
        <v>0.111</v>
      </c>
      <c r="G9" s="1103">
        <v>0.04</v>
      </c>
      <c r="H9" s="993">
        <v>2.37</v>
      </c>
      <c r="I9" s="1103">
        <v>0.04</v>
      </c>
      <c r="J9" s="681">
        <v>-0.01</v>
      </c>
      <c r="K9" s="681">
        <v>-0.02</v>
      </c>
      <c r="L9" s="681">
        <v>0.03</v>
      </c>
      <c r="M9" s="683">
        <v>1</v>
      </c>
      <c r="N9" s="1001">
        <v>0.78649999999999998</v>
      </c>
      <c r="O9" s="1002">
        <v>0.78649999999999998</v>
      </c>
    </row>
    <row r="10" spans="1:15" x14ac:dyDescent="0.2">
      <c r="A10" s="700" t="s">
        <v>9</v>
      </c>
      <c r="B10" s="701" t="s">
        <v>78</v>
      </c>
      <c r="C10" s="987">
        <v>0.7</v>
      </c>
      <c r="D10" s="987">
        <v>1.1399999999999999</v>
      </c>
      <c r="E10" s="987">
        <v>1.29</v>
      </c>
      <c r="F10" s="992">
        <v>8.9700000000000002E-2</v>
      </c>
      <c r="G10" s="1102">
        <v>9.7000000000000003E-2</v>
      </c>
      <c r="H10" s="987">
        <v>4.58</v>
      </c>
      <c r="I10" s="1102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5">
        <v>0.57620000000000005</v>
      </c>
      <c r="O10" s="1006">
        <v>0.57620000000000005</v>
      </c>
    </row>
    <row r="11" spans="1:15" x14ac:dyDescent="0.2">
      <c r="A11" s="700" t="s">
        <v>8</v>
      </c>
      <c r="B11" s="701" t="s">
        <v>8</v>
      </c>
      <c r="C11" s="987">
        <v>3.52</v>
      </c>
      <c r="D11" s="987">
        <v>4.4400000000000004</v>
      </c>
      <c r="E11" s="987">
        <v>4.8899999999999997</v>
      </c>
      <c r="F11" s="992">
        <v>7.22E-2</v>
      </c>
      <c r="G11" s="1102">
        <v>7.0000000000000007E-2</v>
      </c>
      <c r="H11" s="987">
        <v>3.7</v>
      </c>
      <c r="I11" s="1102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5">
        <v>0.89190000000000003</v>
      </c>
      <c r="O11" s="1006">
        <v>0.89190000000000003</v>
      </c>
    </row>
    <row r="12" spans="1:15" ht="15" thickBot="1" x14ac:dyDescent="0.25">
      <c r="A12" s="702" t="s">
        <v>872</v>
      </c>
      <c r="B12" s="703" t="s">
        <v>872</v>
      </c>
      <c r="C12" s="995">
        <v>15.16</v>
      </c>
      <c r="D12" s="995">
        <v>22.15</v>
      </c>
      <c r="E12" s="997">
        <v>27.42</v>
      </c>
      <c r="F12" s="998">
        <v>4.99E-2</v>
      </c>
      <c r="G12" s="1105">
        <v>0.06</v>
      </c>
      <c r="H12" s="997">
        <v>3.94</v>
      </c>
      <c r="I12" s="1105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3">
        <v>0.3826</v>
      </c>
      <c r="O12" s="1004">
        <v>0.40350000000000003</v>
      </c>
    </row>
    <row r="13" spans="1:15" x14ac:dyDescent="0.2">
      <c r="A13" s="698" t="s">
        <v>586</v>
      </c>
      <c r="B13" s="704" t="s">
        <v>587</v>
      </c>
      <c r="C13" s="987">
        <v>10.96</v>
      </c>
      <c r="D13" s="987">
        <v>12.74</v>
      </c>
      <c r="E13" s="987">
        <v>15.8</v>
      </c>
      <c r="F13" s="992">
        <v>3.1699999999999999E-2</v>
      </c>
      <c r="G13" s="1102">
        <v>0.09</v>
      </c>
      <c r="H13" s="987">
        <v>4.01</v>
      </c>
      <c r="I13" s="1102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5">
        <v>0.89459999999999995</v>
      </c>
      <c r="O13" s="1006">
        <v>0.96130000000000004</v>
      </c>
    </row>
    <row r="14" spans="1:15" ht="15" thickBot="1" x14ac:dyDescent="0.25">
      <c r="A14" s="702" t="s">
        <v>24</v>
      </c>
      <c r="B14" s="703" t="s">
        <v>79</v>
      </c>
      <c r="C14" s="995">
        <v>1.4</v>
      </c>
      <c r="D14" s="995">
        <v>2.0099999999999998</v>
      </c>
      <c r="E14" s="995">
        <v>3.05</v>
      </c>
      <c r="F14" s="996">
        <v>0.1004</v>
      </c>
      <c r="G14" s="1104">
        <v>0.04</v>
      </c>
      <c r="H14" s="995">
        <v>3.48</v>
      </c>
      <c r="I14" s="1104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7">
        <v>0.66600000000000004</v>
      </c>
      <c r="O14" s="1008">
        <v>0.66600000000000004</v>
      </c>
    </row>
    <row r="15" spans="1:15" x14ac:dyDescent="0.2">
      <c r="A15" s="671" t="s">
        <v>542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640</v>
      </c>
      <c r="C17" s="55"/>
      <c r="G17" s="55"/>
    </row>
    <row r="18" spans="1:15" x14ac:dyDescent="0.2">
      <c r="A18" s="167" t="s">
        <v>637</v>
      </c>
      <c r="B18" s="167" t="s">
        <v>638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536</v>
      </c>
      <c r="M18" s="315"/>
      <c r="N18" s="767">
        <v>42309</v>
      </c>
      <c r="O18" s="768"/>
    </row>
    <row r="19" spans="1:15" ht="15" thickBot="1" x14ac:dyDescent="0.25">
      <c r="A19" s="735" t="s">
        <v>648</v>
      </c>
      <c r="B19" s="167" t="s">
        <v>639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617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8" t="s">
        <v>974</v>
      </c>
      <c r="M22" s="1179"/>
      <c r="N22" s="1180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1" t="s">
        <v>122</v>
      </c>
      <c r="M23" s="1182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635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541</v>
      </c>
      <c r="E25" s="350">
        <v>43999</v>
      </c>
      <c r="F25" s="724" t="s">
        <v>580</v>
      </c>
      <c r="G25" s="55"/>
      <c r="H25" s="655" t="s">
        <v>619</v>
      </c>
      <c r="I25" s="417">
        <v>0</v>
      </c>
      <c r="J25" s="765">
        <v>0</v>
      </c>
      <c r="K25" s="769"/>
      <c r="L25" s="655" t="s">
        <v>619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581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622</v>
      </c>
      <c r="M26" s="783" t="s">
        <v>635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619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641</v>
      </c>
      <c r="I28" s="315"/>
      <c r="J28" s="767">
        <v>42309</v>
      </c>
      <c r="K28" s="771"/>
      <c r="L28" s="482" t="s">
        <v>358</v>
      </c>
      <c r="M28" s="783" t="s">
        <v>635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642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606</v>
      </c>
      <c r="I30" s="315"/>
      <c r="J30" s="767">
        <v>42309</v>
      </c>
      <c r="K30" s="768"/>
      <c r="L30" s="482" t="str">
        <f>IF(Deutsch,"Logistikaufschlag LME /t","LME logistik add on /mt")</f>
        <v>Logistikaufschlag LME /t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619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647</v>
      </c>
      <c r="I32" s="315"/>
      <c r="J32" s="767">
        <v>42309</v>
      </c>
      <c r="K32" s="771"/>
      <c r="L32" s="482" t="s">
        <v>636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619</v>
      </c>
      <c r="M33" s="505">
        <v>0.95</v>
      </c>
      <c r="N33" s="713" t="s">
        <v>602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643</v>
      </c>
      <c r="I34" s="315"/>
      <c r="J34" s="767">
        <v>43983</v>
      </c>
      <c r="K34" s="771"/>
      <c r="L34" s="482" t="s">
        <v>651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619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603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644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619</v>
      </c>
      <c r="I37" s="417">
        <v>0.03</v>
      </c>
      <c r="J37" s="765">
        <v>0.03</v>
      </c>
      <c r="K37" s="769"/>
      <c r="L37" s="655" t="s">
        <v>619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569</v>
      </c>
      <c r="I38" s="315" t="s">
        <v>570</v>
      </c>
      <c r="J38" s="767">
        <v>42309</v>
      </c>
      <c r="K38" s="768"/>
      <c r="L38" s="482" t="s">
        <v>645</v>
      </c>
      <c r="M38" s="315"/>
      <c r="N38" s="767">
        <v>42309</v>
      </c>
      <c r="O38" s="771"/>
    </row>
    <row r="39" spans="1:16" ht="15" thickBot="1" x14ac:dyDescent="0.25">
      <c r="A39" s="849" t="s">
        <v>757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534</v>
      </c>
      <c r="B40" s="797">
        <v>250</v>
      </c>
      <c r="F40" s="55"/>
      <c r="H40" s="482" t="s">
        <v>569</v>
      </c>
      <c r="I40" s="315" t="s">
        <v>571</v>
      </c>
      <c r="J40" s="767">
        <v>42309</v>
      </c>
      <c r="K40" s="768"/>
      <c r="L40" s="482" t="s">
        <v>661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650</v>
      </c>
      <c r="B41" s="797">
        <v>3110</v>
      </c>
      <c r="H41" s="655" t="s">
        <v>480</v>
      </c>
      <c r="I41" s="465">
        <v>6</v>
      </c>
      <c r="J41" s="778">
        <v>6</v>
      </c>
      <c r="K41" s="769"/>
      <c r="L41" s="655" t="s">
        <v>619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649</v>
      </c>
      <c r="B42" s="797">
        <v>40.1</v>
      </c>
      <c r="H42" s="482" t="s">
        <v>569</v>
      </c>
      <c r="I42" s="315" t="s">
        <v>572</v>
      </c>
      <c r="J42" s="767">
        <v>42309</v>
      </c>
      <c r="K42" s="768"/>
      <c r="L42" s="482" t="s">
        <v>659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601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600</v>
      </c>
      <c r="B44" s="797">
        <v>1654.31</v>
      </c>
      <c r="H44" s="482" t="s">
        <v>607</v>
      </c>
      <c r="I44" s="315"/>
      <c r="J44" s="767">
        <v>42309</v>
      </c>
      <c r="K44" s="771"/>
      <c r="L44" s="482" t="s">
        <v>662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598</v>
      </c>
      <c r="B45" s="797">
        <v>7682</v>
      </c>
      <c r="H45" s="655" t="s">
        <v>621</v>
      </c>
      <c r="I45" s="417">
        <v>0.02</v>
      </c>
      <c r="J45" s="765">
        <v>0.02</v>
      </c>
      <c r="K45" s="769"/>
      <c r="L45" s="655" t="s">
        <v>619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589</v>
      </c>
      <c r="B46" s="797">
        <v>6852</v>
      </c>
      <c r="H46" s="482" t="s">
        <v>539</v>
      </c>
      <c r="I46" s="315"/>
      <c r="J46" s="309"/>
      <c r="K46" s="310"/>
      <c r="L46" s="482" t="s">
        <v>818</v>
      </c>
      <c r="M46" s="315"/>
      <c r="N46" s="767">
        <v>42309</v>
      </c>
      <c r="O46" s="771"/>
    </row>
    <row r="47" spans="1:16" ht="15" thickBot="1" x14ac:dyDescent="0.25">
      <c r="A47" s="441" t="s">
        <v>599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588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620</v>
      </c>
      <c r="M48" s="315"/>
      <c r="N48" s="767">
        <v>42309</v>
      </c>
      <c r="O48" s="771"/>
    </row>
    <row r="49" spans="1:15" ht="15" thickBot="1" x14ac:dyDescent="0.25">
      <c r="A49" s="441" t="s">
        <v>590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591</v>
      </c>
      <c r="B50" s="797">
        <v>5544.29</v>
      </c>
      <c r="L50" s="482" t="s">
        <v>618</v>
      </c>
      <c r="M50" s="315"/>
      <c r="N50" s="767">
        <v>42309</v>
      </c>
      <c r="O50" s="768"/>
    </row>
    <row r="51" spans="1:15" ht="15" thickBot="1" x14ac:dyDescent="0.25">
      <c r="A51" s="441" t="s">
        <v>593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646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392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2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Vorbelegung:</v>
      </c>
      <c r="B1" s="47" t="s">
        <v>303</v>
      </c>
      <c r="D1" s="795" t="s">
        <v>652</v>
      </c>
      <c r="F1" s="828"/>
      <c r="G1" s="829" t="str">
        <f>IFERROR(CONCATENATE(IF(Deutsch,"Daten aus ","data base "),RIGHT(MAX(I2:Q2),2),".",LEFT(MAX(I2:Q2),4)),IF(Deutsch,"älter","old data"))</f>
        <v>Daten aus 0.0</v>
      </c>
      <c r="H1" s="755" t="s">
        <v>604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626</v>
      </c>
      <c r="D2" s="735" t="s">
        <v>634</v>
      </c>
      <c r="E2" s="735" t="s">
        <v>629</v>
      </c>
      <c r="F2" s="735" t="s">
        <v>631</v>
      </c>
      <c r="G2" s="735" t="s">
        <v>632</v>
      </c>
      <c r="H2" s="756" t="s">
        <v>633</v>
      </c>
      <c r="I2" s="760" t="str">
        <f>IFERROR(VLOOKUP(I$3,#REF!,3,FALSE),IF(Deutsch,"älter","old data"))</f>
        <v>älter</v>
      </c>
      <c r="J2" s="761" t="str">
        <f>IFERROR(VLOOKUP(J$3,#REF!,3,FALSE),IF(Deutsch,"älter","old data"))</f>
        <v>älter</v>
      </c>
      <c r="K2" s="761" t="str">
        <f>IFERROR(VLOOKUP(K$3,#REF!,3,FALSE),IF(Deutsch,"älter","old data"))</f>
        <v>älter</v>
      </c>
      <c r="L2" s="761" t="str">
        <f>IFERROR(VLOOKUP(L$3,#REF!,3,FALSE),IF(Deutsch,"älter","old data"))</f>
        <v>älter</v>
      </c>
      <c r="M2" s="761" t="str">
        <f>IFERROR(VLOOKUP(M$3,#REF!,3,FALSE),IF(Deutsch,"älter","old data"))</f>
        <v>älter</v>
      </c>
      <c r="N2" s="761" t="str">
        <f>IFERROR(VLOOKUP(N$3,#REF!,3,FALSE),IF(Deutsch,"älter","old data"))</f>
        <v>älter</v>
      </c>
      <c r="O2" s="761" t="str">
        <f>IFERROR(VLOOKUP(O$3,#REF!,3,FALSE),IF(Deutsch,"älter","old data"))</f>
        <v>älter</v>
      </c>
      <c r="P2" s="761" t="str">
        <f>IFERROR(VLOOKUP(P$3,#REF!,3,FALSE),IF(Deutsch,"älter","old data"))</f>
        <v>älter</v>
      </c>
      <c r="Q2" s="762" t="str">
        <f>IFERROR(VLOOKUP(Q$3,#REF!,3,FALSE),IF(Deutsch,"älter","old data"))</f>
        <v>älter</v>
      </c>
      <c r="R2" s="752" t="s">
        <v>627</v>
      </c>
      <c r="S2" s="735" t="s">
        <v>653</v>
      </c>
      <c r="T2" s="735" t="s">
        <v>667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625</v>
      </c>
      <c r="D3" s="167" t="s">
        <v>605</v>
      </c>
      <c r="E3" s="735" t="s">
        <v>630</v>
      </c>
      <c r="F3" s="735" t="s">
        <v>623</v>
      </c>
      <c r="G3" s="167" t="s">
        <v>296</v>
      </c>
      <c r="H3" s="735" t="s">
        <v>624</v>
      </c>
      <c r="I3" s="753" t="s">
        <v>601</v>
      </c>
      <c r="J3" s="753" t="s">
        <v>589</v>
      </c>
      <c r="K3" s="753" t="s">
        <v>599</v>
      </c>
      <c r="L3" s="753" t="s">
        <v>588</v>
      </c>
      <c r="M3" s="753" t="s">
        <v>593</v>
      </c>
      <c r="N3" s="753" t="s">
        <v>598</v>
      </c>
      <c r="O3" s="753" t="s">
        <v>590</v>
      </c>
      <c r="P3" s="753" t="s">
        <v>600</v>
      </c>
      <c r="Q3" s="753" t="s">
        <v>591</v>
      </c>
      <c r="R3" s="735" t="s">
        <v>592</v>
      </c>
      <c r="S3" s="735" t="s">
        <v>628</v>
      </c>
      <c r="T3" s="735" t="s">
        <v>667</v>
      </c>
      <c r="U3" s="442" t="s">
        <v>296</v>
      </c>
    </row>
    <row r="4" spans="1:21" x14ac:dyDescent="0.2">
      <c r="A4" s="739" t="s">
        <v>324</v>
      </c>
      <c r="B4" s="740" t="s">
        <v>668</v>
      </c>
      <c r="C4" s="64">
        <f>ROUND('Länder-DB'!$M$35*1.1%/(0.1%+$R4)+'Länder-DB'!$M$37+I4*I$1+J4*J$1+K4*K$1+L4*L$1+M4*M$1+N4*N$1+O4*O$1+P4*P$1+Q4*Q$1+S4,2)</f>
        <v>2.41</v>
      </c>
      <c r="D4" s="741" t="s">
        <v>701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669</v>
      </c>
      <c r="C5" s="64">
        <f>ROUND('Länder-DB'!$M$35*1.1%/(0.1%+$R5)+'Länder-DB'!$M$37+I5*I$1+J5*J$1+K5*K$1+L5*L$1+M5*M$1+N5*N$1+O5*O$1+P5*P$1+Q5*Q$1+S5,2)</f>
        <v>2.4500000000000002</v>
      </c>
      <c r="D5" s="741" t="s">
        <v>702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670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671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672</v>
      </c>
      <c r="C8" s="64">
        <f>ROUND('Länder-DB'!$M$35*1.1%/(0.1%+$R8)+'Länder-DB'!$M$37+I8*I$1+J8*J$1+K8*K$1+L8*L$1+M8*M$1+N8*N$1+O8*O$1+P8*P$1+Q8*Q$1+S8,2)</f>
        <v>2.79</v>
      </c>
      <c r="D8" s="741" t="s">
        <v>703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674</v>
      </c>
      <c r="C9" s="64">
        <f>ROUND('Länder-DB'!$M$35*1.1%/(0.1%+$R9)+'Länder-DB'!$M$37+I9*I$1+J9*J$1+K9*K$1+L9*L$1+M9*M$1+N9*N$1+O9*O$1+P9*P$1+Q9*Q$1+S9,2)</f>
        <v>2.5499999999999998</v>
      </c>
      <c r="D9" s="743" t="s">
        <v>704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673</v>
      </c>
      <c r="C10" s="64">
        <f>ROUND('Länder-DB'!$M$35*1.1%/(0.1%+$R10)+'Länder-DB'!$M$37+I10*I$1+J10*J$1+K10*K$1+L10*L$1+M10*M$1+N10*N$1+O10*O$1+P10*P$1+Q10*Q$1+S10,2)</f>
        <v>2.31</v>
      </c>
      <c r="D10" s="739" t="s">
        <v>595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675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676</v>
      </c>
      <c r="C12" s="64">
        <f>ROUND('Länder-DB'!$M$35*1.1%/(0.1%+$R12)+'Länder-DB'!$M$37+I12*I$1+J12*J$1+K12*K$1+L12*L$1+M12*M$1+N12*N$1+O12*O$1+P12*P$1+Q12*Q$1+S12,2)</f>
        <v>2.1</v>
      </c>
      <c r="D12" s="743" t="s">
        <v>700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677</v>
      </c>
      <c r="C13" s="64">
        <f>ROUND('Länder-DB'!$M$35*1.1%/(0.1%+$R13)+'Länder-DB'!$M$37+I13*I$1+J13*J$1+K13*K$1+L13*L$1+M13*M$1+N13*N$1+O13*O$1+P13*P$1+Q13*Q$1+S13,2)</f>
        <v>2.38</v>
      </c>
      <c r="D13" s="741" t="s">
        <v>705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678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706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679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680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707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681</v>
      </c>
      <c r="C17" s="64">
        <f>ROUND('Länder-DB'!$M$35*1.1%/(0.1%+$R17)+'Länder-DB'!$M$37+I17*I$1+J17*J$1+K17*K$1+L17*L$1+M17*M$1+N17*N$1+O17*O$1+P17*P$1+Q17*Q$1+S17,2)</f>
        <v>2.09</v>
      </c>
      <c r="D17" s="740" t="s">
        <v>597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682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683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684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685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686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687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688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689</v>
      </c>
      <c r="C25" s="64">
        <f>ROUND('Länder-DB'!$M$35*1.1%/(0.1%+$R25)+'Länder-DB'!$M$37+I25*I$1+J25*J$1+K25*K$1+L25*L$1+M25*M$1+N25*N$1+O25*O$1+P25*P$1+Q25*Q$1+S25,2)</f>
        <v>2.27</v>
      </c>
      <c r="D25" s="740" t="s">
        <v>508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690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691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692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693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694</v>
      </c>
      <c r="C30" s="64">
        <f>ROUND('Länder-DB'!$M$35*1.1%/(0.1%+$R30)+'Länder-DB'!$M$37+I30*I$1+J30*J$1+K30*K$1+L30*L$1+M30*M$1+N30*N$1+O30*O$1+P30*P$1+Q30*Q$1+S30,2)</f>
        <v>2.02</v>
      </c>
      <c r="D30" s="739" t="s">
        <v>596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695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594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696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697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820</v>
      </c>
      <c r="B34" s="740" t="s">
        <v>821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822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698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823</v>
      </c>
      <c r="B36" s="740" t="s">
        <v>824</v>
      </c>
      <c r="C36" s="64">
        <f>ROUND('Länder-DB'!$M$35*1.1%/(0.1%+$R36)+'Länder-DB'!$M$37+I36*I$1+J36*J$1+K36*K$1+L36*L$1+M36*M$1+N36*N$1+O36*O$1+P36*P$1+Q36*Q$1+S36,2)</f>
        <v>2.58</v>
      </c>
      <c r="D36" s="740" t="s">
        <v>825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6" t="str">
        <f>IF(Deutsch,"Leistung","performance")</f>
        <v>Leistung</v>
      </c>
      <c r="J2" s="496" t="s">
        <v>654</v>
      </c>
      <c r="K2" s="796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0" t="str">
        <f>IF(Deutsch,"Typ","type")</f>
        <v>Typ</v>
      </c>
      <c r="C3" s="591" t="str">
        <f>IF(Deutsch,"Nr.","no")</f>
        <v>Nr.</v>
      </c>
      <c r="D3" s="591" t="str">
        <f>IF(Deutsch,"Energie","energy")</f>
        <v>Energie</v>
      </c>
      <c r="E3" s="591" t="str">
        <f>IF(Deutsch,"Hersteller","brand")</f>
        <v>Hersteller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Verlust</v>
      </c>
      <c r="M3" s="592" t="str">
        <f>IF(Deutsch,"Art","type")</f>
        <v>Art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761</v>
      </c>
      <c r="C13" s="300">
        <v>9</v>
      </c>
      <c r="D13" s="844" t="s">
        <v>757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761</v>
      </c>
      <c r="C14" s="300">
        <v>10</v>
      </c>
      <c r="D14" s="844" t="s">
        <v>757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761</v>
      </c>
      <c r="C15" s="301">
        <v>11</v>
      </c>
      <c r="D15" s="846" t="s">
        <v>757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Schacht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616</v>
      </c>
      <c r="C16" s="503" t="s">
        <v>765</v>
      </c>
    </row>
    <row r="17" spans="2:31" ht="15.75" x14ac:dyDescent="0.25">
      <c r="B17" s="502" t="s">
        <v>975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3" t="s">
        <v>101</v>
      </c>
      <c r="C19" s="1183" t="s">
        <v>976</v>
      </c>
      <c r="D19" s="1184" t="s">
        <v>977</v>
      </c>
      <c r="E19" s="1183" t="s">
        <v>978</v>
      </c>
      <c r="F19" s="1183" t="s">
        <v>979</v>
      </c>
      <c r="G19" s="1183" t="s">
        <v>980</v>
      </c>
      <c r="H19" s="1183" t="s">
        <v>981</v>
      </c>
      <c r="I19" s="1183" t="s">
        <v>982</v>
      </c>
      <c r="J19" s="1183" t="s">
        <v>983</v>
      </c>
      <c r="K19" s="1183" t="s">
        <v>984</v>
      </c>
      <c r="L19" s="1183" t="s">
        <v>985</v>
      </c>
      <c r="M19" s="1183" t="s">
        <v>985</v>
      </c>
      <c r="N19" s="1183" t="s">
        <v>986</v>
      </c>
      <c r="O19" s="1183" t="s">
        <v>987</v>
      </c>
      <c r="P19" s="1183" t="s">
        <v>988</v>
      </c>
      <c r="Q19" s="1183" t="s">
        <v>989</v>
      </c>
      <c r="R19" s="1183" t="s">
        <v>976</v>
      </c>
      <c r="V19" s="1183" t="s">
        <v>25</v>
      </c>
      <c r="W19" s="1198" t="s">
        <v>1007</v>
      </c>
      <c r="X19" s="1198" t="s">
        <v>1008</v>
      </c>
      <c r="Y19" s="1198" t="s">
        <v>1009</v>
      </c>
      <c r="Z19" s="1198" t="s">
        <v>1010</v>
      </c>
      <c r="AA19" s="1198" t="s">
        <v>445</v>
      </c>
      <c r="AB19" s="1198" t="s">
        <v>1011</v>
      </c>
      <c r="AC19" s="1198" t="s">
        <v>100</v>
      </c>
      <c r="AD19" s="1198" t="s">
        <v>1012</v>
      </c>
      <c r="AE19" s="1198" t="s">
        <v>1013</v>
      </c>
    </row>
    <row r="20" spans="2:31" ht="29.25" thickBot="1" x14ac:dyDescent="0.25">
      <c r="B20" s="1185" t="s">
        <v>990</v>
      </c>
      <c r="C20" s="1185" t="s">
        <v>991</v>
      </c>
      <c r="D20" s="1185" t="s">
        <v>992</v>
      </c>
      <c r="E20" s="1185"/>
      <c r="F20" s="1185" t="s">
        <v>993</v>
      </c>
      <c r="G20" s="1185" t="s">
        <v>994</v>
      </c>
      <c r="H20" s="1185" t="s">
        <v>995</v>
      </c>
      <c r="I20" s="1185" t="s">
        <v>996</v>
      </c>
      <c r="J20" s="1183" t="s">
        <v>997</v>
      </c>
      <c r="K20" s="1183" t="s">
        <v>100</v>
      </c>
      <c r="L20" s="1183"/>
      <c r="M20" s="1183"/>
      <c r="N20" s="1183"/>
      <c r="O20" s="1183"/>
      <c r="P20" s="1186"/>
      <c r="Q20" s="1186"/>
      <c r="R20" s="1185" t="s">
        <v>991</v>
      </c>
      <c r="T20" s="1199" t="s">
        <v>1014</v>
      </c>
      <c r="U20" s="1183" t="s">
        <v>923</v>
      </c>
      <c r="V20" s="1184" t="s">
        <v>66</v>
      </c>
      <c r="W20" s="1183" t="s">
        <v>1</v>
      </c>
      <c r="X20" s="1183" t="s">
        <v>1</v>
      </c>
      <c r="Y20" s="1183" t="s">
        <v>1</v>
      </c>
      <c r="Z20" s="1184" t="s">
        <v>103</v>
      </c>
      <c r="AA20" s="1184" t="s">
        <v>446</v>
      </c>
      <c r="AB20" s="1184" t="s">
        <v>1015</v>
      </c>
      <c r="AC20" s="1183" t="s">
        <v>1</v>
      </c>
      <c r="AD20" s="1184" t="s">
        <v>55</v>
      </c>
      <c r="AE20" s="1184" t="s">
        <v>1016</v>
      </c>
    </row>
    <row r="21" spans="2:31" ht="12" customHeight="1" x14ac:dyDescent="0.2">
      <c r="B21" s="1184" t="s">
        <v>998</v>
      </c>
      <c r="C21" s="1185"/>
      <c r="D21" s="1183"/>
      <c r="E21" s="1183" t="s">
        <v>999</v>
      </c>
      <c r="F21" s="1183"/>
      <c r="G21" s="1183" t="s">
        <v>1000</v>
      </c>
      <c r="H21" s="1183" t="s">
        <v>1001</v>
      </c>
      <c r="I21" s="1183" t="s">
        <v>103</v>
      </c>
      <c r="J21" s="1187" t="s">
        <v>446</v>
      </c>
      <c r="K21" s="1185" t="s">
        <v>1</v>
      </c>
      <c r="L21" s="1183" t="s">
        <v>70</v>
      </c>
      <c r="M21" s="1183" t="s">
        <v>103</v>
      </c>
      <c r="N21" s="1185" t="s">
        <v>1</v>
      </c>
      <c r="O21" s="1185" t="s">
        <v>1</v>
      </c>
      <c r="P21" s="1186" t="s">
        <v>1000</v>
      </c>
      <c r="Q21" s="1186" t="s">
        <v>55</v>
      </c>
      <c r="R21" s="1185"/>
      <c r="T21" s="45" t="s">
        <v>958</v>
      </c>
      <c r="U21" s="1200" t="s">
        <v>176</v>
      </c>
      <c r="V21" s="1125">
        <v>1</v>
      </c>
      <c r="W21" s="1201">
        <v>0</v>
      </c>
      <c r="X21" s="1201">
        <v>0</v>
      </c>
      <c r="Y21" s="1201">
        <f>$AC$21</f>
        <v>1500</v>
      </c>
      <c r="Z21" s="1200">
        <v>0</v>
      </c>
      <c r="AA21" s="31">
        <v>0</v>
      </c>
      <c r="AB21" s="1202" t="s">
        <v>1017</v>
      </c>
      <c r="AC21" s="1203">
        <v>1500</v>
      </c>
      <c r="AD21" s="1204">
        <v>0.2</v>
      </c>
      <c r="AE21" s="1204">
        <v>25</v>
      </c>
    </row>
    <row r="22" spans="2:31" ht="24.75" customHeight="1" x14ac:dyDescent="0.2">
      <c r="B22" s="58"/>
      <c r="C22" s="58">
        <v>0</v>
      </c>
      <c r="D22" s="1188" t="s">
        <v>69</v>
      </c>
      <c r="E22" s="1188">
        <v>0</v>
      </c>
      <c r="F22" s="1189"/>
      <c r="G22" s="1189"/>
      <c r="H22" s="1190">
        <v>0</v>
      </c>
      <c r="I22" s="1190">
        <v>0</v>
      </c>
      <c r="J22" s="118">
        <v>0</v>
      </c>
      <c r="K22" s="1191">
        <v>0</v>
      </c>
      <c r="L22" s="1192">
        <v>0</v>
      </c>
      <c r="M22" s="1191"/>
      <c r="N22" s="1191">
        <v>0</v>
      </c>
      <c r="O22" s="1193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960</v>
      </c>
      <c r="U22" s="1200" t="s">
        <v>959</v>
      </c>
      <c r="V22" s="1125">
        <v>2</v>
      </c>
      <c r="W22" s="1201">
        <v>0</v>
      </c>
      <c r="X22" s="1201">
        <f>SUM($AC$22:$AC$22)</f>
        <v>4500</v>
      </c>
      <c r="Y22" s="1201">
        <f>SUM($AC$22:$AC$22)</f>
        <v>4500</v>
      </c>
      <c r="Z22" s="1200">
        <f>4.5</f>
        <v>4.5</v>
      </c>
      <c r="AA22" s="31">
        <v>0</v>
      </c>
      <c r="AB22" s="1202" t="s">
        <v>1018</v>
      </c>
      <c r="AC22" s="1203">
        <v>4500</v>
      </c>
      <c r="AD22" s="1204">
        <v>0.25</v>
      </c>
      <c r="AE22" s="1204">
        <v>25</v>
      </c>
    </row>
    <row r="23" spans="2:31" x14ac:dyDescent="0.2">
      <c r="B23" s="58" t="s">
        <v>953</v>
      </c>
      <c r="C23" s="58">
        <v>1</v>
      </c>
      <c r="D23" s="58" t="s">
        <v>1002</v>
      </c>
      <c r="E23" s="1188">
        <v>6</v>
      </c>
      <c r="F23" s="1189" t="s">
        <v>261</v>
      </c>
      <c r="G23" s="1194">
        <v>600</v>
      </c>
      <c r="H23" s="118">
        <f>5*60</f>
        <v>300</v>
      </c>
      <c r="I23" s="118">
        <v>12</v>
      </c>
      <c r="J23" s="118">
        <v>11.7</v>
      </c>
      <c r="K23" s="1191">
        <v>63500</v>
      </c>
      <c r="L23" s="58">
        <v>200</v>
      </c>
      <c r="M23" s="1191">
        <v>30</v>
      </c>
      <c r="N23" s="1191">
        <v>12000</v>
      </c>
      <c r="O23" s="1193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962</v>
      </c>
      <c r="U23" s="1200" t="s">
        <v>961</v>
      </c>
      <c r="V23" s="1125">
        <v>3</v>
      </c>
      <c r="W23" s="1201">
        <v>0</v>
      </c>
      <c r="X23" s="1201">
        <f>SUM($AC$22:$AC$23)</f>
        <v>13000</v>
      </c>
      <c r="Y23" s="1201">
        <f>SUM($AC$22:$AC$23)</f>
        <v>13000</v>
      </c>
      <c r="Z23" s="1200">
        <f>4.5</f>
        <v>4.5</v>
      </c>
      <c r="AA23" s="31">
        <v>1</v>
      </c>
      <c r="AB23" s="1202" t="s">
        <v>962</v>
      </c>
      <c r="AC23" s="1203">
        <v>8500</v>
      </c>
      <c r="AD23" s="1204">
        <v>0.25</v>
      </c>
      <c r="AE23" s="1204">
        <v>15</v>
      </c>
    </row>
    <row r="24" spans="2:31" x14ac:dyDescent="0.2">
      <c r="B24" s="58" t="s">
        <v>953</v>
      </c>
      <c r="C24" s="58">
        <v>2</v>
      </c>
      <c r="D24" s="58" t="s">
        <v>1002</v>
      </c>
      <c r="E24" s="1188">
        <v>25</v>
      </c>
      <c r="F24" s="1189" t="s">
        <v>261</v>
      </c>
      <c r="G24" s="1194">
        <v>1300</v>
      </c>
      <c r="H24" s="118">
        <f>5.5*60</f>
        <v>330</v>
      </c>
      <c r="I24" s="118">
        <v>15</v>
      </c>
      <c r="J24" s="118">
        <v>18</v>
      </c>
      <c r="K24" s="1191">
        <v>79100</v>
      </c>
      <c r="L24" s="58">
        <v>600</v>
      </c>
      <c r="M24" s="1191">
        <v>40</v>
      </c>
      <c r="N24" s="1191">
        <v>20000</v>
      </c>
      <c r="O24" s="1193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964</v>
      </c>
      <c r="U24" s="1200" t="s">
        <v>963</v>
      </c>
      <c r="V24" s="1125">
        <v>4</v>
      </c>
      <c r="W24" s="1201">
        <f>SUM($AC$24)</f>
        <v>16500</v>
      </c>
      <c r="X24" s="1201">
        <f>SUM($AC$22:$AC$24)</f>
        <v>29500</v>
      </c>
      <c r="Y24" s="1201">
        <f>SUM($AC$22:$AC$24)</f>
        <v>29500</v>
      </c>
      <c r="Z24" s="1200">
        <f>17.5</f>
        <v>17.5</v>
      </c>
      <c r="AA24" s="31">
        <v>10</v>
      </c>
      <c r="AB24" s="1202" t="s">
        <v>1019</v>
      </c>
      <c r="AC24" s="1203">
        <v>16500</v>
      </c>
      <c r="AD24" s="1205">
        <v>0</v>
      </c>
      <c r="AE24" s="1204">
        <v>15</v>
      </c>
    </row>
    <row r="25" spans="2:31" x14ac:dyDescent="0.2">
      <c r="B25" s="58" t="s">
        <v>952</v>
      </c>
      <c r="C25" s="58">
        <v>3</v>
      </c>
      <c r="D25" s="58" t="s">
        <v>1003</v>
      </c>
      <c r="E25" s="1188">
        <v>6.3</v>
      </c>
      <c r="F25" s="1189" t="s">
        <v>1004</v>
      </c>
      <c r="G25" s="1194">
        <v>780</v>
      </c>
      <c r="H25" s="118">
        <f>2.5*60</f>
        <v>150</v>
      </c>
      <c r="I25" s="118">
        <v>22</v>
      </c>
      <c r="J25" s="118">
        <v>30</v>
      </c>
      <c r="K25" s="1191">
        <v>89000</v>
      </c>
      <c r="L25" s="58">
        <v>200</v>
      </c>
      <c r="M25" s="1191">
        <v>30</v>
      </c>
      <c r="N25" s="1191">
        <f>N23</f>
        <v>12000</v>
      </c>
      <c r="O25" s="1193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966</v>
      </c>
      <c r="U25" s="1200" t="s">
        <v>965</v>
      </c>
      <c r="V25" s="1125">
        <v>5</v>
      </c>
      <c r="W25" s="1201">
        <f>SUM($AC$24:$AC$25)</f>
        <v>52500</v>
      </c>
      <c r="X25" s="1201">
        <f>SUM($AC$22:$AC$25)</f>
        <v>65500</v>
      </c>
      <c r="Y25" s="1201">
        <f>SUM($AC$22:$AC$25)</f>
        <v>65500</v>
      </c>
      <c r="Z25" s="1200">
        <f>25</f>
        <v>25</v>
      </c>
      <c r="AA25" s="31">
        <v>15</v>
      </c>
      <c r="AB25" s="1202" t="s">
        <v>1020</v>
      </c>
      <c r="AC25" s="1203">
        <v>36000</v>
      </c>
      <c r="AD25" s="1205">
        <v>0</v>
      </c>
      <c r="AE25" s="1204">
        <v>15</v>
      </c>
    </row>
    <row r="26" spans="2:31" x14ac:dyDescent="0.2">
      <c r="B26" s="58" t="s">
        <v>952</v>
      </c>
      <c r="C26" s="58">
        <v>4</v>
      </c>
      <c r="D26" s="58" t="s">
        <v>1003</v>
      </c>
      <c r="E26" s="1188">
        <v>18</v>
      </c>
      <c r="F26" s="1189" t="s">
        <v>1005</v>
      </c>
      <c r="G26" s="1194">
        <v>1020</v>
      </c>
      <c r="H26" s="118">
        <f>3*60</f>
        <v>180</v>
      </c>
      <c r="I26" s="118">
        <v>45</v>
      </c>
      <c r="J26" s="118">
        <v>35</v>
      </c>
      <c r="K26" s="1191">
        <v>136600</v>
      </c>
      <c r="L26" s="58">
        <v>900</v>
      </c>
      <c r="M26" s="1191">
        <v>50</v>
      </c>
      <c r="N26" s="1191">
        <v>28750</v>
      </c>
      <c r="O26" s="1193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968</v>
      </c>
      <c r="U26" s="1200" t="s">
        <v>967</v>
      </c>
      <c r="V26" s="1125">
        <v>6</v>
      </c>
      <c r="W26" s="1201">
        <f>SUM($AC$24:$AC$26)</f>
        <v>80500</v>
      </c>
      <c r="X26" s="1201">
        <f>SUM($AC$22:$AC$26)</f>
        <v>93500</v>
      </c>
      <c r="Y26" s="1201">
        <f>SUM($AC$22:$AC$26)</f>
        <v>93500</v>
      </c>
      <c r="Z26" s="1200">
        <f>27</f>
        <v>27</v>
      </c>
      <c r="AA26" s="31">
        <v>17</v>
      </c>
      <c r="AB26" s="1202" t="s">
        <v>1021</v>
      </c>
      <c r="AC26" s="1203">
        <v>28000</v>
      </c>
      <c r="AD26" s="1205">
        <v>0</v>
      </c>
      <c r="AE26" s="1204">
        <v>15</v>
      </c>
    </row>
    <row r="27" spans="2:31" ht="15" thickBot="1" x14ac:dyDescent="0.25">
      <c r="B27" s="58" t="s">
        <v>952</v>
      </c>
      <c r="C27" s="58">
        <v>5</v>
      </c>
      <c r="D27" s="58" t="s">
        <v>1003</v>
      </c>
      <c r="E27" s="1188">
        <v>18</v>
      </c>
      <c r="F27" s="1189" t="s">
        <v>1005</v>
      </c>
      <c r="G27" s="1194">
        <v>1350</v>
      </c>
      <c r="H27" s="118">
        <f>3*60</f>
        <v>180</v>
      </c>
      <c r="I27" s="118">
        <v>52</v>
      </c>
      <c r="J27" s="118">
        <v>35</v>
      </c>
      <c r="K27" s="1191">
        <v>157300</v>
      </c>
      <c r="L27" s="58">
        <v>1500</v>
      </c>
      <c r="M27" s="1191">
        <v>60</v>
      </c>
      <c r="N27" s="1191">
        <v>45000</v>
      </c>
      <c r="O27" s="1193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970</v>
      </c>
      <c r="U27" s="675" t="s">
        <v>969</v>
      </c>
      <c r="V27" s="1206">
        <v>7</v>
      </c>
      <c r="W27" s="1207">
        <f>SUM($AC$24:$AC$27)</f>
        <v>110500</v>
      </c>
      <c r="X27" s="1207">
        <f>SUM($AC$22:$AC$27)</f>
        <v>123500</v>
      </c>
      <c r="Y27" s="1207">
        <f>SUM($AC$22:$AC$27)</f>
        <v>123500</v>
      </c>
      <c r="Z27" s="675">
        <f>39</f>
        <v>39</v>
      </c>
      <c r="AA27" s="44">
        <v>20</v>
      </c>
      <c r="AB27" s="1208" t="s">
        <v>1022</v>
      </c>
      <c r="AC27" s="1209">
        <v>30000</v>
      </c>
      <c r="AD27" s="1210">
        <v>0</v>
      </c>
      <c r="AE27" s="1211">
        <v>15</v>
      </c>
    </row>
    <row r="28" spans="2:31" x14ac:dyDescent="0.2">
      <c r="B28" s="58" t="s">
        <v>952</v>
      </c>
      <c r="C28" s="58">
        <v>6</v>
      </c>
      <c r="D28" s="58" t="s">
        <v>1003</v>
      </c>
      <c r="E28" s="1188">
        <v>18</v>
      </c>
      <c r="F28" s="1189" t="s">
        <v>1004</v>
      </c>
      <c r="G28" s="1194">
        <v>1350</v>
      </c>
      <c r="H28" s="118">
        <f>3.5*60</f>
        <v>210</v>
      </c>
      <c r="I28" s="118">
        <v>52</v>
      </c>
      <c r="J28" s="118">
        <v>39</v>
      </c>
      <c r="K28" s="1191">
        <v>160700</v>
      </c>
      <c r="L28" s="58">
        <v>600</v>
      </c>
      <c r="M28" s="1191">
        <v>40</v>
      </c>
      <c r="N28" s="1191">
        <f>N24</f>
        <v>20000</v>
      </c>
      <c r="O28" s="1193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954</v>
      </c>
      <c r="C29" s="58">
        <v>7</v>
      </c>
      <c r="D29" s="58" t="s">
        <v>1006</v>
      </c>
      <c r="E29" s="1188">
        <v>0</v>
      </c>
      <c r="F29" s="1189" t="s">
        <v>261</v>
      </c>
      <c r="G29" s="1194">
        <v>300</v>
      </c>
      <c r="H29" s="118">
        <f>3*60</f>
        <v>180</v>
      </c>
      <c r="I29" s="118">
        <v>2</v>
      </c>
      <c r="J29" s="118">
        <v>6</v>
      </c>
      <c r="K29" s="1191">
        <v>28000</v>
      </c>
      <c r="L29" s="58">
        <v>200</v>
      </c>
      <c r="M29" s="1191">
        <v>30</v>
      </c>
      <c r="N29" s="1191">
        <f>N23</f>
        <v>12000</v>
      </c>
      <c r="O29" s="1193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954</v>
      </c>
      <c r="C30" s="58">
        <v>8</v>
      </c>
      <c r="D30" s="58" t="s">
        <v>1006</v>
      </c>
      <c r="E30" s="1188">
        <v>0</v>
      </c>
      <c r="F30" s="1189" t="s">
        <v>261</v>
      </c>
      <c r="G30" s="1194">
        <v>900</v>
      </c>
      <c r="H30" s="118">
        <f>4*60</f>
        <v>240</v>
      </c>
      <c r="I30" s="118">
        <v>2</v>
      </c>
      <c r="J30" s="118">
        <v>8</v>
      </c>
      <c r="K30" s="1191">
        <v>36000</v>
      </c>
      <c r="L30" s="58">
        <v>600</v>
      </c>
      <c r="M30" s="1191">
        <v>40</v>
      </c>
      <c r="N30" s="1191">
        <f>N24</f>
        <v>20000</v>
      </c>
      <c r="O30" s="1193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8"/>
      <c r="F31" s="1189"/>
      <c r="G31" s="1195"/>
      <c r="H31" s="118"/>
      <c r="I31" s="118"/>
      <c r="J31" s="118"/>
      <c r="K31" s="1191"/>
      <c r="L31" s="1196"/>
      <c r="M31" s="1191"/>
      <c r="N31" s="1191"/>
      <c r="O31" s="1193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8"/>
      <c r="F32" s="1189"/>
      <c r="G32" s="1197"/>
      <c r="H32" s="118"/>
      <c r="I32" s="118"/>
      <c r="J32" s="118"/>
      <c r="K32" s="1191"/>
      <c r="L32" s="1196"/>
      <c r="M32" s="1191"/>
      <c r="N32" s="1191"/>
      <c r="O32" s="1193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8"/>
      <c r="F33" s="1189"/>
      <c r="G33" s="1197"/>
      <c r="H33" s="118"/>
      <c r="I33" s="118"/>
      <c r="J33" s="118"/>
      <c r="K33" s="1191"/>
      <c r="L33" s="1196"/>
      <c r="M33" s="1191"/>
      <c r="N33" s="1191"/>
      <c r="O33" s="1193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89"/>
      <c r="G34" s="1197"/>
      <c r="H34" s="118"/>
      <c r="I34" s="118"/>
      <c r="J34" s="118"/>
      <c r="K34" s="1191"/>
      <c r="L34" s="1196"/>
      <c r="M34" s="1191"/>
      <c r="N34" s="1191"/>
      <c r="O34" s="1193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89"/>
      <c r="G35" s="58"/>
      <c r="H35" s="118"/>
      <c r="I35" s="118"/>
      <c r="J35" s="118"/>
      <c r="K35" s="1191"/>
      <c r="L35" s="1196"/>
      <c r="M35" s="1191"/>
      <c r="N35" s="1191"/>
      <c r="O35" s="1193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89"/>
      <c r="G36" s="58"/>
      <c r="H36" s="118"/>
      <c r="I36" s="118"/>
      <c r="J36" s="118"/>
      <c r="K36" s="1191"/>
      <c r="L36" s="1196"/>
      <c r="M36" s="1191"/>
      <c r="N36" s="1191"/>
      <c r="O36" s="1193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89"/>
      <c r="G37" s="58"/>
      <c r="H37" s="118"/>
      <c r="I37" s="118"/>
      <c r="J37" s="118"/>
      <c r="K37" s="1191"/>
      <c r="L37" s="1196"/>
      <c r="M37" s="1191"/>
      <c r="N37" s="1191"/>
      <c r="O37" s="1193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89"/>
      <c r="G38" s="58"/>
      <c r="H38" s="118"/>
      <c r="I38" s="118"/>
      <c r="J38" s="118"/>
      <c r="K38" s="1191"/>
      <c r="L38" s="1196"/>
      <c r="M38" s="1191"/>
      <c r="N38" s="1191"/>
      <c r="O38" s="1193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89"/>
      <c r="G39" s="58"/>
      <c r="H39" s="118"/>
      <c r="I39" s="118"/>
      <c r="J39" s="118"/>
      <c r="K39" s="1191"/>
      <c r="L39" s="1196"/>
      <c r="M39" s="1191"/>
      <c r="N39" s="1191"/>
      <c r="O39" s="1193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89"/>
      <c r="G40" s="58"/>
      <c r="H40" s="58"/>
      <c r="I40" s="118"/>
      <c r="J40" s="118"/>
      <c r="K40" s="1191"/>
      <c r="L40" s="1196"/>
      <c r="M40" s="1191"/>
      <c r="N40" s="1191"/>
      <c r="O40" s="1193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792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791</v>
      </c>
      <c r="C45" s="832" t="s">
        <v>25</v>
      </c>
      <c r="D45" s="832" t="s">
        <v>728</v>
      </c>
      <c r="E45" s="832" t="s">
        <v>729</v>
      </c>
      <c r="F45" s="832" t="s">
        <v>730</v>
      </c>
      <c r="G45" s="832" t="s">
        <v>731</v>
      </c>
      <c r="H45" s="832" t="s">
        <v>732</v>
      </c>
      <c r="I45" s="832" t="s">
        <v>733</v>
      </c>
      <c r="J45" s="888" t="s">
        <v>734</v>
      </c>
      <c r="K45" s="888" t="s">
        <v>735</v>
      </c>
      <c r="L45" s="888" t="s">
        <v>736</v>
      </c>
      <c r="M45" s="832" t="s">
        <v>737</v>
      </c>
      <c r="N45" s="833" t="s">
        <v>793</v>
      </c>
      <c r="O45" s="832" t="s">
        <v>25</v>
      </c>
    </row>
    <row r="46" spans="2:18" x14ac:dyDescent="0.2">
      <c r="B46" s="884" t="s">
        <v>365</v>
      </c>
      <c r="C46" s="346">
        <v>1</v>
      </c>
      <c r="D46" s="834" t="s">
        <v>261</v>
      </c>
      <c r="E46" s="835" t="s">
        <v>365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367</v>
      </c>
      <c r="C47" s="346">
        <v>2</v>
      </c>
      <c r="D47" s="834" t="s">
        <v>741</v>
      </c>
      <c r="E47" s="834" t="s">
        <v>746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742</v>
      </c>
      <c r="N47" s="1106">
        <v>250000</v>
      </c>
      <c r="O47" s="346">
        <f>C47</f>
        <v>2</v>
      </c>
    </row>
    <row r="48" spans="2:18" x14ac:dyDescent="0.2">
      <c r="B48" s="884" t="s">
        <v>367</v>
      </c>
      <c r="C48" s="346">
        <v>3</v>
      </c>
      <c r="D48" s="834" t="s">
        <v>741</v>
      </c>
      <c r="E48" s="836" t="s">
        <v>745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738</v>
      </c>
      <c r="N48" s="1106">
        <v>391000</v>
      </c>
      <c r="O48" s="346">
        <f>C48</f>
        <v>3</v>
      </c>
    </row>
    <row r="49" spans="2:15" x14ac:dyDescent="0.2">
      <c r="B49" s="884" t="s">
        <v>367</v>
      </c>
      <c r="C49" s="346">
        <v>4</v>
      </c>
      <c r="D49" s="834" t="s">
        <v>741</v>
      </c>
      <c r="E49" s="834" t="s">
        <v>744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742</v>
      </c>
      <c r="N49" s="1106">
        <v>565000</v>
      </c>
      <c r="O49" s="346">
        <f>C49</f>
        <v>4</v>
      </c>
    </row>
    <row r="50" spans="2:15" x14ac:dyDescent="0.2">
      <c r="B50" s="884" t="s">
        <v>367</v>
      </c>
      <c r="C50" s="346">
        <v>5</v>
      </c>
      <c r="D50" s="834" t="s">
        <v>741</v>
      </c>
      <c r="E50" s="834" t="s">
        <v>743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742</v>
      </c>
      <c r="N50" s="1106">
        <v>570000</v>
      </c>
      <c r="O50" s="346">
        <f>C50</f>
        <v>5</v>
      </c>
    </row>
    <row r="51" spans="2:15" x14ac:dyDescent="0.2">
      <c r="B51" s="884" t="s">
        <v>367</v>
      </c>
      <c r="C51" s="346">
        <v>6</v>
      </c>
      <c r="D51" s="834" t="s">
        <v>739</v>
      </c>
      <c r="E51" s="842" t="s">
        <v>740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738</v>
      </c>
      <c r="N51" s="1106">
        <v>600000</v>
      </c>
      <c r="O51" s="346">
        <f>C51</f>
        <v>6</v>
      </c>
    </row>
    <row r="53" spans="2:15" x14ac:dyDescent="0.2">
      <c r="C53" t="s">
        <v>747</v>
      </c>
    </row>
    <row r="54" spans="2:15" x14ac:dyDescent="0.2">
      <c r="D54" t="s">
        <v>748</v>
      </c>
      <c r="F54" t="s">
        <v>749</v>
      </c>
    </row>
    <row r="55" spans="2:15" x14ac:dyDescent="0.2">
      <c r="C55" t="s">
        <v>750</v>
      </c>
    </row>
    <row r="56" spans="2:15" x14ac:dyDescent="0.2">
      <c r="D56" s="222" t="s">
        <v>751</v>
      </c>
      <c r="F56" t="s">
        <v>752</v>
      </c>
    </row>
    <row r="57" spans="2:15" x14ac:dyDescent="0.2">
      <c r="B57" s="1107" t="s">
        <v>367</v>
      </c>
      <c r="C57">
        <v>7</v>
      </c>
      <c r="D57" s="1108" t="s">
        <v>921</v>
      </c>
      <c r="E57" s="1109" t="s">
        <v>710</v>
      </c>
      <c r="F57" s="1110">
        <v>530</v>
      </c>
      <c r="G57" s="1110">
        <v>400</v>
      </c>
      <c r="H57" s="1110">
        <v>400</v>
      </c>
      <c r="I57" s="1110">
        <v>80</v>
      </c>
      <c r="J57" s="1110">
        <v>22</v>
      </c>
      <c r="K57" s="1110">
        <v>16</v>
      </c>
      <c r="L57" s="1158">
        <v>50</v>
      </c>
      <c r="M57" s="1110" t="s">
        <v>742</v>
      </c>
      <c r="N57" s="1111">
        <v>300000</v>
      </c>
      <c r="O57">
        <v>7</v>
      </c>
    </row>
    <row r="58" spans="2:15" x14ac:dyDescent="0.2">
      <c r="B58" s="1107" t="s">
        <v>367</v>
      </c>
      <c r="C58">
        <v>8</v>
      </c>
      <c r="D58" s="1108" t="s">
        <v>921</v>
      </c>
      <c r="E58" s="1109" t="s">
        <v>710</v>
      </c>
      <c r="F58" s="1110">
        <v>350</v>
      </c>
      <c r="G58" s="1110">
        <v>300</v>
      </c>
      <c r="H58" s="1110">
        <v>250</v>
      </c>
      <c r="I58" s="1110">
        <v>90</v>
      </c>
      <c r="J58" s="1110">
        <v>85</v>
      </c>
      <c r="K58" s="1110">
        <v>25</v>
      </c>
      <c r="L58" s="1158">
        <v>55</v>
      </c>
      <c r="M58" s="1110" t="s">
        <v>742</v>
      </c>
      <c r="N58" s="1111">
        <v>330000</v>
      </c>
      <c r="O58">
        <v>8</v>
      </c>
    </row>
    <row r="59" spans="2:15" x14ac:dyDescent="0.2">
      <c r="B59" s="1107" t="s">
        <v>367</v>
      </c>
      <c r="C59">
        <v>9</v>
      </c>
      <c r="D59" s="1108" t="s">
        <v>921</v>
      </c>
      <c r="E59" s="1109" t="s">
        <v>710</v>
      </c>
      <c r="F59" s="1110">
        <v>700</v>
      </c>
      <c r="G59" s="1110">
        <v>700</v>
      </c>
      <c r="H59" s="1110">
        <v>500</v>
      </c>
      <c r="I59" s="1110">
        <v>100</v>
      </c>
      <c r="J59" s="1110">
        <v>255</v>
      </c>
      <c r="K59" s="1110">
        <v>40</v>
      </c>
      <c r="L59" s="1158">
        <v>70</v>
      </c>
      <c r="M59" s="1110" t="s">
        <v>742</v>
      </c>
      <c r="N59" s="1111">
        <v>370000</v>
      </c>
      <c r="O59">
        <v>9</v>
      </c>
    </row>
    <row r="61" spans="2:15" ht="15" thickBot="1" x14ac:dyDescent="0.25"/>
    <row r="62" spans="2:15" ht="43.5" thickBot="1" x14ac:dyDescent="0.25">
      <c r="B62" s="1112" t="s">
        <v>922</v>
      </c>
      <c r="C62" s="1113" t="s">
        <v>923</v>
      </c>
      <c r="D62" s="1114" t="s">
        <v>25</v>
      </c>
      <c r="E62" s="1115" t="s">
        <v>924</v>
      </c>
      <c r="F62" s="1116" t="s">
        <v>925</v>
      </c>
      <c r="G62" s="1117" t="s">
        <v>103</v>
      </c>
      <c r="H62" s="1118" t="s">
        <v>926</v>
      </c>
      <c r="I62" s="1118" t="s">
        <v>943</v>
      </c>
      <c r="J62" s="1118" t="s">
        <v>944</v>
      </c>
      <c r="K62" s="503"/>
    </row>
    <row r="63" spans="2:15" x14ac:dyDescent="0.2">
      <c r="B63" s="1119" t="s">
        <v>927</v>
      </c>
      <c r="C63" s="1120" t="s">
        <v>928</v>
      </c>
      <c r="D63" s="1121">
        <v>1</v>
      </c>
      <c r="E63" s="1122">
        <v>185000</v>
      </c>
      <c r="F63" s="1123">
        <v>0.1</v>
      </c>
      <c r="G63" s="1117">
        <v>10</v>
      </c>
      <c r="H63" s="1117">
        <v>30</v>
      </c>
    </row>
    <row r="64" spans="2:15" x14ac:dyDescent="0.2">
      <c r="B64" s="45" t="str">
        <f>[4]Auswahlfelder!D36</f>
        <v>Luft/Wasser</v>
      </c>
      <c r="C64" s="1124" t="s">
        <v>929</v>
      </c>
      <c r="D64" s="1125">
        <v>2</v>
      </c>
      <c r="E64" s="1126">
        <v>12000</v>
      </c>
      <c r="F64" s="1127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4" t="s">
        <v>930</v>
      </c>
      <c r="D65" s="1125">
        <v>3</v>
      </c>
      <c r="E65" s="1126">
        <v>9500</v>
      </c>
      <c r="F65" s="1127">
        <v>0.15</v>
      </c>
      <c r="G65">
        <v>1</v>
      </c>
      <c r="H65">
        <v>20</v>
      </c>
    </row>
    <row r="66" spans="2:10" x14ac:dyDescent="0.2">
      <c r="B66" s="1119" t="s">
        <v>570</v>
      </c>
      <c r="C66" s="1120" t="s">
        <v>553</v>
      </c>
      <c r="D66" s="1121">
        <v>4</v>
      </c>
      <c r="E66" s="1122">
        <v>55000</v>
      </c>
      <c r="F66" s="1123">
        <v>0.05</v>
      </c>
      <c r="G66" s="1117">
        <v>20</v>
      </c>
      <c r="H66" s="1117">
        <v>5</v>
      </c>
    </row>
    <row r="67" spans="2:10" x14ac:dyDescent="0.2">
      <c r="B67" s="509" t="s">
        <v>938</v>
      </c>
      <c r="C67" s="1124" t="s">
        <v>77</v>
      </c>
      <c r="D67" s="1125">
        <v>5</v>
      </c>
      <c r="E67" s="1126">
        <v>55000</v>
      </c>
      <c r="F67" s="1127">
        <v>0.15</v>
      </c>
      <c r="G67">
        <v>1</v>
      </c>
      <c r="H67">
        <v>25</v>
      </c>
    </row>
    <row r="68" spans="2:10" x14ac:dyDescent="0.2">
      <c r="B68" s="1119" t="s">
        <v>939</v>
      </c>
      <c r="C68" s="1120" t="s">
        <v>928</v>
      </c>
      <c r="D68" s="1121">
        <v>6</v>
      </c>
      <c r="E68" s="1122">
        <v>250000</v>
      </c>
      <c r="F68" s="1123">
        <v>0.05</v>
      </c>
      <c r="G68" s="1117">
        <v>10</v>
      </c>
      <c r="H68" s="1117">
        <v>40</v>
      </c>
    </row>
    <row r="69" spans="2:10" x14ac:dyDescent="0.2">
      <c r="B69" s="1119" t="s">
        <v>931</v>
      </c>
      <c r="C69" s="1120" t="s">
        <v>932</v>
      </c>
      <c r="D69" s="1121">
        <v>7</v>
      </c>
      <c r="E69" s="1122">
        <v>578000</v>
      </c>
      <c r="F69" s="1123">
        <v>0.05</v>
      </c>
      <c r="G69" s="1117">
        <v>165</v>
      </c>
      <c r="H69" s="1117">
        <v>200</v>
      </c>
    </row>
    <row r="70" spans="2:10" x14ac:dyDescent="0.2">
      <c r="B70" s="1119" t="s">
        <v>933</v>
      </c>
      <c r="C70" s="1120" t="s">
        <v>932</v>
      </c>
      <c r="D70" s="1117"/>
      <c r="E70" s="1122">
        <v>1700000</v>
      </c>
      <c r="F70" s="1123">
        <v>0.05</v>
      </c>
      <c r="G70" s="1117">
        <v>940</v>
      </c>
      <c r="H70" s="1117">
        <v>220</v>
      </c>
      <c r="I70" s="1117">
        <v>100</v>
      </c>
      <c r="J70" s="1117">
        <v>1000</v>
      </c>
    </row>
    <row r="71" spans="2:10" x14ac:dyDescent="0.2">
      <c r="B71" s="1119" t="s">
        <v>934</v>
      </c>
      <c r="C71" s="1120" t="s">
        <v>928</v>
      </c>
      <c r="D71" s="1117"/>
      <c r="E71" s="1122">
        <v>210000</v>
      </c>
      <c r="F71" s="1123">
        <v>0.05</v>
      </c>
      <c r="G71" s="1117">
        <v>141</v>
      </c>
      <c r="H71" s="1117">
        <v>60</v>
      </c>
      <c r="I71" s="1117">
        <v>0</v>
      </c>
      <c r="J71" s="1117">
        <v>2000</v>
      </c>
    </row>
    <row r="72" spans="2:10" x14ac:dyDescent="0.2">
      <c r="B72" s="1119" t="s">
        <v>935</v>
      </c>
      <c r="C72" s="1120" t="s">
        <v>928</v>
      </c>
      <c r="D72" s="1117"/>
      <c r="E72" s="1122">
        <v>138500</v>
      </c>
      <c r="F72" s="1123">
        <v>0.05</v>
      </c>
      <c r="G72" s="1117">
        <v>42</v>
      </c>
      <c r="H72" s="1117">
        <v>30</v>
      </c>
    </row>
    <row r="73" spans="2:10" x14ac:dyDescent="0.2">
      <c r="B73" s="1119" t="s">
        <v>663</v>
      </c>
      <c r="C73" s="1120" t="s">
        <v>932</v>
      </c>
      <c r="D73" s="1117"/>
      <c r="E73" s="1122">
        <v>185000</v>
      </c>
      <c r="F73" s="1123">
        <v>0.05</v>
      </c>
      <c r="G73" s="1117">
        <v>11</v>
      </c>
      <c r="H73" s="1117">
        <v>20</v>
      </c>
    </row>
    <row r="74" spans="2:10" x14ac:dyDescent="0.2">
      <c r="B74" s="1123" t="s">
        <v>940</v>
      </c>
      <c r="C74" s="1123"/>
      <c r="D74" s="1123"/>
      <c r="E74" s="1122">
        <v>15000</v>
      </c>
      <c r="F74" s="1123">
        <v>0.05</v>
      </c>
      <c r="G74" s="1117">
        <v>10</v>
      </c>
      <c r="H74" s="1117">
        <v>5</v>
      </c>
    </row>
    <row r="75" spans="2:10" x14ac:dyDescent="0.2">
      <c r="B75" s="1123" t="s">
        <v>942</v>
      </c>
      <c r="C75" s="1123"/>
      <c r="D75" s="1123"/>
      <c r="E75" s="1122">
        <v>20000</v>
      </c>
      <c r="F75" s="1123">
        <v>2.5000000000000001E-2</v>
      </c>
      <c r="G75" s="1117">
        <v>20</v>
      </c>
      <c r="H75" s="1117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506</v>
      </c>
      <c r="B1" s="608" t="s">
        <v>505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845</v>
      </c>
      <c r="B3" s="854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837</v>
      </c>
      <c r="F3" s="191" t="s">
        <v>832</v>
      </c>
      <c r="G3" s="191" t="s">
        <v>838</v>
      </c>
      <c r="H3" s="191" t="s">
        <v>833</v>
      </c>
      <c r="I3" s="191" t="s">
        <v>839</v>
      </c>
      <c r="J3" s="191" t="s">
        <v>829</v>
      </c>
      <c r="K3" s="191" t="s">
        <v>834</v>
      </c>
      <c r="L3" s="191" t="s">
        <v>830</v>
      </c>
      <c r="M3" s="191" t="s">
        <v>835</v>
      </c>
      <c r="N3" s="191" t="s">
        <v>831</v>
      </c>
      <c r="O3" s="191" t="s">
        <v>836</v>
      </c>
      <c r="P3" s="191" t="s">
        <v>840</v>
      </c>
      <c r="Q3" s="191" t="s">
        <v>841</v>
      </c>
      <c r="R3" s="191" t="s">
        <v>842</v>
      </c>
      <c r="S3" s="191" t="s">
        <v>843</v>
      </c>
      <c r="T3" s="191" t="s">
        <v>844</v>
      </c>
      <c r="U3" s="191" t="s">
        <v>845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777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585</v>
      </c>
      <c r="E4" s="192" t="s">
        <v>585</v>
      </c>
      <c r="F4" s="192" t="s">
        <v>585</v>
      </c>
      <c r="G4" s="192" t="s">
        <v>585</v>
      </c>
      <c r="H4" s="192" t="s">
        <v>777</v>
      </c>
      <c r="I4" s="192" t="s">
        <v>777</v>
      </c>
      <c r="J4" s="192" t="s">
        <v>790</v>
      </c>
      <c r="K4" s="192" t="s">
        <v>790</v>
      </c>
      <c r="L4" s="192" t="s">
        <v>790</v>
      </c>
      <c r="M4" s="193" t="s">
        <v>790</v>
      </c>
      <c r="N4" s="192" t="s">
        <v>790</v>
      </c>
      <c r="O4" s="192" t="s">
        <v>790</v>
      </c>
      <c r="P4" s="192" t="s">
        <v>790</v>
      </c>
      <c r="Q4" s="192" t="s">
        <v>790</v>
      </c>
      <c r="R4" s="192" t="s">
        <v>790</v>
      </c>
      <c r="S4" s="192" t="s">
        <v>585</v>
      </c>
      <c r="T4" s="192" t="s">
        <v>585</v>
      </c>
      <c r="U4" s="192" t="s">
        <v>777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698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669</v>
      </c>
      <c r="E6" s="192" t="s">
        <v>669</v>
      </c>
      <c r="F6" s="192" t="s">
        <v>668</v>
      </c>
      <c r="G6" s="192" t="s">
        <v>668</v>
      </c>
      <c r="H6" s="192" t="s">
        <v>698</v>
      </c>
      <c r="I6" s="192" t="s">
        <v>698</v>
      </c>
      <c r="J6" s="192" t="s">
        <v>675</v>
      </c>
      <c r="K6" s="192" t="s">
        <v>675</v>
      </c>
      <c r="L6" s="192" t="s">
        <v>675</v>
      </c>
      <c r="M6" s="193" t="s">
        <v>675</v>
      </c>
      <c r="N6" s="192" t="s">
        <v>668</v>
      </c>
      <c r="O6" s="192" t="s">
        <v>668</v>
      </c>
      <c r="P6" s="192" t="s">
        <v>675</v>
      </c>
      <c r="Q6" s="192" t="s">
        <v>675</v>
      </c>
      <c r="R6" s="192" t="s">
        <v>668</v>
      </c>
      <c r="S6" s="192" t="s">
        <v>669</v>
      </c>
      <c r="T6" s="192" t="s">
        <v>668</v>
      </c>
      <c r="U6" s="192" t="s">
        <v>698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400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400</v>
      </c>
      <c r="E16" s="192" t="s">
        <v>400</v>
      </c>
      <c r="F16" s="192" t="s">
        <v>401</v>
      </c>
      <c r="G16" s="192" t="s">
        <v>401</v>
      </c>
      <c r="H16" s="192" t="s">
        <v>400</v>
      </c>
      <c r="I16" s="192" t="s">
        <v>400</v>
      </c>
      <c r="J16" s="192" t="s">
        <v>398</v>
      </c>
      <c r="K16" s="192" t="s">
        <v>398</v>
      </c>
      <c r="L16" s="192" t="s">
        <v>398</v>
      </c>
      <c r="M16" s="193" t="s">
        <v>398</v>
      </c>
      <c r="N16" s="192" t="s">
        <v>400</v>
      </c>
      <c r="O16" s="192" t="s">
        <v>400</v>
      </c>
      <c r="P16" s="192" t="s">
        <v>398</v>
      </c>
      <c r="Q16" s="192" t="s">
        <v>398</v>
      </c>
      <c r="R16" s="192" t="s">
        <v>400</v>
      </c>
      <c r="S16" s="192" t="s">
        <v>400</v>
      </c>
      <c r="T16" s="192" t="s">
        <v>401</v>
      </c>
      <c r="U16" s="192" t="s">
        <v>400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430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429</v>
      </c>
      <c r="E17" s="192" t="s">
        <v>429</v>
      </c>
      <c r="F17" s="192" t="s">
        <v>429</v>
      </c>
      <c r="G17" s="192" t="s">
        <v>429</v>
      </c>
      <c r="H17" s="192" t="s">
        <v>430</v>
      </c>
      <c r="I17" s="192" t="s">
        <v>430</v>
      </c>
      <c r="J17" s="192" t="s">
        <v>429</v>
      </c>
      <c r="K17" s="192" t="s">
        <v>429</v>
      </c>
      <c r="L17" s="192" t="s">
        <v>429</v>
      </c>
      <c r="M17" s="193" t="s">
        <v>429</v>
      </c>
      <c r="N17" s="192" t="s">
        <v>430</v>
      </c>
      <c r="O17" s="192" t="s">
        <v>430</v>
      </c>
      <c r="P17" s="192" t="s">
        <v>429</v>
      </c>
      <c r="Q17" s="192" t="s">
        <v>429</v>
      </c>
      <c r="R17" s="192" t="s">
        <v>430</v>
      </c>
      <c r="S17" s="192" t="s">
        <v>429</v>
      </c>
      <c r="T17" s="192" t="s">
        <v>429</v>
      </c>
      <c r="U17" s="192" t="s">
        <v>430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367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366</v>
      </c>
      <c r="E18" s="192" t="s">
        <v>366</v>
      </c>
      <c r="F18" s="192" t="s">
        <v>366</v>
      </c>
      <c r="G18" s="192" t="s">
        <v>366</v>
      </c>
      <c r="H18" s="192" t="s">
        <v>367</v>
      </c>
      <c r="I18" s="192" t="s">
        <v>367</v>
      </c>
      <c r="J18" s="192" t="s">
        <v>367</v>
      </c>
      <c r="K18" s="192" t="s">
        <v>367</v>
      </c>
      <c r="L18" s="192" t="s">
        <v>367</v>
      </c>
      <c r="M18" s="193" t="s">
        <v>367</v>
      </c>
      <c r="N18" s="192" t="s">
        <v>367</v>
      </c>
      <c r="O18" s="192" t="s">
        <v>367</v>
      </c>
      <c r="P18" s="192" t="s">
        <v>367</v>
      </c>
      <c r="Q18" s="192" t="s">
        <v>367</v>
      </c>
      <c r="R18" s="192" t="s">
        <v>367</v>
      </c>
      <c r="S18" s="192" t="s">
        <v>366</v>
      </c>
      <c r="T18" s="192" t="s">
        <v>366</v>
      </c>
      <c r="U18" s="192" t="s">
        <v>367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710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712</v>
      </c>
      <c r="E19" s="192" t="s">
        <v>712</v>
      </c>
      <c r="F19" s="192" t="s">
        <v>710</v>
      </c>
      <c r="G19" s="192" t="s">
        <v>710</v>
      </c>
      <c r="H19" s="192" t="s">
        <v>710</v>
      </c>
      <c r="I19" s="192" t="s">
        <v>710</v>
      </c>
      <c r="J19" s="192" t="s">
        <v>710</v>
      </c>
      <c r="K19" s="192" t="s">
        <v>710</v>
      </c>
      <c r="L19" s="192" t="s">
        <v>710</v>
      </c>
      <c r="M19" s="193" t="s">
        <v>710</v>
      </c>
      <c r="N19" s="192" t="s">
        <v>712</v>
      </c>
      <c r="O19" s="192" t="s">
        <v>712</v>
      </c>
      <c r="P19" s="192" t="s">
        <v>710</v>
      </c>
      <c r="Q19" s="192" t="s">
        <v>710</v>
      </c>
      <c r="R19" s="192" t="s">
        <v>712</v>
      </c>
      <c r="S19" s="192" t="s">
        <v>712</v>
      </c>
      <c r="T19" s="192" t="s">
        <v>710</v>
      </c>
      <c r="U19" s="192" t="s">
        <v>710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405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405</v>
      </c>
      <c r="E26" s="192" t="s">
        <v>405</v>
      </c>
      <c r="F26" s="192" t="s">
        <v>405</v>
      </c>
      <c r="G26" s="192" t="s">
        <v>405</v>
      </c>
      <c r="H26" s="192" t="s">
        <v>405</v>
      </c>
      <c r="I26" s="192" t="s">
        <v>405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405</v>
      </c>
      <c r="T26" s="192" t="s">
        <v>405</v>
      </c>
      <c r="U26" s="192" t="s">
        <v>405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518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518</v>
      </c>
      <c r="I27" s="192" t="s">
        <v>518</v>
      </c>
      <c r="J27" s="192" t="s">
        <v>520</v>
      </c>
      <c r="K27" s="192" t="s">
        <v>520</v>
      </c>
      <c r="L27" s="192" t="s">
        <v>519</v>
      </c>
      <c r="M27" s="193" t="s">
        <v>519</v>
      </c>
      <c r="N27" s="192" t="s">
        <v>293</v>
      </c>
      <c r="O27" s="192" t="s">
        <v>293</v>
      </c>
      <c r="P27" s="192" t="s">
        <v>520</v>
      </c>
      <c r="Q27" s="192" t="s">
        <v>519</v>
      </c>
      <c r="R27" s="192" t="s">
        <v>293</v>
      </c>
      <c r="S27" s="192" t="s">
        <v>295</v>
      </c>
      <c r="T27" s="192" t="s">
        <v>294</v>
      </c>
      <c r="U27" s="192" t="s">
        <v>518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416</v>
      </c>
      <c r="E28" s="192" t="s">
        <v>416</v>
      </c>
      <c r="F28" s="192" t="s">
        <v>416</v>
      </c>
      <c r="G28" s="192" t="s">
        <v>416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416</v>
      </c>
      <c r="T28" s="192" t="s">
        <v>416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550</v>
      </c>
      <c r="E40" s="192" t="s">
        <v>550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550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786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786</v>
      </c>
      <c r="E46" s="192" t="s">
        <v>786</v>
      </c>
      <c r="F46" s="192" t="s">
        <v>786</v>
      </c>
      <c r="G46" s="192" t="s">
        <v>786</v>
      </c>
      <c r="H46" s="192" t="s">
        <v>786</v>
      </c>
      <c r="I46" s="192" t="s">
        <v>786</v>
      </c>
      <c r="J46" s="192" t="s">
        <v>786</v>
      </c>
      <c r="K46" s="192" t="s">
        <v>786</v>
      </c>
      <c r="L46" s="192" t="s">
        <v>786</v>
      </c>
      <c r="M46" s="192" t="s">
        <v>786</v>
      </c>
      <c r="N46" s="192" t="s">
        <v>786</v>
      </c>
      <c r="O46" s="192" t="s">
        <v>786</v>
      </c>
      <c r="P46" s="192" t="s">
        <v>786</v>
      </c>
      <c r="Q46" s="192" t="s">
        <v>786</v>
      </c>
      <c r="R46" s="192" t="s">
        <v>786</v>
      </c>
      <c r="S46" s="192" t="s">
        <v>786</v>
      </c>
      <c r="T46" s="192" t="s">
        <v>786</v>
      </c>
      <c r="U46" s="192" t="s">
        <v>786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757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757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Anteil Kühleisen Volumen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Anteil Nachprüfung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Reparaturanteil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826</v>
      </c>
      <c r="B78" s="196" t="str">
        <f t="shared" si="14"/>
        <v>P. Pawar</v>
      </c>
      <c r="C78" s="449" t="str">
        <f>'Quick Input'!I84</f>
        <v>Bearbeiter</v>
      </c>
      <c r="D78" s="197" t="s">
        <v>826</v>
      </c>
      <c r="E78" s="197" t="s">
        <v>826</v>
      </c>
      <c r="F78" s="197" t="s">
        <v>826</v>
      </c>
      <c r="G78" s="197" t="s">
        <v>826</v>
      </c>
      <c r="H78" s="197" t="s">
        <v>826</v>
      </c>
      <c r="I78" s="197" t="s">
        <v>826</v>
      </c>
      <c r="J78" s="197" t="s">
        <v>826</v>
      </c>
      <c r="K78" s="197" t="s">
        <v>826</v>
      </c>
      <c r="L78" s="197" t="s">
        <v>826</v>
      </c>
      <c r="M78" s="198" t="s">
        <v>826</v>
      </c>
      <c r="N78" s="197" t="s">
        <v>826</v>
      </c>
      <c r="O78" s="197" t="s">
        <v>826</v>
      </c>
      <c r="P78" s="197" t="s">
        <v>826</v>
      </c>
      <c r="Q78" s="197" t="s">
        <v>826</v>
      </c>
      <c r="R78" s="197" t="s">
        <v>826</v>
      </c>
      <c r="S78" s="197" t="s">
        <v>826</v>
      </c>
      <c r="T78" s="197" t="s">
        <v>826</v>
      </c>
      <c r="U78" s="197" t="s">
        <v>826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19"/>
  <sheetViews>
    <sheetView tabSelected="1" workbookViewId="0">
      <pane xSplit="4" ySplit="3" topLeftCell="E29" activePane="bottomRight" state="frozenSplit"/>
      <selection activeCell="L30" sqref="L30"/>
      <selection pane="topRight" activeCell="L30" sqref="L30"/>
      <selection pane="bottomLeft" activeCell="L30" sqref="L30"/>
      <selection pane="bottomRight" activeCell="A56" sqref="A56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359</v>
      </c>
      <c r="E3" s="530" t="s">
        <v>450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452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451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451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451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2"/>
    </row>
    <row r="8" spans="2:24" ht="15" x14ac:dyDescent="0.25">
      <c r="B8" s="466">
        <v>43</v>
      </c>
      <c r="C8" s="95" t="s">
        <v>128</v>
      </c>
      <c r="D8" s="98"/>
      <c r="E8" s="535" t="s">
        <v>452</v>
      </c>
      <c r="F8" s="616">
        <f>IFERROR(IF(Refkalkulation!H$113=0,SUM(F$9:F$12),Refkalkulation!H$113),0)</f>
        <v>0.1</v>
      </c>
      <c r="G8" s="7"/>
      <c r="H8" s="7"/>
      <c r="I8" s="616">
        <f>IFERROR(IF(Refkalkulation!K$113=0,SUM(I$9:I$12),Refkalkulation!K$113),0)</f>
        <v>0.1</v>
      </c>
      <c r="J8" s="7"/>
      <c r="K8" s="7"/>
      <c r="L8" s="616">
        <f>IFERROR(IF(Refkalkulation!N$113=0,SUM(L$9:L$12),Refkalkulation!N$113),0)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451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451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451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451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2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452</v>
      </c>
      <c r="F13" s="616">
        <f>IFERROR(IF(Refkalkulation!H$123=0,'Länder-DB'!$I$25*F$14,Refkalkulation!H$123),0)</f>
        <v>0</v>
      </c>
      <c r="G13" s="7"/>
      <c r="H13" s="7"/>
      <c r="I13" s="616">
        <f>IFERROR(IF(Refkalkulation!K$123=0,'Länder-DB'!$I$25*I$14,Refkalkulation!K$123),0)</f>
        <v>0</v>
      </c>
      <c r="J13" s="7"/>
      <c r="K13" s="7"/>
      <c r="L13" s="616">
        <f>IFERROR(IF(Refkalkulation!N$123=0,'Länder-DB'!$I$25*L$14,Refkalkulation!N$123),0)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507</v>
      </c>
      <c r="D14" s="734">
        <v>0.15</v>
      </c>
      <c r="E14" s="530" t="s">
        <v>451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2"/>
    </row>
    <row r="15" spans="2:24" ht="15" x14ac:dyDescent="0.25">
      <c r="B15" s="466">
        <v>32</v>
      </c>
      <c r="C15" s="95" t="s">
        <v>231</v>
      </c>
      <c r="D15" s="98"/>
      <c r="E15" s="535" t="s">
        <v>452</v>
      </c>
      <c r="F15" s="616">
        <f>IFERROR(IF(Refkalkulation!H$124=0,SUM(F$16:F$18),Refkalkulation!H$124),0)</f>
        <v>0.08</v>
      </c>
      <c r="G15" s="7"/>
      <c r="H15" s="7"/>
      <c r="I15" s="616">
        <f>IFERROR(IF(Refkalkulation!K$124=0,SUM(I$16:I$18),Refkalkulation!K$124),0)</f>
        <v>0.09</v>
      </c>
      <c r="J15" s="7"/>
      <c r="K15" s="7"/>
      <c r="L15" s="616">
        <f>IFERROR(IF(Refkalkulation!N$124=0,SUM(L$16:L$18),Refkalkulation!N$124),0)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451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6">
        <v>32</v>
      </c>
      <c r="C17" s="96" t="s">
        <v>124</v>
      </c>
      <c r="D17" s="100" t="s">
        <v>356</v>
      </c>
      <c r="E17" s="530" t="s">
        <v>451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6">
        <v>32</v>
      </c>
      <c r="C18" s="96" t="s">
        <v>123</v>
      </c>
      <c r="D18" s="100" t="s">
        <v>356</v>
      </c>
      <c r="E18" s="530" t="s">
        <v>451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10">
        <v>35</v>
      </c>
      <c r="C19" s="95" t="s">
        <v>608</v>
      </c>
      <c r="D19" s="98"/>
      <c r="E19" s="535" t="s">
        <v>452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5" x14ac:dyDescent="0.2">
      <c r="B20" s="466">
        <v>35</v>
      </c>
      <c r="C20" s="96" t="s">
        <v>269</v>
      </c>
      <c r="D20" s="100" t="s">
        <v>94</v>
      </c>
      <c r="E20" s="530" t="s">
        <v>452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5" x14ac:dyDescent="0.2">
      <c r="B21" s="466">
        <v>35</v>
      </c>
      <c r="C21" s="96" t="s">
        <v>270</v>
      </c>
      <c r="D21" s="100" t="s">
        <v>94</v>
      </c>
      <c r="E21" s="530" t="s">
        <v>452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5" ht="15" thickBot="1" x14ac:dyDescent="0.25">
      <c r="B22" s="511">
        <v>35</v>
      </c>
      <c r="C22" s="97" t="s">
        <v>271</v>
      </c>
      <c r="D22" s="102" t="s">
        <v>94</v>
      </c>
      <c r="E22" s="531" t="s">
        <v>452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5" ht="15" x14ac:dyDescent="0.25">
      <c r="B23" s="466">
        <v>15</v>
      </c>
      <c r="C23" s="95" t="s">
        <v>363</v>
      </c>
      <c r="D23" s="98" t="s">
        <v>94</v>
      </c>
      <c r="E23" s="535" t="s">
        <v>452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5" x14ac:dyDescent="0.2">
      <c r="B24" s="466">
        <v>15</v>
      </c>
      <c r="C24" s="96" t="s">
        <v>364</v>
      </c>
      <c r="D24" s="100" t="s">
        <v>94</v>
      </c>
      <c r="E24" s="530" t="s">
        <v>451</v>
      </c>
      <c r="F24" s="153">
        <f>VLOOKUP(F$111,DB_Ofen,15,FALSE)</f>
        <v>1.7999999999999999E-2</v>
      </c>
      <c r="G24" s="10"/>
      <c r="H24" s="10"/>
      <c r="I24" s="153">
        <f>VLOOKUP(I$111,DB_Ofen,15,FALSE)</f>
        <v>1.7999999999999999E-2</v>
      </c>
      <c r="J24" s="10"/>
      <c r="K24" s="10"/>
      <c r="L24" s="153">
        <f>VLOOKUP(L$111,DB_Ofen,15,FALSE)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6">
        <v>15</v>
      </c>
      <c r="C25" s="96" t="s">
        <v>123</v>
      </c>
      <c r="D25" s="100" t="s">
        <v>94</v>
      </c>
      <c r="E25" s="530" t="s">
        <v>451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6">
        <v>15</v>
      </c>
      <c r="C26" s="97" t="s">
        <v>124</v>
      </c>
      <c r="D26" s="102" t="s">
        <v>413</v>
      </c>
      <c r="E26" s="531" t="s">
        <v>451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6">
        <v>30</v>
      </c>
      <c r="C27" s="95" t="s">
        <v>130</v>
      </c>
      <c r="D27" s="98">
        <v>1</v>
      </c>
      <c r="E27" s="535" t="s">
        <v>452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1041</v>
      </c>
      <c r="D28" s="98" t="s">
        <v>452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18"/>
      <c r="X28" s="718"/>
      <c r="Y28" s="718"/>
    </row>
    <row r="29" spans="2:25" x14ac:dyDescent="0.2">
      <c r="B29" s="17">
        <v>7</v>
      </c>
      <c r="C29" s="96" t="s">
        <v>139</v>
      </c>
      <c r="D29" s="100" t="s">
        <v>1026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18"/>
      <c r="X29" s="718"/>
      <c r="Y29" s="718"/>
    </row>
    <row r="30" spans="2:25" x14ac:dyDescent="0.2">
      <c r="B30" s="17">
        <v>7</v>
      </c>
      <c r="C30" s="96" t="s">
        <v>131</v>
      </c>
      <c r="D30" s="100" t="s">
        <v>1026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18"/>
      <c r="X30" s="718"/>
      <c r="Y30" s="718"/>
    </row>
    <row r="31" spans="2:25" x14ac:dyDescent="0.2">
      <c r="B31" s="17">
        <v>7</v>
      </c>
      <c r="C31" s="96" t="s">
        <v>132</v>
      </c>
      <c r="D31" s="100" t="s">
        <v>1026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18"/>
      <c r="X31" s="718"/>
      <c r="Y31" s="718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18"/>
      <c r="X32" s="718"/>
      <c r="Y32" s="718"/>
    </row>
    <row r="33" spans="2:25" x14ac:dyDescent="0.2">
      <c r="B33" s="466">
        <v>30</v>
      </c>
      <c r="C33" s="96" t="s">
        <v>123</v>
      </c>
      <c r="D33" s="100" t="s">
        <v>386</v>
      </c>
      <c r="E33" s="530" t="s">
        <v>451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3"/>
    </row>
    <row r="34" spans="2:25" x14ac:dyDescent="0.2">
      <c r="B34" s="466">
        <v>30</v>
      </c>
      <c r="C34" s="96" t="s">
        <v>124</v>
      </c>
      <c r="D34" s="100"/>
      <c r="E34" s="530" t="s">
        <v>451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3"/>
    </row>
    <row r="35" spans="2:25" ht="15" thickBot="1" x14ac:dyDescent="0.25">
      <c r="B35" s="466">
        <v>30</v>
      </c>
      <c r="C35" s="96" t="s">
        <v>129</v>
      </c>
      <c r="D35" s="100"/>
      <c r="E35" s="530" t="s">
        <v>451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43"/>
    </row>
    <row r="36" spans="2:25" ht="15" x14ac:dyDescent="0.25">
      <c r="B36" s="466"/>
      <c r="C36" s="95" t="s">
        <v>136</v>
      </c>
      <c r="D36" s="98"/>
      <c r="E36" s="529"/>
      <c r="F36" s="156">
        <f>F$28*(1+F$37)*F$45</f>
        <v>2103.6000000000004</v>
      </c>
      <c r="G36" s="7"/>
      <c r="H36" s="7"/>
      <c r="I36" s="156">
        <f>I$28*(1+I$37)*I$45</f>
        <v>1893.2400000000002</v>
      </c>
      <c r="J36" s="7"/>
      <c r="K36" s="7"/>
      <c r="L36" s="156">
        <f>L$28*(1+L$37)*L$45</f>
        <v>1893.2400000000002</v>
      </c>
      <c r="M36" s="7"/>
      <c r="N36" s="7"/>
      <c r="O36" s="156"/>
      <c r="P36" s="28"/>
      <c r="Q36" s="28"/>
      <c r="R36" s="156"/>
      <c r="S36" s="28"/>
      <c r="T36" s="28"/>
      <c r="U36" s="156"/>
      <c r="V36" s="8"/>
    </row>
    <row r="37" spans="2:25" ht="15" thickBot="1" x14ac:dyDescent="0.25">
      <c r="B37" s="466">
        <f>B36</f>
        <v>0</v>
      </c>
      <c r="C37" s="96" t="s">
        <v>134</v>
      </c>
      <c r="D37" s="100"/>
      <c r="E37" s="530" t="s">
        <v>451</v>
      </c>
      <c r="F37" s="149">
        <f>5%+F$60*1.5%</f>
        <v>5.1800000000000006E-2</v>
      </c>
      <c r="G37" s="10"/>
      <c r="H37" s="10"/>
      <c r="I37" s="149">
        <f>5%+I$60*1.5%</f>
        <v>5.1800000000000006E-2</v>
      </c>
      <c r="J37" s="10"/>
      <c r="K37" s="10"/>
      <c r="L37" s="149">
        <f>5%+L$60*1.5%</f>
        <v>5.1800000000000006E-2</v>
      </c>
      <c r="M37" s="10"/>
      <c r="N37" s="10"/>
      <c r="O37" s="149"/>
      <c r="P37" s="10"/>
      <c r="Q37" s="10"/>
      <c r="R37" s="149"/>
      <c r="S37" s="10"/>
      <c r="T37" s="10"/>
      <c r="U37" s="149"/>
      <c r="V37" s="1142"/>
    </row>
    <row r="38" spans="2:25" ht="15" x14ac:dyDescent="0.25">
      <c r="B38" s="466">
        <v>6</v>
      </c>
      <c r="C38" s="95" t="s">
        <v>455</v>
      </c>
      <c r="D38" s="98" t="s">
        <v>94</v>
      </c>
      <c r="E38" s="535" t="s">
        <v>452</v>
      </c>
      <c r="F38" s="345" t="e">
        <f>#REF!*'Quick Input'!M$16/10000</f>
        <v>#REF!</v>
      </c>
      <c r="G38" s="7"/>
      <c r="H38" s="7"/>
      <c r="I38" s="345" t="e">
        <f>#REF!*'Quick Input'!P$16/10000</f>
        <v>#REF!</v>
      </c>
      <c r="J38" s="7"/>
      <c r="K38" s="7"/>
      <c r="L38" s="345" t="e">
        <f>#REF!*'Quick Input'!S$16/10000</f>
        <v>#REF!</v>
      </c>
      <c r="M38" s="7"/>
      <c r="N38" s="7"/>
      <c r="O38" s="345"/>
      <c r="P38" s="28"/>
      <c r="Q38" s="28"/>
      <c r="R38" s="345"/>
      <c r="S38" s="28"/>
      <c r="T38" s="28"/>
      <c r="U38" s="345"/>
      <c r="V38" s="11"/>
    </row>
    <row r="39" spans="2:25" x14ac:dyDescent="0.2">
      <c r="B39" s="466">
        <v>6</v>
      </c>
      <c r="C39" s="96" t="s">
        <v>460</v>
      </c>
      <c r="D39" s="100" t="s">
        <v>94</v>
      </c>
      <c r="E39" s="530" t="s">
        <v>452</v>
      </c>
      <c r="F39" s="159" t="e">
        <f>F$38*VLOOKUP('Quick Input'!M$10,DB_Material,5,FALSE)</f>
        <v>#REF!</v>
      </c>
      <c r="G39" s="10"/>
      <c r="H39" s="10"/>
      <c r="I39" s="159" t="e">
        <f>I$38*VLOOKUP('Quick Input'!P$10,DB_Material,5,FALSE)</f>
        <v>#REF!</v>
      </c>
      <c r="J39" s="10"/>
      <c r="K39" s="10"/>
      <c r="L39" s="159" t="e">
        <f>L$38*VLOOKUP('Quick Input'!S$10,DB_Material,5,FALSE)</f>
        <v>#REF!</v>
      </c>
      <c r="M39" s="10"/>
      <c r="N39" s="10"/>
      <c r="O39" s="159"/>
      <c r="P39" s="10"/>
      <c r="Q39" s="10"/>
      <c r="R39" s="159"/>
      <c r="S39" s="10"/>
      <c r="T39" s="10"/>
      <c r="U39" s="159"/>
      <c r="V39" s="5"/>
    </row>
    <row r="40" spans="2:25" ht="15" thickBot="1" x14ac:dyDescent="0.25">
      <c r="B40" s="466">
        <v>6</v>
      </c>
      <c r="C40" s="96" t="s">
        <v>133</v>
      </c>
      <c r="D40" s="100" t="s">
        <v>94</v>
      </c>
      <c r="E40" s="530" t="s">
        <v>452</v>
      </c>
      <c r="F40" s="160" t="e">
        <f>'Quick Input'!M$20/(#REF!*#REF!*'Quick Input'!M$16/10)</f>
        <v>#REF!</v>
      </c>
      <c r="G40" s="10"/>
      <c r="H40" s="10"/>
      <c r="I40" s="160" t="e">
        <f>'Quick Input'!P$20/(#REF!*#REF!*'Quick Input'!P$16/10)</f>
        <v>#REF!</v>
      </c>
      <c r="J40" s="10"/>
      <c r="K40" s="10"/>
      <c r="L40" s="160" t="e">
        <f>'Quick Input'!S$20/(#REF!*#REF!*'Quick Input'!S$16/10)</f>
        <v>#REF!</v>
      </c>
      <c r="M40" s="10"/>
      <c r="N40" s="10"/>
      <c r="O40" s="160"/>
      <c r="P40" s="4"/>
      <c r="Q40" s="4"/>
      <c r="R40" s="160"/>
      <c r="S40" s="4"/>
      <c r="T40" s="4"/>
      <c r="U40" s="160"/>
      <c r="V40" s="1143"/>
    </row>
    <row r="41" spans="2:25" ht="15" x14ac:dyDescent="0.25">
      <c r="B41" s="466">
        <v>3</v>
      </c>
      <c r="C41" s="95" t="s">
        <v>387</v>
      </c>
      <c r="D41" s="98">
        <v>1</v>
      </c>
      <c r="E41" s="535" t="s">
        <v>452</v>
      </c>
      <c r="F41" s="345">
        <f>(F$42+F$44)*F$45</f>
        <v>49.2</v>
      </c>
      <c r="G41" s="7"/>
      <c r="H41" s="7"/>
      <c r="I41" s="345">
        <f>(I$42+I$44)*I$45</f>
        <v>6.15</v>
      </c>
      <c r="J41" s="7"/>
      <c r="K41" s="7"/>
      <c r="L41" s="345">
        <f>(L$42+L$44)*L$45</f>
        <v>8.15</v>
      </c>
      <c r="M41" s="7"/>
      <c r="N41" s="7"/>
      <c r="O41" s="345"/>
      <c r="P41" s="7"/>
      <c r="Q41" s="7"/>
      <c r="R41" s="345"/>
      <c r="S41" s="7"/>
      <c r="T41" s="7"/>
      <c r="U41" s="345"/>
      <c r="V41" s="11"/>
    </row>
    <row r="42" spans="2:25" x14ac:dyDescent="0.2">
      <c r="B42" s="466">
        <v>3</v>
      </c>
      <c r="C42" s="96" t="s">
        <v>362</v>
      </c>
      <c r="D42" s="100">
        <v>1</v>
      </c>
      <c r="E42" s="530" t="s">
        <v>452</v>
      </c>
      <c r="F42" s="159">
        <f>'Quick Input'!M$19</f>
        <v>40</v>
      </c>
      <c r="G42" s="10"/>
      <c r="H42" s="10"/>
      <c r="I42" s="159">
        <f>'Quick Input'!P$19</f>
        <v>5</v>
      </c>
      <c r="J42" s="10"/>
      <c r="K42" s="10"/>
      <c r="L42" s="159">
        <f>'Quick Input'!S$19</f>
        <v>5</v>
      </c>
      <c r="M42" s="10"/>
      <c r="N42" s="10"/>
      <c r="O42" s="159"/>
      <c r="P42" s="10"/>
      <c r="Q42" s="10"/>
      <c r="R42" s="159"/>
      <c r="S42" s="10"/>
      <c r="T42" s="10"/>
      <c r="U42" s="159"/>
      <c r="V42" s="11"/>
    </row>
    <row r="43" spans="2:25" ht="15" x14ac:dyDescent="0.25">
      <c r="B43" s="466">
        <v>3</v>
      </c>
      <c r="C43" s="96" t="s">
        <v>267</v>
      </c>
      <c r="D43" s="541" t="s">
        <v>386</v>
      </c>
      <c r="E43" s="530" t="s">
        <v>451</v>
      </c>
      <c r="F43" s="201">
        <f>6%+27%*(VLOOKUP(F54,Auswahlfelder!$D$36:$E$38,2,FALSE)-1)+11%*F233+3%*F239</f>
        <v>0.22999999999999998</v>
      </c>
      <c r="G43" s="10"/>
      <c r="H43" s="10"/>
      <c r="I43" s="201">
        <f>6%+27%*(VLOOKUP(I54,Auswahlfelder!$D$36:$E$38,2,FALSE)-1)+11%*I233+3%*I239</f>
        <v>0.22999999999999998</v>
      </c>
      <c r="J43" s="10"/>
      <c r="K43" s="10"/>
      <c r="L43" s="201">
        <f>6%+27%*(VLOOKUP(L54,Auswahlfelder!$D$36:$E$38,2,FALSE)-1)+11%*L233+3%*L239</f>
        <v>0.63000000000000012</v>
      </c>
      <c r="M43" s="10"/>
      <c r="N43" s="10"/>
      <c r="O43" s="201"/>
      <c r="P43" s="10"/>
      <c r="Q43" s="10"/>
      <c r="R43" s="201"/>
      <c r="S43" s="10"/>
      <c r="T43" s="10"/>
      <c r="U43" s="201"/>
      <c r="V43" s="11"/>
      <c r="X43" s="503"/>
    </row>
    <row r="44" spans="2:25" x14ac:dyDescent="0.2">
      <c r="B44" s="466">
        <v>3</v>
      </c>
      <c r="C44" s="96" t="s">
        <v>431</v>
      </c>
      <c r="D44" s="100">
        <v>1</v>
      </c>
      <c r="E44" s="530" t="s">
        <v>451</v>
      </c>
      <c r="F44" s="159">
        <f>F$42*F$43</f>
        <v>9.1999999999999993</v>
      </c>
      <c r="G44" s="10"/>
      <c r="H44" s="10"/>
      <c r="I44" s="159">
        <f>I$42*I$43</f>
        <v>1.1499999999999999</v>
      </c>
      <c r="J44" s="10"/>
      <c r="K44" s="10"/>
      <c r="L44" s="159">
        <f>L$42*L$43</f>
        <v>3.1500000000000004</v>
      </c>
      <c r="M44" s="10"/>
      <c r="N44" s="10"/>
      <c r="O44" s="159"/>
      <c r="P44" s="10"/>
      <c r="Q44" s="10"/>
      <c r="R44" s="159"/>
      <c r="S44" s="10"/>
      <c r="T44" s="10"/>
      <c r="U44" s="159"/>
      <c r="V44" s="11"/>
    </row>
    <row r="45" spans="2:25" ht="15" thickBot="1" x14ac:dyDescent="0.25">
      <c r="B45" s="466">
        <v>3</v>
      </c>
      <c r="C45" s="96" t="s">
        <v>1042</v>
      </c>
      <c r="D45" s="100"/>
      <c r="E45" s="530" t="s">
        <v>451</v>
      </c>
      <c r="F45" s="162">
        <f>Refkalkulation!H49</f>
        <v>1</v>
      </c>
      <c r="G45" s="10"/>
      <c r="H45" s="10"/>
      <c r="I45" s="162">
        <f>Refkalkulation!K49</f>
        <v>1</v>
      </c>
      <c r="J45" s="10"/>
      <c r="K45" s="10"/>
      <c r="L45" s="162">
        <f>Refkalkulation!N49</f>
        <v>1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3"/>
    </row>
    <row r="46" spans="2:25" ht="15" x14ac:dyDescent="0.25">
      <c r="B46" s="14">
        <v>47</v>
      </c>
      <c r="C46" s="95" t="s">
        <v>1048</v>
      </c>
      <c r="D46" s="98" t="s">
        <v>94</v>
      </c>
      <c r="E46" s="6"/>
      <c r="F46" s="202">
        <f>2*F$42+(F$43-1)*(1.5+F$42/4)+F$43*F$30+F$230*F$233</f>
        <v>80.344999999999999</v>
      </c>
      <c r="G46" s="7"/>
      <c r="H46" s="7"/>
      <c r="I46" s="202">
        <f>2*I$42+(I$43-1)*(1.5+I$42/4)+I$43*I$30+I$230*I$233</f>
        <v>17.0825</v>
      </c>
      <c r="J46" s="7"/>
      <c r="K46" s="7"/>
      <c r="L46" s="202">
        <f>2*L$42+(L$43-1)*(1.5+L$42/4)+L$43*L$30+L$230*L$233</f>
        <v>34.182500000000005</v>
      </c>
      <c r="M46" s="7"/>
      <c r="N46" s="7"/>
      <c r="O46" s="202" t="e">
        <f>2*O$42+(O$43-1)*(1.5+O$42/4)+O$43*O$30+O$230*O$233</f>
        <v>#N/A</v>
      </c>
      <c r="P46" s="28"/>
      <c r="Q46" s="28"/>
      <c r="R46" s="202" t="e">
        <f>2*R$42+(R$43-1)*(1.5+R$42/4)+R$43*R$30+R$230*R$233</f>
        <v>#N/A</v>
      </c>
      <c r="S46" s="28"/>
      <c r="T46" s="28"/>
      <c r="U46" s="202" t="e">
        <f>2*U$42+(U$43-1)*(1.5+U$42/4)+U$43*U$30+U$230*U$233</f>
        <v>#N/A</v>
      </c>
      <c r="V46" s="8"/>
      <c r="W46" s="718"/>
      <c r="X46" s="718"/>
      <c r="Y46" s="718"/>
    </row>
    <row r="47" spans="2:25" ht="15" x14ac:dyDescent="0.25">
      <c r="B47" s="17">
        <v>47</v>
      </c>
      <c r="C47" s="99" t="s">
        <v>1049</v>
      </c>
      <c r="D47" s="100" t="s">
        <v>94</v>
      </c>
      <c r="E47" s="9"/>
      <c r="F47" s="203">
        <f>2*F$42+(F$44-1)*(1.5+F$42/4)+F$44*F$29+F$225*F$229</f>
        <v>634.29999999999995</v>
      </c>
      <c r="G47" s="22"/>
      <c r="H47" s="22"/>
      <c r="I47" s="203">
        <f>2*I$42+(I$44-1)*(1.5+I$42/4)+I$44*I$29+I$225*I$229</f>
        <v>67.912499999999994</v>
      </c>
      <c r="J47" s="22"/>
      <c r="K47" s="22"/>
      <c r="L47" s="203">
        <f>2*L$42+(L$44-1)*(1.5+L$42/4)+L$44*L$29+L$225*L$229</f>
        <v>173.41250000000002</v>
      </c>
      <c r="M47" s="22"/>
      <c r="N47" s="22"/>
      <c r="O47" s="203">
        <f>2*O$42+(O$44-1)*(1.5+O$42/4)+O$44*O$29+O$225*O$229</f>
        <v>-1.5</v>
      </c>
      <c r="R47" s="203">
        <f>2*R$42+(R$44-1)*(1.5+R$42/4)+R$44*R$29+R$225*R$229</f>
        <v>-1.5</v>
      </c>
      <c r="U47" s="203">
        <f>2*U$42+(U$44-1)*(1.5+U$42/4)+U$44*U$29+U$225*U$229</f>
        <v>-1.5</v>
      </c>
      <c r="V47" s="11"/>
      <c r="W47" s="718"/>
      <c r="X47" s="718"/>
      <c r="Y47" s="718"/>
    </row>
    <row r="48" spans="2:25" x14ac:dyDescent="0.2">
      <c r="B48" s="17">
        <v>47</v>
      </c>
      <c r="C48" s="96" t="s">
        <v>1050</v>
      </c>
      <c r="D48" s="100" t="s">
        <v>386</v>
      </c>
      <c r="E48" s="9"/>
      <c r="F48" s="157">
        <f>SQRT(F$30)+2*VLOOKUP('Quick Input'!M$21,Auswahlfelder!$D$16:$E$19,2,FALSE)+F$233*F$236</f>
        <v>22.32455532033676</v>
      </c>
      <c r="G48" s="22"/>
      <c r="H48" s="22"/>
      <c r="I48" s="157">
        <f>SQRT(I$30)+2*VLOOKUP('Quick Input'!P$21,Auswahlfelder!$D$16:$E$19,2,FALSE)+I$233*I$236</f>
        <v>22.32455532033676</v>
      </c>
      <c r="J48" s="22"/>
      <c r="K48" s="22"/>
      <c r="L48" s="157">
        <f>SQRT(L$30)+2*VLOOKUP('Quick Input'!S$21,Auswahlfelder!$D$16:$E$19,2,FALSE)+L$233*L$236</f>
        <v>10.32455532033676</v>
      </c>
      <c r="M48" s="22"/>
      <c r="N48" s="22"/>
      <c r="O48" s="157">
        <f>SQRT(O$30)+2*VLOOKUP('[3]Quick Input'!V$21,[3]Auswahlfelder!$D$16:$E$19,2,FALSE)+O$221*O$224</f>
        <v>2</v>
      </c>
      <c r="P48" s="22"/>
      <c r="Q48" s="22"/>
      <c r="R48" s="157">
        <f>SQRT(R$30)+2*VLOOKUP('[3]Quick Input'!Y$21,[3]Auswahlfelder!$D$16:$E$19,2,FALSE)+R$221*R$224</f>
        <v>2</v>
      </c>
      <c r="S48" s="22"/>
      <c r="T48" s="22"/>
      <c r="U48" s="157">
        <f>SQRT(U$30)+2*VLOOKUP('[3]Quick Input'!AB$21,[3]Auswahlfelder!$D$16:$E$19,2,FALSE)+U$221*U$224</f>
        <v>2</v>
      </c>
      <c r="V48" s="11"/>
      <c r="W48" s="718"/>
      <c r="X48" s="718"/>
      <c r="Y48" s="718"/>
    </row>
    <row r="49" spans="2:25" x14ac:dyDescent="0.2">
      <c r="B49" s="17">
        <v>47</v>
      </c>
      <c r="C49" s="96" t="s">
        <v>1051</v>
      </c>
      <c r="D49" s="100" t="s">
        <v>94</v>
      </c>
      <c r="E49" s="9"/>
      <c r="F49" s="158">
        <f>IF(F$29&lt;2.5*F$30,ROUNDUP(SQRT(F$45),0),MIN(F$45,ROUNDUP(1.8*SQRT(F$45),0)))</f>
        <v>1</v>
      </c>
      <c r="G49" s="22"/>
      <c r="H49" s="22"/>
      <c r="I49" s="158">
        <f>IF(I$29&lt;2.5*I$30,ROUNDUP(SQRT(I$45),0),MIN(I$45,ROUNDUP(1.8*SQRT(I$45),0)))</f>
        <v>1</v>
      </c>
      <c r="J49" s="22"/>
      <c r="K49" s="22"/>
      <c r="L49" s="158">
        <f>IF(L$29&lt;2.5*L$30,ROUNDUP(SQRT(L$45),0),MIN(L$45,ROUNDUP(1.8*SQRT(L$45),0)))</f>
        <v>1</v>
      </c>
      <c r="M49" s="22"/>
      <c r="N49" s="22"/>
      <c r="O49" s="158">
        <f>IF(O$29&lt;2.5*O$30,ROUNDUP(SQRT(O$39),0),MIN(O$39,ROUNDUP(1.8*SQRT(O$39),0)))</f>
        <v>0</v>
      </c>
      <c r="P49" s="22"/>
      <c r="Q49" s="22"/>
      <c r="R49" s="158">
        <f>IF(R$29&lt;2.5*R$30,ROUNDUP(SQRT(R$39),0),MIN(R$39,ROUNDUP(1.8*SQRT(R$39),0)))</f>
        <v>0</v>
      </c>
      <c r="S49" s="22"/>
      <c r="T49" s="22"/>
      <c r="U49" s="158">
        <f>IF(U$29&lt;2.5*U$30,ROUNDUP(SQRT(U$39),0),MIN(U$39,ROUNDUP(1.8*SQRT(U$39),0)))</f>
        <v>0</v>
      </c>
      <c r="V49" s="11"/>
      <c r="W49" s="718"/>
      <c r="X49" s="718"/>
      <c r="Y49" s="718"/>
    </row>
    <row r="50" spans="2:25" x14ac:dyDescent="0.2">
      <c r="B50" s="17">
        <v>47</v>
      </c>
      <c r="C50" s="96" t="s">
        <v>1052</v>
      </c>
      <c r="D50" s="100" t="s">
        <v>94</v>
      </c>
      <c r="E50" s="9"/>
      <c r="F50" s="158">
        <f>ROUNDUP(F$45/F$49,0)</f>
        <v>1</v>
      </c>
      <c r="G50" s="22"/>
      <c r="H50" s="22"/>
      <c r="I50" s="158">
        <f>ROUNDUP(I$45/I$49,0)</f>
        <v>1</v>
      </c>
      <c r="J50" s="22"/>
      <c r="K50" s="22"/>
      <c r="L50" s="158">
        <f>ROUNDUP(L$45/L$49,0)</f>
        <v>1</v>
      </c>
      <c r="M50" s="22"/>
      <c r="N50" s="22"/>
      <c r="O50" s="158" t="e">
        <f>ROUNDUP(O$39/O$43,0)</f>
        <v>#DIV/0!</v>
      </c>
      <c r="R50" s="158" t="e">
        <f>ROUNDUP(R$39/R$43,0)</f>
        <v>#DIV/0!</v>
      </c>
      <c r="U50" s="158" t="e">
        <f>ROUNDUP(U$39/U$43,0)</f>
        <v>#DIV/0!</v>
      </c>
      <c r="V50" s="5"/>
      <c r="W50" s="718"/>
      <c r="X50" s="718"/>
      <c r="Y50" s="718"/>
    </row>
    <row r="51" spans="2:25" ht="15" thickBot="1" x14ac:dyDescent="0.25">
      <c r="B51" s="285">
        <v>47</v>
      </c>
      <c r="C51" s="97" t="s">
        <v>1053</v>
      </c>
      <c r="D51" s="102" t="s">
        <v>1026</v>
      </c>
      <c r="E51" s="12"/>
      <c r="F51" s="343">
        <f>F$36/(F$46*F$47)</f>
        <v>4.127713974145493E-2</v>
      </c>
      <c r="G51" s="13"/>
      <c r="H51" s="13"/>
      <c r="I51" s="343">
        <f>I$36/(I$46*I$47)</f>
        <v>1.6319412653198342</v>
      </c>
      <c r="J51" s="13"/>
      <c r="K51" s="13"/>
      <c r="L51" s="343">
        <f>L$36/(L$46*L$47)</f>
        <v>0.3193900996000596</v>
      </c>
      <c r="M51" s="13"/>
      <c r="N51" s="13"/>
      <c r="O51" s="343" t="e">
        <f>O$33/(O$40*O$41)</f>
        <v>#DIV/0!</v>
      </c>
      <c r="P51" s="27"/>
      <c r="Q51" s="27"/>
      <c r="R51" s="343" t="e">
        <f>R$33/(R$40*R$41)</f>
        <v>#DIV/0!</v>
      </c>
      <c r="S51" s="27"/>
      <c r="T51" s="27"/>
      <c r="U51" s="343" t="e">
        <f>U$33/(U$40*U$41)</f>
        <v>#DIV/0!</v>
      </c>
      <c r="V51" s="32"/>
      <c r="W51" s="718"/>
      <c r="X51" s="718"/>
      <c r="Y51" s="718"/>
    </row>
    <row r="52" spans="2:25" ht="15" x14ac:dyDescent="0.25">
      <c r="B52" s="17">
        <v>25</v>
      </c>
      <c r="C52" s="95" t="s">
        <v>1023</v>
      </c>
      <c r="D52" s="98" t="s">
        <v>94</v>
      </c>
      <c r="E52" s="6"/>
      <c r="F52" s="161">
        <f>MAX(F55,MIN(F56,Refkalkulation!H51+IF(VLOOKUP(Refkalkulation!H51,DB_Maschinen,5,FALSE)&lt;F41*10,1,0)))</f>
        <v>3</v>
      </c>
      <c r="G52" s="418"/>
      <c r="H52" s="419"/>
      <c r="I52" s="161">
        <f>MAX(I55,MIN(I56,Refkalkulation!K51+IF(VLOOKUP(Refkalkulation!K51,DB_Maschinen,5,FALSE)&lt;I41*10,1,0)))</f>
        <v>3</v>
      </c>
      <c r="J52" s="418"/>
      <c r="K52" s="419"/>
      <c r="L52" s="161">
        <f>MAX(L55,MIN(L56,Refkalkulation!N51+IF(VLOOKUP(Refkalkulation!N51,DB_Maschinen,5,FALSE)&lt;L41*10,1,0)))</f>
        <v>7</v>
      </c>
      <c r="M52" s="418"/>
      <c r="N52" s="419"/>
      <c r="O52" s="161">
        <f>MAX(O55,MIN(O56,[3]Refkalkulation!Q50+IF(VLOOKUP([3]Refkalkulation!Q50,DB_Maschinen,5,FALSE)&lt;O41*10,1,0)))</f>
        <v>3</v>
      </c>
      <c r="P52" s="418"/>
      <c r="Q52" s="419"/>
      <c r="R52" s="161">
        <f>MAX(R55,MIN(R56,[3]Refkalkulation!T50+IF(VLOOKUP([3]Refkalkulation!T50,DB_Maschinen,5,FALSE)&lt;R41*10,1,0)))</f>
        <v>3</v>
      </c>
      <c r="S52" s="418"/>
      <c r="T52" s="419"/>
      <c r="U52" s="161">
        <f>MAX(U55,MIN(U56,[3]Refkalkulation!W50+IF(VLOOKUP([3]Refkalkulation!W50,DB_Maschinen,5,FALSE)&lt;U41*10,1,0)))</f>
        <v>3</v>
      </c>
      <c r="V52" s="11"/>
      <c r="W52" s="718"/>
      <c r="X52" s="718"/>
      <c r="Y52" s="1212"/>
    </row>
    <row r="53" spans="2:25" x14ac:dyDescent="0.2">
      <c r="B53" s="17">
        <v>3</v>
      </c>
      <c r="C53" s="96" t="s">
        <v>1024</v>
      </c>
      <c r="D53" s="100" t="s">
        <v>94</v>
      </c>
      <c r="E53" s="9"/>
      <c r="F53" s="1213">
        <f>IFERROR(IF(Refkalkulation!H$51=0,F$52,IF(AND(Refkalkulation!H$51&gt;=F55,Refkalkulation!H$51&lt;=F56),Refkalkulation!H$51,F$52)),F$55)</f>
        <v>3</v>
      </c>
      <c r="G53" s="1214" t="s">
        <v>284</v>
      </c>
      <c r="H53" s="421"/>
      <c r="I53" s="1213">
        <f>IFERROR(IF(Refkalkulation!K$51=0,I$52,IF(AND(Refkalkulation!K$51&gt;=I55,Refkalkulation!K$51&lt;=I56),Refkalkulation!K$51,I$52)),I$55)</f>
        <v>3</v>
      </c>
      <c r="J53" s="1214" t="s">
        <v>284</v>
      </c>
      <c r="K53" s="421"/>
      <c r="L53" s="1213">
        <f>IFERROR(IF(Refkalkulation!N$51=0,L$52,IF(AND(Refkalkulation!N$51&gt;=L55,Refkalkulation!N$51&lt;=L56),Refkalkulation!N$51,L$52)),L$55)</f>
        <v>7</v>
      </c>
      <c r="M53" s="1214" t="s">
        <v>284</v>
      </c>
      <c r="N53" s="421"/>
      <c r="O53" s="1213">
        <f>IFERROR(IF([3]Refkalkulation!Q$50=0,O$52,IF(AND([3]Refkalkulation!Q$50&gt;=O55,[3]Refkalkulation!Q$50&lt;=O56),[3]Refkalkulation!Q$50,O$52)),O$55)</f>
        <v>3</v>
      </c>
      <c r="P53" s="1214" t="s">
        <v>284</v>
      </c>
      <c r="Q53" s="421"/>
      <c r="R53" s="1213">
        <f>IFERROR(IF([3]Refkalkulation!T$50=0,R$52,IF(AND([3]Refkalkulation!T$50&gt;=R55,[3]Refkalkulation!T$50&lt;=R56),[3]Refkalkulation!T$50,R$52)),R$55)</f>
        <v>3</v>
      </c>
      <c r="S53" s="1214" t="s">
        <v>284</v>
      </c>
      <c r="T53" s="421"/>
      <c r="U53" s="1213">
        <f>IFERROR(IF([3]Refkalkulation!W$50=0,U$52,IF(AND([3]Refkalkulation!W$50&gt;=U55,[3]Refkalkulation!W$50&lt;=U56),[3]Refkalkulation!W$50,U$52)),U$55)</f>
        <v>3</v>
      </c>
      <c r="V53" s="5"/>
      <c r="W53" s="718"/>
      <c r="X53" s="1212"/>
      <c r="Y53" s="1212"/>
    </row>
    <row r="54" spans="2:25" x14ac:dyDescent="0.2">
      <c r="B54" s="17">
        <v>25</v>
      </c>
      <c r="C54" s="96" t="s">
        <v>1025</v>
      </c>
      <c r="D54" s="100" t="s">
        <v>1026</v>
      </c>
      <c r="E54" s="9"/>
      <c r="F54" s="158" t="str">
        <f>'Quick Input'!M22</f>
        <v>Niederdruck</v>
      </c>
      <c r="G54" s="420"/>
      <c r="H54" s="421"/>
      <c r="I54" s="158" t="str">
        <f>'Quick Input'!P22</f>
        <v>Niederdruck</v>
      </c>
      <c r="J54" s="420"/>
      <c r="K54" s="421"/>
      <c r="L54" s="158" t="str">
        <f>'Quick Input'!S22</f>
        <v>Schwerkaft</v>
      </c>
      <c r="M54" s="420"/>
      <c r="N54" s="421"/>
      <c r="O54" s="158" t="str">
        <f>'[3]Quick Input'!V22</f>
        <v>Niederdruck</v>
      </c>
      <c r="P54" s="420"/>
      <c r="Q54" s="421"/>
      <c r="R54" s="158" t="str">
        <f>'[3]Quick Input'!Y22</f>
        <v>Niederdruck</v>
      </c>
      <c r="S54" s="420"/>
      <c r="T54" s="421"/>
      <c r="U54" s="158" t="str">
        <f>'[3]Quick Input'!AB22</f>
        <v>Niederdruck</v>
      </c>
      <c r="V54" s="11"/>
      <c r="W54" s="718"/>
      <c r="X54" s="718"/>
      <c r="Y54" s="718"/>
    </row>
    <row r="55" spans="2:25" x14ac:dyDescent="0.2">
      <c r="B55" s="17">
        <v>25</v>
      </c>
      <c r="C55" s="96" t="s">
        <v>1027</v>
      </c>
      <c r="D55" s="100" t="s">
        <v>1026</v>
      </c>
      <c r="E55" s="9"/>
      <c r="F55" s="158">
        <f>VLOOKUP(F$54,'Maschinen-DB'!$B$22:$C$40,2,FALSE)</f>
        <v>3</v>
      </c>
      <c r="G55" s="420"/>
      <c r="H55" s="421"/>
      <c r="I55" s="158">
        <f>VLOOKUP(I$54,'Maschinen-DB'!$B$22:$C$40,2,FALSE)</f>
        <v>3</v>
      </c>
      <c r="J55" s="420"/>
      <c r="K55" s="421"/>
      <c r="L55" s="158">
        <f>VLOOKUP(L$54,'Maschinen-DB'!$B$22:$C$40,2,FALSE)</f>
        <v>7</v>
      </c>
      <c r="M55" s="420"/>
      <c r="N55" s="421"/>
      <c r="O55" s="158">
        <f>VLOOKUP(O$54,'[3]Maschinen-DB'!$B$22:$C$40,2,FALSE)</f>
        <v>3</v>
      </c>
      <c r="P55" s="420"/>
      <c r="Q55" s="421"/>
      <c r="R55" s="158">
        <f>VLOOKUP(R$54,'[3]Maschinen-DB'!$B$22:$C$40,2,FALSE)</f>
        <v>3</v>
      </c>
      <c r="S55" s="420"/>
      <c r="T55" s="421"/>
      <c r="U55" s="158">
        <f>VLOOKUP(U$54,'[3]Maschinen-DB'!$B$22:$C$40,2,FALSE)</f>
        <v>3</v>
      </c>
      <c r="V55" s="5"/>
      <c r="W55" s="718"/>
      <c r="X55" s="718"/>
      <c r="Y55" s="1212"/>
    </row>
    <row r="56" spans="2:25" x14ac:dyDescent="0.2">
      <c r="B56" s="17">
        <v>25</v>
      </c>
      <c r="C56" s="96" t="s">
        <v>1028</v>
      </c>
      <c r="D56" s="100" t="s">
        <v>1026</v>
      </c>
      <c r="E56" s="9"/>
      <c r="F56" s="158">
        <f>VLOOKUP(F$54,'Maschinen-DB'!$B$22:$C$40,2,TRUE)</f>
        <v>6</v>
      </c>
      <c r="G56" s="420"/>
      <c r="H56" s="421"/>
      <c r="I56" s="158">
        <f>VLOOKUP(I$54,'Maschinen-DB'!$B$22:$C$40,2,TRUE)</f>
        <v>6</v>
      </c>
      <c r="J56" s="420"/>
      <c r="K56" s="421"/>
      <c r="L56" s="158">
        <f>VLOOKUP(L$54,'Maschinen-DB'!$B$22:$C$40,2,TRUE)</f>
        <v>8</v>
      </c>
      <c r="M56" s="420"/>
      <c r="N56" s="421"/>
      <c r="O56" s="158">
        <f>VLOOKUP(O$54,'[3]Maschinen-DB'!$B$22:$C$40,2,TRUE)</f>
        <v>6</v>
      </c>
      <c r="P56" s="420"/>
      <c r="Q56" s="421"/>
      <c r="R56" s="158">
        <f>VLOOKUP(R$54,'[3]Maschinen-DB'!$B$22:$C$40,2,TRUE)</f>
        <v>6</v>
      </c>
      <c r="S56" s="420"/>
      <c r="T56" s="421"/>
      <c r="U56" s="158">
        <f>VLOOKUP(U$54,'[3]Maschinen-DB'!$B$22:$C$40,2,TRUE)</f>
        <v>6</v>
      </c>
      <c r="V56" s="5"/>
      <c r="W56" s="718"/>
      <c r="X56" s="718"/>
      <c r="Y56" s="718"/>
    </row>
    <row r="57" spans="2:25" x14ac:dyDescent="0.2">
      <c r="B57" s="17">
        <v>26</v>
      </c>
      <c r="C57" s="96" t="s">
        <v>1029</v>
      </c>
      <c r="D57" s="100" t="s">
        <v>94</v>
      </c>
      <c r="E57" s="9"/>
      <c r="F57" s="205">
        <f>VLOOKUP([3]Refkalkulation!H50,DB_Maschinen,12,FALSE)</f>
        <v>0</v>
      </c>
      <c r="G57" s="420"/>
      <c r="H57" s="421"/>
      <c r="I57" s="205">
        <f>VLOOKUP([3]Refkalkulation!K50,DB_Maschinen,12,FALSE)</f>
        <v>0</v>
      </c>
      <c r="J57" s="420"/>
      <c r="K57" s="421"/>
      <c r="L57" s="205">
        <f>VLOOKUP([3]Refkalkulation!N50,DB_Maschinen,12,FALSE)</f>
        <v>0</v>
      </c>
      <c r="M57" s="420"/>
      <c r="N57" s="421"/>
      <c r="O57" s="205">
        <f>VLOOKUP([3]Refkalkulation!Q50,DB_Maschinen,12,FALSE)</f>
        <v>0</v>
      </c>
      <c r="P57" s="420"/>
      <c r="Q57" s="421"/>
      <c r="R57" s="205">
        <f>VLOOKUP([3]Refkalkulation!T50,DB_Maschinen,12,FALSE)</f>
        <v>0</v>
      </c>
      <c r="S57" s="420"/>
      <c r="T57" s="421"/>
      <c r="U57" s="205">
        <f>VLOOKUP([3]Refkalkulation!W50,DB_Maschinen,12,FALSE)</f>
        <v>0</v>
      </c>
      <c r="V57" s="5"/>
      <c r="W57" s="718"/>
      <c r="X57" s="718"/>
      <c r="Y57" s="718"/>
    </row>
    <row r="58" spans="2:25" x14ac:dyDescent="0.2">
      <c r="B58" s="17">
        <v>25</v>
      </c>
      <c r="C58" s="96" t="s">
        <v>1030</v>
      </c>
      <c r="D58" s="100" t="s">
        <v>94</v>
      </c>
      <c r="E58" s="9"/>
      <c r="F58" s="158" t="str">
        <f>VLOOKUP(Refkalkulation!H50,DB_Maschinen,4,FALSE)</f>
        <v>fix</v>
      </c>
      <c r="G58" s="420"/>
      <c r="H58" s="421"/>
      <c r="I58" s="158" t="str">
        <f>VLOOKUP(Refkalkulation!K50,DB_Maschinen,4,FALSE)</f>
        <v>fix</v>
      </c>
      <c r="J58" s="420"/>
      <c r="K58" s="421"/>
      <c r="L58" s="158" t="str">
        <f>VLOOKUP(Refkalkulation!N50,DB_Maschinen,4,FALSE)</f>
        <v>ohne</v>
      </c>
      <c r="M58" s="420"/>
      <c r="N58" s="421"/>
      <c r="O58" s="158">
        <f>VLOOKUP([3]Refkalkulation!Q50,DB_Maschinen,4,FALSE)</f>
        <v>0</v>
      </c>
      <c r="P58" s="420"/>
      <c r="Q58" s="421"/>
      <c r="R58" s="158">
        <f>VLOOKUP([3]Refkalkulation!T50,DB_Maschinen,4,FALSE)</f>
        <v>0</v>
      </c>
      <c r="S58" s="420"/>
      <c r="T58" s="421"/>
      <c r="U58" s="158">
        <f>VLOOKUP([3]Refkalkulation!W50,DB_Maschinen,4,FALSE)</f>
        <v>0</v>
      </c>
      <c r="V58" s="5"/>
      <c r="W58" s="718"/>
      <c r="X58" s="718"/>
      <c r="Y58" s="718"/>
    </row>
    <row r="59" spans="2:25" ht="15" thickBot="1" x14ac:dyDescent="0.25">
      <c r="B59" s="17">
        <v>25</v>
      </c>
      <c r="C59" s="96" t="s">
        <v>1031</v>
      </c>
      <c r="D59" s="100" t="s">
        <v>1026</v>
      </c>
      <c r="E59" s="9"/>
      <c r="F59" s="1215">
        <f>IF(F58="fix",1,IF(F58="ohne",0.5,1.5))</f>
        <v>1</v>
      </c>
      <c r="G59" s="422"/>
      <c r="H59" s="423"/>
      <c r="I59" s="1215">
        <f>IF(I58="fix",1,IF(I58="ohne",0.5,1.5))</f>
        <v>1</v>
      </c>
      <c r="J59" s="422"/>
      <c r="K59" s="423"/>
      <c r="L59" s="1215">
        <f>IF(L58="fix",1,IF(L58="ohne",0.5,1.5))</f>
        <v>0.5</v>
      </c>
      <c r="M59" s="422"/>
      <c r="N59" s="423"/>
      <c r="O59" s="1215">
        <f>IF(O58="fix",1,IF(O58="ohne",0.5,1.5))</f>
        <v>1.5</v>
      </c>
      <c r="P59" s="422"/>
      <c r="Q59" s="423"/>
      <c r="R59" s="1215">
        <f>IF(R58="fix",1,IF(R58="ohne",0.5,1.5))</f>
        <v>1.5</v>
      </c>
      <c r="S59" s="422"/>
      <c r="T59" s="423"/>
      <c r="U59" s="1215">
        <f>IF(U58="fix",1,IF(U58="ohne",0.5,1.5))</f>
        <v>1.5</v>
      </c>
      <c r="V59" s="5"/>
      <c r="W59" s="718"/>
      <c r="X59" s="718"/>
      <c r="Y59" s="718"/>
    </row>
    <row r="60" spans="2:25" ht="15.75" thickBot="1" x14ac:dyDescent="0.3">
      <c r="B60" s="285"/>
      <c r="C60" s="1229" t="s">
        <v>1047</v>
      </c>
      <c r="D60" s="1230" t="s">
        <v>94</v>
      </c>
      <c r="E60" s="1231"/>
      <c r="F60" s="1232">
        <f>'Länder-DB'!I33</f>
        <v>0.12</v>
      </c>
      <c r="G60" s="1233" t="s">
        <v>284</v>
      </c>
      <c r="H60" s="13"/>
      <c r="I60" s="1232">
        <f>'Länder-DB'!I33</f>
        <v>0.12</v>
      </c>
      <c r="J60" s="1233" t="s">
        <v>284</v>
      </c>
      <c r="K60" s="13"/>
      <c r="L60" s="1232">
        <f>'Länder-DB'!I33</f>
        <v>0.12</v>
      </c>
      <c r="M60" s="1233" t="s">
        <v>284</v>
      </c>
      <c r="N60" s="13"/>
      <c r="O60" s="1232">
        <f>'[3]Länder-DB'!$I$33</f>
        <v>0.12</v>
      </c>
      <c r="P60" s="1233" t="s">
        <v>284</v>
      </c>
      <c r="Q60" s="13"/>
      <c r="R60" s="1232">
        <f>'[3]Länder-DB'!$I$33</f>
        <v>0.12</v>
      </c>
      <c r="S60" s="1233" t="s">
        <v>284</v>
      </c>
      <c r="T60" s="13"/>
      <c r="U60" s="1232">
        <f>'[3]Länder-DB'!$I$33</f>
        <v>0.12</v>
      </c>
      <c r="V60" s="126"/>
      <c r="W60" s="718"/>
      <c r="X60" s="718"/>
      <c r="Y60" s="1212"/>
    </row>
    <row r="61" spans="2:25" ht="15.75" thickBot="1" x14ac:dyDescent="0.3">
      <c r="B61" s="891"/>
      <c r="C61" s="978" t="s">
        <v>852</v>
      </c>
      <c r="D61" s="102"/>
      <c r="E61" s="531" t="s">
        <v>451</v>
      </c>
      <c r="F61" s="979">
        <f>IFERROR(IF(VLOOKUP(VLOOKUP(Refkalkulation!H$30,'Maschinen-DB'!$I$5:$R$15,10,FALSE),DB_Ofen,2,FALSE)=F228,VLOOKUP(Refkalkulation!H$30,'Maschinen-DB'!$I$5:$R$15,10,FALSE),0),0)</f>
        <v>2</v>
      </c>
      <c r="G61" s="13"/>
      <c r="H61" s="13"/>
      <c r="I61" s="979">
        <f>IFERROR(IF(VLOOKUP(VLOOKUP(Refkalkulation!K$30,'Maschinen-DB'!$I$5:$R$15,10,FALSE),DB_Ofen,2,FALSE)=I228,VLOOKUP(Refkalkulation!K$30,'Maschinen-DB'!$I$5:$R$15,10,FALSE),0),0)</f>
        <v>2</v>
      </c>
      <c r="J61" s="13"/>
      <c r="K61" s="13"/>
      <c r="L61" s="979">
        <f>IFERROR(IF(VLOOKUP(VLOOKUP(Refkalkulation!N$30,'Maschinen-DB'!$I$5:$R$15,10,FALSE),DB_Ofen,2,FALSE)=L228,VLOOKUP(Refkalkulation!N$30,'Maschinen-DB'!$I$5:$R$15,10,FALSE),0),0)</f>
        <v>2</v>
      </c>
      <c r="M61" s="13"/>
      <c r="N61" s="13"/>
      <c r="O61" s="979"/>
      <c r="P61" s="13"/>
      <c r="Q61" s="13"/>
      <c r="R61" s="979"/>
      <c r="S61" s="13"/>
      <c r="T61" s="13"/>
      <c r="U61" s="979"/>
      <c r="V61" s="32"/>
      <c r="X61" s="503"/>
    </row>
    <row r="62" spans="2:25" ht="15" x14ac:dyDescent="0.25">
      <c r="B62" s="466">
        <v>47</v>
      </c>
      <c r="C62" s="95" t="s">
        <v>378</v>
      </c>
      <c r="D62" s="98" t="s">
        <v>94</v>
      </c>
      <c r="E62" s="535" t="s">
        <v>452</v>
      </c>
      <c r="F62" s="202" t="e">
        <f>F$69*IF(F$65,#REF!,#REF!)+2*F$66+(F$69-1)*(F$66+2.5)</f>
        <v>#REF!</v>
      </c>
      <c r="G62" s="7"/>
      <c r="H62" s="7"/>
      <c r="I62" s="202" t="e">
        <f>I$69*IF(I$65,#REF!,#REF!)+2*I$66+(I$69-1)*(I$66+2.5)</f>
        <v>#REF!</v>
      </c>
      <c r="J62" s="7"/>
      <c r="K62" s="7"/>
      <c r="L62" s="202" t="e">
        <f>L$69*IF(L$65,#REF!,#REF!)+2*L$66+(L$69-1)*(L$66+2.5)</f>
        <v>#REF!</v>
      </c>
      <c r="M62" s="7"/>
      <c r="N62" s="7"/>
      <c r="O62" s="202"/>
      <c r="P62" s="28"/>
      <c r="Q62" s="28"/>
      <c r="R62" s="202"/>
      <c r="S62" s="28"/>
      <c r="T62" s="28"/>
      <c r="U62" s="202"/>
      <c r="V62" s="11"/>
    </row>
    <row r="63" spans="2:25" ht="15" x14ac:dyDescent="0.25">
      <c r="B63" s="466">
        <v>47</v>
      </c>
      <c r="C63" s="99" t="s">
        <v>379</v>
      </c>
      <c r="D63" s="100" t="s">
        <v>94</v>
      </c>
      <c r="E63" s="530" t="s">
        <v>452</v>
      </c>
      <c r="F63" s="203" t="e">
        <f>F$70*IF(F$65,#REF!,#REF!)+2*F$66+(F$70-1)*(2.5+F$66)</f>
        <v>#REF!</v>
      </c>
      <c r="G63" s="10"/>
      <c r="H63" s="10"/>
      <c r="I63" s="203" t="e">
        <f>I$70*IF(I$65,#REF!,#REF!)+2*I$66+(I$70-1)*(2.5+I$66)</f>
        <v>#REF!</v>
      </c>
      <c r="J63" s="10"/>
      <c r="K63" s="10"/>
      <c r="L63" s="203" t="e">
        <f>L$70*IF(L$65,#REF!,#REF!)+2*L$66+(L$70-1)*(2.5+L$66)</f>
        <v>#REF!</v>
      </c>
      <c r="M63" s="10"/>
      <c r="N63" s="10"/>
      <c r="O63" s="203"/>
      <c r="P63" s="4"/>
      <c r="Q63" s="4"/>
      <c r="R63" s="203"/>
      <c r="S63" s="4"/>
      <c r="T63" s="4"/>
      <c r="U63" s="203"/>
      <c r="V63" s="11"/>
    </row>
    <row r="64" spans="2:25" ht="15" x14ac:dyDescent="0.25">
      <c r="B64" s="466">
        <v>47</v>
      </c>
      <c r="C64" s="99" t="s">
        <v>377</v>
      </c>
      <c r="D64" s="100" t="s">
        <v>94</v>
      </c>
      <c r="E64" s="530" t="s">
        <v>452</v>
      </c>
      <c r="F64" s="203" t="e">
        <f>'Quick Input'!M16/10+2.5*F$66</f>
        <v>#REF!</v>
      </c>
      <c r="G64" s="10"/>
      <c r="H64" s="10"/>
      <c r="I64" s="203" t="e">
        <f>'Quick Input'!P16/10+2.5*I$66</f>
        <v>#REF!</v>
      </c>
      <c r="J64" s="10"/>
      <c r="K64" s="10"/>
      <c r="L64" s="203" t="e">
        <f>'Quick Input'!S16/10+2.5*L$66</f>
        <v>#REF!</v>
      </c>
      <c r="M64" s="10"/>
      <c r="N64" s="10"/>
      <c r="O64" s="203"/>
      <c r="P64" s="10"/>
      <c r="Q64" s="10"/>
      <c r="R64" s="203"/>
      <c r="S64" s="10"/>
      <c r="T64" s="10"/>
      <c r="U64" s="203"/>
      <c r="V64" s="11"/>
    </row>
    <row r="65" spans="2:23" x14ac:dyDescent="0.2">
      <c r="B65" s="466">
        <v>47</v>
      </c>
      <c r="C65" s="96" t="s">
        <v>432</v>
      </c>
      <c r="D65" s="100" t="s">
        <v>94</v>
      </c>
      <c r="E65" s="530" t="s">
        <v>451</v>
      </c>
      <c r="F65" s="157" t="e">
        <f>OR(AND(#REF!=2,F$67/F$68&lt;2.2),AND(#REF!=3,F$67/F$68&gt;1.7),AND(#REF!=4,#REF!/2.5&gt;F$67/F$68),FALSE)</f>
        <v>#REF!</v>
      </c>
      <c r="G65" s="10"/>
      <c r="H65" s="10"/>
      <c r="I65" s="157" t="e">
        <f>OR(AND(#REF!=2,I67/I68&lt;2.2),AND(#REF!=3,I67/I68&gt;1.7),AND(#REF!=4,#REF!/2.5&gt;I67/I68),FALSE)</f>
        <v>#REF!</v>
      </c>
      <c r="J65" s="10"/>
      <c r="K65" s="10"/>
      <c r="L65" s="157" t="e">
        <f>OR(AND(#REF!=2,L67/L68&lt;2.2),AND(#REF!=3,L67/L68&gt;1.7),AND(#REF!=4,#REF!/2.5&gt;L67/L68),FALSE)</f>
        <v>#REF!</v>
      </c>
      <c r="M65" s="10"/>
      <c r="N65" s="10"/>
      <c r="O65" s="157"/>
      <c r="P65" s="4"/>
      <c r="Q65" s="4"/>
      <c r="R65" s="157"/>
      <c r="S65" s="4"/>
      <c r="T65" s="4"/>
      <c r="U65" s="157"/>
      <c r="V65" s="11"/>
    </row>
    <row r="66" spans="2:23" x14ac:dyDescent="0.2">
      <c r="B66" s="466">
        <v>47</v>
      </c>
      <c r="C66" s="96" t="s">
        <v>388</v>
      </c>
      <c r="D66" s="100" t="s">
        <v>386</v>
      </c>
      <c r="E66" s="530" t="s">
        <v>451</v>
      </c>
      <c r="F66" s="157" t="e">
        <f>3+0.3*SQRT(#REF!)+1.5*(4-VLOOKUP('Quick Input'!M$22,Auswahlfelder!$D$36:$E$38,2,FALSE))</f>
        <v>#REF!</v>
      </c>
      <c r="G66" s="10"/>
      <c r="H66" s="10"/>
      <c r="I66" s="157" t="e">
        <f>3+0.3*SQRT(#REF!)+1.5*(4-VLOOKUP('Quick Input'!P$22,Auswahlfelder!$D$36:$E$38,2,FALSE))</f>
        <v>#REF!</v>
      </c>
      <c r="J66" s="10"/>
      <c r="K66" s="10"/>
      <c r="L66" s="157" t="e">
        <f>3+0.3*SQRT(#REF!)+1.5*(4-VLOOKUP('Quick Input'!S$22,Auswahlfelder!$D$36:$E$38,2,FALSE))</f>
        <v>#REF!</v>
      </c>
      <c r="M66" s="10"/>
      <c r="N66" s="10"/>
      <c r="O66" s="157"/>
      <c r="P66" s="4"/>
      <c r="Q66" s="4"/>
      <c r="R66" s="157"/>
      <c r="S66" s="4"/>
      <c r="T66" s="4"/>
      <c r="U66" s="157"/>
      <c r="V66" s="11"/>
    </row>
    <row r="67" spans="2:23" x14ac:dyDescent="0.2">
      <c r="B67" s="466">
        <v>47</v>
      </c>
      <c r="C67" s="96" t="s">
        <v>433</v>
      </c>
      <c r="D67" s="100" t="s">
        <v>94</v>
      </c>
      <c r="E67" s="530" t="s">
        <v>451</v>
      </c>
      <c r="F67" s="157" t="e">
        <f>#REF!+F$66*1.75</f>
        <v>#REF!</v>
      </c>
      <c r="G67" s="10"/>
      <c r="H67" s="10"/>
      <c r="I67" s="157" t="e">
        <f>#REF!+I66*1.75</f>
        <v>#REF!</v>
      </c>
      <c r="J67" s="10"/>
      <c r="K67" s="10"/>
      <c r="L67" s="157" t="e">
        <f>#REF!+L66*1.75</f>
        <v>#REF!</v>
      </c>
      <c r="M67" s="10"/>
      <c r="N67" s="10"/>
      <c r="O67" s="157"/>
      <c r="P67" s="4"/>
      <c r="Q67" s="4"/>
      <c r="R67" s="157"/>
      <c r="S67" s="4"/>
      <c r="T67" s="4"/>
      <c r="U67" s="157"/>
      <c r="V67" s="11"/>
    </row>
    <row r="68" spans="2:23" x14ac:dyDescent="0.2">
      <c r="B68" s="466">
        <v>47</v>
      </c>
      <c r="C68" s="96" t="s">
        <v>434</v>
      </c>
      <c r="D68" s="100" t="s">
        <v>94</v>
      </c>
      <c r="E68" s="530" t="s">
        <v>451</v>
      </c>
      <c r="F68" s="157" t="e">
        <f>#REF!+F$66*1.75</f>
        <v>#REF!</v>
      </c>
      <c r="G68" s="10"/>
      <c r="H68" s="10"/>
      <c r="I68" s="157" t="e">
        <f>#REF!+I66*1.75</f>
        <v>#REF!</v>
      </c>
      <c r="J68" s="10"/>
      <c r="K68" s="10"/>
      <c r="L68" s="157" t="e">
        <f>#REF!+L66*1.75</f>
        <v>#REF!</v>
      </c>
      <c r="M68" s="10"/>
      <c r="N68" s="10"/>
      <c r="O68" s="157"/>
      <c r="P68" s="4"/>
      <c r="Q68" s="4"/>
      <c r="R68" s="157"/>
      <c r="S68" s="4"/>
      <c r="T68" s="4"/>
      <c r="U68" s="157"/>
      <c r="V68" s="11"/>
    </row>
    <row r="69" spans="2:23" x14ac:dyDescent="0.2">
      <c r="B69" s="466">
        <v>47</v>
      </c>
      <c r="C69" s="96" t="s">
        <v>422</v>
      </c>
      <c r="D69" s="100" t="s">
        <v>386</v>
      </c>
      <c r="E69" s="530" t="s">
        <v>451</v>
      </c>
      <c r="F69" s="158" t="e">
        <f>IF(AND(F$65,OR(#REF!=3,#REF!=2)),#REF!,IF(AND(NOT(F$65),#REF!&lt;4),1,IF(F$67&lt;2.5*F$68,ROUNDDOWN(SQRT(#REF!),0),IF(AND(F$65,#REF!&gt;2),1,MIN(#REF!,ROUNDUP(1.6*SQRT(#REF!),0))))))</f>
        <v>#REF!</v>
      </c>
      <c r="G69" s="10"/>
      <c r="H69" s="10"/>
      <c r="I69" s="158" t="e">
        <f>IF(AND(I65,OR(#REF!=3,#REF!=2)),#REF!,IF(AND(NOT(I65),#REF!&lt;4),1,IF(I$67&lt;2.5*I$68,ROUNDDOWN(SQRT(#REF!),0),IF(AND(I65,#REF!&gt;2),1,MIN(#REF!,ROUNDUP(1.6*SQRT(#REF!),0))))))</f>
        <v>#REF!</v>
      </c>
      <c r="J69" s="10"/>
      <c r="K69" s="10"/>
      <c r="L69" s="158" t="e">
        <f>IF(AND(L65,OR(#REF!=3,#REF!=2)),#REF!,IF(AND(NOT(L65),#REF!&lt;4),1,IF(L$67&lt;2.5*L$68,ROUNDDOWN(SQRT(#REF!),0),IF(AND(L65,#REF!&gt;2),1,MIN(#REF!,ROUNDUP(1.6*SQRT(#REF!),0))))))</f>
        <v>#REF!</v>
      </c>
      <c r="M69" s="10"/>
      <c r="N69" s="10"/>
      <c r="O69" s="158"/>
      <c r="P69" s="4"/>
      <c r="Q69" s="4"/>
      <c r="R69" s="158"/>
      <c r="S69" s="4"/>
      <c r="T69" s="4"/>
      <c r="U69" s="158"/>
      <c r="V69" s="11"/>
    </row>
    <row r="70" spans="2:23" x14ac:dyDescent="0.2">
      <c r="B70" s="466">
        <v>47</v>
      </c>
      <c r="C70" s="96" t="s">
        <v>380</v>
      </c>
      <c r="D70" s="100" t="s">
        <v>94</v>
      </c>
      <c r="E70" s="530" t="s">
        <v>451</v>
      </c>
      <c r="F70" s="158" t="e">
        <f>ROUNDUP(#REF!/F$69,0)</f>
        <v>#REF!</v>
      </c>
      <c r="G70" s="10"/>
      <c r="H70" s="10"/>
      <c r="I70" s="158" t="e">
        <f>ROUNDUP(#REF!/I$69,0)</f>
        <v>#REF!</v>
      </c>
      <c r="J70" s="10"/>
      <c r="K70" s="10"/>
      <c r="L70" s="158" t="e">
        <f>ROUNDUP(#REF!/L$69,0)</f>
        <v>#REF!</v>
      </c>
      <c r="M70" s="10"/>
      <c r="N70" s="10"/>
      <c r="O70" s="158"/>
      <c r="P70" s="4"/>
      <c r="Q70" s="4"/>
      <c r="R70" s="158"/>
      <c r="S70" s="4"/>
      <c r="T70" s="4"/>
      <c r="U70" s="158"/>
      <c r="V70" s="5"/>
    </row>
    <row r="71" spans="2:23" ht="15" thickBot="1" x14ac:dyDescent="0.25">
      <c r="B71" s="466">
        <v>47</v>
      </c>
      <c r="C71" s="96" t="s">
        <v>393</v>
      </c>
      <c r="D71" s="556" t="s">
        <v>436</v>
      </c>
      <c r="E71" s="530" t="s">
        <v>452</v>
      </c>
      <c r="F71" s="284" t="e">
        <f>(F$42*#REF!)/2.7/(F$62*F$63*F$64/1000)</f>
        <v>#REF!</v>
      </c>
      <c r="G71" s="10"/>
      <c r="H71" s="10"/>
      <c r="I71" s="284" t="e">
        <f>(I$42*#REF!)/2.7/(I$62*I$63*I$64/1000)</f>
        <v>#REF!</v>
      </c>
      <c r="J71" s="10"/>
      <c r="K71" s="10"/>
      <c r="L71" s="284" t="e">
        <f>(L$42*#REF!)/2.7/(L$62*L$63*L$64/1000)</f>
        <v>#REF!</v>
      </c>
      <c r="M71" s="10"/>
      <c r="N71" s="10"/>
      <c r="O71" s="284"/>
      <c r="P71" s="4"/>
      <c r="Q71" s="4"/>
      <c r="R71" s="284"/>
      <c r="S71" s="4"/>
      <c r="T71" s="4"/>
      <c r="U71" s="284"/>
      <c r="V71" s="5"/>
    </row>
    <row r="72" spans="2:23" ht="15" x14ac:dyDescent="0.25">
      <c r="B72" s="510">
        <v>24</v>
      </c>
      <c r="C72" s="95" t="s">
        <v>464</v>
      </c>
      <c r="D72" s="98"/>
      <c r="E72" s="535" t="s">
        <v>452</v>
      </c>
      <c r="F72" s="161">
        <f>IFERROR(MAX(F$74,MIN(F$75,IF(F$86,F$85,F$85+1))),F$74)</f>
        <v>3</v>
      </c>
      <c r="G72" s="418"/>
      <c r="H72" s="419"/>
      <c r="I72" s="161">
        <f>IFERROR(MAX(I$74,MIN(I$75,IF(I$86,I$85,I$85+1))),I$74)</f>
        <v>3</v>
      </c>
      <c r="J72" s="418"/>
      <c r="K72" s="419"/>
      <c r="L72" s="161">
        <f>IFERROR(MAX(L$74,MIN(L$75,IF(L$86,L$85,L$85+1))),L$74)</f>
        <v>7</v>
      </c>
      <c r="M72" s="418"/>
      <c r="N72" s="419"/>
      <c r="O72" s="161"/>
      <c r="P72" s="418"/>
      <c r="Q72" s="419"/>
      <c r="R72" s="161"/>
      <c r="S72" s="418"/>
      <c r="T72" s="419"/>
      <c r="U72" s="161"/>
      <c r="V72" s="8"/>
    </row>
    <row r="73" spans="2:23" x14ac:dyDescent="0.2">
      <c r="B73" s="523">
        <v>24</v>
      </c>
      <c r="C73" s="524" t="s">
        <v>776</v>
      </c>
      <c r="D73" s="100"/>
      <c r="E73" s="530" t="s">
        <v>451</v>
      </c>
      <c r="F73" s="520" t="str">
        <f>'Quick Input'!M$22</f>
        <v>Niederdruck</v>
      </c>
      <c r="G73" s="420"/>
      <c r="H73" s="421"/>
      <c r="I73" s="520" t="str">
        <f>'Quick Input'!P$22</f>
        <v>Niederdruck</v>
      </c>
      <c r="J73" s="420"/>
      <c r="K73" s="421"/>
      <c r="L73" s="520" t="str">
        <f>'Quick Input'!S$22</f>
        <v>Schwerkaft</v>
      </c>
      <c r="M73" s="420"/>
      <c r="N73" s="421"/>
      <c r="O73" s="520"/>
      <c r="P73" s="420"/>
      <c r="Q73" s="421"/>
      <c r="R73" s="520"/>
      <c r="S73" s="420"/>
      <c r="T73" s="421"/>
      <c r="U73" s="520"/>
      <c r="V73" s="11"/>
    </row>
    <row r="74" spans="2:23" x14ac:dyDescent="0.2">
      <c r="B74" s="523">
        <v>24</v>
      </c>
      <c r="C74" s="96" t="s">
        <v>424</v>
      </c>
      <c r="D74" s="100" t="s">
        <v>480</v>
      </c>
      <c r="E74" s="530" t="s">
        <v>452</v>
      </c>
      <c r="F74" s="636">
        <f>VLOOKUP(F$73,'Maschinen-DB'!$B$22:$C$37,2,FALSE)</f>
        <v>3</v>
      </c>
      <c r="G74" s="420"/>
      <c r="H74" s="421"/>
      <c r="I74" s="636">
        <f>VLOOKUP(I$73,'Maschinen-DB'!$B$22:$C$37,2,FALSE)</f>
        <v>3</v>
      </c>
      <c r="J74" s="420"/>
      <c r="K74" s="421"/>
      <c r="L74" s="636">
        <f>VLOOKUP(L$73,'Maschinen-DB'!$B$22:$C$37,2,FALSE)</f>
        <v>7</v>
      </c>
      <c r="M74" s="420"/>
      <c r="N74" s="421"/>
      <c r="O74" s="636"/>
      <c r="P74" s="420"/>
      <c r="Q74" s="421"/>
      <c r="R74" s="636"/>
      <c r="S74" s="420"/>
      <c r="T74" s="421"/>
      <c r="U74" s="636"/>
      <c r="V74" s="5"/>
    </row>
    <row r="75" spans="2:23" x14ac:dyDescent="0.2">
      <c r="B75" s="523">
        <v>24</v>
      </c>
      <c r="C75" s="96" t="s">
        <v>423</v>
      </c>
      <c r="D75" s="100"/>
      <c r="E75" s="530" t="s">
        <v>452</v>
      </c>
      <c r="F75" s="158">
        <f>VLOOKUP(F$73,'Maschinen-DB'!$B$22:$C$37,2,TRUE)</f>
        <v>6</v>
      </c>
      <c r="G75" s="420"/>
      <c r="H75" s="421"/>
      <c r="I75" s="158">
        <f>VLOOKUP(I$73,'Maschinen-DB'!$B$22:$C$37,2,TRUE)</f>
        <v>6</v>
      </c>
      <c r="J75" s="420"/>
      <c r="K75" s="421"/>
      <c r="L75" s="158">
        <f>VLOOKUP(L$73,'Maschinen-DB'!$B$22:$C$37,2,TRUE)</f>
        <v>8</v>
      </c>
      <c r="M75" s="420"/>
      <c r="N75" s="421"/>
      <c r="O75" s="158"/>
      <c r="P75" s="420"/>
      <c r="Q75" s="421"/>
      <c r="R75" s="158"/>
      <c r="S75" s="420"/>
      <c r="T75" s="421"/>
      <c r="U75" s="158"/>
      <c r="V75" s="5"/>
    </row>
    <row r="76" spans="2:23" x14ac:dyDescent="0.2">
      <c r="B76" s="523">
        <v>24</v>
      </c>
      <c r="C76" s="96" t="s">
        <v>425</v>
      </c>
      <c r="D76" s="100"/>
      <c r="E76" s="532"/>
      <c r="F76" s="158">
        <f>VLOOKUP(F$74,DB_Maschinen,5,FALSE)/10</f>
        <v>78</v>
      </c>
      <c r="G76" s="420"/>
      <c r="H76" s="421"/>
      <c r="I76" s="158">
        <f>VLOOKUP(I$74,DB_Maschinen,5,FALSE)/10</f>
        <v>78</v>
      </c>
      <c r="J76" s="420"/>
      <c r="K76" s="421"/>
      <c r="L76" s="158">
        <f>VLOOKUP(L$74,DB_Maschinen,5,FALSE)/10</f>
        <v>30</v>
      </c>
      <c r="M76" s="420"/>
      <c r="N76" s="421"/>
      <c r="O76" s="158"/>
      <c r="P76" s="420"/>
      <c r="Q76" s="421"/>
      <c r="R76" s="158"/>
      <c r="S76" s="420"/>
      <c r="T76" s="421"/>
      <c r="U76" s="158"/>
      <c r="V76" s="5"/>
    </row>
    <row r="77" spans="2:23" ht="15" thickBot="1" x14ac:dyDescent="0.25">
      <c r="B77" s="523">
        <v>24</v>
      </c>
      <c r="C77" s="97" t="s">
        <v>426</v>
      </c>
      <c r="D77" s="102"/>
      <c r="E77" s="532"/>
      <c r="F77" s="158">
        <f>VLOOKUP(F$75,DB_Maschinen,5,FALSE)/10</f>
        <v>135</v>
      </c>
      <c r="G77" s="420"/>
      <c r="H77" s="421"/>
      <c r="I77" s="158">
        <f>VLOOKUP(I$75,DB_Maschinen,5,FALSE)/10</f>
        <v>135</v>
      </c>
      <c r="J77" s="420"/>
      <c r="K77" s="421"/>
      <c r="L77" s="158">
        <f>VLOOKUP(L$75,DB_Maschinen,5,FALSE)/10</f>
        <v>90</v>
      </c>
      <c r="M77" s="420"/>
      <c r="N77" s="421"/>
      <c r="O77" s="158"/>
      <c r="P77" s="420"/>
      <c r="Q77" s="421"/>
      <c r="R77" s="158"/>
      <c r="S77" s="420"/>
      <c r="T77" s="421"/>
      <c r="U77" s="158"/>
      <c r="V77" s="5"/>
    </row>
    <row r="78" spans="2:23" ht="15" x14ac:dyDescent="0.25">
      <c r="B78" s="466">
        <v>25</v>
      </c>
      <c r="C78" s="99" t="s">
        <v>485</v>
      </c>
      <c r="D78" s="100"/>
      <c r="E78" s="532"/>
      <c r="F78" s="599">
        <f>IFERROR(Refkalkulation!H$51,F$74)</f>
        <v>3</v>
      </c>
      <c r="G78" s="420"/>
      <c r="H78" s="421"/>
      <c r="I78" s="599">
        <f>IFERROR(Refkalkulation!K$51,I$74)</f>
        <v>3</v>
      </c>
      <c r="J78" s="420"/>
      <c r="K78" s="421"/>
      <c r="L78" s="599">
        <f>IFERROR(Refkalkulation!N$51,L$74)</f>
        <v>3</v>
      </c>
      <c r="M78" s="420"/>
      <c r="N78" s="421"/>
      <c r="O78" s="599"/>
      <c r="P78" s="420"/>
      <c r="Q78" s="421"/>
      <c r="R78" s="599"/>
      <c r="S78" s="420"/>
      <c r="T78" s="421"/>
      <c r="U78" s="599"/>
      <c r="V78" s="11"/>
      <c r="W78" s="503"/>
    </row>
    <row r="79" spans="2:23" x14ac:dyDescent="0.2">
      <c r="B79" s="523">
        <f>B78</f>
        <v>25</v>
      </c>
      <c r="C79" s="96" t="s">
        <v>463</v>
      </c>
      <c r="D79" s="100"/>
      <c r="E79" s="532"/>
      <c r="F79" s="600">
        <f>VLOOKUP(F$78,DB_Maschinen,5,FALSE)/10</f>
        <v>78</v>
      </c>
      <c r="G79" s="420"/>
      <c r="H79" s="421"/>
      <c r="I79" s="600">
        <f>VLOOKUP(I$78,DB_Maschinen,5,FALSE)/10</f>
        <v>78</v>
      </c>
      <c r="J79" s="420"/>
      <c r="K79" s="421"/>
      <c r="L79" s="600">
        <f>VLOOKUP(L$78,DB_Maschinen,5,FALSE)/10</f>
        <v>78</v>
      </c>
      <c r="M79" s="420"/>
      <c r="N79" s="421"/>
      <c r="O79" s="600"/>
      <c r="P79" s="420"/>
      <c r="Q79" s="421"/>
      <c r="R79" s="600"/>
      <c r="S79" s="420"/>
      <c r="T79" s="421"/>
      <c r="U79" s="600"/>
      <c r="V79" s="5"/>
      <c r="W79" s="503"/>
    </row>
    <row r="80" spans="2:23" x14ac:dyDescent="0.2">
      <c r="B80" s="523">
        <f>B79</f>
        <v>25</v>
      </c>
      <c r="C80" s="96" t="s">
        <v>465</v>
      </c>
      <c r="D80" s="100"/>
      <c r="E80" s="532"/>
      <c r="F80" s="600">
        <f>VLOOKUP(F$78,DB_Maschinen,6,FALSE)/10</f>
        <v>15</v>
      </c>
      <c r="G80" s="420"/>
      <c r="H80" s="421"/>
      <c r="I80" s="600">
        <f>VLOOKUP(I$78,DB_Maschinen,6,FALSE)/10</f>
        <v>15</v>
      </c>
      <c r="J80" s="420"/>
      <c r="K80" s="421"/>
      <c r="L80" s="600">
        <f>VLOOKUP(L$78,DB_Maschinen,6,FALSE)/10</f>
        <v>15</v>
      </c>
      <c r="M80" s="420"/>
      <c r="N80" s="421"/>
      <c r="O80" s="600"/>
      <c r="P80" s="420"/>
      <c r="Q80" s="421"/>
      <c r="R80" s="600"/>
      <c r="S80" s="420"/>
      <c r="T80" s="421"/>
      <c r="U80" s="600"/>
      <c r="V80" s="5"/>
      <c r="W80" s="503"/>
    </row>
    <row r="81" spans="2:24" x14ac:dyDescent="0.2">
      <c r="B81" s="523">
        <f>B80</f>
        <v>25</v>
      </c>
      <c r="C81" s="96" t="s">
        <v>466</v>
      </c>
      <c r="D81" s="100"/>
      <c r="E81" s="532"/>
      <c r="F81" s="600">
        <f>VLOOKUP(F$78,DB_Maschinen,7,FALSE)/10</f>
        <v>2.2000000000000002</v>
      </c>
      <c r="G81" s="420"/>
      <c r="H81" s="421"/>
      <c r="I81" s="600">
        <f>VLOOKUP(I$78,DB_Maschinen,7,FALSE)/10</f>
        <v>2.2000000000000002</v>
      </c>
      <c r="J81" s="420"/>
      <c r="K81" s="421"/>
      <c r="L81" s="600">
        <f>VLOOKUP(L$78,DB_Maschinen,7,FALSE)/10</f>
        <v>2.2000000000000002</v>
      </c>
      <c r="M81" s="420"/>
      <c r="N81" s="421"/>
      <c r="O81" s="600"/>
      <c r="P81" s="420"/>
      <c r="Q81" s="421"/>
      <c r="R81" s="600"/>
      <c r="S81" s="420"/>
      <c r="T81" s="421"/>
      <c r="U81" s="600"/>
      <c r="V81" s="5"/>
      <c r="W81" s="503"/>
    </row>
    <row r="82" spans="2:24" ht="15" thickBot="1" x14ac:dyDescent="0.25">
      <c r="B82" s="588">
        <f>B81</f>
        <v>25</v>
      </c>
      <c r="C82" s="97" t="s">
        <v>467</v>
      </c>
      <c r="D82" s="102"/>
      <c r="E82" s="533"/>
      <c r="F82" s="601">
        <f>F$81/VLOOKUP(F$78,DB_Maschinen,10,FALSE)*VLOOKUP(F$78,DB_Maschinen,11,FALSE)</f>
        <v>0.33</v>
      </c>
      <c r="G82" s="422"/>
      <c r="H82" s="423"/>
      <c r="I82" s="601">
        <f>I$81/VLOOKUP(I$78,DB_Maschinen,10,FALSE)*VLOOKUP(I$78,DB_Maschinen,11,FALSE)</f>
        <v>0.33</v>
      </c>
      <c r="J82" s="422"/>
      <c r="K82" s="423"/>
      <c r="L82" s="601">
        <f>L$81/VLOOKUP(L$78,DB_Maschinen,10,FALSE)*VLOOKUP(L$78,DB_Maschinen,11,FALSE)</f>
        <v>0.33</v>
      </c>
      <c r="M82" s="422"/>
      <c r="N82" s="423"/>
      <c r="O82" s="601"/>
      <c r="P82" s="422"/>
      <c r="Q82" s="423"/>
      <c r="R82" s="601"/>
      <c r="S82" s="422"/>
      <c r="T82" s="423"/>
      <c r="U82" s="601"/>
      <c r="V82" s="32"/>
      <c r="W82" s="503"/>
    </row>
    <row r="83" spans="2:24" ht="15" x14ac:dyDescent="0.25">
      <c r="B83" s="466">
        <v>48</v>
      </c>
      <c r="C83" s="99" t="s">
        <v>461</v>
      </c>
      <c r="D83" s="100"/>
      <c r="E83" s="530" t="s">
        <v>452</v>
      </c>
      <c r="F83" s="587" t="e">
        <f>IF(F$78&lt;F$85,F$85,MAX(F$74,MIN(F$75,IF(F$86,F$85,F$85+1))))</f>
        <v>#REF!</v>
      </c>
      <c r="G83" s="420"/>
      <c r="H83" s="421"/>
      <c r="I83" s="587" t="e">
        <f>IF(I$78&lt;I$85,I$85,MAX(I$74,MIN(I$75,IF(I$86,I$85,I$85+1))))</f>
        <v>#REF!</v>
      </c>
      <c r="J83" s="420"/>
      <c r="K83" s="421"/>
      <c r="L83" s="587" t="e">
        <f>IF(L$78&lt;L$85,L$85,MAX(L$74,MIN(L$75,IF(L$86,L$85,L$85+1))))</f>
        <v>#REF!</v>
      </c>
      <c r="M83" s="420"/>
      <c r="N83" s="421"/>
      <c r="O83" s="587"/>
      <c r="P83" s="420"/>
      <c r="Q83" s="421"/>
      <c r="R83" s="587"/>
      <c r="S83" s="420"/>
      <c r="T83" s="421"/>
      <c r="U83" s="587"/>
      <c r="V83" s="11"/>
      <c r="X83" s="503"/>
    </row>
    <row r="84" spans="2:24" x14ac:dyDescent="0.2">
      <c r="B84" s="523">
        <f>B83</f>
        <v>48</v>
      </c>
      <c r="C84" s="524" t="s">
        <v>775</v>
      </c>
      <c r="D84" s="100"/>
      <c r="E84" s="530" t="s">
        <v>451</v>
      </c>
      <c r="F84" s="520" t="e">
        <f>VLOOKUP(F$85,DB_Maschinen,17,FALSE)</f>
        <v>#REF!</v>
      </c>
      <c r="G84" s="420"/>
      <c r="H84" s="421"/>
      <c r="I84" s="520" t="e">
        <f>VLOOKUP(I$85,DB_Maschinen,17,FALSE)</f>
        <v>#REF!</v>
      </c>
      <c r="J84" s="420"/>
      <c r="K84" s="421"/>
      <c r="L84" s="520" t="e">
        <f>VLOOKUP(L$85,DB_Maschinen,17,FALSE)</f>
        <v>#REF!</v>
      </c>
      <c r="M84" s="420"/>
      <c r="N84" s="421"/>
      <c r="O84" s="520"/>
      <c r="P84" s="420"/>
      <c r="Q84" s="421"/>
      <c r="R84" s="520"/>
      <c r="S84" s="420"/>
      <c r="T84" s="421"/>
      <c r="U84" s="520"/>
      <c r="V84" s="11"/>
    </row>
    <row r="85" spans="2:24" x14ac:dyDescent="0.2">
      <c r="B85" s="523">
        <f>B84</f>
        <v>48</v>
      </c>
      <c r="C85" s="96" t="s">
        <v>427</v>
      </c>
      <c r="D85" s="100"/>
      <c r="E85" s="530" t="s">
        <v>451</v>
      </c>
      <c r="F85" s="158" t="e">
        <f>VLOOKUP(F$62*10,'Maschinen-DB'!$G$21:$R$37,12,TRUE)+1</f>
        <v>#REF!</v>
      </c>
      <c r="G85" s="420"/>
      <c r="H85" s="421"/>
      <c r="I85" s="158" t="e">
        <f>VLOOKUP(I$62*10,'Maschinen-DB'!$G$21:$R$37,12,TRUE)+1</f>
        <v>#REF!</v>
      </c>
      <c r="J85" s="420"/>
      <c r="K85" s="421"/>
      <c r="L85" s="158" t="e">
        <f>VLOOKUP(L$62*10,'Maschinen-DB'!$G$21:$R$37,12,TRUE)+1</f>
        <v>#REF!</v>
      </c>
      <c r="M85" s="420"/>
      <c r="N85" s="421"/>
      <c r="O85" s="158"/>
      <c r="P85" s="420"/>
      <c r="Q85" s="421"/>
      <c r="R85" s="158"/>
      <c r="S85" s="420"/>
      <c r="T85" s="421"/>
      <c r="U85" s="158"/>
      <c r="V85" s="5"/>
    </row>
    <row r="86" spans="2:24" x14ac:dyDescent="0.2">
      <c r="B86" s="523">
        <f>B85</f>
        <v>48</v>
      </c>
      <c r="C86" s="96" t="s">
        <v>428</v>
      </c>
      <c r="D86" s="100"/>
      <c r="E86" s="530" t="s">
        <v>451</v>
      </c>
      <c r="F86" s="158" t="e">
        <f>AND(VLOOKUP(F$85,DB_Maschinen,6,FALSE)&gt;F$63*10,VLOOKUP(F$85,DB_Maschinen,7,FALSE)&gt;F$64)</f>
        <v>#REF!</v>
      </c>
      <c r="G86" s="420"/>
      <c r="H86" s="421"/>
      <c r="I86" s="158" t="e">
        <f>AND(VLOOKUP(I$85,DB_Maschinen,6,FALSE)&gt;I$63*10,VLOOKUP(I$85,DB_Maschinen,7,FALSE)&gt;I$64)</f>
        <v>#REF!</v>
      </c>
      <c r="J86" s="420"/>
      <c r="K86" s="421"/>
      <c r="L86" s="158" t="e">
        <f>AND(VLOOKUP(L$85,DB_Maschinen,6,FALSE)&gt;L$63*10,VLOOKUP(L$85,DB_Maschinen,7,FALSE)&gt;L$64)</f>
        <v>#REF!</v>
      </c>
      <c r="M86" s="420"/>
      <c r="N86" s="421"/>
      <c r="O86" s="158"/>
      <c r="P86" s="420"/>
      <c r="Q86" s="421"/>
      <c r="R86" s="158"/>
      <c r="S86" s="420"/>
      <c r="T86" s="421"/>
      <c r="U86" s="158"/>
      <c r="V86" s="5"/>
      <c r="X86" s="503"/>
    </row>
    <row r="87" spans="2:24" ht="15" thickBot="1" x14ac:dyDescent="0.25">
      <c r="B87" s="523">
        <f>B86</f>
        <v>48</v>
      </c>
      <c r="C87" s="524" t="str">
        <f>CONCATENATE(IF('Quick Input'!$G$2,"Empfehlung ","suggestion "),'Quick Input'!$I$22)</f>
        <v>Empfehlung Giesstechnik</v>
      </c>
      <c r="D87" s="543" t="s">
        <v>389</v>
      </c>
      <c r="E87" s="532"/>
      <c r="F87" s="525" t="e">
        <f>VLOOKUP(VLOOKUP(F84,Auswahlfelder!$D$36:$E$38,2,FALSE),Auswahlfelder!$A$36:$B$38,2,FALSE)</f>
        <v>#REF!</v>
      </c>
      <c r="G87" s="422"/>
      <c r="H87" s="423"/>
      <c r="I87" s="525" t="e">
        <f>VLOOKUP(VLOOKUP(I84,Auswahlfelder!$D$36:$E$38,2,FALSE),Auswahlfelder!$A$36:$B$38,2,FALSE)</f>
        <v>#REF!</v>
      </c>
      <c r="J87" s="422"/>
      <c r="K87" s="423"/>
      <c r="L87" s="525" t="e">
        <f>VLOOKUP(VLOOKUP(L84,Auswahlfelder!$D$36:$E$38,2,FALSE),Auswahlfelder!$A$36:$B$38,2,FALSE)</f>
        <v>#REF!</v>
      </c>
      <c r="M87" s="422"/>
      <c r="N87" s="423"/>
      <c r="O87" s="525"/>
      <c r="P87" s="422"/>
      <c r="Q87" s="423"/>
      <c r="R87" s="525"/>
      <c r="S87" s="422"/>
      <c r="T87" s="423"/>
      <c r="U87" s="525"/>
      <c r="V87" s="1143"/>
    </row>
    <row r="88" spans="2:24" ht="15" x14ac:dyDescent="0.25">
      <c r="B88" s="466">
        <v>56</v>
      </c>
      <c r="C88" s="95" t="s">
        <v>383</v>
      </c>
      <c r="D88" s="98" t="s">
        <v>386</v>
      </c>
      <c r="E88" s="535" t="s">
        <v>452</v>
      </c>
      <c r="F88" s="156" t="e">
        <f>(F$90-F$91)/1000/1.64/#REF!</f>
        <v>#REF!</v>
      </c>
      <c r="G88" s="7"/>
      <c r="H88" s="7"/>
      <c r="I88" s="156" t="e">
        <f>(I$90-I$91)/1000/1.64/#REF!</f>
        <v>#REF!</v>
      </c>
      <c r="J88" s="7"/>
      <c r="K88" s="7"/>
      <c r="L88" s="156" t="e">
        <f>(L$90-L$91)/1000/1.64/#REF!</f>
        <v>#REF!</v>
      </c>
      <c r="M88" s="7"/>
      <c r="N88" s="7"/>
      <c r="O88" s="156"/>
      <c r="P88" s="28"/>
      <c r="Q88" s="28"/>
      <c r="R88" s="156"/>
      <c r="S88" s="28"/>
      <c r="T88" s="28"/>
      <c r="U88" s="156"/>
      <c r="V88" s="11"/>
    </row>
    <row r="89" spans="2:24" x14ac:dyDescent="0.2">
      <c r="B89" s="466">
        <v>56</v>
      </c>
      <c r="C89" s="96" t="str">
        <f>IF('Quick Input'!$G$2,"Kastenausnutzung (Volumen)","used box size")</f>
        <v>Kastenausnutzung (Volumen)</v>
      </c>
      <c r="D89" s="543" t="s">
        <v>389</v>
      </c>
      <c r="E89" s="530" t="s">
        <v>452</v>
      </c>
      <c r="F89" s="501" t="e">
        <f>F$91/F$90</f>
        <v>#REF!</v>
      </c>
      <c r="G89" s="557" t="e">
        <f>TEXT(F$89,"0,0 %")</f>
        <v>#REF!</v>
      </c>
      <c r="H89" s="10"/>
      <c r="I89" s="501" t="e">
        <f>I$91/I$90</f>
        <v>#REF!</v>
      </c>
      <c r="J89" s="557" t="e">
        <f>TEXT(I$89,"0,0 %")</f>
        <v>#REF!</v>
      </c>
      <c r="K89" s="10"/>
      <c r="L89" s="501" t="e">
        <f>L$91/L$90</f>
        <v>#REF!</v>
      </c>
      <c r="M89" s="557" t="e">
        <f>TEXT(L$89,"0,0 %")</f>
        <v>#REF!</v>
      </c>
      <c r="N89" s="10"/>
      <c r="O89" s="501"/>
      <c r="P89" s="557"/>
      <c r="Q89" s="4"/>
      <c r="R89" s="501"/>
      <c r="S89" s="557"/>
      <c r="T89" s="4"/>
      <c r="U89" s="501"/>
      <c r="V89" s="5"/>
    </row>
    <row r="90" spans="2:24" x14ac:dyDescent="0.2">
      <c r="B90" s="466">
        <v>56</v>
      </c>
      <c r="C90" s="96" t="s">
        <v>384</v>
      </c>
      <c r="D90" s="100">
        <v>1</v>
      </c>
      <c r="E90" s="532"/>
      <c r="F90" s="276" t="e">
        <f>F$79*F$80*IF(VLOOKUP(F$83,DB_Maschinen,2,FALSE)='Maschinen-DB'!$D$21,MAX(F$64,F$82),IF(F$82&gt;F$64,F$82,F$81))</f>
        <v>#REF!</v>
      </c>
      <c r="G90" s="10"/>
      <c r="H90" s="10"/>
      <c r="I90" s="276" t="e">
        <f>I$79*I$80*IF(VLOOKUP(I$83,DB_Maschinen,2,FALSE)='Maschinen-DB'!$D$21,MAX(I$64,I$82),IF(I$82&gt;I$64,I$82,I$81))</f>
        <v>#REF!</v>
      </c>
      <c r="J90" s="10"/>
      <c r="K90" s="10"/>
      <c r="L90" s="276" t="e">
        <f>L$79*L$80*IF(VLOOKUP(L$83,DB_Maschinen,2,FALSE)='Maschinen-DB'!$D$21,MAX(L$64,L$82),IF(L$82&gt;L$64,L$82,L$81))</f>
        <v>#REF!</v>
      </c>
      <c r="M90" s="10"/>
      <c r="N90" s="10"/>
      <c r="O90" s="276"/>
      <c r="P90" s="10"/>
      <c r="Q90" s="10"/>
      <c r="R90" s="276"/>
      <c r="S90" s="10"/>
      <c r="T90" s="10"/>
      <c r="U90" s="276"/>
      <c r="V90" s="5"/>
      <c r="X90" s="503"/>
    </row>
    <row r="91" spans="2:24" ht="15" thickBot="1" x14ac:dyDescent="0.25">
      <c r="B91" s="466">
        <v>56</v>
      </c>
      <c r="C91" s="97" t="s">
        <v>385</v>
      </c>
      <c r="D91" s="102">
        <v>1</v>
      </c>
      <c r="E91" s="533"/>
      <c r="F91" s="558">
        <f>F$41*1000/VLOOKUP('Quick Input'!M$10,DB_Material,5,FALSE)</f>
        <v>18222.222222222223</v>
      </c>
      <c r="G91" s="13"/>
      <c r="H91" s="13"/>
      <c r="I91" s="558">
        <f>I$41*1000/VLOOKUP('Quick Input'!P$10,DB_Material,5,FALSE)</f>
        <v>2272.727272727273</v>
      </c>
      <c r="J91" s="13"/>
      <c r="K91" s="13"/>
      <c r="L91" s="558">
        <f>L$41*1000/VLOOKUP('Quick Input'!S$10,DB_Material,5,FALSE)</f>
        <v>3011.8255728011827</v>
      </c>
      <c r="M91" s="13"/>
      <c r="N91" s="13"/>
      <c r="O91" s="558"/>
      <c r="P91" s="13"/>
      <c r="Q91" s="13"/>
      <c r="R91" s="558"/>
      <c r="S91" s="13"/>
      <c r="T91" s="13"/>
      <c r="U91" s="558"/>
      <c r="V91" s="32"/>
    </row>
    <row r="92" spans="2:24" ht="15" x14ac:dyDescent="0.25">
      <c r="B92" s="466">
        <v>57</v>
      </c>
      <c r="C92" s="95" t="s">
        <v>376</v>
      </c>
      <c r="D92" s="98">
        <v>1</v>
      </c>
      <c r="E92" s="535" t="s">
        <v>452</v>
      </c>
      <c r="F92" s="858" t="e">
        <f>(1-F$95)*('Länder-DB'!$M$23+4%)*F$93*F$94+F$95*F$96*F$97</f>
        <v>#N/A</v>
      </c>
      <c r="G92" s="7"/>
      <c r="H92" s="7"/>
      <c r="I92" s="858" t="e">
        <f>(1-I$95)*('Länder-DB'!$M$23+4%)*I$93*I$94+I$95*I$97*I$96</f>
        <v>#N/A</v>
      </c>
      <c r="J92" s="7"/>
      <c r="K92" s="7"/>
      <c r="L92" s="858" t="e">
        <f>(1-L$95)*('Länder-DB'!$M$23+4%)*L$93*L$94+L$95*L$97*L$96</f>
        <v>#N/A</v>
      </c>
      <c r="M92" s="7"/>
      <c r="N92" s="7"/>
      <c r="O92" s="858"/>
      <c r="P92" s="28"/>
      <c r="Q92" s="28"/>
      <c r="R92" s="858"/>
      <c r="S92" s="28"/>
      <c r="T92" s="28"/>
      <c r="U92" s="858"/>
      <c r="V92" s="11"/>
      <c r="W92" s="117"/>
    </row>
    <row r="93" spans="2:24" x14ac:dyDescent="0.2">
      <c r="B93" s="466">
        <v>57</v>
      </c>
      <c r="C93" s="96" t="s">
        <v>435</v>
      </c>
      <c r="D93" s="100" t="s">
        <v>386</v>
      </c>
      <c r="E93" s="530" t="s">
        <v>526</v>
      </c>
      <c r="F93" s="154">
        <f>6%+0.5%*(VLOOKUP('Quick Input'!M$21,Auswahlfelder!$D$16:$E$19,2,FALSE)-1)</f>
        <v>6.9999999999999993E-2</v>
      </c>
      <c r="G93" s="10"/>
      <c r="H93" s="10"/>
      <c r="I93" s="154">
        <f>6%+0.5%*(VLOOKUP('Quick Input'!P$21,Auswahlfelder!$D$16:$E$19,2,FALSE)-1)</f>
        <v>6.9999999999999993E-2</v>
      </c>
      <c r="J93" s="10"/>
      <c r="K93" s="10"/>
      <c r="L93" s="154">
        <f>6%+0.5%*(VLOOKUP('Quick Input'!S$21,Auswahlfelder!$D$16:$E$19,2,FALSE)-1)</f>
        <v>6.5000000000000002E-2</v>
      </c>
      <c r="M93" s="10"/>
      <c r="N93" s="10"/>
      <c r="O93" s="154"/>
      <c r="P93" s="10"/>
      <c r="Q93" s="10"/>
      <c r="R93" s="154"/>
      <c r="S93" s="10"/>
      <c r="T93" s="10"/>
      <c r="U93" s="154"/>
      <c r="V93" s="5"/>
      <c r="X93" s="503"/>
    </row>
    <row r="94" spans="2:24" x14ac:dyDescent="0.2">
      <c r="B94" s="466">
        <v>57</v>
      </c>
      <c r="C94" s="96" t="s">
        <v>807</v>
      </c>
      <c r="D94" s="100">
        <v>1</v>
      </c>
      <c r="E94" s="530" t="s">
        <v>526</v>
      </c>
      <c r="F94" s="159">
        <f>'Länder-DB'!$M$27/1000</f>
        <v>0.25</v>
      </c>
      <c r="G94" s="10"/>
      <c r="H94" s="10"/>
      <c r="I94" s="159">
        <f>'Länder-DB'!$M$27/1000</f>
        <v>0.25</v>
      </c>
      <c r="J94" s="10"/>
      <c r="K94" s="10"/>
      <c r="L94" s="159">
        <f>'Länder-DB'!$M$27/1000</f>
        <v>0.25</v>
      </c>
      <c r="M94" s="10"/>
      <c r="N94" s="10"/>
      <c r="O94" s="159"/>
      <c r="P94" s="10"/>
      <c r="Q94" s="10"/>
      <c r="R94" s="159"/>
      <c r="S94" s="10"/>
      <c r="T94" s="10"/>
      <c r="U94" s="159"/>
      <c r="V94" s="11"/>
      <c r="X94" s="503"/>
    </row>
    <row r="95" spans="2:24" x14ac:dyDescent="0.2">
      <c r="B95" s="466">
        <v>57</v>
      </c>
      <c r="C95" s="96" t="s">
        <v>808</v>
      </c>
      <c r="D95" s="100" t="s">
        <v>386</v>
      </c>
      <c r="E95" s="530" t="s">
        <v>526</v>
      </c>
      <c r="F95" s="154" t="e">
        <f>IF(VLOOKUP('Quick Input'!M$23,Auswahlfelder!$D$49:$E$51,2,FALSE)=1,0,1.05*Refkalkulation!H$65*Refkalkulation!H$49/(F$90-F$91)*1000)</f>
        <v>#N/A</v>
      </c>
      <c r="G95" s="10"/>
      <c r="H95" s="10"/>
      <c r="I95" s="154" t="e">
        <f>IF(VLOOKUP('Quick Input'!P$23,Auswahlfelder!$D$49:$E$51,2,FALSE)=1,0,1.05*Refkalkulation!K$65*Refkalkulation!K$49/(I$90-I$91)*1000)</f>
        <v>#N/A</v>
      </c>
      <c r="J95" s="10"/>
      <c r="K95" s="10"/>
      <c r="L95" s="154" t="e">
        <f>IF(VLOOKUP('Quick Input'!S$23,Auswahlfelder!$D$49:$E$51,2,FALSE)=1,0,1.05*Refkalkulation!N$65*Refkalkulation!N$49/(L$90-L$91)*1000)</f>
        <v>#N/A</v>
      </c>
      <c r="M95" s="10"/>
      <c r="N95" s="10"/>
      <c r="O95" s="154"/>
      <c r="P95" s="10"/>
      <c r="Q95" s="10"/>
      <c r="R95" s="154"/>
      <c r="S95" s="10"/>
      <c r="T95" s="10"/>
      <c r="U95" s="154"/>
      <c r="V95" s="11"/>
      <c r="X95" s="503"/>
    </row>
    <row r="96" spans="2:24" ht="15" x14ac:dyDescent="0.25">
      <c r="B96" s="466">
        <v>57</v>
      </c>
      <c r="C96" s="96" t="s">
        <v>391</v>
      </c>
      <c r="D96" s="890">
        <v>1.4999999999999999E-2</v>
      </c>
      <c r="E96" s="530" t="s">
        <v>526</v>
      </c>
      <c r="F96" s="153">
        <f>$D$96+0.2%-0.15%*VLOOKUP('Quick Input'!M$25,Auswahlfelder!$D$54:$E$57,2,FALSE)</f>
        <v>1.1000000000000001E-2</v>
      </c>
      <c r="G96" s="10"/>
      <c r="H96" s="10"/>
      <c r="I96" s="153">
        <f>$D$96+0.2%-0.15%*VLOOKUP('Quick Input'!P$25,Auswahlfelder!$D$54:$E$57,2,FALSE)</f>
        <v>1.4000000000000002E-2</v>
      </c>
      <c r="J96" s="10"/>
      <c r="K96" s="10"/>
      <c r="L96" s="153">
        <f>$D$96+0.2%-0.15%*VLOOKUP('Quick Input'!S$25,Auswahlfelder!$D$54:$E$57,2,FALSE)</f>
        <v>1.2500000000000001E-2</v>
      </c>
      <c r="M96" s="10"/>
      <c r="N96" s="10"/>
      <c r="O96" s="153"/>
      <c r="P96" s="10"/>
      <c r="Q96" s="10"/>
      <c r="R96" s="153"/>
      <c r="S96" s="10"/>
      <c r="T96" s="10"/>
      <c r="U96" s="153"/>
      <c r="V96" s="11"/>
      <c r="X96" s="503"/>
    </row>
    <row r="97" spans="2:24" ht="15" thickBot="1" x14ac:dyDescent="0.25">
      <c r="B97" s="466">
        <v>57</v>
      </c>
      <c r="C97" s="96" t="s">
        <v>390</v>
      </c>
      <c r="D97" s="100">
        <v>1</v>
      </c>
      <c r="E97" s="530" t="s">
        <v>526</v>
      </c>
      <c r="F97" s="159">
        <f>'Länder-DB'!$M$29/1000*1.25</f>
        <v>3.8874999999999997</v>
      </c>
      <c r="G97" s="10"/>
      <c r="H97" s="10"/>
      <c r="I97" s="159">
        <f>'Länder-DB'!$M$29/1000*1.25</f>
        <v>3.8874999999999997</v>
      </c>
      <c r="J97" s="10"/>
      <c r="K97" s="10"/>
      <c r="L97" s="159">
        <f>'Länder-DB'!$M$29/1000*1.25</f>
        <v>3.8874999999999997</v>
      </c>
      <c r="M97" s="10"/>
      <c r="N97" s="10"/>
      <c r="O97" s="159"/>
      <c r="P97" s="10"/>
      <c r="Q97" s="10"/>
      <c r="R97" s="159"/>
      <c r="S97" s="10"/>
      <c r="T97" s="10"/>
      <c r="U97" s="159"/>
      <c r="V97" s="1142"/>
      <c r="X97" s="801"/>
    </row>
    <row r="98" spans="2:24" ht="15" x14ac:dyDescent="0.25">
      <c r="B98" s="466">
        <v>40</v>
      </c>
      <c r="C98" s="95" t="s">
        <v>96</v>
      </c>
      <c r="D98" s="98">
        <v>1</v>
      </c>
      <c r="E98" s="535" t="s">
        <v>451</v>
      </c>
      <c r="F98" s="204">
        <f>MIN(F$105*F$104,F$101)</f>
        <v>117</v>
      </c>
      <c r="G98" s="7"/>
      <c r="H98" s="7"/>
      <c r="I98" s="204">
        <f>MIN(I$105*I$104,I$101)</f>
        <v>117</v>
      </c>
      <c r="J98" s="7"/>
      <c r="K98" s="7"/>
      <c r="L98" s="204">
        <f>MIN(L$105*L$104,L$101)</f>
        <v>117</v>
      </c>
      <c r="M98" s="7"/>
      <c r="N98" s="7"/>
      <c r="O98" s="204"/>
      <c r="P98" s="7"/>
      <c r="Q98" s="7"/>
      <c r="R98" s="204"/>
      <c r="S98" s="7"/>
      <c r="T98" s="7"/>
      <c r="U98" s="204"/>
      <c r="V98" s="11"/>
    </row>
    <row r="99" spans="2:24" x14ac:dyDescent="0.2">
      <c r="B99" s="466">
        <v>40</v>
      </c>
      <c r="C99" s="96" t="s">
        <v>158</v>
      </c>
      <c r="D99" s="543" t="s">
        <v>457</v>
      </c>
      <c r="E99" s="532"/>
      <c r="F99" s="206">
        <f>52/'Quick Input'!M$37*F$98</f>
        <v>1.2167999999999999</v>
      </c>
      <c r="G99" s="10"/>
      <c r="H99" s="10"/>
      <c r="I99" s="206">
        <f>52/'Quick Input'!P$37*I$98</f>
        <v>1.2167999999999999</v>
      </c>
      <c r="J99" s="10"/>
      <c r="K99" s="10"/>
      <c r="L99" s="206">
        <f>52/'Quick Input'!S$37*L$98</f>
        <v>1.2167999999999999</v>
      </c>
      <c r="M99" s="10"/>
      <c r="N99" s="10"/>
      <c r="O99" s="206"/>
      <c r="P99" s="10"/>
      <c r="Q99" s="10"/>
      <c r="R99" s="206"/>
      <c r="S99" s="10"/>
      <c r="T99" s="10"/>
      <c r="U99" s="206"/>
      <c r="V99" s="11"/>
    </row>
    <row r="100" spans="2:24" x14ac:dyDescent="0.2">
      <c r="B100" s="466">
        <v>40</v>
      </c>
      <c r="C100" s="96" t="s">
        <v>160</v>
      </c>
      <c r="D100" s="100" t="s">
        <v>94</v>
      </c>
      <c r="E100" s="530" t="s">
        <v>452</v>
      </c>
      <c r="F100" s="206">
        <f>'Quick Input'!M$37/F$162</f>
        <v>104.16666666666667</v>
      </c>
      <c r="G100" s="10"/>
      <c r="H100" s="10"/>
      <c r="I100" s="206">
        <f>'Quick Input'!P$37/I162</f>
        <v>104.16666666666667</v>
      </c>
      <c r="J100" s="10"/>
      <c r="K100" s="10"/>
      <c r="L100" s="206">
        <f>'Quick Input'!S$37/L162</f>
        <v>104.16666666666667</v>
      </c>
      <c r="M100" s="10"/>
      <c r="N100" s="10"/>
      <c r="O100" s="206"/>
      <c r="P100" s="10"/>
      <c r="Q100" s="10"/>
      <c r="R100" s="206"/>
      <c r="S100" s="10"/>
      <c r="T100" s="10"/>
      <c r="U100" s="206"/>
      <c r="V100" s="11"/>
    </row>
    <row r="101" spans="2:24" x14ac:dyDescent="0.2">
      <c r="B101" s="466">
        <v>40</v>
      </c>
      <c r="C101" s="96" t="s">
        <v>159</v>
      </c>
      <c r="D101" s="100" t="s">
        <v>94</v>
      </c>
      <c r="E101" s="530" t="s">
        <v>451</v>
      </c>
      <c r="F101" s="205">
        <f>'Quick Input'!M$37/4</f>
        <v>1250</v>
      </c>
      <c r="G101" s="10"/>
      <c r="H101" s="10"/>
      <c r="I101" s="205">
        <f>'Quick Input'!P$37/4</f>
        <v>1250</v>
      </c>
      <c r="J101" s="10"/>
      <c r="K101" s="10"/>
      <c r="L101" s="205">
        <f>'Quick Input'!S$37/4</f>
        <v>1250</v>
      </c>
      <c r="M101" s="10"/>
      <c r="N101" s="10"/>
      <c r="O101" s="205"/>
      <c r="P101" s="10"/>
      <c r="Q101" s="10"/>
      <c r="R101" s="205"/>
      <c r="S101" s="10"/>
      <c r="T101" s="10"/>
      <c r="U101" s="205"/>
      <c r="V101" s="11"/>
    </row>
    <row r="102" spans="2:24" x14ac:dyDescent="0.2">
      <c r="B102" s="466">
        <v>40</v>
      </c>
      <c r="C102" s="96" t="s">
        <v>477</v>
      </c>
      <c r="D102" s="100" t="s">
        <v>94</v>
      </c>
      <c r="E102" s="530" t="s">
        <v>451</v>
      </c>
      <c r="F102" s="206">
        <f>F$100*F$42/1000</f>
        <v>4.166666666666667</v>
      </c>
      <c r="G102" s="10"/>
      <c r="H102" s="10"/>
      <c r="I102" s="206">
        <f>I$100*I$42/1000</f>
        <v>0.52083333333333337</v>
      </c>
      <c r="J102" s="10"/>
      <c r="K102" s="10"/>
      <c r="L102" s="206">
        <f>L$100*L$42/1000</f>
        <v>0.52083333333333337</v>
      </c>
      <c r="M102" s="10"/>
      <c r="N102" s="10"/>
      <c r="O102" s="206"/>
      <c r="P102" s="10"/>
      <c r="Q102" s="10"/>
      <c r="R102" s="206"/>
      <c r="S102" s="10"/>
      <c r="T102" s="10"/>
      <c r="U102" s="206"/>
      <c r="V102" s="11"/>
    </row>
    <row r="103" spans="2:24" x14ac:dyDescent="0.2">
      <c r="B103" s="466">
        <v>40</v>
      </c>
      <c r="C103" s="96" t="s">
        <v>147</v>
      </c>
      <c r="D103" s="100" t="s">
        <v>94</v>
      </c>
      <c r="E103" s="530" t="s">
        <v>451</v>
      </c>
      <c r="F103" s="205">
        <f>F$100*'Quick Input'!M$14*'Quick Input'!M$15*'Quick Input'!M$16/1000000</f>
        <v>4166.666666666667</v>
      </c>
      <c r="G103" s="10"/>
      <c r="H103" s="10"/>
      <c r="I103" s="205">
        <f>I$100*'Quick Input'!P$14*'Quick Input'!P$15*'Quick Input'!P$16/1000000</f>
        <v>4166.666666666667</v>
      </c>
      <c r="J103" s="10"/>
      <c r="K103" s="10"/>
      <c r="L103" s="205">
        <f>L$100*'Quick Input'!S$14*'Quick Input'!S$15*'Quick Input'!S$16/1000000</f>
        <v>4166.666666666667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5"/>
    </row>
    <row r="104" spans="2:24" x14ac:dyDescent="0.2">
      <c r="B104" s="466">
        <v>40</v>
      </c>
      <c r="C104" s="96" t="s">
        <v>146</v>
      </c>
      <c r="D104" s="100" t="s">
        <v>94</v>
      </c>
      <c r="E104" s="530" t="s">
        <v>451</v>
      </c>
      <c r="F104" s="205">
        <f>ROUNDUP(MIN(520/F$103*F$100,1200/F$102*F$100),0)</f>
        <v>13</v>
      </c>
      <c r="G104" s="10"/>
      <c r="H104" s="10"/>
      <c r="I104" s="205">
        <f>ROUNDUP(MIN(520/I$103*I$100,1200/I$102*I$100),0)</f>
        <v>13</v>
      </c>
      <c r="J104" s="10"/>
      <c r="K104" s="10"/>
      <c r="L104" s="205">
        <f>ROUNDUP(MIN(520/L$103*L$100,1200/L$102*L$100),0)</f>
        <v>13</v>
      </c>
      <c r="M104" s="10"/>
      <c r="N104" s="10"/>
      <c r="O104" s="205"/>
      <c r="P104" s="10"/>
      <c r="Q104" s="10"/>
      <c r="R104" s="205"/>
      <c r="S104" s="10"/>
      <c r="T104" s="10"/>
      <c r="U104" s="205"/>
      <c r="V104" s="5"/>
    </row>
    <row r="105" spans="2:24" x14ac:dyDescent="0.2">
      <c r="B105" s="466">
        <v>40</v>
      </c>
      <c r="C105" s="96" t="s">
        <v>145</v>
      </c>
      <c r="D105" s="100" t="s">
        <v>94</v>
      </c>
      <c r="E105" s="530" t="s">
        <v>451</v>
      </c>
      <c r="F105" s="205">
        <f>IF(F$104&gt;F$100,1,ROUNDUP(F$100/F$104,0))</f>
        <v>9</v>
      </c>
      <c r="G105" s="10"/>
      <c r="H105" s="10"/>
      <c r="I105" s="205">
        <f>IF(I$104&gt;I$100,1,ROUNDUP(I$100/I$104,0))</f>
        <v>9</v>
      </c>
      <c r="J105" s="10"/>
      <c r="K105" s="10"/>
      <c r="L105" s="205">
        <f>IF(L$104&gt;L$100,1,ROUNDUP(L$100/L$104,0))</f>
        <v>9</v>
      </c>
      <c r="M105" s="10"/>
      <c r="N105" s="10"/>
      <c r="O105" s="205"/>
      <c r="P105" s="10"/>
      <c r="Q105" s="10"/>
      <c r="R105" s="205"/>
      <c r="S105" s="10"/>
      <c r="T105" s="10"/>
      <c r="U105" s="205"/>
      <c r="V105" s="5"/>
    </row>
    <row r="106" spans="2:24" ht="15" thickBot="1" x14ac:dyDescent="0.25">
      <c r="B106" s="466">
        <v>40</v>
      </c>
      <c r="C106" s="96" t="s">
        <v>244</v>
      </c>
      <c r="D106" s="100" t="s">
        <v>94</v>
      </c>
      <c r="E106" s="530" t="s">
        <v>452</v>
      </c>
      <c r="F106" s="205">
        <f>IF(F$105&gt;3,IF(F$99&gt;3,F$105-1,1),IF(F$105&gt;1,IF(F$99&gt;2,2,1),0))</f>
        <v>1</v>
      </c>
      <c r="G106" s="10"/>
      <c r="H106" s="10"/>
      <c r="I106" s="205">
        <f>IF(I$105&gt;3,IF(I$99&gt;3,I$105-1,1),IF(I$105&gt;1,IF(I$99&gt;2,2,1),0))</f>
        <v>1</v>
      </c>
      <c r="J106" s="10"/>
      <c r="K106" s="10"/>
      <c r="L106" s="205">
        <f>IF(L$105&gt;3,IF(L$99&gt;3,L$105-1,1),IF(L$105&gt;1,IF(L$99&gt;2,2,1),0))</f>
        <v>1</v>
      </c>
      <c r="M106" s="10"/>
      <c r="N106" s="10"/>
      <c r="O106" s="205"/>
      <c r="P106" s="4"/>
      <c r="Q106" s="4"/>
      <c r="R106" s="205"/>
      <c r="S106" s="4"/>
      <c r="T106" s="4"/>
      <c r="U106" s="205"/>
      <c r="V106" s="1143"/>
    </row>
    <row r="107" spans="2:24" ht="15" x14ac:dyDescent="0.25">
      <c r="B107" s="466">
        <v>10</v>
      </c>
      <c r="C107" s="95" t="s">
        <v>97</v>
      </c>
      <c r="D107" s="98" t="s">
        <v>94</v>
      </c>
      <c r="E107" s="535" t="s">
        <v>452</v>
      </c>
      <c r="F107" s="615">
        <f>IFERROR(IF(Refkalkulation!H59=0,Refkalkulation!H$49*ROUNDUP(F$108*F$110/Refkalkulation!H$49,0),Refkalkulation!H59),0)</f>
        <v>100</v>
      </c>
      <c r="G107" s="435"/>
      <c r="H107" s="461"/>
      <c r="I107" s="615">
        <f>IFERROR(IF(Refkalkulation!K59=0,Refkalkulation!K$49*ROUNDUP(I$108*I$110/Refkalkulation!K$49,0),Refkalkulation!K59),0)</f>
        <v>100</v>
      </c>
      <c r="J107" s="435"/>
      <c r="K107" s="461"/>
      <c r="L107" s="615">
        <f>IFERROR(IF(Refkalkulation!N59=0,Refkalkulation!N$49*ROUNDUP(L$108*L$110/Refkalkulation!N$49,0),Refkalkulation!N59),0)</f>
        <v>100</v>
      </c>
      <c r="M107" s="435"/>
      <c r="N107" s="461"/>
      <c r="O107" s="615"/>
      <c r="P107" s="435"/>
      <c r="Q107" s="461"/>
      <c r="R107" s="615"/>
      <c r="S107" s="435"/>
      <c r="T107" s="461"/>
      <c r="U107" s="615"/>
      <c r="V107" s="11"/>
      <c r="X107" s="503"/>
    </row>
    <row r="108" spans="2:24" x14ac:dyDescent="0.2">
      <c r="B108" s="466">
        <v>10</v>
      </c>
      <c r="C108" s="96" t="s">
        <v>475</v>
      </c>
      <c r="D108" s="100" t="s">
        <v>94</v>
      </c>
      <c r="E108" s="530" t="s">
        <v>451</v>
      </c>
      <c r="F108" s="205">
        <f>MAX(Refkalkulation!H$49,MAX(F$98,F$100*2)-F$106*F$104)</f>
        <v>195.33333333333334</v>
      </c>
      <c r="G108" s="10"/>
      <c r="H108" s="10"/>
      <c r="I108" s="205">
        <f>MAX(Refkalkulation!K$49,MAX(I$98,I$100*2)-I$106*I$104)</f>
        <v>195.33333333333334</v>
      </c>
      <c r="J108" s="10"/>
      <c r="K108" s="10"/>
      <c r="L108" s="205">
        <f>MAX(Refkalkulation!N$49,MAX(L$98,L$100*2)-L$106*L$104)</f>
        <v>195.33333333333334</v>
      </c>
      <c r="M108" s="10"/>
      <c r="N108" s="10"/>
      <c r="O108" s="205"/>
      <c r="P108" s="10"/>
      <c r="Q108" s="10"/>
      <c r="R108" s="205"/>
      <c r="S108" s="10"/>
      <c r="T108" s="10"/>
      <c r="U108" s="205"/>
      <c r="V108" s="11"/>
    </row>
    <row r="109" spans="2:24" x14ac:dyDescent="0.2">
      <c r="B109" s="466">
        <v>10</v>
      </c>
      <c r="C109" s="96" t="s">
        <v>476</v>
      </c>
      <c r="D109" s="100" t="s">
        <v>94</v>
      </c>
      <c r="E109" s="530" t="s">
        <v>451</v>
      </c>
      <c r="F109" s="206">
        <f>F$108/F$100</f>
        <v>1.8752</v>
      </c>
      <c r="G109" s="282"/>
      <c r="H109" s="282"/>
      <c r="I109" s="206">
        <f>I$108/I$100</f>
        <v>1.8752</v>
      </c>
      <c r="J109" s="282"/>
      <c r="K109" s="282"/>
      <c r="L109" s="206">
        <f>L$108/L$100</f>
        <v>1.8752</v>
      </c>
      <c r="M109" s="282"/>
      <c r="N109" s="282"/>
      <c r="O109" s="206"/>
      <c r="P109" s="283"/>
      <c r="Q109" s="283"/>
      <c r="R109" s="206"/>
      <c r="S109" s="283"/>
      <c r="T109" s="283"/>
      <c r="U109" s="206"/>
      <c r="V109" s="11"/>
    </row>
    <row r="110" spans="2:24" ht="15" thickBot="1" x14ac:dyDescent="0.25">
      <c r="B110" s="466">
        <v>10</v>
      </c>
      <c r="C110" s="96" t="s">
        <v>161</v>
      </c>
      <c r="D110" s="100" t="s">
        <v>94</v>
      </c>
      <c r="E110" s="530" t="s">
        <v>451</v>
      </c>
      <c r="F110" s="205">
        <f>IF(F$109&lt;2.2,2,IF(F$109&gt;6,1,2))</f>
        <v>2</v>
      </c>
      <c r="G110" s="10"/>
      <c r="H110" s="10"/>
      <c r="I110" s="205">
        <f>IF(I$109&lt;2.2,2,IF(I$109&gt;6,1,2))</f>
        <v>2</v>
      </c>
      <c r="J110" s="10"/>
      <c r="K110" s="10"/>
      <c r="L110" s="205">
        <f>IF(L$109&lt;2.2,2,IF(L$109&gt;6,1,2))</f>
        <v>2</v>
      </c>
      <c r="M110" s="10"/>
      <c r="N110" s="10"/>
      <c r="O110" s="205"/>
      <c r="P110" s="4"/>
      <c r="Q110" s="4"/>
      <c r="R110" s="205"/>
      <c r="S110" s="4"/>
      <c r="T110" s="4"/>
      <c r="U110" s="205"/>
      <c r="V110" s="1143"/>
    </row>
    <row r="111" spans="2:24" ht="15" x14ac:dyDescent="0.25">
      <c r="B111" s="466">
        <v>20</v>
      </c>
      <c r="C111" s="95" t="s">
        <v>767</v>
      </c>
      <c r="D111" s="98"/>
      <c r="E111" s="535" t="s">
        <v>451</v>
      </c>
      <c r="F111" s="161">
        <f>IF(F61=0,MAX(MIN(11,F$118+3,F$118+ROUNDDOWN(IF(ISERROR(F$113),F$112,F$112+F$113),0)),F$119),F61)</f>
        <v>2</v>
      </c>
      <c r="G111" s="418"/>
      <c r="H111" s="419"/>
      <c r="I111" s="161">
        <f>IF(I61=0,MAX(MIN(11,I$118+3,I$118+ROUNDDOWN(IF(ISERROR(I$113),I$112,I$112+I$113),0)),I$119),I61)</f>
        <v>2</v>
      </c>
      <c r="J111" s="418"/>
      <c r="K111" s="419"/>
      <c r="L111" s="161">
        <f>IF(L61=0,MAX(MIN(11,L$118+3,L$118+ROUNDDOWN(IF(ISERROR(L$113),L$112,L$112+L$113),0)),L$119),L61)</f>
        <v>2</v>
      </c>
      <c r="M111" s="418"/>
      <c r="N111" s="419"/>
      <c r="O111" s="161"/>
      <c r="P111" s="418"/>
      <c r="Q111" s="419"/>
      <c r="R111" s="161"/>
      <c r="S111" s="418"/>
      <c r="T111" s="419"/>
      <c r="U111" s="161"/>
      <c r="V111" s="11"/>
      <c r="X111" s="503"/>
    </row>
    <row r="112" spans="2:24" x14ac:dyDescent="0.2">
      <c r="B112" s="466">
        <v>20</v>
      </c>
      <c r="C112" s="96" t="s">
        <v>172</v>
      </c>
      <c r="D112" s="100" t="s">
        <v>386</v>
      </c>
      <c r="E112" s="530" t="s">
        <v>451</v>
      </c>
      <c r="F112" s="207">
        <f>VLOOKUP('Quick Input'!M$50,Auswahlfelder!$D$26:$E$28,2,FALSE)*0.4</f>
        <v>0.8</v>
      </c>
      <c r="G112" s="424"/>
      <c r="H112" s="421"/>
      <c r="I112" s="207">
        <f>VLOOKUP('Quick Input'!P$50,Auswahlfelder!$D$26:$E$28,2,FALSE)*0.4</f>
        <v>0.8</v>
      </c>
      <c r="J112" s="424"/>
      <c r="K112" s="421"/>
      <c r="L112" s="207">
        <f>VLOOKUP('Quick Input'!S$50,Auswahlfelder!$D$26:$E$28,2,FALSE)*0.4</f>
        <v>0.8</v>
      </c>
      <c r="M112" s="424"/>
      <c r="N112" s="421"/>
      <c r="O112" s="207"/>
      <c r="P112" s="424"/>
      <c r="Q112" s="421"/>
      <c r="R112" s="207"/>
      <c r="S112" s="424"/>
      <c r="T112" s="421"/>
      <c r="U112" s="207"/>
      <c r="V112" s="11"/>
    </row>
    <row r="113" spans="2:24" x14ac:dyDescent="0.2">
      <c r="B113" s="466">
        <v>20</v>
      </c>
      <c r="C113" s="96" t="s">
        <v>494</v>
      </c>
      <c r="D113" s="100" t="s">
        <v>386</v>
      </c>
      <c r="E113" s="530" t="s">
        <v>451</v>
      </c>
      <c r="F113" s="207">
        <f>0.7*VLOOKUP('Quick Input'!M$47,Auswahlfelder!$D$7:$E$9,2,FALSE)-1</f>
        <v>0.39999999999999991</v>
      </c>
      <c r="G113" s="424"/>
      <c r="H113" s="421"/>
      <c r="I113" s="207">
        <f>0.7*VLOOKUP('Quick Input'!P$47,Auswahlfelder!$D$7:$E$9,2,FALSE)-1</f>
        <v>0.39999999999999991</v>
      </c>
      <c r="J113" s="424"/>
      <c r="K113" s="421"/>
      <c r="L113" s="207">
        <f>0.7*VLOOKUP('Quick Input'!S$47,Auswahlfelder!$D$7:$E$9,2,FALSE)-1</f>
        <v>0.39999999999999991</v>
      </c>
      <c r="M113" s="424"/>
      <c r="N113" s="421"/>
      <c r="O113" s="207"/>
      <c r="P113" s="424"/>
      <c r="Q113" s="421"/>
      <c r="R113" s="207"/>
      <c r="S113" s="424"/>
      <c r="T113" s="421"/>
      <c r="U113" s="207"/>
      <c r="V113" s="11"/>
      <c r="X113" s="503"/>
    </row>
    <row r="114" spans="2:24" x14ac:dyDescent="0.2">
      <c r="B114" s="466">
        <v>20</v>
      </c>
      <c r="C114" s="96" t="s">
        <v>462</v>
      </c>
      <c r="D114" s="100">
        <v>1</v>
      </c>
      <c r="E114" s="530" t="s">
        <v>452</v>
      </c>
      <c r="F114" s="276">
        <f>97%*VLOOKUP(F$111,DB_Ofen,5,FALSE)-10</f>
        <v>2900</v>
      </c>
      <c r="G114" s="424"/>
      <c r="H114" s="425"/>
      <c r="I114" s="276">
        <f>97%*VLOOKUP(I$111,DB_Ofen,5,FALSE)-10</f>
        <v>2900</v>
      </c>
      <c r="J114" s="424"/>
      <c r="K114" s="425"/>
      <c r="L114" s="276">
        <f>97%*VLOOKUP(L$111,DB_Ofen,5,FALSE)-10</f>
        <v>2900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Input'!$G$2,"Schmelzleistung (kg/h)","Schmelzleistung (kg/h)")</f>
        <v>Schmelzleistung (kg/h)</v>
      </c>
      <c r="D115" s="100">
        <v>1</v>
      </c>
      <c r="E115" s="532"/>
      <c r="F115" s="276">
        <f>VLOOKUP(Parametrikber!F$111,DB_Ofen,7,FALSE)</f>
        <v>2000</v>
      </c>
      <c r="G115" s="424"/>
      <c r="H115" s="425"/>
      <c r="I115" s="276">
        <f>VLOOKUP(Parametrikber!I$111,DB_Ofen,7,FALSE)</f>
        <v>2000</v>
      </c>
      <c r="J115" s="424"/>
      <c r="K115" s="425"/>
      <c r="L115" s="276">
        <f>VLOOKUP(Parametrikber!L$111,DB_Ofen,7,FALSE)</f>
        <v>2000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x14ac:dyDescent="0.2">
      <c r="B116" s="466">
        <v>20</v>
      </c>
      <c r="C116" s="96" t="str">
        <f>IF('Quick Input'!$G$2,"Nutzungsgrad Ofen (%)","Nutzungsgrad Ofen (%)")</f>
        <v>Nutzungsgrad Ofen (%)</v>
      </c>
      <c r="D116" s="100" t="s">
        <v>386</v>
      </c>
      <c r="E116" s="530" t="s">
        <v>451</v>
      </c>
      <c r="F116" s="277">
        <f>Parametrikber!F$27-12%</f>
        <v>0.6160000000000001</v>
      </c>
      <c r="G116" s="424"/>
      <c r="H116" s="425"/>
      <c r="I116" s="277">
        <f>Parametrikber!I$27-12%</f>
        <v>0.50559999999999994</v>
      </c>
      <c r="J116" s="424"/>
      <c r="K116" s="425"/>
      <c r="L116" s="277">
        <f>Parametrikber!L$27-12%</f>
        <v>0.34</v>
      </c>
      <c r="M116" s="424"/>
      <c r="N116" s="425"/>
      <c r="O116" s="277"/>
      <c r="P116" s="424"/>
      <c r="Q116" s="425"/>
      <c r="R116" s="277"/>
      <c r="S116" s="424"/>
      <c r="T116" s="425"/>
      <c r="U116" s="277"/>
      <c r="V116" s="11"/>
      <c r="X116" s="503"/>
    </row>
    <row r="117" spans="2:24" x14ac:dyDescent="0.2">
      <c r="B117" s="466">
        <v>20</v>
      </c>
      <c r="C117" s="96" t="s">
        <v>486</v>
      </c>
      <c r="D117" s="543" t="s">
        <v>457</v>
      </c>
      <c r="E117" s="530"/>
      <c r="F117" s="276">
        <f>F$41/(Refkalkulation!H$57/3600)*1.2</f>
        <v>3.9802127933699076E-2</v>
      </c>
      <c r="G117" s="424"/>
      <c r="H117" s="425"/>
      <c r="I117" s="276">
        <f>I$41/(Refkalkulation!K$57/3600)*1.2</f>
        <v>4.9752650600175998E-3</v>
      </c>
      <c r="J117" s="424"/>
      <c r="K117" s="425"/>
      <c r="L117" s="276">
        <f>L$41/(Refkalkulation!N$57/3600)*1.2</f>
        <v>6.5932386719440546E-3</v>
      </c>
      <c r="M117" s="424"/>
      <c r="N117" s="425"/>
      <c r="O117" s="276"/>
      <c r="P117" s="424"/>
      <c r="Q117" s="425"/>
      <c r="R117" s="276"/>
      <c r="S117" s="424"/>
      <c r="T117" s="425"/>
      <c r="U117" s="276"/>
      <c r="V117" s="11"/>
    </row>
    <row r="118" spans="2:24" x14ac:dyDescent="0.2">
      <c r="B118" s="466">
        <v>20</v>
      </c>
      <c r="C118" s="96" t="s">
        <v>766</v>
      </c>
      <c r="D118" s="100">
        <v>1</v>
      </c>
      <c r="E118" s="530"/>
      <c r="F118" s="276">
        <f>VLOOKUP(F228,'Maschinen-DB'!$D$4:$R$15,15,FALSE)</f>
        <v>1</v>
      </c>
      <c r="G118" s="424"/>
      <c r="H118" s="425"/>
      <c r="I118" s="276">
        <f>VLOOKUP(I228,'Maschinen-DB'!$D$4:$R$15,15,FALSE)</f>
        <v>1</v>
      </c>
      <c r="J118" s="424"/>
      <c r="K118" s="425"/>
      <c r="L118" s="276">
        <f>VLOOKUP(L228,'Maschinen-DB'!$D$4:$R$15,15,FALSE)</f>
        <v>1</v>
      </c>
      <c r="M118" s="424"/>
      <c r="N118" s="425"/>
      <c r="O118" s="276"/>
      <c r="P118" s="424"/>
      <c r="Q118" s="425"/>
      <c r="R118" s="276"/>
      <c r="S118" s="424"/>
      <c r="T118" s="425"/>
      <c r="U118" s="276"/>
      <c r="V118" s="11"/>
    </row>
    <row r="119" spans="2:24" x14ac:dyDescent="0.2">
      <c r="B119" s="466">
        <v>20</v>
      </c>
      <c r="C119" s="96" t="s">
        <v>487</v>
      </c>
      <c r="D119" s="100">
        <v>1</v>
      </c>
      <c r="E119" s="530"/>
      <c r="F119" s="276">
        <f>IF(VLOOKUP(F$118,DB_Ofen,7,FALSE)&gt;F$117,F$118,IF(VLOOKUP(F$118+1,DB_Ofen,7,FALSE)&gt;F$117,F$118+1,IF(VLOOKUP(F$118+2,DB_Ofen,7,FALSE)&gt;F$117,F$118+2,MIN(11,F$118+3))))</f>
        <v>1</v>
      </c>
      <c r="G119" s="424"/>
      <c r="H119" s="425"/>
      <c r="I119" s="276">
        <f>IF(VLOOKUP(I$118,DB_Ofen,7,FALSE)&gt;I$117,I$118,IF(VLOOKUP(I$118+1,DB_Ofen,7,FALSE)&gt;I$117,I$118+1,IF(VLOOKUP(I$118+2,DB_Ofen,7,FALSE)&gt;I$117,I$118+2,MIN(11,I$118+3))))</f>
        <v>1</v>
      </c>
      <c r="J119" s="424"/>
      <c r="K119" s="425"/>
      <c r="L119" s="276">
        <f>IF(VLOOKUP(L$118,DB_Ofen,7,FALSE)&gt;L$117,L$118,IF(VLOOKUP(L$118+1,DB_Ofen,7,FALSE)&gt;L$117,L$118+1,IF(VLOOKUP(L$118+2,DB_Ofen,7,FALSE)&gt;L$117,L$118+2,MIN(11,L$118+3))))</f>
        <v>1</v>
      </c>
      <c r="M119" s="424"/>
      <c r="N119" s="425"/>
      <c r="O119" s="276"/>
      <c r="P119" s="424"/>
      <c r="Q119" s="425"/>
      <c r="R119" s="276"/>
      <c r="S119" s="424"/>
      <c r="T119" s="425"/>
      <c r="U119" s="276"/>
      <c r="V119" s="11"/>
    </row>
    <row r="120" spans="2:24" x14ac:dyDescent="0.2">
      <c r="B120" s="466">
        <v>20</v>
      </c>
      <c r="C120" s="96" t="str">
        <f>IF('Quick Input'!$G$2,"Ofeninvestkosten (€)","Ofeninvestkosten (€)")</f>
        <v>Ofeninvestkosten (€)</v>
      </c>
      <c r="D120" s="100">
        <v>1</v>
      </c>
      <c r="E120" s="530" t="s">
        <v>451</v>
      </c>
      <c r="F120" s="276">
        <f>VLOOKUP(F$111,DB_Ofen,8,FALSE)</f>
        <v>148000</v>
      </c>
      <c r="G120" s="424"/>
      <c r="H120" s="425"/>
      <c r="I120" s="276">
        <f>VLOOKUP(I$111,DB_Ofen,8,FALSE)</f>
        <v>148000</v>
      </c>
      <c r="J120" s="424"/>
      <c r="K120" s="425"/>
      <c r="L120" s="276">
        <f>VLOOKUP(L$111,DB_Ofen,8,FALSE)</f>
        <v>148000</v>
      </c>
      <c r="M120" s="424"/>
      <c r="N120" s="425"/>
      <c r="O120" s="276"/>
      <c r="P120" s="424"/>
      <c r="Q120" s="425"/>
      <c r="R120" s="276"/>
      <c r="S120" s="424"/>
      <c r="T120" s="425"/>
      <c r="U120" s="276"/>
      <c r="V120" s="11"/>
    </row>
    <row r="121" spans="2:24" ht="15" thickBot="1" x14ac:dyDescent="0.25">
      <c r="B121" s="466">
        <v>20</v>
      </c>
      <c r="C121" s="96" t="str">
        <f>IF('Quick Input'!$G$2,"Prozesskosten Ofen (€/h)","Prozesskosten Ofen (€/h)")</f>
        <v>Prozesskosten Ofen (€/h)</v>
      </c>
      <c r="D121" s="100"/>
      <c r="E121" s="532"/>
      <c r="F121" s="278">
        <f>(F$120/'Länder-DB'!$I$27+F$120*'Länder-DB'!$I$29)/(F$116*F$163)</f>
        <v>12.513528138528136</v>
      </c>
      <c r="G121" s="424"/>
      <c r="H121" s="421"/>
      <c r="I121" s="278">
        <f>(I$120/'Länder-DB'!$I$27+I$120*'Länder-DB'!$I$29)/(I$116*I$163)</f>
        <v>15.245912447257387</v>
      </c>
      <c r="J121" s="424"/>
      <c r="K121" s="421"/>
      <c r="L121" s="278">
        <f>(L$120/'Länder-DB'!$I$27+L$120*'Länder-DB'!$I$29)/(L$116*L$163)</f>
        <v>22.671568627450977</v>
      </c>
      <c r="M121" s="424"/>
      <c r="N121" s="421"/>
      <c r="O121" s="278"/>
      <c r="P121" s="424"/>
      <c r="Q121" s="421"/>
      <c r="R121" s="278"/>
      <c r="S121" s="424"/>
      <c r="T121" s="421"/>
      <c r="U121" s="278"/>
      <c r="V121" s="1142"/>
    </row>
    <row r="122" spans="2:24" ht="15" x14ac:dyDescent="0.25">
      <c r="B122" s="466">
        <v>50</v>
      </c>
      <c r="C122" s="95" t="s">
        <v>442</v>
      </c>
      <c r="D122" s="98"/>
      <c r="E122" s="535" t="s">
        <v>452</v>
      </c>
      <c r="F122" s="204" t="e">
        <f>F$123+F$124+F$125</f>
        <v>#N/A</v>
      </c>
      <c r="G122" s="418"/>
      <c r="H122" s="419"/>
      <c r="I122" s="204" t="e">
        <f>I$123+I$124+I$125</f>
        <v>#N/A</v>
      </c>
      <c r="J122" s="418"/>
      <c r="K122" s="419"/>
      <c r="L122" s="204" t="e">
        <f>L$123+L$124+L$125</f>
        <v>#N/A</v>
      </c>
      <c r="M122" s="418"/>
      <c r="N122" s="419"/>
      <c r="O122" s="204"/>
      <c r="P122" s="418"/>
      <c r="Q122" s="419"/>
      <c r="R122" s="204"/>
      <c r="S122" s="418"/>
      <c r="T122" s="419"/>
      <c r="U122" s="204"/>
      <c r="V122" s="11"/>
    </row>
    <row r="123" spans="2:24" x14ac:dyDescent="0.2">
      <c r="B123" s="466">
        <v>50</v>
      </c>
      <c r="C123" s="96" t="s">
        <v>166</v>
      </c>
      <c r="D123" s="100" t="s">
        <v>94</v>
      </c>
      <c r="E123" s="530" t="s">
        <v>451</v>
      </c>
      <c r="F123" s="205">
        <f>VLOOKUP(Refkalkulation!H$51,DB_Maschinen,13,FALSE)</f>
        <v>101000</v>
      </c>
      <c r="G123" s="420"/>
      <c r="H123" s="421"/>
      <c r="I123" s="205">
        <f>VLOOKUP(Refkalkulation!K$51,DB_Maschinen,13,FALSE)</f>
        <v>101000</v>
      </c>
      <c r="J123" s="420"/>
      <c r="K123" s="421"/>
      <c r="L123" s="205">
        <f>VLOOKUP(Refkalkulation!N$51,DB_Maschinen,13,FALSE)</f>
        <v>101000</v>
      </c>
      <c r="M123" s="420"/>
      <c r="N123" s="421"/>
      <c r="O123" s="205"/>
      <c r="P123" s="420"/>
      <c r="Q123" s="421"/>
      <c r="R123" s="205"/>
      <c r="S123" s="420"/>
      <c r="T123" s="421"/>
      <c r="U123" s="205"/>
      <c r="V123" s="11"/>
    </row>
    <row r="124" spans="2:24" x14ac:dyDescent="0.2">
      <c r="B124" s="466">
        <v>50</v>
      </c>
      <c r="C124" s="96" t="s">
        <v>454</v>
      </c>
      <c r="D124" s="100"/>
      <c r="E124" s="530" t="s">
        <v>451</v>
      </c>
      <c r="F124" s="205">
        <f>IF('Quick Input'!M$22=Auswahlfelder!$D$36,VLOOKUP('Quick Input'!M$21,Auswahlfelder!$D$16:$E$19,2,FALSE)*SQRT(F$41),0)</f>
        <v>21.04281350010022</v>
      </c>
      <c r="G124" s="430"/>
      <c r="H124" s="421"/>
      <c r="I124" s="205">
        <f>IF('Quick Input'!P$22=Auswahlfelder!$D$36,VLOOKUP('Quick Input'!P$21,Auswahlfelder!$D$16:$E$19,2,FALSE)*SQRT(I$41),0)</f>
        <v>7.4397580605823466</v>
      </c>
      <c r="J124" s="430"/>
      <c r="K124" s="421"/>
      <c r="L124" s="205">
        <f>IF('Quick Input'!S$22=Auswahlfelder!$D$36,VLOOKUP('Quick Input'!S$21,Auswahlfelder!$D$16:$E$19,2,FALSE)*SQRT(L$41),0)</f>
        <v>0</v>
      </c>
      <c r="M124" s="430"/>
      <c r="N124" s="421"/>
      <c r="O124" s="205"/>
      <c r="P124" s="430"/>
      <c r="Q124" s="421"/>
      <c r="R124" s="205"/>
      <c r="S124" s="430"/>
      <c r="T124" s="421"/>
      <c r="U124" s="205"/>
      <c r="V124" s="11"/>
    </row>
    <row r="125" spans="2:24" ht="15" thickBot="1" x14ac:dyDescent="0.25">
      <c r="B125" s="466">
        <v>50</v>
      </c>
      <c r="C125" s="96" t="s">
        <v>474</v>
      </c>
      <c r="D125" s="102" t="s">
        <v>94</v>
      </c>
      <c r="E125" s="530" t="s">
        <v>451</v>
      </c>
      <c r="F125" s="205" t="e">
        <f>SQRT(VLOOKUP('Quick Input'!M$23,Auswahlfelder!$D$49:$E$51,2,FALSE)-1)*6</f>
        <v>#N/A</v>
      </c>
      <c r="G125" s="420"/>
      <c r="H125" s="421"/>
      <c r="I125" s="205" t="e">
        <f>SQRT(VLOOKUP('Quick Input'!P$23,Auswahlfelder!$D$49:$E$51,2,FALSE)-1)*6</f>
        <v>#N/A</v>
      </c>
      <c r="J125" s="420"/>
      <c r="K125" s="421"/>
      <c r="L125" s="205" t="e">
        <f>SQRT(VLOOKUP('Quick Input'!S$23,Auswahlfelder!$D$49:$E$51,2,FALSE)-1)*6</f>
        <v>#N/A</v>
      </c>
      <c r="M125" s="420"/>
      <c r="N125" s="421"/>
      <c r="O125" s="205"/>
      <c r="P125" s="420"/>
      <c r="Q125" s="421"/>
      <c r="R125" s="205"/>
      <c r="S125" s="420"/>
      <c r="T125" s="421"/>
      <c r="U125" s="205"/>
      <c r="V125" s="11"/>
    </row>
    <row r="126" spans="2:24" ht="15" x14ac:dyDescent="0.25">
      <c r="B126" s="539">
        <v>52</v>
      </c>
      <c r="C126" s="95" t="s">
        <v>456</v>
      </c>
      <c r="D126" s="100" t="s">
        <v>94</v>
      </c>
      <c r="E126" s="535" t="s">
        <v>452</v>
      </c>
      <c r="F126" s="609">
        <f>IF(Refkalkulation!H$65=0,ROUND(IF('Quick Input'!M$23=Auswahlfelder!$D$49,0,(F$127*2+F$128+60%*F$38)/5),1),Refkalkulation!H$65)</f>
        <v>20</v>
      </c>
      <c r="G126" s="435"/>
      <c r="H126" s="461"/>
      <c r="I126" s="609" t="e">
        <f>IF(Refkalkulation!K$65=0,ROUND(IF('Quick Input'!P$23=Auswahlfelder!$D$49,0,(I$127*2+I$128+60%*I$38)/5),1),Refkalkulation!K$65)</f>
        <v>#REF!</v>
      </c>
      <c r="J126" s="435"/>
      <c r="K126" s="461"/>
      <c r="L126" s="609" t="e">
        <f>IF(Refkalkulation!N$65=0,ROUND(IF('Quick Input'!S$23=Auswahlfelder!$D$49,0,(L$127*2+L$128+60%*L$38)/5),1),Refkalkulation!N$65)</f>
        <v>#REF!</v>
      </c>
      <c r="M126" s="435"/>
      <c r="N126" s="461"/>
      <c r="O126" s="609"/>
      <c r="P126" s="435"/>
      <c r="Q126" s="461"/>
      <c r="R126" s="609"/>
      <c r="S126" s="435"/>
      <c r="T126" s="461"/>
      <c r="U126" s="609"/>
      <c r="V126" s="8"/>
      <c r="X126" s="503"/>
    </row>
    <row r="127" spans="2:24" x14ac:dyDescent="0.2">
      <c r="B127" s="538">
        <f>B126</f>
        <v>52</v>
      </c>
      <c r="C127" s="96" t="s">
        <v>458</v>
      </c>
      <c r="D127" s="100">
        <v>1</v>
      </c>
      <c r="E127" s="530" t="s">
        <v>451</v>
      </c>
      <c r="F127" s="344">
        <f>IF('Quick Input'!M$23=Auswahlfelder!$D$49,0,12%*'Quick Input'!M$20/1000)</f>
        <v>1.7777777777777777</v>
      </c>
      <c r="G127" s="445"/>
      <c r="H127" s="446"/>
      <c r="I127" s="344">
        <f>IF('Quick Input'!P$23=Auswahlfelder!$D$49,0,12%*'Quick Input'!P$20/1000)</f>
        <v>0.22172949002217293</v>
      </c>
      <c r="J127" s="445"/>
      <c r="K127" s="446"/>
      <c r="L127" s="344">
        <f>IF('Quick Input'!S$23=Auswahlfelder!$D$49,0,12%*'Quick Input'!S$20/1000)</f>
        <v>0.22172949002217293</v>
      </c>
      <c r="M127" s="445"/>
      <c r="N127" s="446"/>
      <c r="O127" s="344"/>
      <c r="P127" s="445"/>
      <c r="Q127" s="446"/>
      <c r="R127" s="344"/>
      <c r="S127" s="445"/>
      <c r="T127" s="446"/>
      <c r="U127" s="344"/>
      <c r="V127" s="11"/>
    </row>
    <row r="128" spans="2:24" x14ac:dyDescent="0.2">
      <c r="B128" s="538">
        <f>B127</f>
        <v>52</v>
      </c>
      <c r="C128" s="96" t="s">
        <v>806</v>
      </c>
      <c r="D128" s="100">
        <v>1</v>
      </c>
      <c r="E128" s="530" t="s">
        <v>451</v>
      </c>
      <c r="F128" s="344" t="e">
        <f>IF(F127=0,0,MAX(0,0.9*F$38-'Quick Input'!M$20/1000))</f>
        <v>#REF!</v>
      </c>
      <c r="G128" s="445"/>
      <c r="H128" s="446"/>
      <c r="I128" s="344" t="e">
        <f>IF(I127=0,0,MAX(0,0.9*I$38-'Quick Input'!P$20/1000))</f>
        <v>#REF!</v>
      </c>
      <c r="J128" s="445"/>
      <c r="K128" s="446"/>
      <c r="L128" s="344" t="e">
        <f>IF(L127=0,0,MAX(0,0.9*L$38-'Quick Input'!S$20/1000))</f>
        <v>#REF!</v>
      </c>
      <c r="M128" s="445"/>
      <c r="N128" s="446"/>
      <c r="O128" s="344"/>
      <c r="P128" s="445"/>
      <c r="Q128" s="446"/>
      <c r="R128" s="344"/>
      <c r="S128" s="445"/>
      <c r="T128" s="446"/>
      <c r="U128" s="344"/>
      <c r="V128" s="11"/>
    </row>
    <row r="129" spans="2:24" ht="15" thickBot="1" x14ac:dyDescent="0.25">
      <c r="B129" s="538">
        <f>B128</f>
        <v>52</v>
      </c>
      <c r="C129" s="97" t="s">
        <v>459</v>
      </c>
      <c r="D129" s="102" t="s">
        <v>457</v>
      </c>
      <c r="E129" s="533"/>
      <c r="F129" s="343">
        <f>('Quick Input'!M$20/1000+Refkalkulation!H$65)/('Quick Input'!M$14*'Quick Input'!M$15*'Quick Input'!M$16/1000000)</f>
        <v>0.87037037037037024</v>
      </c>
      <c r="G129" s="422"/>
      <c r="H129" s="423"/>
      <c r="I129" s="343">
        <f>('Quick Input'!P$20/1000+Refkalkulation!K$65)/('Quick Input'!P$14*'Quick Input'!P$15*'Quick Input'!P$16/1000000)</f>
        <v>4.619364375461936E-2</v>
      </c>
      <c r="J129" s="422"/>
      <c r="K129" s="423"/>
      <c r="L129" s="343">
        <f>('Quick Input'!S$20/1000+Refkalkulation!N$65)/('Quick Input'!S$14*'Quick Input'!S$15*'Quick Input'!S$16/1000000)</f>
        <v>4.619364375461936E-2</v>
      </c>
      <c r="M129" s="422"/>
      <c r="N129" s="423"/>
      <c r="O129" s="343"/>
      <c r="P129" s="422"/>
      <c r="Q129" s="423"/>
      <c r="R129" s="343"/>
      <c r="S129" s="422"/>
      <c r="T129" s="423"/>
      <c r="U129" s="343"/>
      <c r="V129" s="126"/>
      <c r="X129" s="503"/>
    </row>
    <row r="130" spans="2:24" ht="15" x14ac:dyDescent="0.25">
      <c r="B130" s="466">
        <v>51</v>
      </c>
      <c r="C130" s="95" t="s">
        <v>819</v>
      </c>
      <c r="D130" s="98"/>
      <c r="E130" s="535" t="s">
        <v>452</v>
      </c>
      <c r="F130" s="439">
        <f>IF('Quick Input'!M$23=Auswahlfelder!$D$49,0,F$131*F$132)</f>
        <v>0.25774596669241484</v>
      </c>
      <c r="G130" s="435"/>
      <c r="H130" s="419"/>
      <c r="I130" s="439">
        <f>IF('Quick Input'!P$23=Auswahlfelder!$D$49,0,I$131*I$132)</f>
        <v>0.21115500376222723</v>
      </c>
      <c r="J130" s="435"/>
      <c r="K130" s="419"/>
      <c r="L130" s="439">
        <f>IF('Quick Input'!S$23=Auswahlfelder!$D$49,0,L$131*L$132)</f>
        <v>0.25</v>
      </c>
      <c r="M130" s="435"/>
      <c r="N130" s="419"/>
      <c r="O130" s="439"/>
      <c r="P130" s="435"/>
      <c r="Q130" s="419"/>
      <c r="R130" s="439"/>
      <c r="S130" s="435"/>
      <c r="T130" s="419"/>
      <c r="U130" s="439"/>
      <c r="V130" s="8"/>
      <c r="X130" s="503"/>
    </row>
    <row r="131" spans="2:24" x14ac:dyDescent="0.2">
      <c r="B131" s="466">
        <f>B130</f>
        <v>51</v>
      </c>
      <c r="C131" s="96" t="s">
        <v>809</v>
      </c>
      <c r="D131" s="100" t="s">
        <v>386</v>
      </c>
      <c r="E131" s="530" t="s">
        <v>451</v>
      </c>
      <c r="F131" s="892">
        <f>IF('Quick Input'!M$23=Auswahlfelder!$D50,F$251,('Länder-DB'!$M$47+F133)/F$134)</f>
        <v>0.25774596669241484</v>
      </c>
      <c r="G131" s="463"/>
      <c r="H131" s="464"/>
      <c r="I131" s="892">
        <f>IF('Quick Input'!P$23=Auswahlfelder!$D50,I$251,('Länder-DB'!$M$47+I133)/I$134)</f>
        <v>0.21115500376222723</v>
      </c>
      <c r="J131" s="463"/>
      <c r="K131" s="464"/>
      <c r="L131" s="892">
        <f>IF('Quick Input'!S$23=Auswahlfelder!$D50,L$251,('Länder-DB'!$M$47+L133)/L$134)</f>
        <v>0.25</v>
      </c>
      <c r="M131" s="463"/>
      <c r="N131" s="464"/>
      <c r="O131" s="892"/>
      <c r="P131" s="463"/>
      <c r="Q131" s="464"/>
      <c r="R131" s="892"/>
      <c r="S131" s="463"/>
      <c r="T131" s="464"/>
      <c r="U131" s="892"/>
      <c r="V131" s="11"/>
    </row>
    <row r="132" spans="2:24" x14ac:dyDescent="0.2">
      <c r="B132" s="466">
        <f>B131</f>
        <v>51</v>
      </c>
      <c r="C132" s="96" t="s">
        <v>348</v>
      </c>
      <c r="D132" s="100"/>
      <c r="E132" s="530" t="s">
        <v>451</v>
      </c>
      <c r="F132" s="344">
        <f>MAX(1,SQRT(14/F$107+0.6))</f>
        <v>1</v>
      </c>
      <c r="G132" s="420"/>
      <c r="H132" s="421"/>
      <c r="I132" s="344">
        <f>MAX(1,SQRT(14/I$107+0.6))</f>
        <v>1</v>
      </c>
      <c r="J132" s="420"/>
      <c r="K132" s="421"/>
      <c r="L132" s="344">
        <f>MAX(1,SQRT(14/L$107+0.6))</f>
        <v>1</v>
      </c>
      <c r="M132" s="420"/>
      <c r="N132" s="421"/>
      <c r="O132" s="344"/>
      <c r="P132" s="420"/>
      <c r="Q132" s="421"/>
      <c r="R132" s="344"/>
      <c r="S132" s="420"/>
      <c r="T132" s="421"/>
      <c r="U132" s="344"/>
      <c r="V132" s="11"/>
      <c r="X132" s="503"/>
    </row>
    <row r="133" spans="2:24" x14ac:dyDescent="0.2">
      <c r="B133" s="466">
        <f>B132</f>
        <v>51</v>
      </c>
      <c r="C133" s="96" t="s">
        <v>350</v>
      </c>
      <c r="D133" s="100"/>
      <c r="E133" s="530" t="s">
        <v>451</v>
      </c>
      <c r="F133" s="462">
        <f>IF(Refkalkulation!H$65&gt;0,SQRT(3/Refkalkulation!H$65)/50,0)</f>
        <v>7.7459666924148338E-3</v>
      </c>
      <c r="G133" s="463"/>
      <c r="H133" s="464"/>
      <c r="I133" s="462">
        <f>IF(Refkalkulation!K$65&gt;0,SQRT(3/Refkalkulation!K$65)/50,0)</f>
        <v>0</v>
      </c>
      <c r="J133" s="463"/>
      <c r="K133" s="464"/>
      <c r="L133" s="462">
        <f>IF(Refkalkulation!N$65&gt;0,SQRT(3/Refkalkulation!N$65)/50,0)</f>
        <v>0</v>
      </c>
      <c r="M133" s="463"/>
      <c r="N133" s="464"/>
      <c r="O133" s="462"/>
      <c r="P133" s="463"/>
      <c r="Q133" s="464"/>
      <c r="R133" s="462"/>
      <c r="S133" s="463"/>
      <c r="T133" s="464"/>
      <c r="U133" s="462"/>
      <c r="V133" s="11"/>
    </row>
    <row r="134" spans="2:24" ht="15" thickBot="1" x14ac:dyDescent="0.25">
      <c r="B134" s="466">
        <f>B133</f>
        <v>51</v>
      </c>
      <c r="C134" s="97" t="s">
        <v>349</v>
      </c>
      <c r="D134" s="732">
        <v>0.65</v>
      </c>
      <c r="E134" s="531" t="s">
        <v>451</v>
      </c>
      <c r="F134" s="458">
        <f>1+0.25*(1-VLOOKUP(F$19,DB_Länder,4,FALSE)/'Länder-DB'!$D$2)</f>
        <v>1</v>
      </c>
      <c r="G134" s="459"/>
      <c r="H134" s="460"/>
      <c r="I134" s="458">
        <f>1+0.25*(1-VLOOKUP(I$19,DB_Länder,4,FALSE)/'Länder-DB'!$D$2)</f>
        <v>1.1839643652561247</v>
      </c>
      <c r="J134" s="459"/>
      <c r="K134" s="460"/>
      <c r="L134" s="458">
        <f>1+0.25*(1-VLOOKUP(L$19,DB_Länder,4,FALSE)/'Länder-DB'!$D$2)</f>
        <v>1</v>
      </c>
      <c r="M134" s="459"/>
      <c r="N134" s="460"/>
      <c r="O134" s="458"/>
      <c r="P134" s="459"/>
      <c r="Q134" s="460"/>
      <c r="R134" s="458"/>
      <c r="S134" s="459"/>
      <c r="T134" s="460"/>
      <c r="U134" s="458"/>
      <c r="V134" s="126"/>
    </row>
    <row r="135" spans="2:24" ht="15" x14ac:dyDescent="0.25">
      <c r="B135" s="539">
        <v>59</v>
      </c>
      <c r="C135" s="95" t="s">
        <v>481</v>
      </c>
      <c r="D135" s="100" t="s">
        <v>94</v>
      </c>
      <c r="E135" s="535" t="s">
        <v>452</v>
      </c>
      <c r="F135" s="345">
        <f>F136*F137*F138</f>
        <v>1.4142135623730949</v>
      </c>
      <c r="G135" s="435"/>
      <c r="H135" s="461"/>
      <c r="I135" s="345">
        <f>I136*I137*I138</f>
        <v>1.2477080261564104</v>
      </c>
      <c r="J135" s="435"/>
      <c r="K135" s="461"/>
      <c r="L135" s="345">
        <f>L136*L137*L138</f>
        <v>1.4142135623730949</v>
      </c>
      <c r="M135" s="435"/>
      <c r="N135" s="461"/>
      <c r="O135" s="345"/>
      <c r="P135" s="435"/>
      <c r="Q135" s="461"/>
      <c r="R135" s="345"/>
      <c r="S135" s="435"/>
      <c r="T135" s="461"/>
      <c r="U135" s="345"/>
      <c r="V135" s="8"/>
    </row>
    <row r="136" spans="2:24" x14ac:dyDescent="0.2">
      <c r="B136" s="538">
        <f>B135</f>
        <v>59</v>
      </c>
      <c r="C136" s="96" t="s">
        <v>483</v>
      </c>
      <c r="D136" s="100" t="s">
        <v>94</v>
      </c>
      <c r="E136" s="530" t="s">
        <v>451</v>
      </c>
      <c r="F136" s="344">
        <f>'Länder-DB'!$M$49</f>
        <v>2</v>
      </c>
      <c r="G136" s="445"/>
      <c r="H136" s="446"/>
      <c r="I136" s="344">
        <f>'Länder-DB'!$M$49</f>
        <v>2</v>
      </c>
      <c r="J136" s="445"/>
      <c r="K136" s="446"/>
      <c r="L136" s="344">
        <f>'Länder-DB'!$M$49</f>
        <v>2</v>
      </c>
      <c r="M136" s="445"/>
      <c r="N136" s="446"/>
      <c r="O136" s="344"/>
      <c r="P136" s="445"/>
      <c r="Q136" s="446"/>
      <c r="R136" s="344"/>
      <c r="S136" s="445"/>
      <c r="T136" s="446"/>
      <c r="U136" s="344"/>
      <c r="V136" s="11"/>
    </row>
    <row r="137" spans="2:24" x14ac:dyDescent="0.2">
      <c r="B137" s="538">
        <f>B136</f>
        <v>59</v>
      </c>
      <c r="C137" s="96" t="s">
        <v>482</v>
      </c>
      <c r="D137" s="100" t="s">
        <v>386</v>
      </c>
      <c r="E137" s="530" t="s">
        <v>451</v>
      </c>
      <c r="F137" s="344">
        <f>1/SQRT(VLOOKUP('Quick Input'!M$47,Auswahlfelder!$D$7:$E$9,2,FALSE))</f>
        <v>0.70710678118654746</v>
      </c>
      <c r="G137" s="445"/>
      <c r="H137" s="446"/>
      <c r="I137" s="344">
        <f>1/SQRT(VLOOKUP('Quick Input'!P$47,Auswahlfelder!$D$7:$E$9,2,FALSE))</f>
        <v>0.70710678118654746</v>
      </c>
      <c r="J137" s="445"/>
      <c r="K137" s="446"/>
      <c r="L137" s="344">
        <f>1/SQRT(VLOOKUP('Quick Input'!S$47,Auswahlfelder!$D$7:$E$9,2,FALSE))</f>
        <v>0.70710678118654746</v>
      </c>
      <c r="M137" s="445"/>
      <c r="N137" s="446"/>
      <c r="O137" s="344"/>
      <c r="P137" s="445"/>
      <c r="Q137" s="446"/>
      <c r="R137" s="344"/>
      <c r="S137" s="445"/>
      <c r="T137" s="446"/>
      <c r="U137" s="344"/>
      <c r="V137" s="11"/>
    </row>
    <row r="138" spans="2:24" ht="15" thickBot="1" x14ac:dyDescent="0.25">
      <c r="B138" s="538">
        <f>B137</f>
        <v>59</v>
      </c>
      <c r="C138" s="97" t="s">
        <v>484</v>
      </c>
      <c r="D138" s="102" t="s">
        <v>94</v>
      </c>
      <c r="E138" s="531" t="s">
        <v>451</v>
      </c>
      <c r="F138" s="586">
        <f>0.84+0.16*VLOOKUP(F$19,DB_Länder,4,FALSE)/'Länder-DB'!$D$2</f>
        <v>1</v>
      </c>
      <c r="G138" s="422"/>
      <c r="H138" s="423"/>
      <c r="I138" s="586">
        <f>0.84+0.16*VLOOKUP(I$19,DB_Länder,4,FALSE)/'Länder-DB'!$D$2</f>
        <v>0.88226280623608011</v>
      </c>
      <c r="J138" s="422"/>
      <c r="K138" s="423"/>
      <c r="L138" s="586">
        <f>0.84+0.16*VLOOKUP(L$19,DB_Länder,4,FALSE)/'Länder-DB'!$D$2</f>
        <v>1</v>
      </c>
      <c r="M138" s="422"/>
      <c r="N138" s="423"/>
      <c r="O138" s="586"/>
      <c r="P138" s="422"/>
      <c r="Q138" s="423"/>
      <c r="R138" s="586"/>
      <c r="S138" s="422"/>
      <c r="T138" s="423"/>
      <c r="U138" s="586"/>
      <c r="V138" s="126"/>
    </row>
    <row r="139" spans="2:24" ht="15" x14ac:dyDescent="0.25">
      <c r="B139" s="466">
        <v>4</v>
      </c>
      <c r="C139" s="99" t="s">
        <v>371</v>
      </c>
      <c r="D139" s="100" t="s">
        <v>480</v>
      </c>
      <c r="E139" s="532"/>
      <c r="F139" s="275">
        <f>IF(Refkalkulation!H$49=0,1,Refkalkulation!H$49)</f>
        <v>1</v>
      </c>
      <c r="G139" s="10"/>
      <c r="H139" s="10"/>
      <c r="I139" s="275">
        <f>IF(Refkalkulation!K$49=0,1,Refkalkulation!K$49)</f>
        <v>1</v>
      </c>
      <c r="J139" s="10"/>
      <c r="K139" s="10"/>
      <c r="L139" s="275">
        <f>IF(Refkalkulation!N$49=0,1,Refkalkulation!N$49)</f>
        <v>1</v>
      </c>
      <c r="M139" s="10"/>
      <c r="N139" s="10"/>
      <c r="O139" s="275"/>
      <c r="P139" s="10"/>
      <c r="Q139" s="10"/>
      <c r="R139" s="275"/>
      <c r="S139" s="10"/>
      <c r="T139" s="10"/>
      <c r="U139" s="275"/>
      <c r="V139" s="11"/>
    </row>
    <row r="140" spans="2:24" x14ac:dyDescent="0.2">
      <c r="B140" s="466">
        <v>4</v>
      </c>
      <c r="C140" s="96" t="s">
        <v>142</v>
      </c>
      <c r="D140" s="100"/>
      <c r="E140" s="532"/>
      <c r="F140" s="205">
        <f>'Quick Input'!M$45</f>
        <v>30000</v>
      </c>
      <c r="G140" s="10"/>
      <c r="H140" s="10"/>
      <c r="I140" s="205">
        <f>'Quick Input'!P$45</f>
        <v>30000</v>
      </c>
      <c r="J140" s="10"/>
      <c r="K140" s="10"/>
      <c r="L140" s="205">
        <f>'Quick Input'!S$45</f>
        <v>30000</v>
      </c>
      <c r="M140" s="10"/>
      <c r="N140" s="10"/>
      <c r="O140" s="205"/>
      <c r="P140" s="4"/>
      <c r="Q140" s="4"/>
      <c r="R140" s="205"/>
      <c r="S140" s="4"/>
      <c r="T140" s="4"/>
      <c r="U140" s="205"/>
      <c r="V140" s="11"/>
    </row>
    <row r="141" spans="2:24" x14ac:dyDescent="0.2">
      <c r="B141" s="466">
        <v>4</v>
      </c>
      <c r="C141" s="96" t="s">
        <v>394</v>
      </c>
      <c r="D141" s="100"/>
      <c r="E141" s="532"/>
      <c r="F141" s="205" t="e">
        <f>ROUNDUP(F$140/F$280,0)</f>
        <v>#REF!</v>
      </c>
      <c r="G141" s="10"/>
      <c r="H141" s="10"/>
      <c r="I141" s="205" t="e">
        <f>ROUNDUP(I$140/I280,0)</f>
        <v>#REF!</v>
      </c>
      <c r="J141" s="10"/>
      <c r="K141" s="10"/>
      <c r="L141" s="205" t="e">
        <f>ROUNDUP(L$140/L280,0)</f>
        <v>#REF!</v>
      </c>
      <c r="M141" s="10"/>
      <c r="N141" s="10"/>
      <c r="O141" s="205"/>
      <c r="P141" s="4"/>
      <c r="Q141" s="4"/>
      <c r="R141" s="205"/>
      <c r="S141" s="4"/>
      <c r="T141" s="4"/>
      <c r="U141" s="205"/>
      <c r="V141" s="11"/>
    </row>
    <row r="142" spans="2:24" x14ac:dyDescent="0.2">
      <c r="B142" s="466">
        <v>4</v>
      </c>
      <c r="C142" s="96" t="s">
        <v>143</v>
      </c>
      <c r="D142" s="543" t="s">
        <v>457</v>
      </c>
      <c r="E142" s="532"/>
      <c r="F142" s="201" t="e">
        <f>(F$280*F$141-F$140)/F$140</f>
        <v>#REF!</v>
      </c>
      <c r="G142" s="10"/>
      <c r="H142" s="10"/>
      <c r="I142" s="201" t="e">
        <f>(I$280*I$141-I$140)/I$140</f>
        <v>#REF!</v>
      </c>
      <c r="J142" s="10"/>
      <c r="K142" s="10"/>
      <c r="L142" s="201" t="e">
        <f>(L$280*L$141-L$140)/L$140</f>
        <v>#REF!</v>
      </c>
      <c r="M142" s="10"/>
      <c r="N142" s="10"/>
      <c r="O142" s="201"/>
      <c r="P142" s="4"/>
      <c r="Q142" s="4"/>
      <c r="R142" s="201"/>
      <c r="S142" s="4"/>
      <c r="T142" s="4"/>
      <c r="U142" s="201"/>
      <c r="V142" s="11"/>
    </row>
    <row r="143" spans="2:24" x14ac:dyDescent="0.2">
      <c r="B143" s="466">
        <v>4</v>
      </c>
      <c r="C143" s="96" t="s">
        <v>441</v>
      </c>
      <c r="D143" s="100"/>
      <c r="E143" s="532"/>
      <c r="F143" s="205" t="e">
        <f>IF(F$142&lt;10%,1,0)</f>
        <v>#REF!</v>
      </c>
      <c r="G143" s="10"/>
      <c r="H143" s="10"/>
      <c r="I143" s="205" t="e">
        <f>IF(I$142&lt;10%,1,0)</f>
        <v>#REF!</v>
      </c>
      <c r="J143" s="10"/>
      <c r="K143" s="10"/>
      <c r="L143" s="205" t="e">
        <f>IF(L$142&lt;10%,1,0)</f>
        <v>#REF!</v>
      </c>
      <c r="M143" s="10"/>
      <c r="N143" s="10"/>
      <c r="O143" s="205"/>
      <c r="P143" s="4"/>
      <c r="Q143" s="4"/>
      <c r="R143" s="205"/>
      <c r="S143" s="4"/>
      <c r="T143" s="4"/>
      <c r="U143" s="205"/>
      <c r="V143" s="11"/>
    </row>
    <row r="144" spans="2:24" ht="15" thickBot="1" x14ac:dyDescent="0.25">
      <c r="B144" s="466">
        <v>4</v>
      </c>
      <c r="C144" s="96" t="s">
        <v>805</v>
      </c>
      <c r="D144" s="100"/>
      <c r="E144" s="531" t="s">
        <v>452</v>
      </c>
      <c r="F144" s="205" t="e">
        <f>MAX(IF(VLOOKUP('Quick Input'!M$22,Auswahlfelder!$D$36:$E$38,2,FALSE)=1,1,F$141+F$143),MIN(8,ROUNDDOWN(0.38*F79*F80/#REF!,0)))</f>
        <v>#REF!</v>
      </c>
      <c r="G144" s="13"/>
      <c r="H144" s="10"/>
      <c r="I144" s="205" t="e">
        <f>MAX(IF(VLOOKUP('Quick Input'!P$22,Auswahlfelder!$D$36:$E$38,2,FALSE)=1,1,I$141+I$143),MIN(8,ROUNDDOWN(0.35*I79*I80/#REF!,0)))</f>
        <v>#REF!</v>
      </c>
      <c r="J144" s="13"/>
      <c r="K144" s="10"/>
      <c r="L144" s="205" t="e">
        <f>MAX(IF(VLOOKUP('Quick Input'!S$22,Auswahlfelder!$D$36:$E$38,2,FALSE)=1,1,L$141+L$143),MIN(8,ROUNDDOWN(0.35*L79*L80/#REF!,0)))</f>
        <v>#REF!</v>
      </c>
      <c r="M144" s="13"/>
      <c r="N144" s="10"/>
      <c r="O144" s="205"/>
      <c r="P144" s="13"/>
      <c r="Q144" s="10"/>
      <c r="R144" s="205"/>
      <c r="S144" s="13"/>
      <c r="T144" s="10"/>
      <c r="U144" s="205"/>
      <c r="V144" s="32"/>
      <c r="X144" s="503"/>
    </row>
    <row r="145" spans="2:27" ht="15" x14ac:dyDescent="0.25">
      <c r="B145" s="466">
        <v>57</v>
      </c>
      <c r="C145" s="95" t="s">
        <v>376</v>
      </c>
      <c r="D145" s="98">
        <v>1</v>
      </c>
      <c r="E145" s="535" t="s">
        <v>452</v>
      </c>
      <c r="F145" s="858">
        <f>F146*F148+F149</f>
        <v>1.16574545</v>
      </c>
      <c r="G145" s="7"/>
      <c r="H145" s="7"/>
      <c r="I145" s="858">
        <f>I146*I148+I149</f>
        <v>1.254993</v>
      </c>
      <c r="J145" s="7"/>
      <c r="K145" s="7"/>
      <c r="L145" s="858">
        <f>L146*L148+L149</f>
        <v>3.2396435000000001</v>
      </c>
      <c r="M145" s="7"/>
      <c r="N145" s="7"/>
      <c r="O145" s="858"/>
      <c r="P145" s="28"/>
      <c r="Q145" s="28"/>
      <c r="R145" s="858"/>
      <c r="S145" s="28"/>
      <c r="T145" s="28"/>
      <c r="U145" s="858"/>
      <c r="V145" s="11"/>
      <c r="W145" s="117"/>
    </row>
    <row r="146" spans="2:27" ht="15" x14ac:dyDescent="0.25">
      <c r="B146" s="17"/>
      <c r="C146" s="96" t="s">
        <v>1035</v>
      </c>
      <c r="D146" s="1217">
        <v>0.65</v>
      </c>
      <c r="E146" s="9"/>
      <c r="F146" s="160">
        <f>IF('Quick Input'!L$25=Auswahlfelder!$B$57,$D$146,1)</f>
        <v>0.65</v>
      </c>
      <c r="G146" s="1218"/>
      <c r="H146" s="1219"/>
      <c r="I146" s="160">
        <f>IF('Quick Input'!O$25=Auswahlfelder!$B$57,$D$146,1)</f>
        <v>1</v>
      </c>
      <c r="J146" s="1218"/>
      <c r="K146" s="1219"/>
      <c r="L146" s="160">
        <f>IF('Quick Input'!R$25=Auswahlfelder!$B$57,$D$146,1)</f>
        <v>1</v>
      </c>
      <c r="M146" s="1218"/>
      <c r="N146" s="1219"/>
      <c r="O146" s="160">
        <f>IF(O221=[3]Auswahlfelder!$D$58,$D$146,1)</f>
        <v>1</v>
      </c>
      <c r="P146" s="1218"/>
      <c r="Q146" s="1219"/>
      <c r="R146" s="160">
        <f>IF(R221=[3]Auswahlfelder!$D$58,$D$146,1)</f>
        <v>1</v>
      </c>
      <c r="S146" s="1218"/>
      <c r="T146" s="1219"/>
      <c r="U146" s="160">
        <f>IF(U221=[3]Auswahlfelder!$D$58,$D$146,1)</f>
        <v>1</v>
      </c>
      <c r="V146" s="11"/>
      <c r="W146" s="718"/>
      <c r="X146" s="718"/>
      <c r="Y146" s="718"/>
    </row>
    <row r="147" spans="2:27" x14ac:dyDescent="0.2">
      <c r="B147" s="466"/>
      <c r="C147" s="96" t="s">
        <v>435</v>
      </c>
      <c r="D147" s="100"/>
      <c r="E147" s="530"/>
      <c r="F147" s="149">
        <f>6%+0.5%*(VLOOKUP('Quick Input'!M$21,Auswahlfelder!$D$16:$E$19,2,FALSE)-1)</f>
        <v>6.9999999999999993E-2</v>
      </c>
      <c r="G147" s="420"/>
      <c r="H147" s="421"/>
      <c r="I147" s="149">
        <f>6%+0.5%*(VLOOKUP('Quick Input'!P$21,Auswahlfelder!$D$16:$E$19,2,FALSE)-1)</f>
        <v>6.9999999999999993E-2</v>
      </c>
      <c r="J147" s="420"/>
      <c r="K147" s="421"/>
      <c r="L147" s="149">
        <f>6%+0.5%*(VLOOKUP('Quick Input'!S$21,Auswahlfelder!$D$16:$E$19,2,FALSE)-1)</f>
        <v>6.5000000000000002E-2</v>
      </c>
      <c r="M147" s="420"/>
      <c r="N147" s="421"/>
      <c r="O147" s="206"/>
      <c r="P147" s="420"/>
      <c r="Q147" s="421"/>
      <c r="R147" s="206"/>
      <c r="S147" s="420"/>
      <c r="T147" s="421"/>
      <c r="U147" s="206"/>
      <c r="V147" s="11"/>
      <c r="X147" s="503"/>
    </row>
    <row r="148" spans="2:27" ht="15" thickBot="1" x14ac:dyDescent="0.25">
      <c r="B148" s="466"/>
      <c r="C148" s="96" t="s">
        <v>1034</v>
      </c>
      <c r="D148" s="100"/>
      <c r="E148" s="532"/>
      <c r="F148" s="1216">
        <f>IF(VLOOKUP('Quick Input'!L$24,Auswahlfelder!$C$49:$E$50,3,FALSE)=2,((1-F$147)*'Länder-DB'!$M$25+F$147*'Länder-DB'!$M$29)/1000,0)</f>
        <v>0.25499299999999997</v>
      </c>
      <c r="G148" s="420"/>
      <c r="H148" s="421"/>
      <c r="I148" s="1216">
        <f>IF(VLOOKUP('Quick Input'!O$24,Auswahlfelder!$C$49:$E$50,3,FALSE)=2,((1-I$147)*'Länder-DB'!$M$25+I$147*'Länder-DB'!$M$29)/1000,0)</f>
        <v>0.25499299999999997</v>
      </c>
      <c r="J148" s="420"/>
      <c r="K148" s="421"/>
      <c r="L148" s="1216">
        <f>IF(VLOOKUP('Quick Input'!R$24,Auswahlfelder!$C$49:$E$50,3,FALSE)=2,((1-L$147)*'Länder-DB'!$M$25+L$147*'Länder-DB'!$M$29)/1000,0)</f>
        <v>0.23964350000000001</v>
      </c>
      <c r="M148" s="420"/>
      <c r="N148" s="421"/>
      <c r="O148" s="206"/>
      <c r="P148" s="420"/>
      <c r="Q148" s="421"/>
      <c r="R148" s="206"/>
      <c r="S148" s="420"/>
      <c r="T148" s="421"/>
      <c r="U148" s="206"/>
      <c r="V148" s="11"/>
      <c r="AA148" s="503"/>
    </row>
    <row r="149" spans="2:27" ht="15" x14ac:dyDescent="0.25">
      <c r="B149" s="466">
        <v>45</v>
      </c>
      <c r="C149" s="95" t="s">
        <v>355</v>
      </c>
      <c r="D149" s="98"/>
      <c r="E149" s="529"/>
      <c r="F149" s="161">
        <f>VLOOKUP('Quick Input'!M$22,Auswahlfelder!$D$36:$E$38,2,FALSE)</f>
        <v>1</v>
      </c>
      <c r="G149" s="418"/>
      <c r="H149" s="419"/>
      <c r="I149" s="161">
        <f>VLOOKUP('Quick Input'!P$22,Auswahlfelder!$D$36:$E$38,2,FALSE)</f>
        <v>1</v>
      </c>
      <c r="J149" s="418"/>
      <c r="K149" s="419"/>
      <c r="L149" s="161">
        <f>VLOOKUP('Quick Input'!S$22,Auswahlfelder!$D$36:$E$38,2,FALSE)</f>
        <v>3</v>
      </c>
      <c r="M149" s="418"/>
      <c r="N149" s="419"/>
      <c r="O149" s="161"/>
      <c r="P149" s="418"/>
      <c r="Q149" s="419"/>
      <c r="R149" s="161"/>
      <c r="S149" s="418"/>
      <c r="T149" s="419"/>
      <c r="U149" s="161"/>
      <c r="V149" s="11"/>
      <c r="X149" s="503"/>
    </row>
    <row r="150" spans="2:27" x14ac:dyDescent="0.2">
      <c r="B150" s="466">
        <v>45</v>
      </c>
      <c r="C150" s="96" t="s">
        <v>230</v>
      </c>
      <c r="D150" s="100" t="s">
        <v>94</v>
      </c>
      <c r="E150" s="530" t="s">
        <v>452</v>
      </c>
      <c r="F150" s="206">
        <f>ROUND(0.6+0.6/F$112,1)/2</f>
        <v>0.7</v>
      </c>
      <c r="G150" s="420"/>
      <c r="H150" s="421"/>
      <c r="I150" s="206">
        <f>ROUND(0.6+0.6/I$112,1)/2</f>
        <v>0.7</v>
      </c>
      <c r="J150" s="420"/>
      <c r="K150" s="421"/>
      <c r="L150" s="206">
        <f>ROUND(0.6+0.6/L$112,1)/2</f>
        <v>0.7</v>
      </c>
      <c r="M150" s="420"/>
      <c r="N150" s="421"/>
      <c r="O150" s="206"/>
      <c r="P150" s="420"/>
      <c r="Q150" s="421"/>
      <c r="R150" s="206"/>
      <c r="S150" s="420"/>
      <c r="T150" s="421"/>
      <c r="U150" s="206"/>
      <c r="V150" s="11"/>
      <c r="X150" s="503"/>
    </row>
    <row r="151" spans="2:27" x14ac:dyDescent="0.2">
      <c r="B151" s="466">
        <v>45</v>
      </c>
      <c r="C151" s="96" t="s">
        <v>453</v>
      </c>
      <c r="D151" s="100"/>
      <c r="E151" s="532"/>
      <c r="F151" s="206">
        <f>ROUND((0.8+0.4*(VLOOKUP('Quick Input'!M$22,Auswahlfelder!$D$36:$E$38,2,FALSE)-1))/F$27,0)</f>
        <v>1</v>
      </c>
      <c r="G151" s="420"/>
      <c r="H151" s="421"/>
      <c r="I151" s="206">
        <f>ROUND((0.8+0.4*(VLOOKUP('Quick Input'!P$22,Auswahlfelder!$D$36:$E$38,2,FALSE)-1))/I$27,0)</f>
        <v>1</v>
      </c>
      <c r="J151" s="420"/>
      <c r="K151" s="421"/>
      <c r="L151" s="206">
        <f>ROUND((0.8+0.4*(VLOOKUP('Quick Input'!S$22,Auswahlfelder!$D$36:$E$38,2,FALSE)-1))/L$27,0)</f>
        <v>3</v>
      </c>
      <c r="M151" s="420"/>
      <c r="N151" s="421"/>
      <c r="O151" s="206"/>
      <c r="P151" s="420"/>
      <c r="Q151" s="421"/>
      <c r="R151" s="206"/>
      <c r="S151" s="420"/>
      <c r="T151" s="421"/>
      <c r="U151" s="206"/>
      <c r="V151" s="11"/>
    </row>
    <row r="152" spans="2:27" x14ac:dyDescent="0.2">
      <c r="B152" s="466">
        <v>45</v>
      </c>
      <c r="C152" s="96" t="s">
        <v>468</v>
      </c>
      <c r="D152" s="100" t="s">
        <v>386</v>
      </c>
      <c r="E152" s="530" t="s">
        <v>452</v>
      </c>
      <c r="F152" s="206">
        <f>ROUND(2.5+0.5*(F$149-2)+(F$149-1)*0.8/F27+IF(AND('Quick Input'!M$23&gt;1,Parametrikber!F126&gt;0),1)+VLOOKUP('Quick Input'!M$21,Auswahlfelder!$D$16:$E$196,2,FALSE)*0.3,0)</f>
        <v>4</v>
      </c>
      <c r="G152" s="420"/>
      <c r="H152" s="421"/>
      <c r="I152" s="206" t="e">
        <f>ROUND(2.5+0.5*(I$149-2)+(I$149-1)*0.8/I27+IF(AND('Quick Input'!P$23&gt;1,Parametrikber!I126&gt;0),1)+VLOOKUP('Quick Input'!P$21,Auswahlfelder!$D$16:$E$196,2,FALSE)*0.3,0)</f>
        <v>#REF!</v>
      </c>
      <c r="J152" s="420"/>
      <c r="K152" s="421"/>
      <c r="L152" s="206" t="e">
        <f>ROUND(2.5+0.5*(L$149-2)+(L$149-1)*0.8/L27+IF(AND('Quick Input'!S$23&gt;1,Parametrikber!L126&gt;0),1)+VLOOKUP('Quick Input'!S$21,Auswahlfelder!$D$16:$E$196,2,FALSE)*0.3,0)</f>
        <v>#REF!</v>
      </c>
      <c r="M152" s="420"/>
      <c r="N152" s="421"/>
      <c r="O152" s="206"/>
      <c r="P152" s="420"/>
      <c r="Q152" s="421"/>
      <c r="R152" s="206"/>
      <c r="S152" s="420"/>
      <c r="T152" s="421"/>
      <c r="U152" s="206"/>
      <c r="V152" s="11"/>
      <c r="X152" s="503"/>
    </row>
    <row r="153" spans="2:27" ht="15" thickBot="1" x14ac:dyDescent="0.25">
      <c r="B153" s="466">
        <v>45</v>
      </c>
      <c r="C153" s="96" t="s">
        <v>469</v>
      </c>
      <c r="D153" s="100"/>
      <c r="E153" s="530" t="s">
        <v>452</v>
      </c>
      <c r="F153" s="205">
        <f>IF(F$149=3,1,0)</f>
        <v>0</v>
      </c>
      <c r="G153" s="420"/>
      <c r="H153" s="421"/>
      <c r="I153" s="205">
        <f>IF(I$149=3,1,0)</f>
        <v>0</v>
      </c>
      <c r="J153" s="420"/>
      <c r="K153" s="421"/>
      <c r="L153" s="205">
        <f>IF(L$149=3,1,0)</f>
        <v>1</v>
      </c>
      <c r="M153" s="420"/>
      <c r="N153" s="421"/>
      <c r="O153" s="205"/>
      <c r="P153" s="420"/>
      <c r="Q153" s="421"/>
      <c r="R153" s="205"/>
      <c r="S153" s="420"/>
      <c r="T153" s="421"/>
      <c r="U153" s="205"/>
      <c r="V153" s="1142"/>
      <c r="X153" s="503"/>
    </row>
    <row r="154" spans="2:27" ht="15" x14ac:dyDescent="0.25">
      <c r="B154" s="466">
        <v>48</v>
      </c>
      <c r="C154" s="95" t="s">
        <v>268</v>
      </c>
      <c r="D154" s="98"/>
      <c r="E154" s="529"/>
      <c r="F154" s="208">
        <f>F$159/F$166+F$169+F$172</f>
        <v>647.81872735507261</v>
      </c>
      <c r="G154" s="418"/>
      <c r="H154" s="419"/>
      <c r="I154" s="208">
        <f>I$159/I$166+I$169+I$172</f>
        <v>555.26357928711673</v>
      </c>
      <c r="J154" s="418"/>
      <c r="K154" s="419"/>
      <c r="L154" s="208">
        <f>L$159/L$166+L$169+L$172</f>
        <v>658.50996376811599</v>
      </c>
      <c r="M154" s="418"/>
      <c r="N154" s="419"/>
      <c r="O154" s="208"/>
      <c r="P154" s="418"/>
      <c r="Q154" s="419"/>
      <c r="R154" s="208"/>
      <c r="S154" s="418"/>
      <c r="T154" s="419"/>
      <c r="U154" s="208"/>
      <c r="V154" s="11"/>
    </row>
    <row r="155" spans="2:27" x14ac:dyDescent="0.2">
      <c r="B155" s="466">
        <v>48</v>
      </c>
      <c r="C155" s="96" t="s">
        <v>443</v>
      </c>
      <c r="D155" s="100">
        <v>1</v>
      </c>
      <c r="E155" s="530" t="s">
        <v>451</v>
      </c>
      <c r="F155" s="205">
        <f>VLOOKUP(Refkalkulation!H$51,DB_Maschinen,15,FALSE)</f>
        <v>420</v>
      </c>
      <c r="G155" s="420"/>
      <c r="H155" s="421"/>
      <c r="I155" s="205">
        <f>VLOOKUP(Refkalkulation!K$51,DB_Maschinen,15,FALSE)</f>
        <v>420</v>
      </c>
      <c r="J155" s="420"/>
      <c r="K155" s="421"/>
      <c r="L155" s="205">
        <f>VLOOKUP(Refkalkulation!N$51,DB_Maschinen,15,FALSE)</f>
        <v>420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7" ht="15" x14ac:dyDescent="0.25">
      <c r="B156" s="466">
        <v>48</v>
      </c>
      <c r="C156" s="96" t="s">
        <v>444</v>
      </c>
      <c r="D156" s="504" t="s">
        <v>413</v>
      </c>
      <c r="E156" s="530" t="s">
        <v>451</v>
      </c>
      <c r="F156" s="205">
        <v>0</v>
      </c>
      <c r="G156" s="420"/>
      <c r="H156" s="421"/>
      <c r="I156" s="205">
        <v>0</v>
      </c>
      <c r="J156" s="420"/>
      <c r="K156" s="421"/>
      <c r="L156" s="205">
        <v>0</v>
      </c>
      <c r="M156" s="420"/>
      <c r="N156" s="421"/>
      <c r="O156" s="205"/>
      <c r="P156" s="420"/>
      <c r="Q156" s="421"/>
      <c r="R156" s="205"/>
      <c r="S156" s="420"/>
      <c r="T156" s="421"/>
      <c r="U156" s="205"/>
      <c r="V156" s="11"/>
    </row>
    <row r="157" spans="2:27" x14ac:dyDescent="0.2">
      <c r="B157" s="466">
        <v>48</v>
      </c>
      <c r="C157" s="96" t="s">
        <v>148</v>
      </c>
      <c r="D157" s="100">
        <v>1</v>
      </c>
      <c r="E157" s="530" t="s">
        <v>451</v>
      </c>
      <c r="F157" s="205">
        <f>'Länder-DB'!$I$27+VLOOKUP(F$19,DB_Länder,13,FALSE)</f>
        <v>10</v>
      </c>
      <c r="G157" s="426"/>
      <c r="H157" s="427"/>
      <c r="I157" s="205">
        <f>'Länder-DB'!$I$27+VLOOKUP(I$19,DB_Länder,13,FALSE)</f>
        <v>11</v>
      </c>
      <c r="J157" s="426"/>
      <c r="K157" s="427"/>
      <c r="L157" s="205">
        <f>'Länder-DB'!$I$27+VLOOKUP(L$19,DB_Länder,13,FALSE)</f>
        <v>10</v>
      </c>
      <c r="M157" s="426"/>
      <c r="N157" s="427"/>
      <c r="O157" s="205"/>
      <c r="P157" s="426"/>
      <c r="Q157" s="427"/>
      <c r="R157" s="205"/>
      <c r="S157" s="426"/>
      <c r="T157" s="427"/>
      <c r="U157" s="205"/>
      <c r="V157" s="11"/>
    </row>
    <row r="158" spans="2:27" ht="15" x14ac:dyDescent="0.25">
      <c r="B158" s="466">
        <v>48</v>
      </c>
      <c r="C158" s="96" t="s">
        <v>152</v>
      </c>
      <c r="D158" s="504" t="s">
        <v>448</v>
      </c>
      <c r="E158" s="530" t="s">
        <v>451</v>
      </c>
      <c r="F158" s="205">
        <f>'Länder-DB'!$I$29*(F$155+F$156)</f>
        <v>42</v>
      </c>
      <c r="G158" s="420"/>
      <c r="H158" s="421"/>
      <c r="I158" s="205">
        <f>'Länder-DB'!$I$29*(I$155+I$156)</f>
        <v>42</v>
      </c>
      <c r="J158" s="420"/>
      <c r="K158" s="421"/>
      <c r="L158" s="205">
        <f>'Länder-DB'!$I$29*(L$155+L$156)</f>
        <v>42</v>
      </c>
      <c r="M158" s="420"/>
      <c r="N158" s="421"/>
      <c r="O158" s="205"/>
      <c r="P158" s="420"/>
      <c r="Q158" s="421"/>
      <c r="R158" s="205"/>
      <c r="S158" s="420"/>
      <c r="T158" s="421"/>
      <c r="U158" s="205"/>
      <c r="V158" s="11"/>
    </row>
    <row r="159" spans="2:27" x14ac:dyDescent="0.2">
      <c r="B159" s="466">
        <v>48</v>
      </c>
      <c r="C159" s="96" t="s">
        <v>153</v>
      </c>
      <c r="D159" s="100">
        <v>1</v>
      </c>
      <c r="E159" s="530" t="s">
        <v>451</v>
      </c>
      <c r="F159" s="286">
        <f>(F$155+F$156)/F$157+F$158</f>
        <v>84</v>
      </c>
      <c r="G159" s="420"/>
      <c r="H159" s="421"/>
      <c r="I159" s="286">
        <f>(I$155+I$156)/I$157+I$158</f>
        <v>80.181818181818187</v>
      </c>
      <c r="J159" s="420"/>
      <c r="K159" s="421"/>
      <c r="L159" s="286">
        <f>(L$155+L$156)/L$157+L$158</f>
        <v>84</v>
      </c>
      <c r="M159" s="420"/>
      <c r="N159" s="421"/>
      <c r="O159" s="286"/>
      <c r="P159" s="420"/>
      <c r="Q159" s="421"/>
      <c r="R159" s="286"/>
      <c r="S159" s="420"/>
      <c r="T159" s="421"/>
      <c r="U159" s="286"/>
      <c r="V159" s="11"/>
    </row>
    <row r="160" spans="2:27" x14ac:dyDescent="0.2">
      <c r="B160" s="466">
        <v>48</v>
      </c>
      <c r="C160" s="96" t="s">
        <v>227</v>
      </c>
      <c r="D160" s="100">
        <v>1</v>
      </c>
      <c r="E160" s="530" t="s">
        <v>451</v>
      </c>
      <c r="F160" s="205">
        <f>8*VLOOKUP('Quick Input'!M$47,Auswahlfelder!$D$7:$E$9,2,FALSE)</f>
        <v>16</v>
      </c>
      <c r="G160" s="420"/>
      <c r="H160" s="421"/>
      <c r="I160" s="205">
        <f>8*VLOOKUP('Quick Input'!P$47,Auswahlfelder!$D$7:$E$9,2,FALSE)</f>
        <v>16</v>
      </c>
      <c r="J160" s="420"/>
      <c r="K160" s="421"/>
      <c r="L160" s="205">
        <f>8*VLOOKUP('Quick Input'!S$47,Auswahlfelder!$D$7:$E$9,2,FALSE)</f>
        <v>16</v>
      </c>
      <c r="M160" s="420"/>
      <c r="N160" s="421"/>
      <c r="O160" s="205"/>
      <c r="P160" s="420"/>
      <c r="Q160" s="421"/>
      <c r="R160" s="205"/>
      <c r="S160" s="420"/>
      <c r="T160" s="421"/>
      <c r="U160" s="205"/>
      <c r="V160" s="11"/>
    </row>
    <row r="161" spans="2:22" x14ac:dyDescent="0.2">
      <c r="B161" s="466">
        <v>48</v>
      </c>
      <c r="C161" s="96" t="s">
        <v>150</v>
      </c>
      <c r="D161" s="100">
        <v>1</v>
      </c>
      <c r="E161" s="530" t="s">
        <v>451</v>
      </c>
      <c r="F161" s="205">
        <f>'Quick Input'!M$48</f>
        <v>5</v>
      </c>
      <c r="G161" s="420"/>
      <c r="H161" s="421"/>
      <c r="I161" s="205">
        <f>'Quick Input'!P$48</f>
        <v>5</v>
      </c>
      <c r="J161" s="420"/>
      <c r="K161" s="421"/>
      <c r="L161" s="205">
        <f>'Quick Input'!S$48</f>
        <v>5</v>
      </c>
      <c r="M161" s="420"/>
      <c r="N161" s="421"/>
      <c r="O161" s="205"/>
      <c r="P161" s="420"/>
      <c r="Q161" s="421"/>
      <c r="R161" s="205"/>
      <c r="S161" s="420"/>
      <c r="T161" s="421"/>
      <c r="U161" s="205"/>
      <c r="V161" s="11"/>
    </row>
    <row r="162" spans="2:22" x14ac:dyDescent="0.2">
      <c r="B162" s="466">
        <v>48</v>
      </c>
      <c r="C162" s="96" t="s">
        <v>22</v>
      </c>
      <c r="D162" s="100">
        <v>1</v>
      </c>
      <c r="E162" s="530" t="s">
        <v>452</v>
      </c>
      <c r="F162" s="205">
        <f>'Quick Input'!M$49</f>
        <v>48</v>
      </c>
      <c r="G162" s="420"/>
      <c r="H162" s="421"/>
      <c r="I162" s="205">
        <f>'Quick Input'!P$49</f>
        <v>48</v>
      </c>
      <c r="J162" s="420"/>
      <c r="K162" s="421"/>
      <c r="L162" s="205">
        <f>'Quick Input'!S$49</f>
        <v>48</v>
      </c>
      <c r="M162" s="420"/>
      <c r="N162" s="421"/>
      <c r="O162" s="205"/>
      <c r="P162" s="420"/>
      <c r="Q162" s="421"/>
      <c r="R162" s="205"/>
      <c r="S162" s="420"/>
      <c r="T162" s="421"/>
      <c r="U162" s="205"/>
      <c r="V162" s="11"/>
    </row>
    <row r="163" spans="2:22" x14ac:dyDescent="0.2">
      <c r="B163" s="466">
        <v>48</v>
      </c>
      <c r="C163" s="96" t="s">
        <v>155</v>
      </c>
      <c r="D163" s="100"/>
      <c r="E163" s="530" t="s">
        <v>452</v>
      </c>
      <c r="F163" s="205">
        <f>F$160*F$161*F$162</f>
        <v>3840</v>
      </c>
      <c r="G163" s="420"/>
      <c r="H163" s="421"/>
      <c r="I163" s="205">
        <f>I$160*I$161*I$162</f>
        <v>3840</v>
      </c>
      <c r="J163" s="420"/>
      <c r="K163" s="421"/>
      <c r="L163" s="205">
        <f>L$160*L$161*L$162</f>
        <v>3840</v>
      </c>
      <c r="M163" s="420"/>
      <c r="N163" s="421"/>
      <c r="O163" s="205"/>
      <c r="P163" s="420"/>
      <c r="Q163" s="421"/>
      <c r="R163" s="205"/>
      <c r="S163" s="420"/>
      <c r="T163" s="421"/>
      <c r="U163" s="205"/>
      <c r="V163" s="11"/>
    </row>
    <row r="164" spans="2:22" x14ac:dyDescent="0.2">
      <c r="B164" s="466">
        <v>48</v>
      </c>
      <c r="C164" s="96" t="s">
        <v>23</v>
      </c>
      <c r="D164" s="100"/>
      <c r="E164" s="532"/>
      <c r="F164" s="201">
        <f>F$27</f>
        <v>0.7360000000000001</v>
      </c>
      <c r="G164" s="420"/>
      <c r="H164" s="421"/>
      <c r="I164" s="201">
        <f>I$27</f>
        <v>0.62559999999999993</v>
      </c>
      <c r="J164" s="420"/>
      <c r="K164" s="421"/>
      <c r="L164" s="201">
        <f>L$27</f>
        <v>0.46</v>
      </c>
      <c r="M164" s="420"/>
      <c r="N164" s="421"/>
      <c r="O164" s="201"/>
      <c r="P164" s="420"/>
      <c r="Q164" s="421"/>
      <c r="R164" s="201"/>
      <c r="S164" s="420"/>
      <c r="T164" s="421"/>
      <c r="U164" s="201"/>
      <c r="V164" s="11"/>
    </row>
    <row r="165" spans="2:22" ht="15" x14ac:dyDescent="0.25">
      <c r="B165" s="466">
        <v>48</v>
      </c>
      <c r="C165" s="96" t="s">
        <v>149</v>
      </c>
      <c r="D165" s="504" t="s">
        <v>386</v>
      </c>
      <c r="E165" s="530" t="s">
        <v>451</v>
      </c>
      <c r="F165" s="201">
        <f>0.9*F$27</f>
        <v>0.6624000000000001</v>
      </c>
      <c r="G165" s="420"/>
      <c r="H165" s="421"/>
      <c r="I165" s="201">
        <f>0.9*I$27</f>
        <v>0.56303999999999998</v>
      </c>
      <c r="J165" s="420"/>
      <c r="K165" s="421"/>
      <c r="L165" s="201">
        <f>0.9*L$27</f>
        <v>0.41400000000000003</v>
      </c>
      <c r="M165" s="420"/>
      <c r="N165" s="421"/>
      <c r="O165" s="201"/>
      <c r="P165" s="420"/>
      <c r="Q165" s="421"/>
      <c r="R165" s="201"/>
      <c r="S165" s="420"/>
      <c r="T165" s="421"/>
      <c r="U165" s="201"/>
      <c r="V165" s="5"/>
    </row>
    <row r="166" spans="2:22" x14ac:dyDescent="0.2">
      <c r="B166" s="466">
        <v>48</v>
      </c>
      <c r="C166" s="96" t="s">
        <v>156</v>
      </c>
      <c r="D166" s="100">
        <v>1</v>
      </c>
      <c r="E166" s="530" t="s">
        <v>451</v>
      </c>
      <c r="F166" s="286">
        <f>F$163*F$165</f>
        <v>2543.6160000000004</v>
      </c>
      <c r="G166" s="420"/>
      <c r="H166" s="421"/>
      <c r="I166" s="286">
        <f>I163*I165</f>
        <v>2162.0735999999997</v>
      </c>
      <c r="J166" s="420"/>
      <c r="K166" s="421"/>
      <c r="L166" s="286">
        <f>L163*L165</f>
        <v>1589.7600000000002</v>
      </c>
      <c r="M166" s="420"/>
      <c r="N166" s="421"/>
      <c r="O166" s="286"/>
      <c r="P166" s="420"/>
      <c r="Q166" s="421"/>
      <c r="R166" s="286"/>
      <c r="S166" s="420"/>
      <c r="T166" s="421"/>
      <c r="U166" s="286"/>
      <c r="V166" s="5"/>
    </row>
    <row r="167" spans="2:22" x14ac:dyDescent="0.2">
      <c r="B167" s="466">
        <v>48</v>
      </c>
      <c r="C167" s="96" t="s">
        <v>491</v>
      </c>
      <c r="D167" s="100">
        <v>1</v>
      </c>
      <c r="E167" s="530" t="s">
        <v>451</v>
      </c>
      <c r="F167" s="162">
        <f>0.75*VLOOKUP(Refkalkulation!H$51,DB_Maschinen,12,FALSE)</f>
        <v>9000</v>
      </c>
      <c r="G167" s="420"/>
      <c r="H167" s="421"/>
      <c r="I167" s="162">
        <f>0.75*VLOOKUP(Refkalkulation!K$51,DB_Maschinen,12,FALSE)</f>
        <v>9000</v>
      </c>
      <c r="J167" s="420"/>
      <c r="K167" s="421"/>
      <c r="L167" s="162">
        <f>0.75*VLOOKUP(Refkalkulation!N$51,DB_Maschinen,12,FALSE)</f>
        <v>9000</v>
      </c>
      <c r="M167" s="420"/>
      <c r="N167" s="421"/>
      <c r="O167" s="162"/>
      <c r="P167" s="420"/>
      <c r="Q167" s="421"/>
      <c r="R167" s="162"/>
      <c r="S167" s="420"/>
      <c r="T167" s="421"/>
      <c r="U167" s="162"/>
      <c r="V167" s="11"/>
    </row>
    <row r="168" spans="2:22" x14ac:dyDescent="0.2">
      <c r="B168" s="466">
        <v>48</v>
      </c>
      <c r="C168" s="96" t="s">
        <v>137</v>
      </c>
      <c r="D168" s="100">
        <v>1</v>
      </c>
      <c r="E168" s="530" t="s">
        <v>452</v>
      </c>
      <c r="F168" s="209">
        <f>VLOOKUP(F$19,DB_Länder,7,FALSE)</f>
        <v>7.0000000000000007E-2</v>
      </c>
      <c r="G168" s="420"/>
      <c r="H168" s="421"/>
      <c r="I168" s="209">
        <f>VLOOKUP(I$19,DB_Länder,7,FALSE)</f>
        <v>0.06</v>
      </c>
      <c r="J168" s="420"/>
      <c r="K168" s="421"/>
      <c r="L168" s="209">
        <f>VLOOKUP(L$19,DB_Länder,7,FALSE)</f>
        <v>7.0000000000000007E-2</v>
      </c>
      <c r="M168" s="420"/>
      <c r="N168" s="421"/>
      <c r="O168" s="209"/>
      <c r="P168" s="420"/>
      <c r="Q168" s="421"/>
      <c r="R168" s="209"/>
      <c r="S168" s="420"/>
      <c r="T168" s="421"/>
      <c r="U168" s="209"/>
      <c r="V168" s="11"/>
    </row>
    <row r="169" spans="2:22" ht="15" x14ac:dyDescent="0.25">
      <c r="B169" s="466">
        <v>48</v>
      </c>
      <c r="C169" s="96" t="s">
        <v>151</v>
      </c>
      <c r="D169" s="504" t="s">
        <v>448</v>
      </c>
      <c r="E169" s="530" t="s">
        <v>451</v>
      </c>
      <c r="F169" s="287">
        <f>F$167*F$168</f>
        <v>630.00000000000011</v>
      </c>
      <c r="G169" s="428"/>
      <c r="H169" s="421"/>
      <c r="I169" s="287">
        <f>I$167*I$168</f>
        <v>540</v>
      </c>
      <c r="J169" s="428"/>
      <c r="K169" s="421"/>
      <c r="L169" s="287">
        <f>L$167*L$168</f>
        <v>630.00000000000011</v>
      </c>
      <c r="M169" s="428"/>
      <c r="N169" s="421"/>
      <c r="O169" s="287"/>
      <c r="P169" s="428"/>
      <c r="Q169" s="421"/>
      <c r="R169" s="287"/>
      <c r="S169" s="428"/>
      <c r="T169" s="421"/>
      <c r="U169" s="287"/>
      <c r="V169" s="11"/>
    </row>
    <row r="170" spans="2:22" ht="15" x14ac:dyDescent="0.25">
      <c r="B170" s="466">
        <v>48</v>
      </c>
      <c r="C170" s="96" t="s">
        <v>154</v>
      </c>
      <c r="D170" s="504" t="s">
        <v>447</v>
      </c>
      <c r="E170" s="530" t="s">
        <v>451</v>
      </c>
      <c r="F170" s="162">
        <f>VLOOKUP(Refkalkulation!H$51,DB_Maschinen,14,FALSE)</f>
        <v>580</v>
      </c>
      <c r="G170" s="426"/>
      <c r="H170" s="421"/>
      <c r="I170" s="162">
        <f>VLOOKUP(Refkalkulation!K$51,DB_Maschinen,14,FALSE)</f>
        <v>580</v>
      </c>
      <c r="J170" s="426"/>
      <c r="K170" s="421"/>
      <c r="L170" s="162">
        <f>VLOOKUP(Refkalkulation!N$51,DB_Maschinen,14,FALSE)</f>
        <v>580</v>
      </c>
      <c r="M170" s="426"/>
      <c r="N170" s="421"/>
      <c r="O170" s="162"/>
      <c r="P170" s="426"/>
      <c r="Q170" s="421"/>
      <c r="R170" s="162"/>
      <c r="S170" s="426"/>
      <c r="T170" s="421"/>
      <c r="U170" s="162"/>
      <c r="V170" s="11"/>
    </row>
    <row r="171" spans="2:22" x14ac:dyDescent="0.2">
      <c r="B171" s="466">
        <v>48</v>
      </c>
      <c r="C171" s="96" t="s">
        <v>162</v>
      </c>
      <c r="D171" s="100">
        <v>1</v>
      </c>
      <c r="E171" s="530" t="s">
        <v>451</v>
      </c>
      <c r="F171" s="210">
        <f>VLOOKUP(F$19,DB_Länder,8,FALSE)</f>
        <v>6.5</v>
      </c>
      <c r="G171" s="428"/>
      <c r="H171" s="421"/>
      <c r="I171" s="210">
        <f>VLOOKUP(I$19,DB_Länder,8,FALSE)</f>
        <v>4.7300000000000004</v>
      </c>
      <c r="J171" s="428"/>
      <c r="K171" s="421"/>
      <c r="L171" s="210">
        <f>VLOOKUP(L$19,DB_Länder,8,FALSE)</f>
        <v>6.5</v>
      </c>
      <c r="M171" s="428"/>
      <c r="N171" s="421"/>
      <c r="O171" s="210"/>
      <c r="P171" s="428"/>
      <c r="Q171" s="421"/>
      <c r="R171" s="210"/>
      <c r="S171" s="428"/>
      <c r="T171" s="421"/>
      <c r="U171" s="210"/>
      <c r="V171" s="11"/>
    </row>
    <row r="172" spans="2:22" ht="15" thickBot="1" x14ac:dyDescent="0.25">
      <c r="B172" s="466">
        <v>48</v>
      </c>
      <c r="C172" s="97" t="s">
        <v>163</v>
      </c>
      <c r="D172" s="102">
        <v>1</v>
      </c>
      <c r="E172" s="531" t="s">
        <v>451</v>
      </c>
      <c r="F172" s="287">
        <f>F170*F171*12/F166</f>
        <v>17.785703502415455</v>
      </c>
      <c r="G172" s="422"/>
      <c r="H172" s="423"/>
      <c r="I172" s="287">
        <f>I170*I171*12/I166</f>
        <v>15.22649367718102</v>
      </c>
      <c r="J172" s="422"/>
      <c r="K172" s="423"/>
      <c r="L172" s="287">
        <f>L170*L171*12/L166</f>
        <v>28.457125603864732</v>
      </c>
      <c r="M172" s="422"/>
      <c r="N172" s="423"/>
      <c r="O172" s="287"/>
      <c r="P172" s="422"/>
      <c r="Q172" s="423"/>
      <c r="R172" s="287"/>
      <c r="S172" s="422"/>
      <c r="T172" s="423"/>
      <c r="U172" s="287"/>
      <c r="V172" s="32"/>
    </row>
    <row r="173" spans="2:22" ht="15" x14ac:dyDescent="0.25">
      <c r="B173" s="466">
        <v>21</v>
      </c>
      <c r="C173" s="95" t="s">
        <v>471</v>
      </c>
      <c r="D173" s="98"/>
      <c r="E173" s="529" t="s">
        <v>452</v>
      </c>
      <c r="F173" s="204">
        <f>F$174+F$175+F$178+F$225</f>
        <v>5340016.3043478262</v>
      </c>
      <c r="G173" s="429"/>
      <c r="H173" s="419"/>
      <c r="I173" s="204">
        <f>I$174+I$175+I$178+I$225</f>
        <v>5340016.7838874683</v>
      </c>
      <c r="J173" s="429"/>
      <c r="K173" s="419"/>
      <c r="L173" s="204">
        <f>L$174+L$175+L$178+L$225</f>
        <v>5340016.3043478262</v>
      </c>
      <c r="M173" s="429"/>
      <c r="N173" s="419"/>
      <c r="O173" s="204"/>
      <c r="P173" s="429"/>
      <c r="Q173" s="419"/>
      <c r="R173" s="204"/>
      <c r="S173" s="429"/>
      <c r="T173" s="419"/>
      <c r="U173" s="204"/>
      <c r="V173" s="11"/>
    </row>
    <row r="174" spans="2:22" x14ac:dyDescent="0.2">
      <c r="B174" s="466">
        <v>21</v>
      </c>
      <c r="C174" s="96" t="s">
        <v>165</v>
      </c>
      <c r="D174" s="100">
        <v>1</v>
      </c>
      <c r="E174" s="530" t="s">
        <v>451</v>
      </c>
      <c r="F174" s="205">
        <f>60*VLOOKUP(Refkalkulation!H$51,DB_Maschinen,9,FALSE)</f>
        <v>5340000</v>
      </c>
      <c r="G174" s="420"/>
      <c r="H174" s="421"/>
      <c r="I174" s="205">
        <f>60*VLOOKUP(Refkalkulation!K$51,DB_Maschinen,9,FALSE)</f>
        <v>5340000</v>
      </c>
      <c r="J174" s="420"/>
      <c r="K174" s="421"/>
      <c r="L174" s="205">
        <f>60*VLOOKUP(Refkalkulation!N$51,DB_Maschinen,9,FALSE)</f>
        <v>5340000</v>
      </c>
      <c r="M174" s="420"/>
      <c r="N174" s="421"/>
      <c r="O174" s="205"/>
      <c r="P174" s="420"/>
      <c r="Q174" s="421"/>
      <c r="R174" s="205"/>
      <c r="S174" s="420"/>
      <c r="T174" s="421"/>
      <c r="U174" s="205"/>
      <c r="V174" s="11"/>
    </row>
    <row r="175" spans="2:22" x14ac:dyDescent="0.2">
      <c r="B175" s="466">
        <v>21</v>
      </c>
      <c r="C175" s="96" t="s">
        <v>449</v>
      </c>
      <c r="D175" s="100" t="s">
        <v>386</v>
      </c>
      <c r="E175" s="530" t="s">
        <v>451</v>
      </c>
      <c r="F175" s="205">
        <f>60*IF(F174=0,VLOOKUP(F$83,DB_Maschinen,13,FALSE)*(1+F$176+F$177),0)</f>
        <v>0</v>
      </c>
      <c r="G175" s="420"/>
      <c r="H175" s="421"/>
      <c r="I175" s="205">
        <f>60*IF(I174=0,VLOOKUP(I$83,DB_Maschinen,13,FALSE)*(1+I$176+I$177),0)</f>
        <v>0</v>
      </c>
      <c r="J175" s="420"/>
      <c r="K175" s="421"/>
      <c r="L175" s="205">
        <f>60*IF(L174=0,VLOOKUP(L$83,DB_Maschinen,13,FALSE)*(1+L$176+L$177),0)</f>
        <v>0</v>
      </c>
      <c r="M175" s="420"/>
      <c r="N175" s="421"/>
      <c r="O175" s="205"/>
      <c r="P175" s="420"/>
      <c r="Q175" s="421"/>
      <c r="R175" s="205"/>
      <c r="S175" s="420"/>
      <c r="T175" s="421"/>
      <c r="U175" s="205"/>
      <c r="V175" s="11"/>
    </row>
    <row r="176" spans="2:22" x14ac:dyDescent="0.2">
      <c r="B176" s="466">
        <v>21</v>
      </c>
      <c r="C176" s="96" t="s">
        <v>470</v>
      </c>
      <c r="D176" s="100" t="s">
        <v>386</v>
      </c>
      <c r="E176" s="530" t="s">
        <v>451</v>
      </c>
      <c r="F176" s="201">
        <f>18%*VLOOKUP('Quick Input'!M$21,Auswahlfelder!$D$16:$E$19,2,FALSE)</f>
        <v>0.54</v>
      </c>
      <c r="G176" s="420"/>
      <c r="H176" s="421"/>
      <c r="I176" s="201">
        <f>18%*VLOOKUP('Quick Input'!P$21,Auswahlfelder!$D$16:$E$19,2,FALSE)</f>
        <v>0.54</v>
      </c>
      <c r="J176" s="420"/>
      <c r="K176" s="421"/>
      <c r="L176" s="201">
        <f>18%*VLOOKUP('Quick Input'!S$21,Auswahlfelder!$D$16:$E$19,2,FALSE)</f>
        <v>0.36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x14ac:dyDescent="0.2">
      <c r="B177" s="466">
        <v>21</v>
      </c>
      <c r="C177" s="96" t="s">
        <v>472</v>
      </c>
      <c r="D177" s="100"/>
      <c r="E177" s="530" t="s">
        <v>451</v>
      </c>
      <c r="F177" s="155">
        <f>MAX(0,(F$41-8))/300</f>
        <v>0.13733333333333334</v>
      </c>
      <c r="G177" s="420"/>
      <c r="H177" s="421"/>
      <c r="I177" s="155">
        <f>MAX(0,(I$41-8))/300</f>
        <v>0</v>
      </c>
      <c r="J177" s="420"/>
      <c r="K177" s="421"/>
      <c r="L177" s="155">
        <f>MAX(0,(L$41-8))/300</f>
        <v>5.000000000000012E-4</v>
      </c>
      <c r="M177" s="420"/>
      <c r="N177" s="421"/>
      <c r="O177" s="155"/>
      <c r="P177" s="420"/>
      <c r="Q177" s="421"/>
      <c r="R177" s="155"/>
      <c r="S177" s="420"/>
      <c r="T177" s="421"/>
      <c r="U177" s="155"/>
      <c r="V177" s="11"/>
    </row>
    <row r="178" spans="2:24" ht="15" thickBot="1" x14ac:dyDescent="0.25">
      <c r="B178" s="466">
        <v>21</v>
      </c>
      <c r="C178" s="467" t="s">
        <v>473</v>
      </c>
      <c r="D178" s="102"/>
      <c r="E178" s="530" t="s">
        <v>451</v>
      </c>
      <c r="F178" s="205">
        <f>IF(OR(F$174=0,F$130=0),0,15/F$27*'Quick Input'!M$51)</f>
        <v>16.304347826086953</v>
      </c>
      <c r="G178" s="420"/>
      <c r="H178" s="421"/>
      <c r="I178" s="205">
        <f>IF(OR(I$174=0,I$130=0),0,15/I$27*'Quick Input'!P$51)</f>
        <v>16.783887468030692</v>
      </c>
      <c r="J178" s="420"/>
      <c r="K178" s="421"/>
      <c r="L178" s="205">
        <f>IF(OR(L$174=0,L$130=0),0,15/L$27*'Quick Input'!S$51)</f>
        <v>16.304347826086957</v>
      </c>
      <c r="M178" s="420"/>
      <c r="N178" s="421"/>
      <c r="O178" s="205"/>
      <c r="P178" s="420"/>
      <c r="Q178" s="421"/>
      <c r="R178" s="205"/>
      <c r="S178" s="420"/>
      <c r="T178" s="421"/>
      <c r="U178" s="205"/>
      <c r="V178" s="11"/>
    </row>
    <row r="179" spans="2:24" ht="15" x14ac:dyDescent="0.25">
      <c r="B179" s="597">
        <v>27</v>
      </c>
      <c r="C179" s="95" t="s">
        <v>772</v>
      </c>
      <c r="D179" s="98">
        <v>1</v>
      </c>
      <c r="E179" s="535" t="s">
        <v>452</v>
      </c>
      <c r="F179" s="860">
        <f>IFERROR(IF(Refkalkulation!H$73=0,ROUND(F$180*(1+F$181+F$182)/60,1),Refkalkulation!H$73),0)</f>
        <v>60</v>
      </c>
      <c r="G179" s="861"/>
      <c r="H179" s="862"/>
      <c r="I179" s="860">
        <f>IFERROR(IF(Refkalkulation!K$73=0,ROUND(I$180*(1+I$181+I$182)/60,1),Refkalkulation!K$73),0)</f>
        <v>5</v>
      </c>
      <c r="J179" s="861"/>
      <c r="K179" s="862"/>
      <c r="L179" s="860">
        <f>IFERROR(IF(Refkalkulation!N$73=0,ROUND(L$180*(1+L$181+L$182)/60,1),Refkalkulation!N$73),0)</f>
        <v>5</v>
      </c>
      <c r="M179" s="861"/>
      <c r="N179" s="862"/>
      <c r="O179" s="860"/>
      <c r="P179" s="861"/>
      <c r="Q179" s="862"/>
      <c r="R179" s="860"/>
      <c r="S179" s="861"/>
      <c r="T179" s="862"/>
      <c r="U179" s="860"/>
      <c r="V179" s="11"/>
      <c r="X179" s="503"/>
    </row>
    <row r="180" spans="2:24" ht="15" x14ac:dyDescent="0.25">
      <c r="B180" s="597">
        <v>27</v>
      </c>
      <c r="C180" s="96" t="s">
        <v>488</v>
      </c>
      <c r="D180" s="504">
        <v>8</v>
      </c>
      <c r="E180" s="530" t="s">
        <v>451</v>
      </c>
      <c r="F180" s="30">
        <f>ROUND(IF(F$41&lt;$D$184,$D$180,SQRT(10*F$41)),0)</f>
        <v>22</v>
      </c>
      <c r="G180" s="420"/>
      <c r="H180" s="421"/>
      <c r="I180" s="30">
        <f>ROUND(IF(I$41&lt;$D$184,$D$180,SQRT(10*I$41)),0)</f>
        <v>8</v>
      </c>
      <c r="J180" s="420"/>
      <c r="K180" s="421"/>
      <c r="L180" s="30">
        <f>ROUND(IF(L$41&lt;$D$184,$D$180,SQRT(10*L$41)),0)</f>
        <v>8</v>
      </c>
      <c r="M180" s="420"/>
      <c r="N180" s="421"/>
      <c r="O180" s="30"/>
      <c r="P180" s="420"/>
      <c r="Q180" s="421"/>
      <c r="R180" s="30"/>
      <c r="S180" s="420"/>
      <c r="T180" s="421"/>
      <c r="U180" s="30"/>
      <c r="V180" s="11"/>
      <c r="X180" s="503"/>
    </row>
    <row r="181" spans="2:24" x14ac:dyDescent="0.2">
      <c r="B181" s="597">
        <v>27</v>
      </c>
      <c r="C181" s="96" t="s">
        <v>796</v>
      </c>
      <c r="D181" s="100" t="s">
        <v>386</v>
      </c>
      <c r="E181" s="530" t="s">
        <v>451</v>
      </c>
      <c r="F181" s="201">
        <f>12%*(VLOOKUP('Quick Input'!M$21,Auswahlfelder!$D$16:$E$19,2,FALSE)-1)+10%*(VLOOKUP(Refkalkulation!I$57,Auswahlfelder!$D$65:$E$68,2,FALSE)-1)</f>
        <v>0.24</v>
      </c>
      <c r="G181" s="420"/>
      <c r="H181" s="421"/>
      <c r="I181" s="201">
        <f>12%*(VLOOKUP('Quick Input'!P$21,Auswahlfelder!$D$16:$E$19,2,FALSE)-1)+10%*(VLOOKUP(Refkalkulation!L$57,Auswahlfelder!$D$65:$E$68,2,FALSE)-1)</f>
        <v>0.24</v>
      </c>
      <c r="J181" s="420"/>
      <c r="K181" s="421"/>
      <c r="L181" s="201" t="e">
        <f>12%*(VLOOKUP('Quick Input'!S$21,Auswahlfelder!$D$16:$E$19,2,FALSE)-1)+10%*(VLOOKUP(Refkalkulation!O$57,Auswahlfelder!$D$65:$E$68,2,FALSE)-1)</f>
        <v>#N/A</v>
      </c>
      <c r="M181" s="420"/>
      <c r="N181" s="421"/>
      <c r="O181" s="201"/>
      <c r="P181" s="420"/>
      <c r="Q181" s="421"/>
      <c r="R181" s="201"/>
      <c r="S181" s="420"/>
      <c r="T181" s="421"/>
      <c r="U181" s="201"/>
      <c r="V181" s="11"/>
    </row>
    <row r="182" spans="2:24" ht="15" thickBot="1" x14ac:dyDescent="0.25">
      <c r="B182" s="597">
        <v>27</v>
      </c>
      <c r="C182" s="96" t="s">
        <v>177</v>
      </c>
      <c r="D182" s="100" t="s">
        <v>386</v>
      </c>
      <c r="E182" s="530" t="s">
        <v>451</v>
      </c>
      <c r="F182" s="201">
        <f>SQRT('Quick Input'!M$20/100)*15%</f>
        <v>1.8257418583505536</v>
      </c>
      <c r="G182" s="420"/>
      <c r="H182" s="421"/>
      <c r="I182" s="201">
        <f>SQRT('Quick Input'!P$20/100)*15%</f>
        <v>0.64478119838560288</v>
      </c>
      <c r="J182" s="420"/>
      <c r="K182" s="421"/>
      <c r="L182" s="201">
        <f>SQRT('Quick Input'!S$20/100)*15%</f>
        <v>0.64478119838560288</v>
      </c>
      <c r="M182" s="420"/>
      <c r="N182" s="421"/>
      <c r="O182" s="201"/>
      <c r="P182" s="420"/>
      <c r="Q182" s="421"/>
      <c r="R182" s="201"/>
      <c r="S182" s="420"/>
      <c r="T182" s="421"/>
      <c r="U182" s="201"/>
      <c r="V182" s="11"/>
    </row>
    <row r="183" spans="2:24" ht="15" x14ac:dyDescent="0.25">
      <c r="B183" s="466">
        <v>27</v>
      </c>
      <c r="C183" s="95" t="s">
        <v>774</v>
      </c>
      <c r="D183" s="98"/>
      <c r="E183" s="535" t="s">
        <v>452</v>
      </c>
      <c r="F183" s="860">
        <f>IFERROR(IF(Refkalkulation!H$72=0,ROUND(F$184*(1+F$185+F$186)/60,1),Refkalkulation!H$72),0)</f>
        <v>0</v>
      </c>
      <c r="G183" s="861"/>
      <c r="H183" s="862"/>
      <c r="I183" s="860">
        <f>IFERROR(IF(Refkalkulation!K$72=0,ROUND(I$184*(1+I$185+I$186)/60,1),Refkalkulation!K$72),0)</f>
        <v>0.4</v>
      </c>
      <c r="J183" s="861"/>
      <c r="K183" s="862"/>
      <c r="L183" s="860">
        <f>IFERROR(IF(Refkalkulation!N$72=0,ROUND(L$184*(1+L$185+L$186)/60,1),Refkalkulation!N$72),0)</f>
        <v>0</v>
      </c>
      <c r="M183" s="861"/>
      <c r="N183" s="862"/>
      <c r="O183" s="860"/>
      <c r="P183" s="861"/>
      <c r="Q183" s="862"/>
      <c r="R183" s="860"/>
      <c r="S183" s="861"/>
      <c r="T183" s="862"/>
      <c r="U183" s="860"/>
      <c r="V183" s="11"/>
      <c r="X183" s="503"/>
    </row>
    <row r="184" spans="2:24" ht="15" x14ac:dyDescent="0.25">
      <c r="B184" s="466">
        <v>27</v>
      </c>
      <c r="C184" s="96" t="s">
        <v>794</v>
      </c>
      <c r="D184" s="504">
        <v>18</v>
      </c>
      <c r="E184" s="530" t="s">
        <v>451</v>
      </c>
      <c r="F184" s="30" t="e">
        <f>IF(F73=Auswahlfelder!$D$38,0,ROUND(IF(F$41&lt;$D$184,$D$185,SQRT(7*F$41)/#REF!),0))</f>
        <v>#REF!</v>
      </c>
      <c r="G184" s="420"/>
      <c r="H184" s="421"/>
      <c r="I184" s="30">
        <f>IF(I73=Auswahlfelder!$D$38,0,ROUND(IF(I$41&lt;$D$184,$D$185,SQRT(7*I$41)/#REF!),0))</f>
        <v>15</v>
      </c>
      <c r="J184" s="420"/>
      <c r="K184" s="421"/>
      <c r="L184" s="30">
        <f>IF(L73=Auswahlfelder!$D$38,0,ROUND(IF(L$41&lt;$D$184,$D$185,SQRT(7*L$41)/#REF!),0))</f>
        <v>0</v>
      </c>
      <c r="M184" s="420"/>
      <c r="N184" s="421"/>
      <c r="O184" s="30"/>
      <c r="P184" s="420"/>
      <c r="Q184" s="421"/>
      <c r="R184" s="30"/>
      <c r="S184" s="420"/>
      <c r="T184" s="421"/>
      <c r="U184" s="30"/>
      <c r="V184" s="11"/>
      <c r="X184" s="503"/>
    </row>
    <row r="185" spans="2:24" ht="15" x14ac:dyDescent="0.25">
      <c r="B185" s="466">
        <v>27</v>
      </c>
      <c r="C185" s="96" t="s">
        <v>795</v>
      </c>
      <c r="D185" s="504">
        <v>15</v>
      </c>
      <c r="E185" s="530" t="s">
        <v>451</v>
      </c>
      <c r="F185" s="201">
        <f>15%*(VLOOKUP('Quick Input'!M$21,Auswahlfelder!$D$16:$E$19,2,FALSE)-1)</f>
        <v>0.3</v>
      </c>
      <c r="G185" s="420"/>
      <c r="H185" s="421"/>
      <c r="I185" s="201">
        <f>15%*(VLOOKUP('Quick Input'!P$21,Auswahlfelder!$D$16:$E$19,2,FALSE)-1)</f>
        <v>0.3</v>
      </c>
      <c r="J185" s="420"/>
      <c r="K185" s="421"/>
      <c r="L185" s="201">
        <f>15%*(VLOOKUP('Quick Input'!S$21,Auswahlfelder!$D$16:$E$19,2,FALSE)-1)</f>
        <v>0.15</v>
      </c>
      <c r="M185" s="420"/>
      <c r="N185" s="421"/>
      <c r="O185" s="201"/>
      <c r="P185" s="420"/>
      <c r="Q185" s="421"/>
      <c r="R185" s="201"/>
      <c r="S185" s="420"/>
      <c r="T185" s="421"/>
      <c r="U185" s="201"/>
      <c r="V185" s="11"/>
    </row>
    <row r="186" spans="2:24" ht="15" thickBot="1" x14ac:dyDescent="0.25">
      <c r="B186" s="466">
        <v>27</v>
      </c>
      <c r="C186" s="96" t="s">
        <v>177</v>
      </c>
      <c r="D186" s="733">
        <v>0.08</v>
      </c>
      <c r="E186" s="530" t="s">
        <v>451</v>
      </c>
      <c r="F186" s="201">
        <f>SQRT('Quick Input'!M$20/100)*$D$186</f>
        <v>0.97372899112029532</v>
      </c>
      <c r="G186" s="420"/>
      <c r="H186" s="421"/>
      <c r="I186" s="201">
        <f>SQRT('Quick Input'!P$20/100)*$D$186</f>
        <v>0.3438833058056549</v>
      </c>
      <c r="J186" s="420"/>
      <c r="K186" s="421"/>
      <c r="L186" s="201">
        <f>SQRT('Quick Input'!S$20/100)*$D$186</f>
        <v>0.3438833058056549</v>
      </c>
      <c r="M186" s="420"/>
      <c r="N186" s="421"/>
      <c r="O186" s="201"/>
      <c r="P186" s="420"/>
      <c r="Q186" s="421"/>
      <c r="R186" s="201"/>
      <c r="S186" s="420"/>
      <c r="T186" s="421"/>
      <c r="U186" s="201"/>
      <c r="V186" s="11"/>
    </row>
    <row r="187" spans="2:24" ht="15" x14ac:dyDescent="0.25">
      <c r="B187" s="466">
        <v>60</v>
      </c>
      <c r="C187" s="95" t="s">
        <v>178</v>
      </c>
      <c r="D187" s="100" t="s">
        <v>94</v>
      </c>
      <c r="E187" s="535" t="s">
        <v>452</v>
      </c>
      <c r="F187" s="598">
        <f>IFERROR(IF(Refkalkulation!H$91=0,ROUND(F$188*(1+F$189+F$190+F$191),1),Refkalkulation!H$91),0)</f>
        <v>400</v>
      </c>
      <c r="G187" s="418"/>
      <c r="H187" s="419"/>
      <c r="I187" s="598">
        <f>IFERROR(IF(Refkalkulation!K$91=0,ROUND(I$188*(1+I$189+I$190+I$191),1),Refkalkulation!K$91),0)</f>
        <v>300</v>
      </c>
      <c r="J187" s="418"/>
      <c r="K187" s="419"/>
      <c r="L187" s="598">
        <f>IFERROR(IF(Refkalkulation!N$91=0,ROUND(L$188*(1+L$189+L$190+L$191),1),Refkalkulation!N$91),0)</f>
        <v>300</v>
      </c>
      <c r="M187" s="418"/>
      <c r="N187" s="419"/>
      <c r="O187" s="598"/>
      <c r="P187" s="418"/>
      <c r="Q187" s="419"/>
      <c r="R187" s="598"/>
      <c r="S187" s="418"/>
      <c r="T187" s="419"/>
      <c r="U187" s="598"/>
      <c r="V187" s="11"/>
      <c r="X187" s="503"/>
    </row>
    <row r="188" spans="2:24" ht="15" x14ac:dyDescent="0.25">
      <c r="B188" s="466">
        <v>60</v>
      </c>
      <c r="C188" s="96" t="s">
        <v>179</v>
      </c>
      <c r="D188" s="504">
        <v>20</v>
      </c>
      <c r="E188" s="530" t="s">
        <v>451</v>
      </c>
      <c r="F188" s="30">
        <f>$D$188</f>
        <v>20</v>
      </c>
      <c r="G188" s="420"/>
      <c r="H188" s="421"/>
      <c r="I188" s="30">
        <f>$D$188</f>
        <v>20</v>
      </c>
      <c r="J188" s="420"/>
      <c r="K188" s="421"/>
      <c r="L188" s="30">
        <f>$D$188</f>
        <v>20</v>
      </c>
      <c r="M188" s="420"/>
      <c r="N188" s="421"/>
      <c r="O188" s="30"/>
      <c r="P188" s="420"/>
      <c r="Q188" s="421"/>
      <c r="R188" s="30"/>
      <c r="S188" s="420"/>
      <c r="T188" s="421"/>
      <c r="U188" s="30"/>
      <c r="V188" s="11"/>
    </row>
    <row r="189" spans="2:24" x14ac:dyDescent="0.2">
      <c r="B189" s="466">
        <v>60</v>
      </c>
      <c r="C189" s="96" t="s">
        <v>180</v>
      </c>
      <c r="D189" s="100">
        <v>1</v>
      </c>
      <c r="E189" s="530" t="s">
        <v>451</v>
      </c>
      <c r="F189" s="201">
        <f>MAX(0,POWER(VLOOKUP('Quick Input'!M$21,Auswahlfelder!$D$16:$E$19,2,FALSE)-2,2)/10)</f>
        <v>0.1</v>
      </c>
      <c r="G189" s="430"/>
      <c r="H189" s="431"/>
      <c r="I189" s="201">
        <f>MAX(0,POWER(VLOOKUP('Quick Input'!P$21,Auswahlfelder!$D$16:$E$19,2,FALSE)-2,2)/10)</f>
        <v>0.1</v>
      </c>
      <c r="J189" s="430"/>
      <c r="K189" s="431"/>
      <c r="L189" s="201">
        <f>MAX(0,POWER(VLOOKUP('Quick Input'!S$21,Auswahlfelder!$D$16:$E$19,2,FALSE)-2,2)/10)</f>
        <v>0</v>
      </c>
      <c r="M189" s="430"/>
      <c r="N189" s="431"/>
      <c r="O189" s="201"/>
      <c r="P189" s="430"/>
      <c r="Q189" s="431"/>
      <c r="R189" s="201"/>
      <c r="S189" s="430"/>
      <c r="T189" s="431"/>
      <c r="U189" s="201"/>
      <c r="V189" s="11"/>
    </row>
    <row r="190" spans="2:24" x14ac:dyDescent="0.2">
      <c r="B190" s="466">
        <v>60</v>
      </c>
      <c r="C190" s="96" t="s">
        <v>490</v>
      </c>
      <c r="D190" s="100">
        <v>1</v>
      </c>
      <c r="E190" s="530" t="s">
        <v>451</v>
      </c>
      <c r="F190" s="201">
        <f>-55*VLOOKUP(F$19,DB_Länder,10,FALSE)</f>
        <v>0</v>
      </c>
      <c r="G190" s="430"/>
      <c r="H190" s="431"/>
      <c r="I190" s="201">
        <f>-55*VLOOKUP(I$19,DB_Länder,10,FALSE)</f>
        <v>0.27500000000000002</v>
      </c>
      <c r="J190" s="430"/>
      <c r="K190" s="431"/>
      <c r="L190" s="201">
        <f>-55*VLOOKUP(L$19,DB_Länder,10,FALSE)</f>
        <v>0</v>
      </c>
      <c r="M190" s="430"/>
      <c r="N190" s="431"/>
      <c r="O190" s="201"/>
      <c r="P190" s="430"/>
      <c r="Q190" s="431"/>
      <c r="R190" s="201"/>
      <c r="S190" s="430"/>
      <c r="T190" s="431"/>
      <c r="U190" s="201"/>
      <c r="V190" s="11"/>
    </row>
    <row r="191" spans="2:24" ht="15" thickBot="1" x14ac:dyDescent="0.25">
      <c r="B191" s="466">
        <v>60</v>
      </c>
      <c r="C191" s="96" t="s">
        <v>177</v>
      </c>
      <c r="D191" s="733">
        <v>0.3</v>
      </c>
      <c r="E191" s="530" t="s">
        <v>451</v>
      </c>
      <c r="F191" s="457">
        <f>SQRT('Quick Input'!M$20/2000)*$D$191</f>
        <v>0.81649658092772603</v>
      </c>
      <c r="G191" s="420"/>
      <c r="H191" s="421"/>
      <c r="I191" s="457">
        <f>SQRT('Quick Input'!P$20/2000)*$D$191</f>
        <v>0.28835491804079716</v>
      </c>
      <c r="J191" s="420"/>
      <c r="K191" s="421"/>
      <c r="L191" s="457">
        <f>SQRT('Quick Input'!S$20/2000)*$D$191</f>
        <v>0.28835491804079716</v>
      </c>
      <c r="M191" s="420"/>
      <c r="N191" s="421"/>
      <c r="O191" s="457"/>
      <c r="P191" s="420"/>
      <c r="Q191" s="421"/>
      <c r="R191" s="457"/>
      <c r="S191" s="420"/>
      <c r="T191" s="421"/>
      <c r="U191" s="457"/>
      <c r="V191" s="11"/>
    </row>
    <row r="192" spans="2:24" ht="15.75" thickBot="1" x14ac:dyDescent="0.3">
      <c r="B192" s="17">
        <v>39</v>
      </c>
      <c r="C192" s="95" t="s">
        <v>573</v>
      </c>
      <c r="D192" s="102"/>
      <c r="E192" s="529"/>
      <c r="F192" s="604">
        <f>IFERROR(IF(OR(Refkalkulation!H$97=0,F$273=0),F$273,Refkalkulation!H$97),0)</f>
        <v>0.41742621527777779</v>
      </c>
      <c r="G192" s="435"/>
      <c r="H192" s="419"/>
      <c r="I192" s="604">
        <f>IFERROR(IF(OR(Refkalkulation!K$97=0,I$273=0),I$273,Refkalkulation!K$97),0)</f>
        <v>0.30864583333333334</v>
      </c>
      <c r="J192" s="435"/>
      <c r="K192" s="419"/>
      <c r="L192" s="604">
        <f>IFERROR(IF(OR(Refkalkulation!N$97=0,L$273=0),L$273,Refkalkulation!N$97),0)</f>
        <v>0.33394097222222224</v>
      </c>
      <c r="M192" s="435"/>
      <c r="N192" s="419"/>
      <c r="O192" s="604"/>
      <c r="P192" s="435"/>
      <c r="Q192" s="419"/>
      <c r="R192" s="604"/>
      <c r="S192" s="435"/>
      <c r="T192" s="419"/>
      <c r="U192" s="604"/>
      <c r="V192" s="11"/>
      <c r="W192" s="718"/>
      <c r="X192" s="503"/>
    </row>
    <row r="193" spans="2:24" ht="15.75" thickBot="1" x14ac:dyDescent="0.3">
      <c r="B193" s="17">
        <v>39</v>
      </c>
      <c r="C193" s="95" t="s">
        <v>566</v>
      </c>
      <c r="D193" s="102"/>
      <c r="E193" s="529"/>
      <c r="F193" s="604">
        <f>IFERROR(IF(OR(Refkalkulation!H$101=0,F$276=0),F276,Refkalkulation!H$101),0)</f>
        <v>0.37082465277777776</v>
      </c>
      <c r="G193" s="435"/>
      <c r="H193" s="419"/>
      <c r="I193" s="604">
        <f>IFERROR(IF(OR(Refkalkulation!K$101=0,I$276=0),I276,Refkalkulation!K$101),0)</f>
        <v>0.34611111111111109</v>
      </c>
      <c r="J193" s="435"/>
      <c r="K193" s="419"/>
      <c r="L193" s="604">
        <f>IFERROR(IF(OR(Refkalkulation!N$101=0,L$276=0),L276,Refkalkulation!N$101),0)</f>
        <v>0.24721643518518516</v>
      </c>
      <c r="M193" s="435"/>
      <c r="N193" s="419"/>
      <c r="O193" s="604"/>
      <c r="P193" s="435"/>
      <c r="Q193" s="419"/>
      <c r="R193" s="604"/>
      <c r="S193" s="435"/>
      <c r="T193" s="419"/>
      <c r="U193" s="604"/>
      <c r="V193" s="11"/>
      <c r="W193" s="718"/>
      <c r="X193" s="503"/>
    </row>
    <row r="194" spans="2:24" ht="15" x14ac:dyDescent="0.25">
      <c r="B194" s="17">
        <v>39</v>
      </c>
      <c r="C194" s="95" t="s">
        <v>574</v>
      </c>
      <c r="D194" s="100"/>
      <c r="E194" s="6"/>
      <c r="F194" s="604">
        <f>IFERROR(IF(OR(Refkalkulation!H$104=0,F$195=0),ROUND(F195*(1+F196),2),Refkalkulation!H$104),0)</f>
        <v>1.8357928240740744</v>
      </c>
      <c r="G194" s="435"/>
      <c r="H194" s="419"/>
      <c r="I194" s="604">
        <f>IFERROR(IF(OR(Refkalkulation!K$104=0,I$195=0),ROUND(I195*(1+I196),2),Refkalkulation!K$104),0)</f>
        <v>1.7619212962962969</v>
      </c>
      <c r="J194" s="435"/>
      <c r="K194" s="419"/>
      <c r="L194" s="604">
        <f>IFERROR(IF(OR(Refkalkulation!N$104=0,L$195=0),ROUND(L195*(1+L196),2),Refkalkulation!N$104),0)</f>
        <v>1.1014756944444448</v>
      </c>
      <c r="M194" s="435"/>
      <c r="N194" s="419"/>
      <c r="O194" s="604"/>
      <c r="P194" s="435"/>
      <c r="Q194" s="419"/>
      <c r="R194" s="604"/>
      <c r="S194" s="435"/>
      <c r="T194" s="419"/>
      <c r="U194" s="604"/>
      <c r="V194" s="11"/>
      <c r="W194" s="718"/>
      <c r="X194" s="503"/>
    </row>
    <row r="195" spans="2:24" x14ac:dyDescent="0.2">
      <c r="B195" s="17">
        <v>39</v>
      </c>
      <c r="C195" s="96" t="s">
        <v>575</v>
      </c>
      <c r="D195" s="100" t="s">
        <v>94</v>
      </c>
      <c r="E195" s="532" t="s">
        <v>526</v>
      </c>
      <c r="F195" s="455">
        <f>IF('Quick Input'!M31=Auswahlfelder!$D$22,0,'Länder-DB'!$I$43*(0.7+0.3*VLOOKUP(F$19,DB_Länder,5,FALSE)/'Länder-DB'!$E$2))</f>
        <v>9</v>
      </c>
      <c r="G195" s="10"/>
      <c r="H195" s="10"/>
      <c r="I195" s="455">
        <f>IF('Quick Input'!P31=Auswahlfelder!$D$22,0,'Länder-DB'!$I$43*(0.7+0.3*VLOOKUP(I$19,DB_Länder,5,FALSE)/'Länder-DB'!$E$2))</f>
        <v>7.1398593200468934</v>
      </c>
      <c r="J195" s="10"/>
      <c r="K195" s="10"/>
      <c r="L195" s="455">
        <f>IF('Quick Input'!S31=Auswahlfelder!$D$22,0,'Länder-DB'!$I$43*(0.7+0.3*VLOOKUP(L$19,DB_Länder,5,FALSE)/'Länder-DB'!$E$2))</f>
        <v>9</v>
      </c>
      <c r="M195" s="10"/>
      <c r="N195" s="10"/>
      <c r="O195" s="455"/>
      <c r="P195" s="10"/>
      <c r="Q195" s="10"/>
      <c r="R195" s="455"/>
      <c r="S195" s="10"/>
      <c r="T195" s="10"/>
      <c r="U195" s="455"/>
      <c r="V195" s="11"/>
    </row>
    <row r="196" spans="2:24" ht="15" thickBot="1" x14ac:dyDescent="0.25">
      <c r="B196" s="714">
        <v>39</v>
      </c>
      <c r="C196" s="97" t="s">
        <v>177</v>
      </c>
      <c r="D196" s="102"/>
      <c r="E196" s="533" t="s">
        <v>526</v>
      </c>
      <c r="F196" s="343">
        <f>SQRT(MAX(0,'Quick Input'!M$19-0.5))*35%</f>
        <v>2.1997158907458934</v>
      </c>
      <c r="G196" s="422"/>
      <c r="H196" s="423"/>
      <c r="I196" s="343">
        <f>SQRT(MAX(0,'Quick Input'!P$19-0.5))*35%</f>
        <v>0.74246212024587477</v>
      </c>
      <c r="J196" s="422"/>
      <c r="K196" s="423"/>
      <c r="L196" s="343">
        <f>SQRT(MAX(0,'Quick Input'!S$19-0.5))*35%</f>
        <v>0.74246212024587477</v>
      </c>
      <c r="M196" s="422"/>
      <c r="N196" s="423"/>
      <c r="O196" s="343"/>
      <c r="P196" s="422"/>
      <c r="Q196" s="423"/>
      <c r="R196" s="343"/>
      <c r="S196" s="422"/>
      <c r="T196" s="423"/>
      <c r="U196" s="343"/>
      <c r="V196" s="126"/>
    </row>
    <row r="197" spans="2:24" ht="15" x14ac:dyDescent="0.25">
      <c r="B197" s="466">
        <v>13</v>
      </c>
      <c r="C197" s="95" t="s">
        <v>323</v>
      </c>
      <c r="D197" s="100"/>
      <c r="E197" s="529"/>
      <c r="F197" s="898">
        <f>IF(OR(Refkalkulation!H$86=0,F198=1),ROUND(IF(F$198&gt;2,F$199*F$200+F$201/60*F$20/F203/'Quick Input'!M$19+F$202,0),3),Refkalkulation!H$86)</f>
        <v>0.7</v>
      </c>
      <c r="G197" s="435"/>
      <c r="H197" s="419"/>
      <c r="I197" s="898">
        <f>IF(OR(Refkalkulation!K$86=0,I198=1),ROUND(IF(I$198&gt;2,I$199*I$200+I$201/60*I$20/I203/'Quick Input'!P$19+I$202,0),3),Refkalkulation!K$86)</f>
        <v>0.4</v>
      </c>
      <c r="J197" s="435"/>
      <c r="K197" s="419"/>
      <c r="L197" s="898">
        <f>IF(OR(Refkalkulation!N$86=0,L198=1),ROUND(IF(L$198&gt;2,L$199*L$200+L$201/60*L$20/L203/'Quick Input'!S$19+L$202,0),3),Refkalkulation!N$86)</f>
        <v>0.5</v>
      </c>
      <c r="M197" s="435"/>
      <c r="N197" s="419"/>
      <c r="O197" s="898"/>
      <c r="P197" s="435"/>
      <c r="Q197" s="419"/>
      <c r="R197" s="898"/>
      <c r="S197" s="435"/>
      <c r="T197" s="419"/>
      <c r="U197" s="898"/>
      <c r="V197" s="8"/>
      <c r="W197" s="718"/>
      <c r="X197" s="503"/>
    </row>
    <row r="198" spans="2:24" x14ac:dyDescent="0.2">
      <c r="B198" s="466">
        <f t="shared" ref="B198:B203" si="0">B197</f>
        <v>13</v>
      </c>
      <c r="C198" s="96" t="s">
        <v>322</v>
      </c>
      <c r="D198" s="100"/>
      <c r="E198" s="530" t="s">
        <v>451</v>
      </c>
      <c r="F198" s="30">
        <f>VLOOKUP('Quick Input'!M$33,Auswahlfelder!$D$41:$E$46,2,FALSE)</f>
        <v>6</v>
      </c>
      <c r="G198" s="420"/>
      <c r="H198" s="421"/>
      <c r="I198" s="30">
        <f>VLOOKUP('Quick Input'!P$33,Auswahlfelder!$D$41:$E$46,2,FALSE)</f>
        <v>3</v>
      </c>
      <c r="J198" s="420"/>
      <c r="K198" s="421"/>
      <c r="L198" s="30">
        <f>VLOOKUP('Quick Input'!S$33,Auswahlfelder!$D$41:$E$46,2,FALSE)</f>
        <v>2</v>
      </c>
      <c r="M198" s="420"/>
      <c r="N198" s="421"/>
      <c r="O198" s="30"/>
      <c r="P198" s="420"/>
      <c r="Q198" s="421"/>
      <c r="R198" s="30"/>
      <c r="S198" s="420"/>
      <c r="T198" s="421"/>
      <c r="U198" s="30"/>
      <c r="V198" s="11"/>
    </row>
    <row r="199" spans="2:24" x14ac:dyDescent="0.2">
      <c r="B199" s="466">
        <f t="shared" si="0"/>
        <v>13</v>
      </c>
      <c r="C199" s="96" t="s">
        <v>523</v>
      </c>
      <c r="D199" s="100"/>
      <c r="E199" s="530" t="s">
        <v>451</v>
      </c>
      <c r="F199" s="462">
        <f>(3.7+10/60*F$21)/$D$203</f>
        <v>2.4581297619047617E-2</v>
      </c>
      <c r="G199" s="463"/>
      <c r="H199" s="464"/>
      <c r="I199" s="462">
        <f>(3.7+10/60*I$21)/$D$203</f>
        <v>1.4121804285714286E-2</v>
      </c>
      <c r="J199" s="463"/>
      <c r="K199" s="464"/>
      <c r="L199" s="462">
        <f>(3.7+10/60*L$21)/$D$203</f>
        <v>2.4581297619047617E-2</v>
      </c>
      <c r="M199" s="463"/>
      <c r="N199" s="464"/>
      <c r="O199" s="462"/>
      <c r="P199" s="463"/>
      <c r="Q199" s="464"/>
      <c r="R199" s="462"/>
      <c r="S199" s="463"/>
      <c r="T199" s="464"/>
      <c r="U199" s="462"/>
      <c r="V199" s="11"/>
      <c r="X199" s="503"/>
    </row>
    <row r="200" spans="2:24" ht="15" x14ac:dyDescent="0.25">
      <c r="B200" s="466">
        <f t="shared" si="0"/>
        <v>13</v>
      </c>
      <c r="C200" s="96" t="s">
        <v>537</v>
      </c>
      <c r="D200" s="504">
        <v>3.4</v>
      </c>
      <c r="E200" s="530" t="s">
        <v>451</v>
      </c>
      <c r="F200" s="444">
        <f>IF(F198&gt;2,0.8+SQRT(F198-1)*($D$200+0.4*SQRT(F42/100)),0)</f>
        <v>8.9683165484485237</v>
      </c>
      <c r="G200" s="445"/>
      <c r="H200" s="446"/>
      <c r="I200" s="444">
        <f>IF(I198&gt;2,0.8+SQRT(I198-1)*($D$200+0.4*SQRT(I42/100)),0)</f>
        <v>5.7348172184752579</v>
      </c>
      <c r="J200" s="445"/>
      <c r="K200" s="446"/>
      <c r="L200" s="444">
        <f>IF(L198&gt;2,0.8+SQRT(L198-1)*($D$200+0.4*SQRT(L42/100)),0)</f>
        <v>0</v>
      </c>
      <c r="M200" s="445"/>
      <c r="N200" s="446"/>
      <c r="O200" s="444"/>
      <c r="P200" s="445"/>
      <c r="Q200" s="446"/>
      <c r="R200" s="444"/>
      <c r="S200" s="445"/>
      <c r="T200" s="446"/>
      <c r="U200" s="444"/>
      <c r="V200" s="11"/>
    </row>
    <row r="201" spans="2:24" ht="15" x14ac:dyDescent="0.25">
      <c r="B201" s="466">
        <f t="shared" si="0"/>
        <v>13</v>
      </c>
      <c r="C201" s="96" t="s">
        <v>827</v>
      </c>
      <c r="D201" s="504">
        <v>15</v>
      </c>
      <c r="E201" s="530" t="s">
        <v>451</v>
      </c>
      <c r="F201" s="444">
        <f>IF(F198&lt;3,0,$D$201+0.1*F203)</f>
        <v>15.8</v>
      </c>
      <c r="G201" s="894"/>
      <c r="H201" s="895"/>
      <c r="I201" s="444">
        <f>IF(I198&lt;3,0,$D$201+0.1*I203)</f>
        <v>22</v>
      </c>
      <c r="J201" s="894"/>
      <c r="K201" s="895"/>
      <c r="L201" s="444">
        <f t="shared" ref="L201" si="1">IF(L198&lt;3,0,$D$201+0.1*L203)</f>
        <v>0</v>
      </c>
      <c r="M201" s="894"/>
      <c r="N201" s="895"/>
      <c r="O201" s="444"/>
      <c r="P201" s="894"/>
      <c r="Q201" s="895"/>
      <c r="R201" s="444"/>
      <c r="S201" s="894"/>
      <c r="T201" s="895"/>
      <c r="U201" s="444"/>
      <c r="V201" s="11"/>
    </row>
    <row r="202" spans="2:24" x14ac:dyDescent="0.2">
      <c r="B202" s="466">
        <f t="shared" si="0"/>
        <v>13</v>
      </c>
      <c r="C202" s="96" t="s">
        <v>522</v>
      </c>
      <c r="D202" s="100"/>
      <c r="E202" s="530" t="s">
        <v>451</v>
      </c>
      <c r="F202" s="462">
        <f>IF(F$198&gt;2,F$168*0.00025*515*0.7,0)</f>
        <v>6.308750000000001E-3</v>
      </c>
      <c r="G202" s="445"/>
      <c r="H202" s="446"/>
      <c r="I202" s="462">
        <f>IF(I$198&gt;2,I$168*0.00025*515/0.6,0)</f>
        <v>1.2875000000000001E-2</v>
      </c>
      <c r="J202" s="445"/>
      <c r="K202" s="446"/>
      <c r="L202" s="462">
        <f>IF(L$198&gt;2,L$168*0.00025*515*0.7,0)</f>
        <v>0</v>
      </c>
      <c r="M202" s="445"/>
      <c r="N202" s="446"/>
      <c r="O202" s="462"/>
      <c r="P202" s="445"/>
      <c r="Q202" s="446"/>
      <c r="R202" s="462"/>
      <c r="S202" s="445"/>
      <c r="T202" s="446"/>
      <c r="U202" s="462"/>
      <c r="V202" s="11"/>
    </row>
    <row r="203" spans="2:24" ht="15.75" thickBot="1" x14ac:dyDescent="0.3">
      <c r="B203" s="466">
        <f t="shared" si="0"/>
        <v>13</v>
      </c>
      <c r="C203" s="97" t="s">
        <v>828</v>
      </c>
      <c r="D203" s="897">
        <v>350</v>
      </c>
      <c r="E203" s="531"/>
      <c r="F203" s="896">
        <f>ROUNDDOWN(MAX(1,$D$203/'Quick Input'!M$19),0)</f>
        <v>8</v>
      </c>
      <c r="G203" s="422"/>
      <c r="H203" s="423"/>
      <c r="I203" s="896">
        <f>ROUNDDOWN(MAX(1,$D$203/'Quick Input'!P$19),0)</f>
        <v>70</v>
      </c>
      <c r="J203" s="422"/>
      <c r="K203" s="423"/>
      <c r="L203" s="896">
        <f>ROUNDDOWN(MAX(1,$D$203/'Quick Input'!S$19),0)</f>
        <v>70</v>
      </c>
      <c r="M203" s="422"/>
      <c r="N203" s="423"/>
      <c r="O203" s="896"/>
      <c r="P203" s="422"/>
      <c r="Q203" s="423"/>
      <c r="R203" s="896"/>
      <c r="S203" s="422"/>
      <c r="T203" s="423"/>
      <c r="U203" s="896"/>
      <c r="V203" s="126"/>
    </row>
    <row r="204" spans="2:24" ht="15" x14ac:dyDescent="0.25">
      <c r="B204" s="466">
        <v>34</v>
      </c>
      <c r="C204" s="95" t="s">
        <v>421</v>
      </c>
      <c r="D204" s="100" t="s">
        <v>94</v>
      </c>
      <c r="E204" s="535" t="s">
        <v>452</v>
      </c>
      <c r="F204" s="345">
        <f>ROUND(IF('Quick Input'!M$34=Auswahlfelder!$D$60,0,F$205/60*F$22+F$207+F$208),2)</f>
        <v>0</v>
      </c>
      <c r="G204" s="435"/>
      <c r="H204" s="419"/>
      <c r="I204" s="345">
        <f>ROUND(IF('Quick Input'!P$34=Auswahlfelder!$D$60,0,I$205/60*I$22+I$207+I$208),2)</f>
        <v>0</v>
      </c>
      <c r="J204" s="435"/>
      <c r="K204" s="419"/>
      <c r="L204" s="345">
        <f>ROUND(IF('Quick Input'!S$34=Auswahlfelder!$D$60,0,L$205/60*L$22+L$207+L$208),2)</f>
        <v>0</v>
      </c>
      <c r="M204" s="435"/>
      <c r="N204" s="419"/>
      <c r="O204" s="345"/>
      <c r="P204" s="435"/>
      <c r="Q204" s="419"/>
      <c r="R204" s="345"/>
      <c r="S204" s="435"/>
      <c r="T204" s="419"/>
      <c r="U204" s="345"/>
      <c r="V204" s="8"/>
      <c r="X204" s="503"/>
    </row>
    <row r="205" spans="2:24" ht="15" x14ac:dyDescent="0.25">
      <c r="B205" s="466">
        <v>34</v>
      </c>
      <c r="C205" s="96" t="s">
        <v>538</v>
      </c>
      <c r="D205" s="504">
        <v>5</v>
      </c>
      <c r="E205" s="532"/>
      <c r="F205" s="628">
        <f>$D$205*(1+20%*(VLOOKUP('Quick Input'!M$21,Auswahlfelder!$D$16:$E$19,2,FALSE)-2))</f>
        <v>6</v>
      </c>
      <c r="G205" s="420"/>
      <c r="H205" s="421"/>
      <c r="I205" s="628">
        <f>$D$205*(1+20%*(VLOOKUP('Quick Input'!P$21,Auswahlfelder!$D$16:$E$19,2,FALSE)-2))</f>
        <v>6</v>
      </c>
      <c r="J205" s="420"/>
      <c r="K205" s="421"/>
      <c r="L205" s="628">
        <f>$D$205*(1+20%*(VLOOKUP('Quick Input'!S$21,Auswahlfelder!$D$16:$E$19,2,FALSE)-2))</f>
        <v>5</v>
      </c>
      <c r="M205" s="420"/>
      <c r="N205" s="421"/>
      <c r="O205" s="628"/>
      <c r="P205" s="420"/>
      <c r="Q205" s="421"/>
      <c r="R205" s="628"/>
      <c r="S205" s="420"/>
      <c r="T205" s="421"/>
      <c r="U205" s="628"/>
      <c r="V205" s="11"/>
    </row>
    <row r="206" spans="2:24" x14ac:dyDescent="0.2">
      <c r="B206" s="466">
        <v>34</v>
      </c>
      <c r="C206" s="96" t="s">
        <v>510</v>
      </c>
      <c r="D206" s="100" t="s">
        <v>94</v>
      </c>
      <c r="E206" s="532"/>
      <c r="F206" s="627">
        <f>IF(F204&gt;0,'Länder-DB'!$I$45,0)</f>
        <v>0</v>
      </c>
      <c r="G206" s="420"/>
      <c r="H206" s="421"/>
      <c r="I206" s="627">
        <f>IF(I204&gt;0,'Länder-DB'!$I$45,0)</f>
        <v>0</v>
      </c>
      <c r="J206" s="420"/>
      <c r="K206" s="421"/>
      <c r="L206" s="627">
        <f>IF(L204&gt;0,'Länder-DB'!$I$45,0)</f>
        <v>0</v>
      </c>
      <c r="M206" s="420"/>
      <c r="N206" s="421"/>
      <c r="O206" s="627"/>
      <c r="P206" s="420"/>
      <c r="Q206" s="421"/>
      <c r="R206" s="627"/>
      <c r="S206" s="420"/>
      <c r="T206" s="421"/>
      <c r="U206" s="627"/>
      <c r="V206" s="11"/>
      <c r="X206" s="503"/>
    </row>
    <row r="207" spans="2:24" x14ac:dyDescent="0.2">
      <c r="B207" s="466">
        <v>34</v>
      </c>
      <c r="C207" s="96" t="s">
        <v>489</v>
      </c>
      <c r="D207" s="100" t="s">
        <v>94</v>
      </c>
      <c r="E207" s="532"/>
      <c r="F207" s="344">
        <f>IF(AND('Quick Input'!M$33&lt;&gt;Auswahlfelder!$D$41,'Quick Input'!M$34=Auswahlfelder!$D$61),Refkalkulation!H$87,0)</f>
        <v>0</v>
      </c>
      <c r="G207" s="445"/>
      <c r="H207" s="446"/>
      <c r="I207" s="344">
        <f>IF(AND('Quick Input'!P$33&lt;&gt;Auswahlfelder!$D$41,'Quick Input'!P$34=Auswahlfelder!$D$61),Refkalkulation!K$87,0)</f>
        <v>0</v>
      </c>
      <c r="J207" s="445"/>
      <c r="K207" s="446"/>
      <c r="L207" s="344">
        <f>IF(AND('Quick Input'!S$33&lt;&gt;Auswahlfelder!$D$41,'Quick Input'!S$34=Auswahlfelder!$D$61),Refkalkulation!N$87,0)</f>
        <v>0</v>
      </c>
      <c r="M207" s="445"/>
      <c r="N207" s="446"/>
      <c r="O207" s="344"/>
      <c r="P207" s="445"/>
      <c r="Q207" s="446"/>
      <c r="R207" s="344"/>
      <c r="S207" s="445"/>
      <c r="T207" s="446"/>
      <c r="U207" s="344"/>
      <c r="V207" s="11"/>
    </row>
    <row r="208" spans="2:24" ht="15" thickBot="1" x14ac:dyDescent="0.25">
      <c r="B208" s="511">
        <v>34</v>
      </c>
      <c r="C208" s="97" t="s">
        <v>509</v>
      </c>
      <c r="D208" s="102" t="s">
        <v>94</v>
      </c>
      <c r="E208" s="533"/>
      <c r="F208" s="344">
        <f>Refkalkulation!H$91/3600*Refkalkulation!H$94</f>
        <v>3.726188333333333</v>
      </c>
      <c r="G208" s="422"/>
      <c r="H208" s="423"/>
      <c r="I208" s="344">
        <f>Refkalkulation!K$91/3600*Refkalkulation!K$94</f>
        <v>0.83400899999999978</v>
      </c>
      <c r="J208" s="422"/>
      <c r="K208" s="423"/>
      <c r="L208" s="344">
        <f>Refkalkulation!N$91/3600*Refkalkulation!N$94</f>
        <v>2.7946412499999997</v>
      </c>
      <c r="M208" s="422"/>
      <c r="N208" s="423"/>
      <c r="O208" s="344"/>
      <c r="P208" s="422"/>
      <c r="Q208" s="423"/>
      <c r="R208" s="344"/>
      <c r="S208" s="422"/>
      <c r="T208" s="423"/>
      <c r="U208" s="344"/>
      <c r="V208" s="126"/>
    </row>
    <row r="209" spans="2:24" ht="15" x14ac:dyDescent="0.25">
      <c r="B209" s="466">
        <v>38</v>
      </c>
      <c r="C209" s="95" t="s">
        <v>263</v>
      </c>
      <c r="D209" s="98"/>
      <c r="E209" s="529"/>
      <c r="F209" s="161">
        <f>(1+F211)*(VLOOKUP('Quick Input'!M32,Auswahlfelder!$D$31:$E$33,2,FALSE)-1)*40</f>
        <v>0</v>
      </c>
      <c r="G209" s="7"/>
      <c r="H209" s="7"/>
      <c r="I209" s="161">
        <f>(1+I211)*(VLOOKUP('Quick Input'!P32,Auswahlfelder!$D$31:$E$33,2,FALSE)-1)*40</f>
        <v>0</v>
      </c>
      <c r="J209" s="7"/>
      <c r="K209" s="7"/>
      <c r="L209" s="161">
        <f>(1+L211)*(VLOOKUP('Quick Input'!S32,Auswahlfelder!$D$31:$E$33,2,FALSE)-1)*40</f>
        <v>0</v>
      </c>
      <c r="M209" s="7"/>
      <c r="N209" s="7"/>
      <c r="O209" s="161"/>
      <c r="P209" s="7"/>
      <c r="Q209" s="7"/>
      <c r="R209" s="161"/>
      <c r="S209" s="7"/>
      <c r="T209" s="7"/>
      <c r="U209" s="161"/>
      <c r="V209" s="11"/>
    </row>
    <row r="210" spans="2:24" x14ac:dyDescent="0.2">
      <c r="B210" s="466">
        <v>38</v>
      </c>
      <c r="C210" s="96" t="s">
        <v>264</v>
      </c>
      <c r="D210" s="100"/>
      <c r="E210" s="532"/>
      <c r="F210" s="519" t="str">
        <f>'Quick Input'!M32</f>
        <v>ohne</v>
      </c>
      <c r="G210" s="103"/>
      <c r="H210" s="103"/>
      <c r="I210" s="519" t="str">
        <f>'Quick Input'!P32</f>
        <v>ohne</v>
      </c>
      <c r="J210" s="10"/>
      <c r="K210" s="10"/>
      <c r="L210" s="519" t="str">
        <f>'Quick Input'!S32</f>
        <v>ohne</v>
      </c>
      <c r="M210" s="10"/>
      <c r="N210" s="10"/>
      <c r="O210" s="519"/>
      <c r="P210" s="4"/>
      <c r="Q210" s="4"/>
      <c r="R210" s="519"/>
      <c r="S210" s="4"/>
      <c r="T210" s="4"/>
      <c r="U210" s="522"/>
      <c r="V210" s="5"/>
    </row>
    <row r="211" spans="2:24" ht="15" thickBot="1" x14ac:dyDescent="0.25">
      <c r="B211" s="466">
        <v>38</v>
      </c>
      <c r="C211" s="97" t="s">
        <v>265</v>
      </c>
      <c r="D211" s="102"/>
      <c r="E211" s="534"/>
      <c r="F211" s="343">
        <f>30*VLOOKUP(F$19,DB_Länder,10,FALSE)</f>
        <v>0</v>
      </c>
      <c r="G211" s="13"/>
      <c r="H211" s="13"/>
      <c r="I211" s="343">
        <f>30*VLOOKUP(I$19,DB_Länder,10,FALSE)</f>
        <v>-0.15</v>
      </c>
      <c r="J211" s="13"/>
      <c r="K211" s="13"/>
      <c r="L211" s="343">
        <f>30*VLOOKUP(L$19,DB_Länder,10,FALSE)</f>
        <v>0</v>
      </c>
      <c r="M211" s="13"/>
      <c r="N211" s="13"/>
      <c r="O211" s="343"/>
      <c r="P211" s="13"/>
      <c r="Q211" s="13"/>
      <c r="R211" s="343"/>
      <c r="S211" s="13"/>
      <c r="T211" s="13"/>
      <c r="U211" s="343"/>
      <c r="V211" s="11"/>
    </row>
    <row r="212" spans="2:24" ht="15" x14ac:dyDescent="0.25">
      <c r="B212" s="466">
        <v>37</v>
      </c>
      <c r="C212" s="95" t="s">
        <v>787</v>
      </c>
      <c r="D212" s="100"/>
      <c r="E212" s="529"/>
      <c r="F212" s="616">
        <f>IFERROR(IF(Refkalkulation!H$68=0,('Länder-DB'!$I$49/1.5+F213+F214+F215+F216)*IF(F204&gt;0,1-'Länder-DB'!$I$47,1),Refkalkulation!H$68),0)</f>
        <v>0</v>
      </c>
      <c r="G212" s="418"/>
      <c r="H212" s="419"/>
      <c r="I212" s="616">
        <f>IFERROR(IF(Refkalkulation!K$68=0,('Länder-DB'!$I$49/1.5+I213+I214+I215+I216)*IF(I204&gt;0,1-'Länder-DB'!$I$47,1),Refkalkulation!K$68),0)</f>
        <v>0</v>
      </c>
      <c r="J212" s="418"/>
      <c r="K212" s="419"/>
      <c r="L212" s="616">
        <f>IFERROR(IF(Refkalkulation!N$68=0,('Länder-DB'!$I$49/1.5+L213+L214+L215+L216)*IF(L204&gt;0,1-'Länder-DB'!$I$47,1),Refkalkulation!N$68),0)</f>
        <v>0</v>
      </c>
      <c r="M212" s="418"/>
      <c r="N212" s="419"/>
      <c r="O212" s="616"/>
      <c r="P212" s="418"/>
      <c r="Q212" s="419"/>
      <c r="R212" s="616"/>
      <c r="S212" s="418"/>
      <c r="T212" s="419"/>
      <c r="U212" s="616"/>
      <c r="V212" s="11"/>
      <c r="X212" s="503"/>
    </row>
    <row r="213" spans="2:24" x14ac:dyDescent="0.2">
      <c r="B213" s="466">
        <v>37</v>
      </c>
      <c r="C213" s="96" t="s">
        <v>123</v>
      </c>
      <c r="D213" s="100">
        <v>1</v>
      </c>
      <c r="E213" s="532"/>
      <c r="F213" s="153">
        <f>(VLOOKUP('Quick Input'!M$50,Auswahlfelder!$D$26:$E$28,2,FALSE)-2)*0.25%</f>
        <v>0</v>
      </c>
      <c r="G213" s="903"/>
      <c r="H213" s="904"/>
      <c r="I213" s="153">
        <f>(VLOOKUP('Quick Input'!P$50,Auswahlfelder!$D$26:$E$28,2,FALSE)-2)*0.25%</f>
        <v>0</v>
      </c>
      <c r="J213" s="903"/>
      <c r="K213" s="904"/>
      <c r="L213" s="153">
        <f>(VLOOKUP('Quick Input'!S$50,Auswahlfelder!$D$26:$E$28,2,FALSE)-2)*0.25%</f>
        <v>0</v>
      </c>
      <c r="M213" s="903"/>
      <c r="N213" s="904"/>
      <c r="O213" s="153"/>
      <c r="P213" s="903"/>
      <c r="Q213" s="904"/>
      <c r="R213" s="153"/>
      <c r="S213" s="903"/>
      <c r="T213" s="904"/>
      <c r="U213" s="153"/>
      <c r="V213" s="11"/>
    </row>
    <row r="214" spans="2:24" x14ac:dyDescent="0.2">
      <c r="B214" s="466">
        <v>37</v>
      </c>
      <c r="C214" s="96" t="s">
        <v>409</v>
      </c>
      <c r="D214" s="100">
        <v>1</v>
      </c>
      <c r="E214" s="532"/>
      <c r="F214" s="149">
        <f>(VLOOKUP('Quick Input'!M$21,Auswahlfelder!$D$16:$E$19,2,FALSE)-2)*0.2%</f>
        <v>2E-3</v>
      </c>
      <c r="G214" s="430"/>
      <c r="H214" s="431"/>
      <c r="I214" s="149">
        <f>(VLOOKUP('Quick Input'!P$21,Auswahlfelder!$D$16:$E$19,2,FALSE)-2)*0.2%</f>
        <v>2E-3</v>
      </c>
      <c r="J214" s="430"/>
      <c r="K214" s="431"/>
      <c r="L214" s="149">
        <f>(VLOOKUP('Quick Input'!S$21,Auswahlfelder!$D$16:$E$19,2,FALSE)-2)*0.2%</f>
        <v>0</v>
      </c>
      <c r="M214" s="430"/>
      <c r="N214" s="431"/>
      <c r="O214" s="149"/>
      <c r="P214" s="430"/>
      <c r="Q214" s="431"/>
      <c r="R214" s="149"/>
      <c r="S214" s="430"/>
      <c r="T214" s="431"/>
      <c r="U214" s="149"/>
      <c r="V214" s="11"/>
    </row>
    <row r="215" spans="2:24" x14ac:dyDescent="0.2">
      <c r="B215" s="466">
        <v>37</v>
      </c>
      <c r="C215" s="96" t="s">
        <v>411</v>
      </c>
      <c r="D215" s="100">
        <v>1</v>
      </c>
      <c r="E215" s="532"/>
      <c r="F215" s="149" t="e">
        <f>(VLOOKUP('Quick Input'!M$23,Auswahlfelder!$D$49:$E$51,2,FALSE)-1)*0.25%</f>
        <v>#N/A</v>
      </c>
      <c r="G215" s="420"/>
      <c r="H215" s="421"/>
      <c r="I215" s="149" t="e">
        <f>(VLOOKUP('Quick Input'!P$23,Auswahlfelder!$D$49:$E$51,2,FALSE)-1)*0.25%</f>
        <v>#N/A</v>
      </c>
      <c r="J215" s="420"/>
      <c r="K215" s="421"/>
      <c r="L215" s="149" t="e">
        <f>(VLOOKUP('Quick Input'!S$23,Auswahlfelder!$D$49:$E$51,2,FALSE)-1)*0.25%</f>
        <v>#N/A</v>
      </c>
      <c r="M215" s="420"/>
      <c r="N215" s="421"/>
      <c r="O215" s="149"/>
      <c r="P215" s="420"/>
      <c r="Q215" s="421"/>
      <c r="R215" s="149"/>
      <c r="S215" s="420"/>
      <c r="T215" s="421"/>
      <c r="U215" s="149"/>
      <c r="V215" s="11"/>
    </row>
    <row r="216" spans="2:24" ht="15" thickBot="1" x14ac:dyDescent="0.25">
      <c r="B216" s="466">
        <v>37</v>
      </c>
      <c r="C216" s="96" t="s">
        <v>348</v>
      </c>
      <c r="D216" s="102"/>
      <c r="E216" s="532"/>
      <c r="F216" s="149">
        <f>MIN(1.5%,6/F107*1.5%)</f>
        <v>8.9999999999999998E-4</v>
      </c>
      <c r="G216" s="420"/>
      <c r="H216" s="421"/>
      <c r="I216" s="149">
        <f>MIN(1.5%,6/I107*1.5%)</f>
        <v>8.9999999999999998E-4</v>
      </c>
      <c r="J216" s="420"/>
      <c r="K216" s="421"/>
      <c r="L216" s="149">
        <f>MIN(1.5%,6/L107*1.5%)</f>
        <v>8.9999999999999998E-4</v>
      </c>
      <c r="M216" s="420"/>
      <c r="N216" s="421"/>
      <c r="O216" s="149"/>
      <c r="P216" s="420"/>
      <c r="Q216" s="421"/>
      <c r="R216" s="149"/>
      <c r="S216" s="420"/>
      <c r="T216" s="421"/>
      <c r="U216" s="149"/>
      <c r="V216" s="11"/>
    </row>
    <row r="217" spans="2:24" ht="15" x14ac:dyDescent="0.25">
      <c r="B217" s="466">
        <v>37</v>
      </c>
      <c r="C217" s="95" t="s">
        <v>788</v>
      </c>
      <c r="D217" s="100" t="s">
        <v>94</v>
      </c>
      <c r="E217" s="535" t="s">
        <v>452</v>
      </c>
      <c r="F217" s="880">
        <f>IFERROR(IF(Refkalkulation!H$88=0,F218+F219+F220,Refkalkulation!H$88),0)</f>
        <v>0.02</v>
      </c>
      <c r="G217" s="881"/>
      <c r="H217" s="882"/>
      <c r="I217" s="880">
        <f>IFERROR(IF(Refkalkulation!K$88=0,I218+I219+I220,Refkalkulation!K$88),0)</f>
        <v>0.02</v>
      </c>
      <c r="J217" s="881"/>
      <c r="K217" s="882"/>
      <c r="L217" s="880">
        <f>IFERROR(IF(Refkalkulation!N$88=0,L218+L219+L220,Refkalkulation!N$88),0)</f>
        <v>0.02</v>
      </c>
      <c r="M217" s="881"/>
      <c r="N217" s="882"/>
      <c r="O217" s="880"/>
      <c r="P217" s="881"/>
      <c r="Q217" s="882"/>
      <c r="R217" s="880"/>
      <c r="S217" s="881"/>
      <c r="T217" s="882"/>
      <c r="U217" s="880"/>
      <c r="V217" s="11"/>
      <c r="X217" s="503"/>
    </row>
    <row r="218" spans="2:24" x14ac:dyDescent="0.2">
      <c r="B218" s="466">
        <v>37</v>
      </c>
      <c r="C218" s="96" t="s">
        <v>409</v>
      </c>
      <c r="D218" s="100" t="s">
        <v>386</v>
      </c>
      <c r="E218" s="530" t="s">
        <v>526</v>
      </c>
      <c r="F218" s="149">
        <f>0.5%+(VLOOKUP('Quick Input'!M$21,Auswahlfelder!$D$16:$E$19,2,FALSE)-2)*0.25%</f>
        <v>7.4999999999999997E-3</v>
      </c>
      <c r="G218" s="420"/>
      <c r="H218" s="421"/>
      <c r="I218" s="149">
        <f>0.5%+(VLOOKUP('Quick Input'!P$21,Auswahlfelder!$D$16:$E$19,2,FALSE)-2)*0.25%</f>
        <v>7.4999999999999997E-3</v>
      </c>
      <c r="J218" s="420"/>
      <c r="K218" s="421"/>
      <c r="L218" s="149">
        <f>0.5%+(VLOOKUP('Quick Input'!S$21,Auswahlfelder!$D$16:$E$19,2,FALSE)-2)*0.25%</f>
        <v>5.0000000000000001E-3</v>
      </c>
      <c r="M218" s="420"/>
      <c r="N218" s="421"/>
      <c r="O218" s="149"/>
      <c r="P218" s="420"/>
      <c r="Q218" s="421"/>
      <c r="R218" s="149"/>
      <c r="S218" s="420"/>
      <c r="T218" s="421"/>
      <c r="U218" s="149"/>
      <c r="V218" s="11"/>
    </row>
    <row r="219" spans="2:24" x14ac:dyDescent="0.2">
      <c r="B219" s="466">
        <v>37</v>
      </c>
      <c r="C219" s="96" t="s">
        <v>847</v>
      </c>
      <c r="D219" s="100" t="s">
        <v>386</v>
      </c>
      <c r="E219" s="530" t="s">
        <v>526</v>
      </c>
      <c r="F219" s="149">
        <f>IF('Quick Input'!M$26="ja",0.3%,0)+IF('Quick Input'!M$27="ja",0.1%,0)+IF('Quick Input'!M$28="ja",0.6%,0)</f>
        <v>4.0000000000000001E-3</v>
      </c>
      <c r="G219" s="420"/>
      <c r="H219" s="421"/>
      <c r="I219" s="149">
        <f>IF('Quick Input'!P$26="ja",0.3%,0)+IF('Quick Input'!P$27="ja",0.1%,0)+IF('Quick Input'!P$28="ja",0.6%,0)</f>
        <v>4.0000000000000001E-3</v>
      </c>
      <c r="J219" s="420"/>
      <c r="K219" s="421"/>
      <c r="L219" s="149">
        <f>IF('Quick Input'!S$26="ja",0.3%,0)+IF('Quick Input'!S$27="ja",0.1%,0)+IF('Quick Input'!S$28="ja",0.6%,0)</f>
        <v>4.0000000000000001E-3</v>
      </c>
      <c r="M219" s="420"/>
      <c r="N219" s="421"/>
      <c r="O219" s="149"/>
      <c r="P219" s="420"/>
      <c r="Q219" s="421"/>
      <c r="R219" s="149"/>
      <c r="S219" s="420"/>
      <c r="T219" s="421"/>
      <c r="U219" s="149"/>
      <c r="V219" s="11"/>
    </row>
    <row r="220" spans="2:24" ht="15" thickBot="1" x14ac:dyDescent="0.25">
      <c r="B220" s="466">
        <v>37</v>
      </c>
      <c r="C220" s="96" t="s">
        <v>348</v>
      </c>
      <c r="D220" s="100" t="s">
        <v>386</v>
      </c>
      <c r="E220" s="530" t="s">
        <v>526</v>
      </c>
      <c r="F220" s="149">
        <f>MIN(0.5%,3/F107*4%)</f>
        <v>1.1999999999999999E-3</v>
      </c>
      <c r="G220" s="420"/>
      <c r="H220" s="421"/>
      <c r="I220" s="149">
        <f>MIN(0.5%,3/I107*4%)</f>
        <v>1.1999999999999999E-3</v>
      </c>
      <c r="J220" s="420"/>
      <c r="K220" s="421"/>
      <c r="L220" s="149">
        <f>MIN(0.5%,3/L107*4%)</f>
        <v>1.1999999999999999E-3</v>
      </c>
      <c r="M220" s="420"/>
      <c r="N220" s="421"/>
      <c r="O220" s="149"/>
      <c r="P220" s="420"/>
      <c r="Q220" s="421"/>
      <c r="R220" s="149"/>
      <c r="S220" s="420"/>
      <c r="T220" s="421"/>
      <c r="U220" s="149"/>
      <c r="V220" s="11"/>
    </row>
    <row r="221" spans="2:24" ht="15.75" thickBot="1" x14ac:dyDescent="0.3">
      <c r="B221" s="466">
        <v>43</v>
      </c>
      <c r="C221" s="95" t="s">
        <v>789</v>
      </c>
      <c r="D221" s="98"/>
      <c r="E221" s="535" t="s">
        <v>452</v>
      </c>
      <c r="F221" s="616">
        <f>IF(Refkalkulation!H$119=0,'Länder-DB'!$I$33,Refkalkulation!H$119)</f>
        <v>0.12</v>
      </c>
      <c r="G221" s="7"/>
      <c r="H221" s="7"/>
      <c r="I221" s="616">
        <f>IF(Refkalkulation!K$119=0,'Länder-DB'!$I$33,Refkalkulation!K$119)</f>
        <v>0.12</v>
      </c>
      <c r="J221" s="7"/>
      <c r="K221" s="7"/>
      <c r="L221" s="616">
        <f>IF(Refkalkulation!N$119=0,'Länder-DB'!$I$33,Refkalkulation!N$119)</f>
        <v>0.12</v>
      </c>
      <c r="M221" s="7"/>
      <c r="N221" s="7"/>
      <c r="O221" s="616"/>
      <c r="P221" s="7"/>
      <c r="Q221" s="7"/>
      <c r="R221" s="616"/>
      <c r="S221" s="7"/>
      <c r="T221" s="7"/>
      <c r="U221" s="616"/>
      <c r="V221" s="11"/>
      <c r="X221" s="503"/>
    </row>
    <row r="222" spans="2:24" ht="15" x14ac:dyDescent="0.25">
      <c r="B222" s="510">
        <v>62</v>
      </c>
      <c r="C222" s="95" t="s">
        <v>514</v>
      </c>
      <c r="D222" s="98"/>
      <c r="E222" s="535" t="s">
        <v>452</v>
      </c>
      <c r="F222" s="208">
        <f>F$223*F$226/MIN(F$224,F$281/Refkalkulation!H$59)</f>
        <v>0</v>
      </c>
      <c r="G222" s="418"/>
      <c r="H222" s="419"/>
      <c r="I222" s="208">
        <f>I$223*I$226/MIN(I$224,I$281/Refkalkulation!K$59)</f>
        <v>0</v>
      </c>
      <c r="J222" s="418"/>
      <c r="K222" s="419"/>
      <c r="L222" s="208">
        <f>L$223*L$226/MIN(L$224,L$281/Refkalkulation!N$59)</f>
        <v>0</v>
      </c>
      <c r="M222" s="418"/>
      <c r="N222" s="419"/>
      <c r="O222" s="208"/>
      <c r="P222" s="418"/>
      <c r="Q222" s="419"/>
      <c r="R222" s="208"/>
      <c r="S222" s="418"/>
      <c r="T222" s="419"/>
      <c r="U222" s="208"/>
      <c r="V222" s="8"/>
      <c r="X222" s="503"/>
    </row>
    <row r="223" spans="2:24" x14ac:dyDescent="0.2">
      <c r="B223" s="466">
        <f>B222</f>
        <v>62</v>
      </c>
      <c r="C223" s="96" t="s">
        <v>584</v>
      </c>
      <c r="D223" s="100"/>
      <c r="E223" s="530" t="s">
        <v>451</v>
      </c>
      <c r="F223" s="210">
        <f>IFERROR(Refkalkulation!H$56*F$42,0)</f>
        <v>0</v>
      </c>
      <c r="G223" s="420"/>
      <c r="H223" s="421"/>
      <c r="I223" s="210">
        <f>IFERROR(Refkalkulation!K$56*I$42,0)</f>
        <v>0</v>
      </c>
      <c r="J223" s="420"/>
      <c r="K223" s="421"/>
      <c r="L223" s="210">
        <f>IFERROR(Refkalkulation!N$56*L$42,0)</f>
        <v>0</v>
      </c>
      <c r="M223" s="420"/>
      <c r="N223" s="421"/>
      <c r="O223" s="210"/>
      <c r="P223" s="420"/>
      <c r="Q223" s="421"/>
      <c r="R223" s="210"/>
      <c r="S223" s="420"/>
      <c r="T223" s="421"/>
      <c r="U223" s="210"/>
      <c r="V223" s="11"/>
      <c r="W223" s="479"/>
    </row>
    <row r="224" spans="2:24" ht="15" x14ac:dyDescent="0.25">
      <c r="B224" s="466">
        <f>B223</f>
        <v>62</v>
      </c>
      <c r="C224" s="96" t="s">
        <v>859</v>
      </c>
      <c r="D224" s="504">
        <v>8</v>
      </c>
      <c r="E224" s="530" t="s">
        <v>451</v>
      </c>
      <c r="F224" s="205">
        <f>'Länder-DB'!$M$51</f>
        <v>40</v>
      </c>
      <c r="G224" s="420"/>
      <c r="H224" s="421"/>
      <c r="I224" s="205">
        <f>'Länder-DB'!$M$51</f>
        <v>40</v>
      </c>
      <c r="J224" s="420"/>
      <c r="K224" s="421"/>
      <c r="L224" s="205">
        <f>'Länder-DB'!$M$51</f>
        <v>40</v>
      </c>
      <c r="M224" s="420"/>
      <c r="N224" s="421"/>
      <c r="O224" s="205"/>
      <c r="P224" s="420"/>
      <c r="Q224" s="421"/>
      <c r="R224" s="205"/>
      <c r="S224" s="420"/>
      <c r="T224" s="421"/>
      <c r="U224" s="205"/>
      <c r="V224" s="5"/>
    </row>
    <row r="225" spans="2:25" ht="15" x14ac:dyDescent="0.25">
      <c r="B225" s="466">
        <f>B224</f>
        <v>62</v>
      </c>
      <c r="C225" s="96" t="s">
        <v>583</v>
      </c>
      <c r="D225" s="504">
        <v>14</v>
      </c>
      <c r="E225" s="530" t="s">
        <v>582</v>
      </c>
      <c r="F225" s="729">
        <f>IF(F223=0,0,IFERROR(IF('Quick Input'!M22=Auswahlfelder!$D$38,$D$224,$D$225),0))</f>
        <v>0</v>
      </c>
      <c r="G225" s="420"/>
      <c r="H225" s="421"/>
      <c r="I225" s="729">
        <f>IF(I223=0,0,IFERROR(IF('Quick Input'!P22=Auswahlfelder!$D$38,$D$224,$D$225),0))</f>
        <v>0</v>
      </c>
      <c r="J225" s="420"/>
      <c r="K225" s="421"/>
      <c r="L225" s="729">
        <f>IF(L223=0,0,IFERROR(IF('Quick Input'!S22=Auswahlfelder!$D$38,$D$224,$D$225),0))</f>
        <v>0</v>
      </c>
      <c r="M225" s="420"/>
      <c r="N225" s="421"/>
      <c r="O225" s="729"/>
      <c r="P225" s="420"/>
      <c r="Q225" s="421"/>
      <c r="R225" s="729"/>
      <c r="S225" s="420"/>
      <c r="T225" s="421"/>
      <c r="U225" s="729"/>
      <c r="V225" s="5"/>
    </row>
    <row r="226" spans="2:25" ht="15" thickBot="1" x14ac:dyDescent="0.25">
      <c r="B226" s="511">
        <f>B224</f>
        <v>62</v>
      </c>
      <c r="C226" s="97" t="s">
        <v>515</v>
      </c>
      <c r="D226" s="102"/>
      <c r="E226" s="531" t="s">
        <v>451</v>
      </c>
      <c r="F226" s="644">
        <f>'Länder-DB'!$M$53*(1+18%*(VLOOKUP('Quick Input'!M$46,DB_Länder,5,FALSE)/'Länder-DB'!$E$2-1))</f>
        <v>3.08</v>
      </c>
      <c r="G226" s="422"/>
      <c r="H226" s="423"/>
      <c r="I226" s="644">
        <f>'Länder-DB'!$M$53*(1+18%*(VLOOKUP('Quick Input'!P$46,DB_Länder,5,FALSE)/'Länder-DB'!$E$2-1))</f>
        <v>2.6980511137162955</v>
      </c>
      <c r="J226" s="422"/>
      <c r="K226" s="423"/>
      <c r="L226" s="644">
        <f>'Länder-DB'!$M$53*(1+18%*(VLOOKUP('Quick Input'!S$46,DB_Länder,5,FALSE)/'Länder-DB'!$E$2-1))</f>
        <v>3.08</v>
      </c>
      <c r="M226" s="422"/>
      <c r="N226" s="423"/>
      <c r="O226" s="644"/>
      <c r="P226" s="422"/>
      <c r="Q226" s="423"/>
      <c r="R226" s="644"/>
      <c r="S226" s="422"/>
      <c r="T226" s="423"/>
      <c r="U226" s="644"/>
      <c r="V226" s="32"/>
    </row>
    <row r="227" spans="2:25" ht="15" x14ac:dyDescent="0.25">
      <c r="B227" s="17">
        <v>20</v>
      </c>
      <c r="C227" s="99" t="s">
        <v>762</v>
      </c>
      <c r="D227" s="100"/>
      <c r="E227" s="529" t="s">
        <v>452</v>
      </c>
      <c r="F227" s="851">
        <f>F229+F230+F231</f>
        <v>5.2999999999999999E-2</v>
      </c>
      <c r="G227" s="852"/>
      <c r="H227" s="852"/>
      <c r="I227" s="851">
        <f>I229+I230+I231</f>
        <v>0.1237</v>
      </c>
      <c r="J227" s="852"/>
      <c r="K227" s="852"/>
      <c r="L227" s="851">
        <f t="shared" ref="L227" si="2">L229+L230+L231</f>
        <v>5.2999999999999999E-2</v>
      </c>
      <c r="M227" s="852"/>
      <c r="N227" s="852"/>
      <c r="O227" s="851"/>
      <c r="P227" s="852"/>
      <c r="Q227" s="852"/>
      <c r="R227" s="851"/>
      <c r="S227" s="852"/>
      <c r="T227" s="852"/>
      <c r="U227" s="851"/>
      <c r="V227" s="11"/>
    </row>
    <row r="228" spans="2:25" x14ac:dyDescent="0.2">
      <c r="B228" s="466">
        <f>B227</f>
        <v>20</v>
      </c>
      <c r="C228" s="96" t="s">
        <v>760</v>
      </c>
      <c r="D228" s="100"/>
      <c r="E228" s="532" t="s">
        <v>526</v>
      </c>
      <c r="F228" s="455" t="str">
        <f>IFERROR(VLOOKUP(Refkalkulation!H29,Auswahlfelder!$D$71:$D$73,1,FALSE),VLOOKUP(Refkalkulation!H29,Auswahlfelder!$C$71:$D$73,2,FALSE))</f>
        <v>Gas</v>
      </c>
      <c r="G228" s="10"/>
      <c r="H228" s="10"/>
      <c r="I228" s="455" t="str">
        <f>IFERROR(VLOOKUP(Refkalkulation!K29,Auswahlfelder!$D$71:$D$73,1,FALSE),VLOOKUP(Refkalkulation!K29,Auswahlfelder!$C$71:$D$73,2,FALSE))</f>
        <v>Gas</v>
      </c>
      <c r="J228" s="10"/>
      <c r="K228" s="10"/>
      <c r="L228" s="455" t="str">
        <f>IFERROR(VLOOKUP(Refkalkulation!N29,Auswahlfelder!$D$71:$D$73,1,FALSE),VLOOKUP(Refkalkulation!N29,Auswahlfelder!$C$71:$D$73,2,FALSE))</f>
        <v>Gas</v>
      </c>
      <c r="M228" s="10"/>
      <c r="N228" s="10"/>
      <c r="O228" s="455"/>
      <c r="P228" s="10"/>
      <c r="Q228" s="10"/>
      <c r="R228" s="455"/>
      <c r="S228" s="10"/>
      <c r="T228" s="10"/>
      <c r="U228" s="455"/>
      <c r="V228" s="11"/>
    </row>
    <row r="229" spans="2:25" x14ac:dyDescent="0.2">
      <c r="B229" s="466">
        <f>B228</f>
        <v>20</v>
      </c>
      <c r="C229" s="96" t="s">
        <v>763</v>
      </c>
      <c r="D229" s="799"/>
      <c r="E229" s="532" t="s">
        <v>526</v>
      </c>
      <c r="F229" s="462">
        <f>IF(F$228=Auswahlfelder!$D71,VLOOKUP('Quick Input'!M$46,DB_Länder,9,FALSE),0)</f>
        <v>5.2999999999999999E-2</v>
      </c>
      <c r="G229" s="420"/>
      <c r="H229" s="421"/>
      <c r="I229" s="462">
        <f>IF(I$228=Auswahlfelder!$D71,VLOOKUP('Quick Input'!P$46,DB_Länder,9,FALSE),0)</f>
        <v>0.1237</v>
      </c>
      <c r="J229" s="420"/>
      <c r="K229" s="421"/>
      <c r="L229" s="462">
        <f>IF(L$228=Auswahlfelder!$D71,VLOOKUP('Quick Input'!S$46,DB_Länder,9,FALSE),0)</f>
        <v>5.2999999999999999E-2</v>
      </c>
      <c r="M229" s="420"/>
      <c r="N229" s="421"/>
      <c r="O229" s="462"/>
      <c r="P229" s="420"/>
      <c r="Q229" s="421"/>
      <c r="R229" s="462"/>
      <c r="S229" s="420"/>
      <c r="T229" s="421"/>
      <c r="U229" s="462"/>
      <c r="V229" s="11"/>
    </row>
    <row r="230" spans="2:25" x14ac:dyDescent="0.2">
      <c r="B230" s="466">
        <f>B229</f>
        <v>20</v>
      </c>
      <c r="C230" s="96" t="s">
        <v>764</v>
      </c>
      <c r="E230" s="532" t="s">
        <v>526</v>
      </c>
      <c r="F230" s="462">
        <f>IF(F$228=Auswahlfelder!$D72,VLOOKUP('Quick Input'!M$46,DB_Länder,7,FALSE),0)</f>
        <v>0</v>
      </c>
      <c r="G230" s="420"/>
      <c r="H230" s="421"/>
      <c r="I230" s="462">
        <f>IF(I$228=Auswahlfelder!$D72,VLOOKUP('Quick Input'!P$46,DB_Länder,7,FALSE),0)</f>
        <v>0</v>
      </c>
      <c r="J230" s="420"/>
      <c r="K230" s="421"/>
      <c r="L230" s="462">
        <f>IF(L$228=Auswahlfelder!$D72,VLOOKUP('Quick Input'!S$46,DB_Länder,7,FALSE),0)</f>
        <v>0</v>
      </c>
      <c r="M230" s="420"/>
      <c r="N230" s="421"/>
      <c r="O230" s="462"/>
      <c r="P230" s="420"/>
      <c r="Q230" s="421"/>
      <c r="R230" s="462"/>
      <c r="S230" s="420"/>
      <c r="T230" s="421"/>
      <c r="U230" s="462"/>
      <c r="V230" s="11"/>
    </row>
    <row r="231" spans="2:25" ht="15" x14ac:dyDescent="0.25">
      <c r="B231" s="466">
        <f>B230</f>
        <v>20</v>
      </c>
      <c r="C231" s="96" t="s">
        <v>768</v>
      </c>
      <c r="D231" s="656">
        <f>11.8*1000</f>
        <v>11800</v>
      </c>
      <c r="E231" s="532"/>
      <c r="F231" s="462">
        <f>IF(F$228=Auswahlfelder!$D73,F232/$D$231,0)</f>
        <v>0</v>
      </c>
      <c r="G231" s="420"/>
      <c r="H231" s="421"/>
      <c r="I231" s="462">
        <f>IF(I$228=Auswahlfelder!$D73,I232/$D$231,0)</f>
        <v>0</v>
      </c>
      <c r="J231" s="420"/>
      <c r="K231" s="421"/>
      <c r="L231" s="462">
        <f>IF(L$228=Auswahlfelder!$D73,L232/$D$231,0)</f>
        <v>0</v>
      </c>
      <c r="M231" s="420"/>
      <c r="N231" s="421"/>
      <c r="O231" s="462"/>
      <c r="P231" s="420"/>
      <c r="Q231" s="421"/>
      <c r="R231" s="462"/>
      <c r="S231" s="420"/>
      <c r="T231" s="421"/>
      <c r="U231" s="462"/>
      <c r="V231" s="11"/>
    </row>
    <row r="232" spans="2:25" ht="15" thickBot="1" x14ac:dyDescent="0.25">
      <c r="B232" s="511">
        <f>B231</f>
        <v>20</v>
      </c>
      <c r="C232" s="97" t="s">
        <v>769</v>
      </c>
      <c r="D232" s="870">
        <v>135</v>
      </c>
      <c r="E232" s="533" t="s">
        <v>526</v>
      </c>
      <c r="F232" s="458">
        <f>IFERROR(VLOOKUP("Heizöl",#REF!,4,FALSE),VLOOKUP("Heizöl",'Länder-DB'!$A$20:$B$51,2,FALSE))+$D$232</f>
        <v>568</v>
      </c>
      <c r="G232" s="422"/>
      <c r="H232" s="423"/>
      <c r="I232" s="458">
        <f>IFERROR(VLOOKUP("Heizöl",#REF!,4,FALSE),VLOOKUP("Heizöl",'Länder-DB'!$A$20:$B$51,2,FALSE))+$D$232</f>
        <v>568</v>
      </c>
      <c r="J232" s="422"/>
      <c r="K232" s="423"/>
      <c r="L232" s="458">
        <f>IFERROR(VLOOKUP("Heizöl",#REF!,4,FALSE),VLOOKUP("Heizöl",'Länder-DB'!$A$20:$B$51,2,FALSE))+$D$232</f>
        <v>568</v>
      </c>
      <c r="M232" s="422"/>
      <c r="N232" s="423"/>
      <c r="O232" s="458"/>
      <c r="P232" s="422"/>
      <c r="Q232" s="423"/>
      <c r="R232" s="458"/>
      <c r="S232" s="422"/>
      <c r="T232" s="423"/>
      <c r="U232" s="458"/>
      <c r="V232" s="126"/>
      <c r="X232" s="503"/>
    </row>
    <row r="233" spans="2:25" ht="15" x14ac:dyDescent="0.25">
      <c r="B233" s="1220">
        <v>53</v>
      </c>
      <c r="C233" s="95" t="s">
        <v>1043</v>
      </c>
      <c r="D233" s="100"/>
      <c r="E233" s="6"/>
      <c r="F233" s="161">
        <f>IF(F234,F235,0)</f>
        <v>1</v>
      </c>
      <c r="G233" s="435"/>
      <c r="H233" s="461"/>
      <c r="I233" s="161">
        <f>IF(I234,I235,0)</f>
        <v>1</v>
      </c>
      <c r="J233" s="435"/>
      <c r="K233" s="461"/>
      <c r="L233" s="161">
        <f>IF(L234,L235,0)</f>
        <v>0</v>
      </c>
      <c r="M233" s="435"/>
      <c r="N233" s="461"/>
      <c r="O233" s="161" t="e">
        <f>IF(O234,O235,0)</f>
        <v>#N/A</v>
      </c>
      <c r="P233" s="435"/>
      <c r="Q233" s="461"/>
      <c r="R233" s="161" t="e">
        <f>IF(R234,R235,0)</f>
        <v>#N/A</v>
      </c>
      <c r="S233" s="435"/>
      <c r="T233" s="461"/>
      <c r="U233" s="161" t="e">
        <f>IF(U234,U235,0)</f>
        <v>#N/A</v>
      </c>
      <c r="V233" s="8"/>
      <c r="W233" s="718"/>
      <c r="X233" s="718"/>
      <c r="Y233" s="718"/>
    </row>
    <row r="234" spans="2:25" x14ac:dyDescent="0.2">
      <c r="B234" s="1221">
        <f>B233</f>
        <v>53</v>
      </c>
      <c r="C234" s="96" t="s">
        <v>1044</v>
      </c>
      <c r="D234" s="100"/>
      <c r="E234" s="9"/>
      <c r="F234" s="1222">
        <f>IF(VLOOKUP(F54,Auswahlfelder!$D$36:$E$38,2,FALSE)=1,1,0)</f>
        <v>1</v>
      </c>
      <c r="G234" s="445"/>
      <c r="H234" s="446"/>
      <c r="I234" s="1222">
        <f>IF(VLOOKUP(I54,Auswahlfelder!$D$36:$E$38,2,FALSE)=1,1,0)</f>
        <v>1</v>
      </c>
      <c r="J234" s="445"/>
      <c r="K234" s="446"/>
      <c r="L234" s="1222">
        <f>IF(VLOOKUP(L54,Auswahlfelder!$D$36:$E$38,2,FALSE)=1,1,0)</f>
        <v>0</v>
      </c>
      <c r="M234" s="445"/>
      <c r="N234" s="446"/>
      <c r="O234" s="1222" t="e">
        <f>IF(VLOOKUP(O58,[3]Auswahlfelder!$D$36:$E$38,2,FALSE)=1,1,0)</f>
        <v>#N/A</v>
      </c>
      <c r="P234" s="445"/>
      <c r="Q234" s="446"/>
      <c r="R234" s="1222" t="e">
        <f>IF(VLOOKUP(R58,[3]Auswahlfelder!$D$36:$E$38,2,FALSE)=1,1,0)</f>
        <v>#N/A</v>
      </c>
      <c r="S234" s="445"/>
      <c r="T234" s="446"/>
      <c r="U234" s="1222" t="e">
        <f>IF(VLOOKUP(U58,[3]Auswahlfelder!$D$36:$E$38,2,FALSE)=1,1,0)</f>
        <v>#N/A</v>
      </c>
      <c r="V234" s="11"/>
      <c r="W234" s="718"/>
      <c r="X234" s="718"/>
      <c r="Y234" s="718"/>
    </row>
    <row r="235" spans="2:25" x14ac:dyDescent="0.2">
      <c r="B235" s="1221">
        <f>B234</f>
        <v>53</v>
      </c>
      <c r="C235" s="96" t="s">
        <v>1045</v>
      </c>
      <c r="D235" s="1227">
        <v>15</v>
      </c>
      <c r="E235" s="9"/>
      <c r="F235" s="1228">
        <f>IF('Quick Input'!M$17&gt;$D$235,1,0)</f>
        <v>1</v>
      </c>
      <c r="G235" s="445"/>
      <c r="H235" s="446"/>
      <c r="I235" s="1228">
        <f>IF('Quick Input'!M$17&gt;$D$235,1,0)</f>
        <v>1</v>
      </c>
      <c r="J235" s="445"/>
      <c r="K235" s="446"/>
      <c r="L235" s="1228">
        <f>IF('Quick Input'!M$17&gt;$D$235,1,0)</f>
        <v>1</v>
      </c>
      <c r="M235" s="445"/>
      <c r="N235" s="446"/>
      <c r="O235" s="1228">
        <f>IF('[3]Quick Input'!V$17&gt;$D$225,1,0)</f>
        <v>1</v>
      </c>
      <c r="P235" s="445"/>
      <c r="Q235" s="446"/>
      <c r="R235" s="1228">
        <f>IF('[3]Quick Input'!Y$17&gt;$D$225,1,0)</f>
        <v>1</v>
      </c>
      <c r="S235" s="445"/>
      <c r="T235" s="446"/>
      <c r="U235" s="1228">
        <f>IF('[3]Quick Input'!AB$17&gt;$D$225,1,0)</f>
        <v>1</v>
      </c>
      <c r="V235" s="11"/>
      <c r="W235" s="718"/>
      <c r="X235" s="718"/>
      <c r="Y235" s="718"/>
    </row>
    <row r="236" spans="2:25" ht="15" thickBot="1" x14ac:dyDescent="0.25">
      <c r="B236" s="1221">
        <f>B235</f>
        <v>53</v>
      </c>
      <c r="C236" s="97" t="s">
        <v>1046</v>
      </c>
      <c r="D236" s="102"/>
      <c r="E236" s="12"/>
      <c r="F236" s="1226">
        <f>5+SQRT(F29/2)</f>
        <v>10</v>
      </c>
      <c r="G236" s="422"/>
      <c r="H236" s="423"/>
      <c r="I236" s="1226">
        <f>5+SQRT(F29/2)</f>
        <v>10</v>
      </c>
      <c r="J236" s="422"/>
      <c r="K236" s="423"/>
      <c r="L236" s="1226">
        <f>5+SQRT(F29/2)</f>
        <v>10</v>
      </c>
      <c r="M236" s="422"/>
      <c r="N236" s="423"/>
      <c r="O236" s="1226" t="e">
        <f>5+SQRT(#REF!/2)</f>
        <v>#REF!</v>
      </c>
      <c r="P236" s="422"/>
      <c r="Q236" s="423"/>
      <c r="R236" s="1226" t="e">
        <f>5+SQRT(#REF!/2)</f>
        <v>#REF!</v>
      </c>
      <c r="S236" s="422"/>
      <c r="T236" s="423"/>
      <c r="U236" s="1226" t="e">
        <f>5+SQRT(#REF!/2)</f>
        <v>#REF!</v>
      </c>
      <c r="V236" s="126"/>
      <c r="W236" s="718"/>
      <c r="X236" s="718"/>
      <c r="Y236" s="718"/>
    </row>
    <row r="237" spans="2:25" ht="15" x14ac:dyDescent="0.25">
      <c r="B237" s="1220">
        <v>54</v>
      </c>
      <c r="C237" s="95" t="s">
        <v>1036</v>
      </c>
      <c r="D237" s="100"/>
      <c r="E237" s="6"/>
      <c r="F237" s="161">
        <f>IF(F238,IF(F239&gt;0,1,0),0)</f>
        <v>1</v>
      </c>
      <c r="G237" s="435"/>
      <c r="H237" s="461"/>
      <c r="I237" s="161">
        <f>IF(I238,IF(I239&gt;0,1,0),0)</f>
        <v>1</v>
      </c>
      <c r="J237" s="435"/>
      <c r="K237" s="461"/>
      <c r="L237" s="161">
        <f>IF(L238,IF(L239&gt;0,1,0),0)</f>
        <v>1</v>
      </c>
      <c r="M237" s="435"/>
      <c r="N237" s="461"/>
      <c r="O237" s="161">
        <f>IF(O238,IF(O239&gt;0,1,0),0)</f>
        <v>0</v>
      </c>
      <c r="P237" s="435"/>
      <c r="Q237" s="461"/>
      <c r="R237" s="161">
        <f>IF(R238,IF(R239&gt;0,1,0),0)</f>
        <v>0</v>
      </c>
      <c r="S237" s="435"/>
      <c r="T237" s="461"/>
      <c r="U237" s="161">
        <f>IF(U238,IF(U239&gt;0,1,0),0)</f>
        <v>0</v>
      </c>
      <c r="V237" s="8"/>
      <c r="W237" s="718"/>
      <c r="X237" s="718"/>
      <c r="Y237" s="718"/>
    </row>
    <row r="238" spans="2:25" x14ac:dyDescent="0.2">
      <c r="B238" s="1221">
        <f>B237</f>
        <v>54</v>
      </c>
      <c r="C238" s="96" t="s">
        <v>1037</v>
      </c>
      <c r="D238" s="100"/>
      <c r="E238" s="9"/>
      <c r="F238" s="1222">
        <f>IF(VLOOKUP(F54,Auswahlfelder!$D$36:$E$38,2,FALSE)=1,1,IF(VLOOKUP('Quick Input'!M$23,Auswahlfelder!$D$41:$E$47,2,FALSE)&gt;2,1,0))</f>
        <v>1</v>
      </c>
      <c r="G238" s="445"/>
      <c r="H238" s="446"/>
      <c r="I238" s="1222">
        <f>IF(VLOOKUP(I54,Auswahlfelder!$D$36:$E$38,2,FALSE)=1,1,IF(VLOOKUP('Quick Input'!P$23,Auswahlfelder!$D$41:$E$47,2,FALSE)&gt;2,1,0))</f>
        <v>1</v>
      </c>
      <c r="J238" s="445"/>
      <c r="K238" s="446"/>
      <c r="L238" s="1222">
        <f>IF(VLOOKUP(L54,Auswahlfelder!$D$36:$E$38,2,FALSE)=1,1,IF(VLOOKUP('Quick Input'!S$23,Auswahlfelder!$D$81:$E$87,2,FALSE)&gt;2,1,0))</f>
        <v>1</v>
      </c>
      <c r="M238" s="445"/>
      <c r="N238" s="446"/>
      <c r="O238" s="1222">
        <f>IF(VLOOKUP(O54,[3]Auswahlfelder!$D$36:$E$38,2,FALSE)=1,1,IF(VLOOKUP('[3]Quick Input'!V$23,[3]Auswahlfelder!$D$41:$E$47,2,FALSE)&gt;2,1,0))</f>
        <v>1</v>
      </c>
      <c r="P238" s="445"/>
      <c r="Q238" s="446"/>
      <c r="R238" s="1222">
        <f>IF(VLOOKUP(R54,[3]Auswahlfelder!$D$36:$E$38,2,FALSE)=1,1,IF(VLOOKUP('[3]Quick Input'!Y$23,[3]Auswahlfelder!$D$41:$E$47,2,FALSE)&gt;2,1,0))</f>
        <v>1</v>
      </c>
      <c r="S238" s="445"/>
      <c r="T238" s="446"/>
      <c r="U238" s="1222">
        <f>IF(VLOOKUP(U54,[3]Auswahlfelder!$D$36:$E$38,2,FALSE)=1,1,IF(VLOOKUP('[3]Quick Input'!AB$23,[3]Auswahlfelder!$D$41:$E$47,2,FALSE)&gt;2,1,0))</f>
        <v>1</v>
      </c>
      <c r="V238" s="11"/>
      <c r="W238" s="718"/>
      <c r="X238" s="718"/>
      <c r="Y238" s="718"/>
    </row>
    <row r="239" spans="2:25" x14ac:dyDescent="0.2">
      <c r="B239" s="1221">
        <f>B238</f>
        <v>54</v>
      </c>
      <c r="C239" s="96" t="s">
        <v>1038</v>
      </c>
      <c r="D239" s="100"/>
      <c r="E239" s="9"/>
      <c r="F239" s="1222">
        <f>VLOOKUP('Quick Input'!M$21,Auswahlfelder!$D$16:$E$19,2,FALSE)-1</f>
        <v>2</v>
      </c>
      <c r="G239" s="445"/>
      <c r="H239" s="446"/>
      <c r="I239" s="1222">
        <f>VLOOKUP('Quick Input'!P$21,Auswahlfelder!$D$16:$E$19,2,FALSE)-1</f>
        <v>2</v>
      </c>
      <c r="J239" s="445"/>
      <c r="K239" s="446"/>
      <c r="L239" s="1222">
        <f>VLOOKUP('Quick Input'!S$21,Auswahlfelder!$D$16:$E$19,2,FALSE)-1</f>
        <v>1</v>
      </c>
      <c r="M239" s="445"/>
      <c r="N239" s="446"/>
      <c r="O239" s="1222">
        <f>VLOOKUP('[3]Quick Input'!V$21,[3]Auswahlfelder!$D$16:$E$19,2,FALSE)-1</f>
        <v>0</v>
      </c>
      <c r="P239" s="445"/>
      <c r="Q239" s="446"/>
      <c r="R239" s="1222">
        <f>VLOOKUP('[3]Quick Input'!Y$21,[3]Auswahlfelder!$D$16:$E$19,2,FALSE)-1</f>
        <v>0</v>
      </c>
      <c r="S239" s="445"/>
      <c r="T239" s="446"/>
      <c r="U239" s="1222">
        <f>VLOOKUP('[3]Quick Input'!AB$21,[3]Auswahlfelder!$D$16:$E$19,2,FALSE)-1</f>
        <v>0</v>
      </c>
      <c r="V239" s="11"/>
      <c r="W239" s="718"/>
      <c r="X239" s="718"/>
      <c r="Y239" s="718"/>
    </row>
    <row r="240" spans="2:25" x14ac:dyDescent="0.2">
      <c r="B240" s="1221">
        <f>B239</f>
        <v>54</v>
      </c>
      <c r="C240" s="96" t="s">
        <v>1039</v>
      </c>
      <c r="D240" s="1223">
        <v>0.6</v>
      </c>
      <c r="E240" s="9"/>
      <c r="F240" s="1224">
        <f>ROUND(IF(F239&gt;1,(F239-0.5)/2,0),0)*$D240*F29</f>
        <v>30</v>
      </c>
      <c r="G240" s="445"/>
      <c r="H240" s="446"/>
      <c r="I240" s="1224">
        <f>ROUND(IF(I239&gt;1,(I239-0.5)/2,0),0)*$D240*I29</f>
        <v>30</v>
      </c>
      <c r="J240" s="445"/>
      <c r="K240" s="446"/>
      <c r="L240" s="1224">
        <f>ROUND(IF(L239&gt;1,(L239-0.5)/2,0),0)*$D240*L29</f>
        <v>0</v>
      </c>
      <c r="M240" s="445"/>
      <c r="N240" s="446"/>
      <c r="O240" s="1224">
        <f>ROUND(IF(O239&gt;1,(O239-0.5)/2,0),0)*$D240*O34</f>
        <v>0</v>
      </c>
      <c r="P240" s="445"/>
      <c r="Q240" s="446"/>
      <c r="R240" s="1224">
        <f>ROUND(IF(R239&gt;1,(R239-0.5)/2,0),0)*$D240*R34</f>
        <v>0</v>
      </c>
      <c r="S240" s="445"/>
      <c r="T240" s="446"/>
      <c r="U240" s="1224">
        <f>ROUND(IF(U239&gt;1,(U239-0.5)/2,0),0)*$D240*U34</f>
        <v>0</v>
      </c>
      <c r="V240" s="11"/>
      <c r="W240" s="718"/>
      <c r="X240" s="718"/>
      <c r="Y240" s="718"/>
    </row>
    <row r="241" spans="2:27" ht="15" thickBot="1" x14ac:dyDescent="0.25">
      <c r="B241" s="714">
        <v>54</v>
      </c>
      <c r="C241" s="97" t="s">
        <v>1040</v>
      </c>
      <c r="D241" s="1225">
        <v>0.75</v>
      </c>
      <c r="E241" s="12"/>
      <c r="F241" s="1226">
        <f>ROUND(IF(F239&gt;0,(F239+1)/2,0),0)*$D241*F30</f>
        <v>60</v>
      </c>
      <c r="G241" s="422"/>
      <c r="H241" s="423"/>
      <c r="I241" s="1226">
        <f>ROUND(IF(I239&gt;0,(I239+1)/2,0),0)*$D241*I30</f>
        <v>60</v>
      </c>
      <c r="J241" s="422"/>
      <c r="K241" s="423"/>
      <c r="L241" s="1226">
        <f>ROUND(IF(L239&gt;0,(L239+1)/2,0),0)*$D241*L30</f>
        <v>30</v>
      </c>
      <c r="M241" s="422"/>
      <c r="N241" s="423"/>
      <c r="O241" s="1226">
        <f>ROUND(IF(O239&gt;0,(O239+1)/2,0),0)*$D241*O35</f>
        <v>0</v>
      </c>
      <c r="P241" s="422"/>
      <c r="Q241" s="423"/>
      <c r="R241" s="1226">
        <f>ROUND(IF(R239&gt;0,(R239+1)/2,0),0)*$D241*R35</f>
        <v>0</v>
      </c>
      <c r="S241" s="422"/>
      <c r="T241" s="423"/>
      <c r="U241" s="1226">
        <f>ROUND(IF(U239&gt;0,(U239+1)/2,0),0)*$D241*U35</f>
        <v>0</v>
      </c>
      <c r="V241" s="126"/>
      <c r="W241" s="718"/>
      <c r="X241" s="718"/>
      <c r="Y241" s="718"/>
    </row>
    <row r="242" spans="2:27" ht="15" x14ac:dyDescent="0.25">
      <c r="B242" s="539">
        <v>20</v>
      </c>
      <c r="C242" s="95" t="s">
        <v>848</v>
      </c>
      <c r="D242" s="98"/>
      <c r="E242" s="535" t="s">
        <v>452</v>
      </c>
      <c r="F242" s="161">
        <f>VLOOKUP(F$118,DB_Ofen,7,FALSE)</f>
        <v>400</v>
      </c>
      <c r="G242" s="435"/>
      <c r="H242" s="419"/>
      <c r="I242" s="161">
        <f>VLOOKUP(I$118,DB_Ofen,7,FALSE)</f>
        <v>400</v>
      </c>
      <c r="J242" s="435"/>
      <c r="K242" s="419"/>
      <c r="L242" s="161">
        <f>VLOOKUP(L$118,DB_Ofen,7,FALSE)</f>
        <v>400</v>
      </c>
      <c r="M242" s="435"/>
      <c r="N242" s="419"/>
      <c r="O242" s="161"/>
      <c r="P242" s="435"/>
      <c r="Q242" s="419"/>
      <c r="R242" s="161"/>
      <c r="S242" s="435"/>
      <c r="T242" s="419"/>
      <c r="U242" s="161"/>
      <c r="V242" s="8"/>
      <c r="X242" s="503"/>
    </row>
    <row r="243" spans="2:27" x14ac:dyDescent="0.2">
      <c r="B243" s="538">
        <f>B242</f>
        <v>20</v>
      </c>
      <c r="C243" s="96" t="s">
        <v>849</v>
      </c>
      <c r="D243" s="100"/>
      <c r="E243" s="530" t="s">
        <v>452</v>
      </c>
      <c r="F243" s="587">
        <f>VLOOKUP(F$118+1,DB_Ofen,7,FALSE)</f>
        <v>2000</v>
      </c>
      <c r="G243" s="420"/>
      <c r="H243" s="421"/>
      <c r="I243" s="587">
        <f>VLOOKUP(I$118+1,DB_Ofen,7,FALSE)</f>
        <v>2000</v>
      </c>
      <c r="J243" s="420"/>
      <c r="K243" s="421"/>
      <c r="L243" s="587">
        <f>VLOOKUP(L$118+1,DB_Ofen,7,FALSE)</f>
        <v>2000</v>
      </c>
      <c r="M243" s="420"/>
      <c r="N243" s="421"/>
      <c r="O243" s="587"/>
      <c r="P243" s="420"/>
      <c r="Q243" s="421"/>
      <c r="R243" s="587"/>
      <c r="S243" s="420"/>
      <c r="T243" s="421"/>
      <c r="U243" s="587"/>
      <c r="V243" s="11"/>
    </row>
    <row r="244" spans="2:27" x14ac:dyDescent="0.2">
      <c r="B244" s="538">
        <f t="shared" ref="B244:B245" si="3">B243</f>
        <v>20</v>
      </c>
      <c r="C244" s="96" t="s">
        <v>850</v>
      </c>
      <c r="D244" s="100"/>
      <c r="E244" s="530" t="s">
        <v>452</v>
      </c>
      <c r="F244" s="587">
        <f>VLOOKUP(F$118+2,DB_Ofen,7,FALSE)</f>
        <v>3000</v>
      </c>
      <c r="G244" s="445"/>
      <c r="H244" s="446"/>
      <c r="I244" s="587">
        <f>VLOOKUP(I$118+2,DB_Ofen,7,FALSE)</f>
        <v>3000</v>
      </c>
      <c r="J244" s="445"/>
      <c r="K244" s="446"/>
      <c r="L244" s="587">
        <f>VLOOKUP(L$118+2,DB_Ofen,7,FALSE)</f>
        <v>3000</v>
      </c>
      <c r="M244" s="445"/>
      <c r="N244" s="446"/>
      <c r="O244" s="587"/>
      <c r="P244" s="445"/>
      <c r="Q244" s="446"/>
      <c r="R244" s="587"/>
      <c r="S244" s="445"/>
      <c r="T244" s="446"/>
      <c r="U244" s="587"/>
      <c r="V244" s="11"/>
    </row>
    <row r="245" spans="2:27" ht="15" thickBot="1" x14ac:dyDescent="0.25">
      <c r="B245" s="891">
        <f t="shared" si="3"/>
        <v>20</v>
      </c>
      <c r="C245" s="97" t="s">
        <v>851</v>
      </c>
      <c r="D245" s="102"/>
      <c r="E245" s="531" t="s">
        <v>452</v>
      </c>
      <c r="F245" s="977">
        <f>IFERROR(VLOOKUP(F$118+3,DB_Ofen,7,FALSE),"")</f>
        <v>5000</v>
      </c>
      <c r="G245" s="459"/>
      <c r="H245" s="460"/>
      <c r="I245" s="977">
        <f>IFERROR(VLOOKUP(I$118+3,DB_Ofen,7,FALSE),"")</f>
        <v>5000</v>
      </c>
      <c r="J245" s="459"/>
      <c r="K245" s="460"/>
      <c r="L245" s="977">
        <f>IFERROR(VLOOKUP(L$118+3,DB_Ofen,7,FALSE),"")</f>
        <v>5000</v>
      </c>
      <c r="M245" s="459"/>
      <c r="N245" s="460"/>
      <c r="O245" s="977"/>
      <c r="P245" s="459"/>
      <c r="Q245" s="460"/>
      <c r="R245" s="977"/>
      <c r="S245" s="459"/>
      <c r="T245" s="460"/>
      <c r="U245" s="977"/>
      <c r="V245" s="126"/>
    </row>
    <row r="246" spans="2:27" ht="15" x14ac:dyDescent="0.25">
      <c r="B246" s="466">
        <v>63</v>
      </c>
      <c r="C246" s="95" t="s">
        <v>655</v>
      </c>
      <c r="D246" s="100"/>
      <c r="E246" s="529" t="s">
        <v>452</v>
      </c>
      <c r="F246" s="345">
        <f>F247+F248/60*F21</f>
        <v>13.884145</v>
      </c>
      <c r="G246" s="435"/>
      <c r="H246" s="419"/>
      <c r="I246" s="345">
        <f>I247+I248/60*I21</f>
        <v>9.4911577999999999</v>
      </c>
      <c r="J246" s="435"/>
      <c r="K246" s="419"/>
      <c r="L246" s="345">
        <f>L247+L248/60*L21</f>
        <v>13.884145</v>
      </c>
      <c r="M246" s="435"/>
      <c r="N246" s="419"/>
      <c r="O246" s="345"/>
      <c r="P246" s="435"/>
      <c r="Q246" s="419"/>
      <c r="R246" s="345"/>
      <c r="S246" s="435"/>
      <c r="T246" s="419"/>
      <c r="U246" s="345"/>
      <c r="V246" s="8"/>
      <c r="W246" s="718"/>
      <c r="X246" s="503"/>
    </row>
    <row r="247" spans="2:27" x14ac:dyDescent="0.2">
      <c r="B247" s="466">
        <f t="shared" ref="B247:B250" si="4">B246</f>
        <v>63</v>
      </c>
      <c r="C247" s="96" t="s">
        <v>658</v>
      </c>
      <c r="D247" s="798"/>
      <c r="E247" s="530" t="s">
        <v>451</v>
      </c>
      <c r="F247" s="455">
        <f>'Länder-DB'!$M$41</f>
        <v>8</v>
      </c>
      <c r="G247" s="420"/>
      <c r="H247" s="421"/>
      <c r="I247" s="455">
        <f>'Länder-DB'!$M$41</f>
        <v>8</v>
      </c>
      <c r="J247" s="420"/>
      <c r="K247" s="421"/>
      <c r="L247" s="455">
        <f>'Länder-DB'!$M$41</f>
        <v>8</v>
      </c>
      <c r="M247" s="420"/>
      <c r="N247" s="421"/>
      <c r="O247" s="455"/>
      <c r="P247" s="420"/>
      <c r="Q247" s="421"/>
      <c r="R247" s="455"/>
      <c r="S247" s="420"/>
      <c r="T247" s="421"/>
      <c r="U247" s="455"/>
      <c r="V247" s="11"/>
    </row>
    <row r="248" spans="2:27" x14ac:dyDescent="0.2">
      <c r="B248" s="466">
        <f t="shared" si="4"/>
        <v>63</v>
      </c>
      <c r="C248" s="96" t="s">
        <v>657</v>
      </c>
      <c r="D248" s="799"/>
      <c r="E248" s="530" t="s">
        <v>451</v>
      </c>
      <c r="F248" s="444">
        <f>'Länder-DB'!$M$45</f>
        <v>12</v>
      </c>
      <c r="G248" s="420"/>
      <c r="H248" s="421"/>
      <c r="I248" s="444">
        <f>'Länder-DB'!$M$45</f>
        <v>12</v>
      </c>
      <c r="J248" s="420"/>
      <c r="K248" s="421"/>
      <c r="L248" s="444">
        <f>'Länder-DB'!$M$45</f>
        <v>12</v>
      </c>
      <c r="M248" s="420"/>
      <c r="N248" s="421"/>
      <c r="O248" s="444"/>
      <c r="P248" s="420"/>
      <c r="Q248" s="421"/>
      <c r="R248" s="444"/>
      <c r="S248" s="420"/>
      <c r="T248" s="421"/>
      <c r="U248" s="444"/>
      <c r="V248" s="11"/>
      <c r="X248" s="503"/>
    </row>
    <row r="249" spans="2:27" x14ac:dyDescent="0.2">
      <c r="B249" s="466">
        <f t="shared" si="4"/>
        <v>63</v>
      </c>
      <c r="C249" s="96" t="s">
        <v>656</v>
      </c>
      <c r="D249" s="799"/>
      <c r="E249" s="530" t="s">
        <v>452</v>
      </c>
      <c r="F249" s="444">
        <f>ROUND('Länder-DB'!$M$43*(1+F250),1)</f>
        <v>14.8</v>
      </c>
      <c r="G249" s="445"/>
      <c r="H249" s="446"/>
      <c r="I249" s="444">
        <f>ROUND('Länder-DB'!$M$43*(1+I250),1)</f>
        <v>25.4</v>
      </c>
      <c r="J249" s="445"/>
      <c r="K249" s="446"/>
      <c r="L249" s="444">
        <f>ROUND('Länder-DB'!$M$43*(1+L250),1)</f>
        <v>25.4</v>
      </c>
      <c r="M249" s="445"/>
      <c r="N249" s="446"/>
      <c r="O249" s="444"/>
      <c r="P249" s="445"/>
      <c r="Q249" s="446"/>
      <c r="R249" s="444"/>
      <c r="S249" s="445"/>
      <c r="T249" s="446"/>
      <c r="U249" s="444"/>
      <c r="V249" s="11"/>
    </row>
    <row r="250" spans="2:27" ht="15" thickBot="1" x14ac:dyDescent="0.25">
      <c r="B250" s="511">
        <f t="shared" si="4"/>
        <v>63</v>
      </c>
      <c r="C250" s="97" t="s">
        <v>660</v>
      </c>
      <c r="D250" s="102"/>
      <c r="E250" s="531" t="s">
        <v>582</v>
      </c>
      <c r="F250" s="800">
        <f>0.08*(-6+F23/4%+6%/VLOOKUP('Quick Input'!M$10,'Material-DB'!$A$4:$R$37,18,FALSE))</f>
        <v>-0.26233333333333336</v>
      </c>
      <c r="G250" s="459"/>
      <c r="H250" s="460"/>
      <c r="I250" s="800">
        <f>0.08*(-6+I23/4%+6%/VLOOKUP('Quick Input'!P$10,'Material-DB'!$A$4:$R$37,18,FALSE))</f>
        <v>0.27100000000000002</v>
      </c>
      <c r="J250" s="459"/>
      <c r="K250" s="460"/>
      <c r="L250" s="800">
        <f>0.08*(-6+L23/4%+6%/VLOOKUP('Quick Input'!S$10,'Material-DB'!$A$4:$R$37,18,FALSE))</f>
        <v>0.27100000000000002</v>
      </c>
      <c r="M250" s="459"/>
      <c r="N250" s="460"/>
      <c r="O250" s="800"/>
      <c r="P250" s="459"/>
      <c r="Q250" s="460"/>
      <c r="R250" s="800"/>
      <c r="S250" s="459"/>
      <c r="T250" s="460"/>
      <c r="U250" s="800"/>
      <c r="V250" s="126"/>
      <c r="AA250" s="503"/>
    </row>
    <row r="251" spans="2:27" ht="15" x14ac:dyDescent="0.25">
      <c r="B251" s="466" t="s">
        <v>69</v>
      </c>
      <c r="C251" s="95" t="s">
        <v>810</v>
      </c>
      <c r="D251" s="100"/>
      <c r="E251" s="535" t="s">
        <v>452</v>
      </c>
      <c r="F251" s="851">
        <f>IFERROR((F255/60*F258*2)/Refkalkulation!H$65,0)</f>
        <v>0</v>
      </c>
      <c r="G251" s="852"/>
      <c r="H251" s="852"/>
      <c r="I251" s="851">
        <f>IFERROR((I255/60*I258*2)/Refkalkulation!K$65,0)</f>
        <v>0</v>
      </c>
      <c r="J251" s="852"/>
      <c r="K251" s="852"/>
      <c r="L251" s="851">
        <f>IFERROR((L255/60*L258*2)/Refkalkulation!N$65,0)</f>
        <v>0</v>
      </c>
      <c r="M251" s="852"/>
      <c r="N251" s="852"/>
      <c r="O251" s="851"/>
      <c r="P251" s="852"/>
      <c r="Q251" s="852"/>
      <c r="R251" s="851"/>
      <c r="S251" s="852"/>
      <c r="T251" s="852"/>
      <c r="U251" s="851"/>
      <c r="V251" s="8"/>
      <c r="W251" s="718"/>
      <c r="X251" s="503"/>
    </row>
    <row r="252" spans="2:27" x14ac:dyDescent="0.2">
      <c r="B252" s="466" t="str">
        <f t="shared" ref="B252:B260" si="5">B251</f>
        <v>?</v>
      </c>
      <c r="C252" s="96" t="s">
        <v>815</v>
      </c>
      <c r="D252" s="100"/>
      <c r="E252" s="530" t="s">
        <v>451</v>
      </c>
      <c r="F252" s="444" t="str">
        <f>IF('Quick Input'!M$23=Auswahlfelder!$D$51,Auswahlfelder!$D$54,VLOOKUP('Quick Input'!M$25,Auswahlfelder!$D$54:$E$57,1,FALSE))</f>
        <v>BeachBox</v>
      </c>
      <c r="G252" s="445"/>
      <c r="H252" s="446"/>
      <c r="I252" s="444" t="str">
        <f>IF('Quick Input'!P$23=Auswahlfelder!$D$51,Auswahlfelder!$D$54,VLOOKUP('Quick Input'!P$25,Auswahlfelder!$D$54:$E$57,1,FALSE))</f>
        <v>Hot Box</v>
      </c>
      <c r="J252" s="445"/>
      <c r="K252" s="446"/>
      <c r="L252" s="444" t="str">
        <f>IF('Quick Input'!S$23=Auswahlfelder!$D$51,Auswahlfelder!$D$54,VLOOKUP('Quick Input'!S$25,Auswahlfelder!$D$54:$E$57,1,FALSE))</f>
        <v>Co2-Kerne</v>
      </c>
      <c r="M252" s="445"/>
      <c r="N252" s="446"/>
      <c r="O252" s="444"/>
      <c r="P252" s="445"/>
      <c r="Q252" s="446"/>
      <c r="R252" s="444"/>
      <c r="S252" s="445"/>
      <c r="T252" s="446"/>
      <c r="U252" s="444"/>
      <c r="V252" s="11"/>
    </row>
    <row r="253" spans="2:27" x14ac:dyDescent="0.2">
      <c r="B253" s="466" t="str">
        <f t="shared" si="5"/>
        <v>?</v>
      </c>
      <c r="C253" s="96" t="s">
        <v>816</v>
      </c>
      <c r="D253" s="100"/>
      <c r="E253" s="530" t="s">
        <v>451</v>
      </c>
      <c r="F253" s="887">
        <f>VLOOKUP(F252,Auswahlfelder!$D$54:$E$57,2,FALSE)</f>
        <v>4</v>
      </c>
      <c r="G253" s="445"/>
      <c r="H253" s="446"/>
      <c r="I253" s="887">
        <f>VLOOKUP(I252,Auswahlfelder!$D$54:$E$57,2,FALSE)</f>
        <v>2</v>
      </c>
      <c r="J253" s="445"/>
      <c r="K253" s="446"/>
      <c r="L253" s="887">
        <f>VLOOKUP(L252,Auswahlfelder!$D$54:$E$57,2,FALSE)</f>
        <v>3</v>
      </c>
      <c r="M253" s="445"/>
      <c r="N253" s="446"/>
      <c r="O253" s="887"/>
      <c r="P253" s="445"/>
      <c r="Q253" s="446"/>
      <c r="R253" s="887"/>
      <c r="S253" s="445"/>
      <c r="T253" s="446"/>
      <c r="U253" s="887"/>
      <c r="V253" s="11"/>
      <c r="Z253" s="1157"/>
    </row>
    <row r="254" spans="2:27" x14ac:dyDescent="0.2">
      <c r="B254" s="1128" t="str">
        <f t="shared" si="5"/>
        <v>?</v>
      </c>
      <c r="C254" s="96" t="s">
        <v>811</v>
      </c>
      <c r="D254" s="799"/>
      <c r="E254" s="530"/>
      <c r="F254" s="887">
        <f>IF(F253=1,IFERROR(VLOOKUP(Refkalkulation!H$65/2,'Maschinen-DB'!$K$47:$O$51,5,TRUE),1)+1,IFERROR(VLOOKUP(Refkalkulation!H$65/2,'Maschinen-DB'!$K$57:$O$59,5,TRUE),7))</f>
        <v>7</v>
      </c>
      <c r="G254" s="420"/>
      <c r="H254" s="421"/>
      <c r="I254" s="887">
        <f>IF(I253=1,IFERROR(VLOOKUP(Refkalkulation!K$65/2,'Maschinen-DB'!$K$47:$O$51,5,TRUE),1)+1,IFERROR(VLOOKUP(Refkalkulation!K$65/2,'Maschinen-DB'!$K$57:$O$59,5,TRUE),7))</f>
        <v>7</v>
      </c>
      <c r="J254" s="420"/>
      <c r="K254" s="421"/>
      <c r="L254" s="887">
        <f>IF(L253=1,IFERROR(VLOOKUP(Refkalkulation!N$65/2,'Maschinen-DB'!$K$47:$O$51,5,TRUE),1)+1,IFERROR(VLOOKUP(Refkalkulation!N$65/2,'Maschinen-DB'!$K$57:$O$59,5,TRUE),7))</f>
        <v>7</v>
      </c>
      <c r="M254" s="420"/>
      <c r="N254" s="421"/>
      <c r="O254" s="887"/>
      <c r="P254" s="420"/>
      <c r="Q254" s="421"/>
      <c r="R254" s="887"/>
      <c r="S254" s="420"/>
      <c r="T254" s="421"/>
      <c r="U254" s="887"/>
      <c r="V254" s="11"/>
      <c r="Y254" s="503"/>
      <c r="Z254" s="503"/>
    </row>
    <row r="255" spans="2:27" ht="15" x14ac:dyDescent="0.25">
      <c r="B255" s="1128" t="str">
        <f t="shared" si="5"/>
        <v>?</v>
      </c>
      <c r="C255" s="96" t="s">
        <v>813</v>
      </c>
      <c r="D255" s="656">
        <v>0</v>
      </c>
      <c r="E255" s="530" t="s">
        <v>451</v>
      </c>
      <c r="F255" s="1159" t="b">
        <f>IF(F253=1,VLOOKUP(F254,'Maschinen-DB'!$C$46:$N$51,7,FALSE)/60+IF(F253=3,$D$257,IF(F253=4,$D$258,0)),IF(F253=2,VLOOKUP(F254,'Maschinen-DB'!$C$57:$N$59,7,FALSE)/60+D255+IF(F253=3,$D$257,IF(F253=4,$D$258,0))))</f>
        <v>0</v>
      </c>
      <c r="G255" s="420"/>
      <c r="H255" s="421"/>
      <c r="I255" s="455">
        <f>VLOOKUP(I254,'Maschinen-DB'!$C$46:$N$59,7,FALSE)/60+IF(I253=2,$D$255,IF(I253=3,$D$257,IF(I253=4,$D$258,0)))</f>
        <v>1.3333333333333333</v>
      </c>
      <c r="J255" s="420"/>
      <c r="K255" s="421"/>
      <c r="L255" s="455">
        <f>VLOOKUP(L254,'Maschinen-DB'!$C$46:$N$59,7,FALSE)/60+IF(L253=2,$D$255,IF(L253=3,$D$257,IF(L253=4,$D$258,0)))</f>
        <v>2.833333333333333</v>
      </c>
      <c r="M255" s="420"/>
      <c r="N255" s="421"/>
      <c r="O255" s="455"/>
      <c r="P255" s="420"/>
      <c r="Q255" s="421"/>
      <c r="R255" s="455"/>
      <c r="S255" s="420"/>
      <c r="T255" s="421"/>
      <c r="U255" s="455"/>
      <c r="V255" s="11"/>
      <c r="Z255" s="503"/>
    </row>
    <row r="256" spans="2:27" ht="15" x14ac:dyDescent="0.25">
      <c r="B256" s="1128"/>
      <c r="C256" s="96" t="s">
        <v>945</v>
      </c>
      <c r="D256" s="656"/>
      <c r="E256" s="530"/>
      <c r="F256" s="455">
        <f>VLOOKUP(F254,'Maschinen-DB'!$C$46:$N$59,12,FALSE)</f>
        <v>300000</v>
      </c>
      <c r="G256" s="420"/>
      <c r="H256" s="421"/>
      <c r="I256" s="455">
        <f>VLOOKUP(I254,'Maschinen-DB'!$C$46:$N$59,12,FALSE)</f>
        <v>300000</v>
      </c>
      <c r="J256" s="420"/>
      <c r="K256" s="421"/>
      <c r="L256" s="455">
        <f>VLOOKUP(L254,'Maschinen-DB'!$C$46:$N$59,12,FALSE)</f>
        <v>300000</v>
      </c>
      <c r="M256" s="420"/>
      <c r="N256" s="421"/>
      <c r="O256" s="455"/>
      <c r="P256" s="420"/>
      <c r="Q256" s="421"/>
      <c r="R256" s="455"/>
      <c r="S256" s="420"/>
      <c r="T256" s="421"/>
      <c r="U256" s="455"/>
      <c r="V256" s="11"/>
      <c r="Y256" s="503"/>
      <c r="Z256" s="503"/>
    </row>
    <row r="257" spans="2:26" ht="15" x14ac:dyDescent="0.25">
      <c r="B257" s="1128" t="str">
        <f>B255</f>
        <v>?</v>
      </c>
      <c r="C257" s="96" t="s">
        <v>814</v>
      </c>
      <c r="D257" s="656">
        <v>1.5</v>
      </c>
      <c r="E257" s="530" t="s">
        <v>451</v>
      </c>
      <c r="F257" s="455">
        <f>(VLOOKUP(F254,'Maschinen-DB'!$C$46:$N$59,12,FALSE)/'Länder-DB'!$I$27+VLOOKUP(F254,'Maschinen-DB'!$C$46:$N$59,12,FALSE)*'Länder-DB'!$I$29)/F166</f>
        <v>23.588466183574877</v>
      </c>
      <c r="G257" s="420"/>
      <c r="H257" s="421"/>
      <c r="I257" s="455">
        <f>(VLOOKUP(I254,'Maschinen-DB'!$C$46:$N$59,12,FALSE)/'Länder-DB'!$I$27+VLOOKUP(I254,'Maschinen-DB'!$C$46:$N$59,12,FALSE)*'Länder-DB'!$I$29)/I166</f>
        <v>27.751136686558684</v>
      </c>
      <c r="J257" s="420"/>
      <c r="K257" s="421"/>
      <c r="L257" s="455">
        <f>(VLOOKUP(L254,'Maschinen-DB'!$C$46:$N$59,12,FALSE)/'Länder-DB'!$I$27+VLOOKUP(L254,'Maschinen-DB'!$C$46:$N$59,12,FALSE)*'Länder-DB'!$I$29)/L166</f>
        <v>37.741545893719803</v>
      </c>
      <c r="M257" s="420"/>
      <c r="N257" s="421"/>
      <c r="O257" s="455"/>
      <c r="P257" s="420"/>
      <c r="Q257" s="421"/>
      <c r="R257" s="455"/>
      <c r="S257" s="420"/>
      <c r="T257" s="421"/>
      <c r="U257" s="455"/>
      <c r="V257" s="11"/>
      <c r="X257" s="503"/>
    </row>
    <row r="258" spans="2:26" ht="15" x14ac:dyDescent="0.25">
      <c r="B258" s="466" t="str">
        <f t="shared" si="5"/>
        <v>?</v>
      </c>
      <c r="C258" s="96" t="s">
        <v>817</v>
      </c>
      <c r="D258" s="656">
        <v>1.1000000000000001</v>
      </c>
      <c r="E258" s="530" t="s">
        <v>451</v>
      </c>
      <c r="F258" s="344">
        <f>F257+F259*F21</f>
        <v>82.429916183574875</v>
      </c>
      <c r="G258" s="426"/>
      <c r="H258" s="427"/>
      <c r="I258" s="344">
        <f>I257+I259*I21</f>
        <v>42.662714686558679</v>
      </c>
      <c r="J258" s="426"/>
      <c r="K258" s="427"/>
      <c r="L258" s="344">
        <f>L257+L259*L21</f>
        <v>96.582995893719797</v>
      </c>
      <c r="M258" s="426"/>
      <c r="N258" s="427"/>
      <c r="O258" s="344"/>
      <c r="P258" s="426"/>
      <c r="Q258" s="427"/>
      <c r="R258" s="344"/>
      <c r="S258" s="426"/>
      <c r="T258" s="427"/>
      <c r="U258" s="344"/>
      <c r="V258" s="11"/>
      <c r="Z258" s="503"/>
    </row>
    <row r="259" spans="2:26" x14ac:dyDescent="0.2">
      <c r="B259" s="466" t="str">
        <f t="shared" si="5"/>
        <v>?</v>
      </c>
      <c r="C259" s="96" t="s">
        <v>812</v>
      </c>
      <c r="D259" s="100"/>
      <c r="E259" s="530" t="s">
        <v>451</v>
      </c>
      <c r="F259" s="444">
        <f>MAX(1,ROUNDDOWN(MIN(2,F254/2),0))</f>
        <v>2</v>
      </c>
      <c r="G259" s="445"/>
      <c r="H259" s="446"/>
      <c r="I259" s="444">
        <f>MAX(1,ROUNDDOWN(MIN(2,I254/2),0))</f>
        <v>2</v>
      </c>
      <c r="J259" s="445"/>
      <c r="K259" s="446"/>
      <c r="L259" s="444">
        <f t="shared" ref="L259" si="6">MAX(1,ROUNDDOWN(MIN(2,L254/2),0))</f>
        <v>2</v>
      </c>
      <c r="M259" s="445"/>
      <c r="N259" s="446"/>
      <c r="O259" s="444"/>
      <c r="P259" s="445"/>
      <c r="Q259" s="446"/>
      <c r="R259" s="444"/>
      <c r="S259" s="445"/>
      <c r="T259" s="446"/>
      <c r="U259" s="444"/>
      <c r="V259" s="11"/>
      <c r="Z259" s="503"/>
    </row>
    <row r="260" spans="2:26" ht="15" thickBot="1" x14ac:dyDescent="0.25">
      <c r="B260" s="891" t="str">
        <f t="shared" si="5"/>
        <v>?</v>
      </c>
      <c r="C260" s="97" t="s">
        <v>346</v>
      </c>
      <c r="D260" s="102"/>
      <c r="E260" s="531"/>
      <c r="F260" s="438"/>
      <c r="G260" s="422"/>
      <c r="H260" s="423"/>
      <c r="I260" s="438"/>
      <c r="J260" s="422"/>
      <c r="K260" s="423"/>
      <c r="L260" s="438"/>
      <c r="M260" s="422"/>
      <c r="N260" s="423"/>
      <c r="O260" s="438"/>
      <c r="P260" s="422"/>
      <c r="Q260" s="423"/>
      <c r="R260" s="438"/>
      <c r="S260" s="422"/>
      <c r="T260" s="423"/>
      <c r="U260" s="438"/>
      <c r="V260" s="126"/>
    </row>
    <row r="261" spans="2:26" ht="15" x14ac:dyDescent="0.25">
      <c r="B261" s="466" t="s">
        <v>69</v>
      </c>
      <c r="C261" s="99" t="s">
        <v>799</v>
      </c>
      <c r="D261" s="100"/>
      <c r="E261" s="535" t="s">
        <v>452</v>
      </c>
      <c r="F261" s="161">
        <f>IFERROR(F262*(1+F263+F264),0)</f>
        <v>38.941609682128764</v>
      </c>
      <c r="G261" s="885"/>
      <c r="H261" s="886"/>
      <c r="I261" s="161">
        <f>IFERROR(I262*(1+I263+I264),0)</f>
        <v>30.139248634013285</v>
      </c>
      <c r="J261" s="885"/>
      <c r="K261" s="886"/>
      <c r="L261" s="161">
        <f t="shared" ref="L261" si="7">IFERROR(L262*(1+L263+L264),0)</f>
        <v>26.139248634013285</v>
      </c>
      <c r="M261" s="885"/>
      <c r="N261" s="886"/>
      <c r="O261" s="161"/>
      <c r="P261" s="885"/>
      <c r="Q261" s="886"/>
      <c r="R261" s="161"/>
      <c r="S261" s="885"/>
      <c r="T261" s="886"/>
      <c r="U261" s="161"/>
      <c r="V261" s="11"/>
      <c r="X261" s="503"/>
    </row>
    <row r="262" spans="2:26" ht="15" x14ac:dyDescent="0.25">
      <c r="B262" s="466" t="str">
        <f>B261</f>
        <v>?</v>
      </c>
      <c r="C262" s="96" t="s">
        <v>797</v>
      </c>
      <c r="D262" s="656">
        <v>20</v>
      </c>
      <c r="E262" s="530" t="s">
        <v>451</v>
      </c>
      <c r="F262" s="30">
        <f>IF('Quick Input'!M$26="ja",$D$262,0)</f>
        <v>20</v>
      </c>
      <c r="G262" s="420"/>
      <c r="H262" s="421"/>
      <c r="I262" s="30">
        <f>IF('Quick Input'!P$26="ja",$D$262,0)</f>
        <v>20</v>
      </c>
      <c r="J262" s="420"/>
      <c r="K262" s="421"/>
      <c r="L262" s="30">
        <f>IF('Quick Input'!S$26="ja",$D$262,0)</f>
        <v>20</v>
      </c>
      <c r="M262" s="420"/>
      <c r="N262" s="421"/>
      <c r="O262" s="30"/>
      <c r="P262" s="420"/>
      <c r="Q262" s="421"/>
      <c r="R262" s="30"/>
      <c r="S262" s="420"/>
      <c r="T262" s="421"/>
      <c r="U262" s="30"/>
      <c r="V262" s="11"/>
    </row>
    <row r="263" spans="2:26" x14ac:dyDescent="0.2">
      <c r="B263" s="466" t="str">
        <f>B262</f>
        <v>?</v>
      </c>
      <c r="C263" s="96" t="s">
        <v>180</v>
      </c>
      <c r="D263" s="100"/>
      <c r="E263" s="530" t="s">
        <v>451</v>
      </c>
      <c r="F263" s="201">
        <f>MAX(0,POWER(VLOOKUP('Quick Input'!M$21,Auswahlfelder!$D$16:$E$19,2,FALSE)-1,2)/15)</f>
        <v>0.26666666666666666</v>
      </c>
      <c r="G263" s="430"/>
      <c r="H263" s="431"/>
      <c r="I263" s="201">
        <f>MAX(0,POWER(VLOOKUP('Quick Input'!P$21,Auswahlfelder!$D$16:$E$19,2,FALSE)-1,2)/15)</f>
        <v>0.26666666666666666</v>
      </c>
      <c r="J263" s="430"/>
      <c r="K263" s="431"/>
      <c r="L263" s="201">
        <f>MAX(0,POWER(VLOOKUP('Quick Input'!S$21,Auswahlfelder!$D$16:$E$19,2,FALSE)-1,2)/15)</f>
        <v>6.6666666666666666E-2</v>
      </c>
      <c r="M263" s="430"/>
      <c r="N263" s="431"/>
      <c r="O263" s="201"/>
      <c r="P263" s="430"/>
      <c r="Q263" s="431"/>
      <c r="R263" s="201"/>
      <c r="S263" s="430"/>
      <c r="T263" s="431"/>
      <c r="U263" s="201"/>
      <c r="V263" s="11"/>
      <c r="X263" s="503"/>
    </row>
    <row r="264" spans="2:26" ht="15" thickBot="1" x14ac:dyDescent="0.25">
      <c r="B264" s="511" t="str">
        <f>B263</f>
        <v>?</v>
      </c>
      <c r="C264" s="97" t="s">
        <v>177</v>
      </c>
      <c r="D264" s="733">
        <v>0.25</v>
      </c>
      <c r="E264" s="530" t="s">
        <v>451</v>
      </c>
      <c r="F264" s="850">
        <f>SQRT('Quick Input'!M$20/2000)*$D$264</f>
        <v>0.6804138174397717</v>
      </c>
      <c r="G264" s="422"/>
      <c r="H264" s="423"/>
      <c r="I264" s="850">
        <f>SQRT('Quick Input'!P$20/2000)*$D$264</f>
        <v>0.24029576503399763</v>
      </c>
      <c r="J264" s="422"/>
      <c r="K264" s="423"/>
      <c r="L264" s="850">
        <f>SQRT('Quick Input'!S$20/2000)*$D$264</f>
        <v>0.24029576503399763</v>
      </c>
      <c r="M264" s="422"/>
      <c r="N264" s="423"/>
      <c r="O264" s="850"/>
      <c r="P264" s="422"/>
      <c r="Q264" s="423"/>
      <c r="R264" s="850"/>
      <c r="S264" s="422"/>
      <c r="T264" s="423"/>
      <c r="U264" s="850"/>
      <c r="V264" s="11"/>
    </row>
    <row r="265" spans="2:26" ht="15" x14ac:dyDescent="0.25">
      <c r="B265" s="466" t="s">
        <v>69</v>
      </c>
      <c r="C265" s="95" t="s">
        <v>804</v>
      </c>
      <c r="D265" s="100"/>
      <c r="E265" s="535" t="s">
        <v>452</v>
      </c>
      <c r="F265" s="705">
        <f>IFERROR(F266*F267/F268/'Quick Input'!M$19*1000,0)</f>
        <v>32.083333333333336</v>
      </c>
      <c r="G265" s="852"/>
      <c r="H265" s="852"/>
      <c r="I265" s="705">
        <f>IFERROR(I266*I267/I268/'Quick Input'!P$19*1000,0)</f>
        <v>42.777777777777786</v>
      </c>
      <c r="J265" s="852"/>
      <c r="K265" s="852"/>
      <c r="L265" s="705">
        <f>IFERROR(L266*L267/L268/'Quick Input'!S$19*1000,0)</f>
        <v>42.777777777777786</v>
      </c>
      <c r="M265" s="852"/>
      <c r="N265" s="852"/>
      <c r="O265" s="705"/>
      <c r="P265" s="852"/>
      <c r="Q265" s="852"/>
      <c r="R265" s="705"/>
      <c r="S265" s="852"/>
      <c r="T265" s="852"/>
      <c r="U265" s="705"/>
      <c r="V265" s="8"/>
      <c r="W265" s="718"/>
      <c r="X265" s="503"/>
    </row>
    <row r="266" spans="2:26" ht="15" x14ac:dyDescent="0.25">
      <c r="B266" s="466" t="str">
        <f t="shared" ref="B266:B268" si="8">B265</f>
        <v>?</v>
      </c>
      <c r="C266" s="96" t="s">
        <v>801</v>
      </c>
      <c r="D266" s="656">
        <v>22</v>
      </c>
      <c r="E266" s="530" t="s">
        <v>451</v>
      </c>
      <c r="F266" s="30">
        <f>IF('Quick Input'!M$27="ja",$D$266,0)</f>
        <v>22</v>
      </c>
      <c r="G266" s="420"/>
      <c r="H266" s="421"/>
      <c r="I266" s="30">
        <f>IF('Quick Input'!P$27="ja",$D$266,0)</f>
        <v>22</v>
      </c>
      <c r="J266" s="420"/>
      <c r="K266" s="421"/>
      <c r="L266" s="30">
        <f>IF('Quick Input'!S$27="ja",$D$266,0)</f>
        <v>22</v>
      </c>
      <c r="M266" s="420"/>
      <c r="N266" s="421"/>
      <c r="O266" s="30"/>
      <c r="P266" s="420"/>
      <c r="Q266" s="421"/>
      <c r="R266" s="30"/>
      <c r="S266" s="420"/>
      <c r="T266" s="421"/>
      <c r="U266" s="30"/>
      <c r="V266" s="11"/>
    </row>
    <row r="267" spans="2:26" ht="15" x14ac:dyDescent="0.25">
      <c r="B267" s="466" t="str">
        <f t="shared" si="8"/>
        <v>?</v>
      </c>
      <c r="C267" s="96" t="s">
        <v>802</v>
      </c>
      <c r="D267" s="656">
        <v>3.5</v>
      </c>
      <c r="E267" s="530" t="s">
        <v>451</v>
      </c>
      <c r="F267" s="344">
        <f>$D$267/60</f>
        <v>5.8333333333333334E-2</v>
      </c>
      <c r="G267" s="420"/>
      <c r="H267" s="421"/>
      <c r="I267" s="344">
        <f>$D$267/60</f>
        <v>5.8333333333333334E-2</v>
      </c>
      <c r="J267" s="420"/>
      <c r="K267" s="421"/>
      <c r="L267" s="344">
        <f>$D$267/60</f>
        <v>5.8333333333333334E-2</v>
      </c>
      <c r="M267" s="420"/>
      <c r="N267" s="421"/>
      <c r="O267" s="344"/>
      <c r="P267" s="420"/>
      <c r="Q267" s="421"/>
      <c r="R267" s="344"/>
      <c r="S267" s="420"/>
      <c r="T267" s="421"/>
      <c r="U267" s="344"/>
      <c r="V267" s="11"/>
      <c r="X267" s="503"/>
    </row>
    <row r="268" spans="2:26" ht="15.75" thickBot="1" x14ac:dyDescent="0.3">
      <c r="B268" s="511" t="str">
        <f t="shared" si="8"/>
        <v>?</v>
      </c>
      <c r="C268" s="97" t="s">
        <v>803</v>
      </c>
      <c r="D268" s="902">
        <v>30</v>
      </c>
      <c r="E268" s="530" t="s">
        <v>451</v>
      </c>
      <c r="F268" s="887">
        <f>MAX(MIN(ROUNDDOWN($D$268/'Quick Input'!M$19,0),Refkalkulation!H$59),1)</f>
        <v>1</v>
      </c>
      <c r="G268" s="426"/>
      <c r="H268" s="427"/>
      <c r="I268" s="887">
        <f>MAX(MIN(ROUNDDOWN($D$268/'Quick Input'!P$19,0),Refkalkulation!K$59),1)</f>
        <v>6</v>
      </c>
      <c r="J268" s="426"/>
      <c r="K268" s="427"/>
      <c r="L268" s="887">
        <f>MAX(MIN(ROUNDDOWN($D$268/'Quick Input'!S$19,0),Refkalkulation!N$59),1)</f>
        <v>6</v>
      </c>
      <c r="M268" s="426"/>
      <c r="N268" s="427"/>
      <c r="O268" s="887"/>
      <c r="P268" s="426"/>
      <c r="Q268" s="427"/>
      <c r="R268" s="887"/>
      <c r="S268" s="426"/>
      <c r="T268" s="427"/>
      <c r="U268" s="887"/>
      <c r="V268" s="11"/>
    </row>
    <row r="269" spans="2:26" ht="15" x14ac:dyDescent="0.25">
      <c r="B269" s="466" t="s">
        <v>69</v>
      </c>
      <c r="C269" s="99" t="s">
        <v>800</v>
      </c>
      <c r="D269" s="100"/>
      <c r="E269" s="535" t="s">
        <v>452</v>
      </c>
      <c r="F269" s="161">
        <f>IFERROR(F270*(1+F271+F272),0)</f>
        <v>0</v>
      </c>
      <c r="G269" s="885"/>
      <c r="H269" s="886"/>
      <c r="I269" s="161">
        <f>IFERROR(I270*(1+I271+I272),0)</f>
        <v>0</v>
      </c>
      <c r="J269" s="885"/>
      <c r="K269" s="886"/>
      <c r="L269" s="161">
        <f t="shared" ref="L269" si="9">IFERROR(L270*(1+L271+L272),0)</f>
        <v>0</v>
      </c>
      <c r="M269" s="885"/>
      <c r="N269" s="886"/>
      <c r="O269" s="161"/>
      <c r="P269" s="885"/>
      <c r="Q269" s="886"/>
      <c r="R269" s="161"/>
      <c r="S269" s="885"/>
      <c r="T269" s="886"/>
      <c r="U269" s="161"/>
      <c r="V269" s="11"/>
      <c r="X269" s="503"/>
    </row>
    <row r="270" spans="2:26" ht="15" x14ac:dyDescent="0.25">
      <c r="B270" s="466" t="str">
        <f>B269</f>
        <v>?</v>
      </c>
      <c r="C270" s="96" t="s">
        <v>798</v>
      </c>
      <c r="D270" s="656">
        <v>15</v>
      </c>
      <c r="E270" s="530" t="s">
        <v>451</v>
      </c>
      <c r="F270" s="30">
        <f>IF('Quick Input'!M$28="nein",0,$D$270+IF('Quick Input'!M$19&gt;8,$D$271,0))</f>
        <v>0</v>
      </c>
      <c r="G270" s="420"/>
      <c r="H270" s="421"/>
      <c r="I270" s="30">
        <f>IF('Quick Input'!P$28="nein",0,$D$270+IF('Quick Input'!P$19&gt;8,$D$271,0))</f>
        <v>0</v>
      </c>
      <c r="J270" s="420"/>
      <c r="K270" s="421"/>
      <c r="L270" s="30">
        <f>IF('Quick Input'!S$28="nein",0,$D$270+IF('Quick Input'!S$19&gt;8,$D$271,0))</f>
        <v>0</v>
      </c>
      <c r="M270" s="420"/>
      <c r="N270" s="421"/>
      <c r="O270" s="30"/>
      <c r="P270" s="420"/>
      <c r="Q270" s="421"/>
      <c r="R270" s="30"/>
      <c r="S270" s="420"/>
      <c r="T270" s="421"/>
      <c r="U270" s="30"/>
      <c r="V270" s="11"/>
    </row>
    <row r="271" spans="2:26" ht="15" x14ac:dyDescent="0.25">
      <c r="B271" s="466" t="str">
        <f t="shared" ref="B271:B272" si="10">B270</f>
        <v>?</v>
      </c>
      <c r="C271" s="96" t="s">
        <v>846</v>
      </c>
      <c r="D271" s="656">
        <v>35</v>
      </c>
      <c r="E271" s="530" t="s">
        <v>451</v>
      </c>
      <c r="F271" s="201">
        <f>MAX(0,POWER(VLOOKUP('Quick Input'!M$21,Auswahlfelder!$D$16:$E$19,2,FALSE)-1,2)/8)</f>
        <v>0.5</v>
      </c>
      <c r="G271" s="430"/>
      <c r="H271" s="431"/>
      <c r="I271" s="201">
        <f>MAX(0,POWER(VLOOKUP('Quick Input'!P$21,Auswahlfelder!$D$16:$E$19,2,FALSE)-1,2)/8)</f>
        <v>0.5</v>
      </c>
      <c r="J271" s="430"/>
      <c r="K271" s="431"/>
      <c r="L271" s="201">
        <f>MAX(0,POWER(VLOOKUP('Quick Input'!S$21,Auswahlfelder!$D$16:$E$19,2,FALSE)-1,2)/8)</f>
        <v>0.125</v>
      </c>
      <c r="M271" s="430"/>
      <c r="N271" s="431"/>
      <c r="O271" s="201"/>
      <c r="P271" s="430"/>
      <c r="Q271" s="431"/>
      <c r="R271" s="201"/>
      <c r="S271" s="430"/>
      <c r="T271" s="431"/>
      <c r="U271" s="201"/>
      <c r="V271" s="11"/>
      <c r="X271" s="503"/>
    </row>
    <row r="272" spans="2:26" ht="15" thickBot="1" x14ac:dyDescent="0.25">
      <c r="B272" s="511" t="str">
        <f t="shared" si="10"/>
        <v>?</v>
      </c>
      <c r="C272" s="97" t="s">
        <v>177</v>
      </c>
      <c r="D272" s="733">
        <v>0.35</v>
      </c>
      <c r="E272" s="531" t="s">
        <v>451</v>
      </c>
      <c r="F272" s="343">
        <f>SQRT('Quick Input'!M$20/2000)*$D$272</f>
        <v>0.95257934441568026</v>
      </c>
      <c r="G272" s="422"/>
      <c r="H272" s="423"/>
      <c r="I272" s="343">
        <f>SQRT('Quick Input'!P$20/2000)*$D$272</f>
        <v>0.33641407104759669</v>
      </c>
      <c r="J272" s="422"/>
      <c r="K272" s="423"/>
      <c r="L272" s="343">
        <f>SQRT('Quick Input'!S$20/2000)*$D$272</f>
        <v>0.33641407104759669</v>
      </c>
      <c r="M272" s="422"/>
      <c r="N272" s="423"/>
      <c r="O272" s="343"/>
      <c r="P272" s="422"/>
      <c r="Q272" s="423"/>
      <c r="R272" s="343"/>
      <c r="S272" s="422"/>
      <c r="T272" s="423"/>
      <c r="U272" s="343"/>
      <c r="V272" s="126"/>
    </row>
    <row r="273" spans="2:22" ht="15" x14ac:dyDescent="0.25">
      <c r="B273" s="17">
        <v>39</v>
      </c>
      <c r="C273" s="99" t="s">
        <v>564</v>
      </c>
      <c r="D273" s="100"/>
      <c r="E273" s="529" t="s">
        <v>452</v>
      </c>
      <c r="F273" s="705">
        <f>IF('Quick Input'!M$29=Auswahlfelder!$D$22,0,ROUND(F274*(1+F$275),2))</f>
        <v>14.06</v>
      </c>
      <c r="G273" s="10"/>
      <c r="H273" s="10"/>
      <c r="I273" s="705">
        <f>IF('Quick Input'!P$29=Auswahlfelder!$D$22,0,ROUND(I274*(1+I$275),2))</f>
        <v>3.32</v>
      </c>
      <c r="J273" s="10"/>
      <c r="K273" s="10"/>
      <c r="L273" s="705">
        <f>IF('Quick Input'!S$29=Auswahlfelder!$D$22,0,ROUND(L274*(1+L$275),2))</f>
        <v>7.39</v>
      </c>
      <c r="M273" s="10"/>
      <c r="N273" s="10"/>
      <c r="O273" s="705"/>
      <c r="P273" s="10"/>
      <c r="Q273" s="10"/>
      <c r="R273" s="705"/>
      <c r="S273" s="10"/>
      <c r="T273" s="10"/>
      <c r="U273" s="705"/>
      <c r="V273" s="11"/>
    </row>
    <row r="274" spans="2:22" x14ac:dyDescent="0.2">
      <c r="B274" s="17">
        <v>39</v>
      </c>
      <c r="C274" s="96" t="s">
        <v>565</v>
      </c>
      <c r="D274" s="100"/>
      <c r="E274" s="532" t="s">
        <v>526</v>
      </c>
      <c r="F274" s="455">
        <f>'Länder-DB'!$I$39*(0.2+0.8*VLOOKUP(F$19,DB_Länder,5,FALSE)/'Länder-DB'!$E$2)</f>
        <v>4</v>
      </c>
      <c r="G274" s="10"/>
      <c r="H274" s="10"/>
      <c r="I274" s="455">
        <f>'Länder-DB'!$I$39*(0.2+0.8*VLOOKUP(I$19,DB_Länder,5,FALSE)/'Länder-DB'!$E$2)</f>
        <v>1.7953888237592812</v>
      </c>
      <c r="J274" s="10"/>
      <c r="K274" s="10"/>
      <c r="L274" s="455">
        <f>'Länder-DB'!$I$39*(0.2+0.8*VLOOKUP(L$19,DB_Länder,5,FALSE)/'Länder-DB'!$E$2)</f>
        <v>4</v>
      </c>
      <c r="M274" s="10"/>
      <c r="N274" s="10"/>
      <c r="O274" s="455"/>
      <c r="P274" s="10"/>
      <c r="Q274" s="10"/>
      <c r="R274" s="455"/>
      <c r="S274" s="10"/>
      <c r="T274" s="10"/>
      <c r="U274" s="455"/>
      <c r="V274" s="11"/>
    </row>
    <row r="275" spans="2:22" ht="15" thickBot="1" x14ac:dyDescent="0.25">
      <c r="B275" s="17">
        <v>39</v>
      </c>
      <c r="C275" s="96" t="s">
        <v>177</v>
      </c>
      <c r="D275" s="102"/>
      <c r="E275" s="533" t="s">
        <v>526</v>
      </c>
      <c r="F275" s="343">
        <f>SQRT(MAX(0,'Quick Input'!M$19-0.5))*40%</f>
        <v>2.5139610179953071</v>
      </c>
      <c r="G275" s="10"/>
      <c r="H275" s="10"/>
      <c r="I275" s="343">
        <f>SQRT(MAX(0,'Quick Input'!P$19-0.5))*40%</f>
        <v>0.84852813742385702</v>
      </c>
      <c r="J275" s="10"/>
      <c r="K275" s="10"/>
      <c r="L275" s="343">
        <f>SQRT(MAX(0,'Quick Input'!S$19-0.5))*40%</f>
        <v>0.84852813742385702</v>
      </c>
      <c r="M275" s="10"/>
      <c r="N275" s="10"/>
      <c r="O275" s="343"/>
      <c r="P275" s="10"/>
      <c r="Q275" s="10"/>
      <c r="R275" s="343"/>
      <c r="S275" s="10"/>
      <c r="T275" s="10"/>
      <c r="U275" s="343"/>
      <c r="V275" s="11"/>
    </row>
    <row r="276" spans="2:22" ht="15" x14ac:dyDescent="0.25">
      <c r="B276" s="17">
        <v>39</v>
      </c>
      <c r="C276" s="95" t="s">
        <v>566</v>
      </c>
      <c r="D276" s="100"/>
      <c r="E276" s="529" t="s">
        <v>452</v>
      </c>
      <c r="F276" s="345">
        <f>IF('Quick Input'!M30=Auswahlfelder!$D$22,0,ROUND(F277*(1+F278),2))</f>
        <v>24.85</v>
      </c>
      <c r="G276" s="7"/>
      <c r="H276" s="7"/>
      <c r="I276" s="345">
        <f>IF('Quick Input'!P30=Auswahlfelder!$D$22,0,ROUND(I277*(1+I278),2))</f>
        <v>7.25</v>
      </c>
      <c r="J276" s="7"/>
      <c r="K276" s="7"/>
      <c r="L276" s="345">
        <f>IF('Quick Input'!S30=Auswahlfelder!$D$22,0,ROUND(L277*(1+L278),2))</f>
        <v>12.36</v>
      </c>
      <c r="M276" s="7"/>
      <c r="N276" s="7"/>
      <c r="O276" s="345"/>
      <c r="P276" s="7"/>
      <c r="Q276" s="7"/>
      <c r="R276" s="345"/>
      <c r="S276" s="7"/>
      <c r="T276" s="7"/>
      <c r="U276" s="345"/>
      <c r="V276" s="11"/>
    </row>
    <row r="277" spans="2:22" x14ac:dyDescent="0.2">
      <c r="B277" s="17">
        <v>39</v>
      </c>
      <c r="C277" s="96" t="s">
        <v>567</v>
      </c>
      <c r="D277" s="100"/>
      <c r="E277" s="532" t="s">
        <v>526</v>
      </c>
      <c r="F277" s="455">
        <f>'Länder-DB'!$I$41*(0.4+0.6*VLOOKUP(F$19,DB_Länder,5,FALSE)/'Länder-DB'!$E$2)</f>
        <v>6</v>
      </c>
      <c r="G277" s="10"/>
      <c r="H277" s="10"/>
      <c r="I277" s="455">
        <f>'Länder-DB'!$I$41*(0.4+0.6*VLOOKUP(I$19,DB_Länder,5,FALSE)/'Länder-DB'!$E$2)</f>
        <v>3.519812426729191</v>
      </c>
      <c r="J277" s="10"/>
      <c r="K277" s="10"/>
      <c r="L277" s="455">
        <f>'Länder-DB'!$I$41*(0.4+0.6*VLOOKUP(L$19,DB_Länder,5,FALSE)/'Länder-DB'!$E$2)</f>
        <v>6</v>
      </c>
      <c r="M277" s="10"/>
      <c r="N277" s="10"/>
      <c r="O277" s="455"/>
      <c r="P277" s="10"/>
      <c r="Q277" s="10"/>
      <c r="R277" s="455"/>
      <c r="S277" s="10"/>
      <c r="T277" s="10"/>
      <c r="U277" s="455"/>
      <c r="V277" s="11"/>
    </row>
    <row r="278" spans="2:22" ht="15" thickBot="1" x14ac:dyDescent="0.25">
      <c r="B278" s="285">
        <v>39</v>
      </c>
      <c r="C278" s="97" t="s">
        <v>177</v>
      </c>
      <c r="D278" s="102"/>
      <c r="E278" s="533" t="s">
        <v>526</v>
      </c>
      <c r="F278" s="343">
        <f>SQRT(MAX(0,'Quick Input'!M$19-0.5))*50%</f>
        <v>3.1424512724941338</v>
      </c>
      <c r="G278" s="422"/>
      <c r="H278" s="423"/>
      <c r="I278" s="343">
        <f>SQRT(MAX(0,'Quick Input'!P$19-0.5))*50%</f>
        <v>1.0606601717798212</v>
      </c>
      <c r="J278" s="422"/>
      <c r="K278" s="423"/>
      <c r="L278" s="343">
        <f>SQRT(MAX(0,'Quick Input'!S$19-0.5))*50%</f>
        <v>1.0606601717798212</v>
      </c>
      <c r="M278" s="422"/>
      <c r="N278" s="423"/>
      <c r="O278" s="343"/>
      <c r="P278" s="422"/>
      <c r="Q278" s="423"/>
      <c r="R278" s="343"/>
      <c r="S278" s="422"/>
      <c r="T278" s="423"/>
      <c r="U278" s="343"/>
      <c r="V278" s="126"/>
    </row>
    <row r="279" spans="2:22" ht="15" thickBot="1" x14ac:dyDescent="0.25">
      <c r="B279" s="706">
        <v>39</v>
      </c>
      <c r="C279" s="707"/>
      <c r="D279" s="708" t="s">
        <v>568</v>
      </c>
      <c r="E279" s="709"/>
      <c r="F279" s="710" t="str">
        <f>CONCATENATE(IF(F273&gt;0,"US ",""),IF(F276&gt;0,"PT ",""),IF(F194&gt;0,IF(Deutsch,"Röntgen ","X-ray "),""),IF(SUM(F192:F194)=0,IF(Deutsch,"ohne Prfg.","no test"),IF(Deutsch,"prüfen","test")))</f>
        <v>US PT Röntgen prüfen</v>
      </c>
      <c r="G279" s="711"/>
      <c r="H279" s="711"/>
      <c r="I279" s="710" t="str">
        <f>CONCATENATE(IF(I273&gt;0,"US ",""),IF(I276&gt;0,"PT ",""),IF(I194&gt;0,IF(Deutsch,"Röntgen ","X-ray "),""),IF(SUM(I192:I194)=0,IF(Deutsch,"ohne Prfg.","no test"),IF(Deutsch,"prüfen","test")))</f>
        <v>US PT Röntgen prüfen</v>
      </c>
      <c r="J279" s="711"/>
      <c r="K279" s="711"/>
      <c r="L279" s="710" t="str">
        <f>CONCATENATE(IF(L273&gt;0,"US ",""),IF(L276&gt;0,"PT ",""),IF(L194&gt;0,IF(Deutsch,"Röntgen ","X-ray "),""),IF(SUM(L192:L194)=0,IF(Deutsch,"ohne Prfg.","no test"),IF(Deutsch,"prüfen","test")))</f>
        <v>US PT Röntgen prüfen</v>
      </c>
      <c r="M279" s="711"/>
      <c r="N279" s="711"/>
      <c r="O279" s="710"/>
      <c r="P279" s="711"/>
      <c r="Q279" s="711"/>
      <c r="R279" s="710"/>
      <c r="S279" s="711"/>
      <c r="T279" s="711"/>
      <c r="U279" s="710"/>
      <c r="V279" s="712"/>
    </row>
    <row r="280" spans="2:22" ht="15" x14ac:dyDescent="0.25">
      <c r="B280" s="466">
        <v>44</v>
      </c>
      <c r="C280" s="95" t="s">
        <v>372</v>
      </c>
      <c r="D280" s="98"/>
      <c r="E280" s="535" t="s">
        <v>452</v>
      </c>
      <c r="F280" s="204" t="e">
        <f>ROUNDDOWN(#REF!*HLOOKUP(F$285,'Länder-DB'!$M$54:$O$55,2,FALSE)*(1-F$287-F$288-F$289),-1)</f>
        <v>#REF!</v>
      </c>
      <c r="G280" s="7"/>
      <c r="H280" s="7"/>
      <c r="I280" s="204" t="e">
        <f>ROUNDDOWN(#REF!*HLOOKUP(I$285,'Länder-DB'!$M$54:$O$55,2,FALSE)*(1-I$287-I$288-I$289),-1)</f>
        <v>#REF!</v>
      </c>
      <c r="J280" s="7"/>
      <c r="K280" s="7"/>
      <c r="L280" s="204" t="e">
        <f>ROUNDDOWN(#REF!*HLOOKUP(L$285,'Länder-DB'!$M$54:$O$55,2,FALSE)*(1-L$287-L$288-L$289),-1)</f>
        <v>#REF!</v>
      </c>
      <c r="M280" s="7"/>
      <c r="N280" s="7"/>
      <c r="O280" s="204"/>
      <c r="P280" s="28"/>
      <c r="Q280" s="28"/>
      <c r="R280" s="204"/>
      <c r="S280" s="28"/>
      <c r="T280" s="28"/>
      <c r="U280" s="204"/>
      <c r="V280" s="11"/>
    </row>
    <row r="281" spans="2:22" x14ac:dyDescent="0.2">
      <c r="B281" s="466">
        <v>44</v>
      </c>
      <c r="C281" s="467" t="s">
        <v>492</v>
      </c>
      <c r="D281" s="100">
        <v>1</v>
      </c>
      <c r="E281" s="532"/>
      <c r="F281" s="527">
        <f>IFERROR('Quick Input'!M$45,1)</f>
        <v>30000</v>
      </c>
      <c r="G281" s="10"/>
      <c r="H281" s="10"/>
      <c r="I281" s="527">
        <f>IFERROR('Quick Input'!P$45,1)</f>
        <v>30000</v>
      </c>
      <c r="J281" s="10"/>
      <c r="K281" s="10"/>
      <c r="L281" s="527">
        <f>IFERROR('Quick Input'!S$45,1)</f>
        <v>30000</v>
      </c>
      <c r="M281" s="10"/>
      <c r="N281" s="10"/>
      <c r="O281" s="527"/>
      <c r="P281" s="4"/>
      <c r="Q281" s="4"/>
      <c r="R281" s="527"/>
      <c r="S281" s="4"/>
      <c r="T281" s="4"/>
      <c r="U281" s="527"/>
      <c r="V281" s="11"/>
    </row>
    <row r="282" spans="2:22" x14ac:dyDescent="0.2">
      <c r="B282" s="466">
        <v>44</v>
      </c>
      <c r="C282" s="467" t="s">
        <v>440</v>
      </c>
      <c r="D282" s="100">
        <v>1</v>
      </c>
      <c r="E282" s="532"/>
      <c r="F282" s="527" t="e">
        <f>ROUNDDOWN(#REF!*'Länder-DB'!$M$55*(1-F$287-F$288-F$289),-1)</f>
        <v>#REF!</v>
      </c>
      <c r="G282" s="528"/>
      <c r="H282" s="10"/>
      <c r="I282" s="527" t="e">
        <f>ROUNDDOWN(#REF!*'Länder-DB'!$M$55*(1-I$287-I$288-I$289),-1)</f>
        <v>#REF!</v>
      </c>
      <c r="J282" s="528"/>
      <c r="K282" s="10"/>
      <c r="L282" s="527" t="e">
        <f>ROUNDDOWN(#REF!*'Länder-DB'!$M$55*(1-L$287-L$288-L$289),-1)</f>
        <v>#REF!</v>
      </c>
      <c r="M282" s="528"/>
      <c r="N282" s="10"/>
      <c r="O282" s="527"/>
      <c r="P282" s="528"/>
      <c r="Q282" s="10"/>
      <c r="R282" s="527"/>
      <c r="S282" s="528"/>
      <c r="T282" s="10"/>
      <c r="U282" s="527"/>
      <c r="V282" s="11"/>
    </row>
    <row r="283" spans="2:22" x14ac:dyDescent="0.2">
      <c r="B283" s="466">
        <v>44</v>
      </c>
      <c r="C283" s="467" t="s">
        <v>437</v>
      </c>
      <c r="D283" s="100">
        <v>1</v>
      </c>
      <c r="E283" s="532"/>
      <c r="F283" s="527" t="e">
        <f>#REF!*'Länder-DB'!$N$55*(1-F$287-F$288-F$289)</f>
        <v>#REF!</v>
      </c>
      <c r="G283" s="528"/>
      <c r="H283" s="10"/>
      <c r="I283" s="527" t="e">
        <f>#REF!*'Länder-DB'!$N$55*(1-I$287-I$288-I$289)</f>
        <v>#REF!</v>
      </c>
      <c r="J283" s="10"/>
      <c r="K283" s="10"/>
      <c r="L283" s="527" t="e">
        <f>#REF!*'Länder-DB'!$N$55*(1-L$287-L$288-L$289)</f>
        <v>#REF!</v>
      </c>
      <c r="M283" s="10"/>
      <c r="N283" s="10"/>
      <c r="O283" s="527"/>
      <c r="P283" s="4"/>
      <c r="Q283" s="4"/>
      <c r="R283" s="527"/>
      <c r="S283" s="4"/>
      <c r="T283" s="4"/>
      <c r="U283" s="527"/>
      <c r="V283" s="11"/>
    </row>
    <row r="284" spans="2:22" x14ac:dyDescent="0.2">
      <c r="B284" s="466">
        <v>44</v>
      </c>
      <c r="C284" s="467" t="s">
        <v>438</v>
      </c>
      <c r="D284" s="100">
        <v>1</v>
      </c>
      <c r="E284" s="532"/>
      <c r="F284" s="527" t="e">
        <f>#REF!*'Länder-DB'!$O$55*(1-F$287-F$288-F$289)</f>
        <v>#REF!</v>
      </c>
      <c r="G284" s="528"/>
      <c r="H284" s="10"/>
      <c r="I284" s="527" t="e">
        <f>#REF!*'Länder-DB'!$O$55*(1-I$287-I$288-I$289)</f>
        <v>#REF!</v>
      </c>
      <c r="J284" s="10"/>
      <c r="K284" s="10"/>
      <c r="L284" s="527" t="e">
        <f>#REF!*'Länder-DB'!$O$55*(1-L$287-L$288-L$289)</f>
        <v>#REF!</v>
      </c>
      <c r="M284" s="10"/>
      <c r="N284" s="10"/>
      <c r="O284" s="527"/>
      <c r="P284" s="4"/>
      <c r="Q284" s="4"/>
      <c r="R284" s="527"/>
      <c r="S284" s="4"/>
      <c r="T284" s="4"/>
      <c r="U284" s="527"/>
      <c r="V284" s="11"/>
    </row>
    <row r="285" spans="2:22" x14ac:dyDescent="0.2">
      <c r="B285" s="466">
        <v>44</v>
      </c>
      <c r="C285" s="467" t="s">
        <v>439</v>
      </c>
      <c r="D285" s="543" t="s">
        <v>457</v>
      </c>
      <c r="E285" s="530" t="s">
        <v>452</v>
      </c>
      <c r="F285" s="527" t="e">
        <f>IF(F$281&gt;MIN(F$284,2*F$283),'Länder-DB'!$O$54,IF(F$281&gt;MIN(F$283,3*F$282),'Länder-DB'!$N$54,'Länder-DB'!$M$54))</f>
        <v>#REF!</v>
      </c>
      <c r="G285" s="10"/>
      <c r="H285" s="10"/>
      <c r="I285" s="527" t="e">
        <f>IF(I$281&gt;MIN(I$284,2*I$283),'Länder-DB'!$O$54,IF(I$281&gt;MIN(I$283,3*I$282),'Länder-DB'!$N$54,'Länder-DB'!$M$54))</f>
        <v>#REF!</v>
      </c>
      <c r="J285" s="10"/>
      <c r="K285" s="10"/>
      <c r="L285" s="527" t="e">
        <f>IF(L$281&gt;MIN(L$284,2*L$283),'Länder-DB'!$O$54,IF(L$281&gt;MIN(L$283,3*L$282),'Länder-DB'!$N$54,'Länder-DB'!$M$54))</f>
        <v>#REF!</v>
      </c>
      <c r="M285" s="10"/>
      <c r="N285" s="10"/>
      <c r="O285" s="527"/>
      <c r="P285" s="10"/>
      <c r="Q285" s="10"/>
      <c r="R285" s="527"/>
      <c r="S285" s="10"/>
      <c r="T285" s="10"/>
      <c r="U285" s="527"/>
      <c r="V285" s="11"/>
    </row>
    <row r="286" spans="2:22" x14ac:dyDescent="0.2">
      <c r="B286" s="466">
        <v>44</v>
      </c>
      <c r="C286" s="467" t="s">
        <v>493</v>
      </c>
      <c r="D286" s="543" t="s">
        <v>457</v>
      </c>
      <c r="E286" s="530" t="s">
        <v>452</v>
      </c>
      <c r="F286" s="527" t="e">
        <f>ROUNDUP(F281/F280,0)</f>
        <v>#REF!</v>
      </c>
      <c r="G286" s="10"/>
      <c r="H286" s="10"/>
      <c r="I286" s="527" t="e">
        <f>ROUNDUP(I281/I280,0)</f>
        <v>#REF!</v>
      </c>
      <c r="J286" s="10"/>
      <c r="K286" s="10"/>
      <c r="L286" s="527" t="e">
        <f>ROUNDUP(L281/L280,0)</f>
        <v>#REF!</v>
      </c>
      <c r="M286" s="10"/>
      <c r="N286" s="10"/>
      <c r="O286" s="527"/>
      <c r="P286" s="4"/>
      <c r="Q286" s="4"/>
      <c r="R286" s="527"/>
      <c r="S286" s="4"/>
      <c r="T286" s="4"/>
      <c r="U286" s="527"/>
      <c r="V286" s="11"/>
    </row>
    <row r="287" spans="2:22" x14ac:dyDescent="0.2">
      <c r="B287" s="466">
        <v>44</v>
      </c>
      <c r="C287" s="96" t="s">
        <v>141</v>
      </c>
      <c r="D287" s="100" t="s">
        <v>386</v>
      </c>
      <c r="E287" s="530" t="s">
        <v>451</v>
      </c>
      <c r="F287" s="149">
        <f>10%*(0.85-F$27)</f>
        <v>1.1399999999999988E-2</v>
      </c>
      <c r="G287" s="10"/>
      <c r="H287" s="10"/>
      <c r="I287" s="149">
        <f>10%*(0.85-I$27)</f>
        <v>2.2440000000000005E-2</v>
      </c>
      <c r="J287" s="10"/>
      <c r="K287" s="10"/>
      <c r="L287" s="149">
        <f>10%*(0.85-L$27)</f>
        <v>3.9E-2</v>
      </c>
      <c r="M287" s="10"/>
      <c r="N287" s="10"/>
      <c r="O287" s="149"/>
      <c r="P287" s="4"/>
      <c r="Q287" s="4"/>
      <c r="R287" s="149"/>
      <c r="S287" s="4"/>
      <c r="T287" s="4"/>
      <c r="U287" s="149"/>
      <c r="V287" s="11"/>
    </row>
    <row r="288" spans="2:22" x14ac:dyDescent="0.2">
      <c r="B288" s="466">
        <v>44</v>
      </c>
      <c r="C288" s="96" t="s">
        <v>140</v>
      </c>
      <c r="D288" s="100" t="s">
        <v>386</v>
      </c>
      <c r="E288" s="530" t="s">
        <v>451</v>
      </c>
      <c r="F288" s="149">
        <f>1.5%*(VLOOKUP('Quick Input'!M$21,Auswahlfelder!$D$16:$E$19,2,FALSE)-1)</f>
        <v>0.03</v>
      </c>
      <c r="G288" s="10"/>
      <c r="H288" s="10"/>
      <c r="I288" s="149">
        <f>1.5%*(VLOOKUP('Quick Input'!P$21,Auswahlfelder!$D$16:$E$19,2,FALSE)-1)</f>
        <v>0.03</v>
      </c>
      <c r="J288" s="10"/>
      <c r="K288" s="10"/>
      <c r="L288" s="149">
        <f>1.5%*(VLOOKUP('Quick Input'!S$21,Auswahlfelder!$D$16:$E$19,2,FALSE)-1)</f>
        <v>1.4999999999999999E-2</v>
      </c>
      <c r="M288" s="10"/>
      <c r="N288" s="10"/>
      <c r="O288" s="149"/>
      <c r="P288" s="10"/>
      <c r="Q288" s="10"/>
      <c r="R288" s="149"/>
      <c r="S288" s="10"/>
      <c r="T288" s="10"/>
      <c r="U288" s="149"/>
      <c r="V288" s="5"/>
    </row>
    <row r="289" spans="1:25" ht="15" thickBot="1" x14ac:dyDescent="0.25">
      <c r="B289" s="466">
        <v>44</v>
      </c>
      <c r="C289" s="97" t="s">
        <v>144</v>
      </c>
      <c r="D289" s="102" t="s">
        <v>386</v>
      </c>
      <c r="E289" s="531" t="s">
        <v>451</v>
      </c>
      <c r="F289" s="605">
        <f>4%*(('Quick Input'!$E$18-1.2)/('Quick Input'!M$18-1.2))</f>
        <v>2.2352941176470589E-2</v>
      </c>
      <c r="G289" s="13"/>
      <c r="H289" s="13"/>
      <c r="I289" s="605">
        <f>4%*(('Quick Input'!$E$18-1.2)/('Quick Input'!P$18-1.2))</f>
        <v>2.2352941176470589E-2</v>
      </c>
      <c r="J289" s="13"/>
      <c r="K289" s="13"/>
      <c r="L289" s="605">
        <f>4%*(('Quick Input'!$E$18-1.2)/('Quick Input'!S$18-1.2))</f>
        <v>2.2352941176470589E-2</v>
      </c>
      <c r="M289" s="13"/>
      <c r="N289" s="13"/>
      <c r="O289" s="605"/>
      <c r="P289" s="27"/>
      <c r="Q289" s="27"/>
      <c r="R289" s="605"/>
      <c r="S289" s="27"/>
      <c r="T289" s="27"/>
      <c r="U289" s="605"/>
      <c r="V289" s="32"/>
    </row>
    <row r="290" spans="1:25" ht="15" x14ac:dyDescent="0.25">
      <c r="B290" s="466">
        <v>49</v>
      </c>
      <c r="C290" s="95" t="s">
        <v>524</v>
      </c>
      <c r="D290" s="98"/>
      <c r="E290" s="535" t="s">
        <v>452</v>
      </c>
      <c r="F290" s="204" t="e">
        <f>ROUND(F292*(1+F293+F294),-2)</f>
        <v>#REF!</v>
      </c>
      <c r="G290" s="418"/>
      <c r="H290" s="419"/>
      <c r="I290" s="204" t="e">
        <f>ROUND(I292*(1+I293+I294),-2)</f>
        <v>#REF!</v>
      </c>
      <c r="J290" s="418"/>
      <c r="K290" s="419"/>
      <c r="L290" s="204" t="e">
        <f>ROUND(L292*(1+L293+L294),-2)</f>
        <v>#REF!</v>
      </c>
      <c r="M290" s="418"/>
      <c r="N290" s="419"/>
      <c r="O290" s="204"/>
      <c r="P290" s="418"/>
      <c r="Q290" s="419"/>
      <c r="R290" s="204"/>
      <c r="S290" s="418"/>
      <c r="T290" s="419"/>
      <c r="U290" s="204"/>
      <c r="V290" s="11"/>
      <c r="X290" s="503"/>
    </row>
    <row r="291" spans="1:25" x14ac:dyDescent="0.2">
      <c r="B291" s="466">
        <v>49</v>
      </c>
      <c r="C291" s="96" t="s">
        <v>182</v>
      </c>
      <c r="D291" s="100"/>
      <c r="E291" s="530" t="s">
        <v>526</v>
      </c>
      <c r="F291" s="205" t="e">
        <f>SQRT(#REF!)*10</f>
        <v>#REF!</v>
      </c>
      <c r="G291" s="420"/>
      <c r="H291" s="421"/>
      <c r="I291" s="205" t="e">
        <f>SQRT(#REF!)*10</f>
        <v>#REF!</v>
      </c>
      <c r="J291" s="420"/>
      <c r="K291" s="421"/>
      <c r="L291" s="205" t="e">
        <f>SQRT(#REF!)*10</f>
        <v>#REF!</v>
      </c>
      <c r="M291" s="420"/>
      <c r="N291" s="421"/>
      <c r="O291" s="205"/>
      <c r="P291" s="420"/>
      <c r="Q291" s="421"/>
      <c r="R291" s="205"/>
      <c r="S291" s="420"/>
      <c r="T291" s="421"/>
      <c r="U291" s="205"/>
      <c r="V291" s="11"/>
      <c r="W291" s="479"/>
    </row>
    <row r="292" spans="1:25" x14ac:dyDescent="0.2">
      <c r="B292" s="466">
        <v>49</v>
      </c>
      <c r="C292" s="96" t="s">
        <v>525</v>
      </c>
      <c r="D292" s="100"/>
      <c r="E292" s="530" t="s">
        <v>451</v>
      </c>
      <c r="F292" s="205" t="e">
        <f>F$291*SQRT(Refkalkulation!H$49)*0.15*SQRT(HLOOKUP(F$285,'Länder-DB'!$M$54:$O$55,2,FALSE))</f>
        <v>#REF!</v>
      </c>
      <c r="G292" s="420"/>
      <c r="H292" s="421"/>
      <c r="I292" s="205" t="e">
        <f>I$291*SQRT(Refkalkulation!K$49)*0.15*SQRT(HLOOKUP(I$285,'Länder-DB'!$M$54:$O$55,2,FALSE))</f>
        <v>#REF!</v>
      </c>
      <c r="J292" s="420"/>
      <c r="K292" s="421"/>
      <c r="L292" s="205" t="e">
        <f>L$291*SQRT(Refkalkulation!N$49)*0.15*SQRT(HLOOKUP(L$285,'Länder-DB'!$M$54:$O$55,2,FALSE))</f>
        <v>#REF!</v>
      </c>
      <c r="M292" s="420"/>
      <c r="N292" s="421"/>
      <c r="O292" s="205"/>
      <c r="P292" s="420"/>
      <c r="Q292" s="421"/>
      <c r="R292" s="205"/>
      <c r="S292" s="420"/>
      <c r="T292" s="421"/>
      <c r="U292" s="205"/>
      <c r="V292" s="5"/>
    </row>
    <row r="293" spans="1:25" x14ac:dyDescent="0.2">
      <c r="B293" s="466">
        <v>49</v>
      </c>
      <c r="C293" s="96" t="s">
        <v>181</v>
      </c>
      <c r="D293" s="100"/>
      <c r="E293" s="530" t="s">
        <v>451</v>
      </c>
      <c r="F293" s="201">
        <f>10%*(VLOOKUP('Quick Input'!M$21,Auswahlfelder!$D$16:$E$19,2,FALSE)-2)</f>
        <v>0.1</v>
      </c>
      <c r="G293" s="420"/>
      <c r="H293" s="421"/>
      <c r="I293" s="201">
        <f>10%*(VLOOKUP('Quick Input'!P$21,Auswahlfelder!$D$16:$E$19,2,FALSE)-2)</f>
        <v>0.1</v>
      </c>
      <c r="J293" s="420"/>
      <c r="K293" s="421"/>
      <c r="L293" s="201">
        <f>10%*(VLOOKUP('Quick Input'!S$21,Auswahlfelder!$D$16:$E$19,2,FALSE)-2)</f>
        <v>0</v>
      </c>
      <c r="M293" s="420"/>
      <c r="N293" s="421"/>
      <c r="O293" s="201"/>
      <c r="P293" s="420"/>
      <c r="Q293" s="421"/>
      <c r="R293" s="201"/>
      <c r="S293" s="420"/>
      <c r="T293" s="421"/>
      <c r="U293" s="201"/>
      <c r="V293" s="5"/>
    </row>
    <row r="294" spans="1:25" ht="15" thickBot="1" x14ac:dyDescent="0.25">
      <c r="B294" s="466">
        <v>49</v>
      </c>
      <c r="C294" s="96" t="s">
        <v>183</v>
      </c>
      <c r="D294" s="102"/>
      <c r="E294" s="531" t="s">
        <v>451</v>
      </c>
      <c r="F294" s="201">
        <f>18%*(VLOOKUP(F$19,DB_Länder,5,FALSE)/'Länder-DB'!$E$2-1)</f>
        <v>0</v>
      </c>
      <c r="G294" s="422"/>
      <c r="H294" s="421"/>
      <c r="I294" s="201">
        <f>18%*(VLOOKUP(I$19,DB_Länder,5,FALSE)/'Länder-DB'!$E$2-1)</f>
        <v>-0.12400937866354043</v>
      </c>
      <c r="J294" s="422"/>
      <c r="K294" s="421"/>
      <c r="L294" s="201">
        <f>18%*(VLOOKUP(L$19,DB_Länder,5,FALSE)/'Länder-DB'!$E$2-1)</f>
        <v>0</v>
      </c>
      <c r="M294" s="422"/>
      <c r="N294" s="421"/>
      <c r="O294" s="201"/>
      <c r="P294" s="422"/>
      <c r="Q294" s="421"/>
      <c r="R294" s="201"/>
      <c r="S294" s="422"/>
      <c r="T294" s="421"/>
      <c r="U294" s="201"/>
      <c r="V294" s="32"/>
    </row>
    <row r="295" spans="1:25" ht="15" x14ac:dyDescent="0.25">
      <c r="B295" s="466">
        <v>55</v>
      </c>
      <c r="C295" s="95" t="s">
        <v>373</v>
      </c>
      <c r="D295" s="100"/>
      <c r="E295" s="535" t="s">
        <v>452</v>
      </c>
      <c r="F295" s="161">
        <f>ROUND(IF('Quick Input'!M23=Auswahlfelder!$D$49,0,350+ROUND(SQRT(F296*1000)*$D$296,0)/F297),-2)</f>
        <v>2500</v>
      </c>
      <c r="G295" s="435"/>
      <c r="H295" s="419"/>
      <c r="I295" s="161">
        <f>ROUND(IF('Quick Input'!P23=Auswahlfelder!$D$49,0,350+ROUND(SQRT(I296*1000)*$D$296,0)/I297),-2)</f>
        <v>1100</v>
      </c>
      <c r="J295" s="435"/>
      <c r="K295" s="419"/>
      <c r="L295" s="161">
        <f>ROUND(IF('Quick Input'!S23=Auswahlfelder!$D$49,0,350+ROUND(SQRT(L296*1000)*$D$296,0)/L297),-2)</f>
        <v>1200</v>
      </c>
      <c r="M295" s="435"/>
      <c r="N295" s="419"/>
      <c r="O295" s="161"/>
      <c r="P295" s="435"/>
      <c r="Q295" s="419"/>
      <c r="R295" s="161"/>
      <c r="S295" s="435"/>
      <c r="T295" s="419"/>
      <c r="U295" s="161"/>
      <c r="V295" s="8"/>
    </row>
    <row r="296" spans="1:25" x14ac:dyDescent="0.2">
      <c r="B296" s="466">
        <f>B295</f>
        <v>55</v>
      </c>
      <c r="C296" s="96" t="s">
        <v>540</v>
      </c>
      <c r="D296" s="871">
        <v>1.9</v>
      </c>
      <c r="E296" s="530" t="s">
        <v>451</v>
      </c>
      <c r="F296" s="455">
        <f>200+20*Refkalkulation!H$65*SQRT(IF('Quick Input'!M$23=Auswahlfelder!$D$51,0.8,F253*2))</f>
        <v>1331.3708498984761</v>
      </c>
      <c r="G296" s="420"/>
      <c r="H296" s="421"/>
      <c r="I296" s="455">
        <f>200+20*Refkalkulation!K$65*SQRT(IF('Quick Input'!P$23=Auswahlfelder!$D$51,0.8,I253*2))</f>
        <v>200</v>
      </c>
      <c r="J296" s="420"/>
      <c r="K296" s="421"/>
      <c r="L296" s="455">
        <f>200+20*Refkalkulation!N$65*SQRT(IF('Quick Input'!S$23=Auswahlfelder!$D$51,0.8,L253*2))</f>
        <v>200</v>
      </c>
      <c r="M296" s="420"/>
      <c r="N296" s="421"/>
      <c r="O296" s="455"/>
      <c r="P296" s="420"/>
      <c r="Q296" s="421"/>
      <c r="R296" s="455"/>
      <c r="S296" s="420"/>
      <c r="T296" s="421"/>
      <c r="U296" s="455"/>
      <c r="V296" s="11"/>
    </row>
    <row r="297" spans="1:25" ht="15" thickBot="1" x14ac:dyDescent="0.25">
      <c r="B297" s="511">
        <f>B296</f>
        <v>55</v>
      </c>
      <c r="C297" s="97" t="s">
        <v>349</v>
      </c>
      <c r="D297" s="102"/>
      <c r="E297" s="531" t="s">
        <v>451</v>
      </c>
      <c r="F297" s="458">
        <f>1+0.25*(1-VLOOKUP(F$19,DB_Länder,4,FALSE)/'Länder-DB'!$D$2)</f>
        <v>1</v>
      </c>
      <c r="G297" s="459"/>
      <c r="H297" s="460"/>
      <c r="I297" s="458">
        <f>1+0.25*(1-VLOOKUP(I$19,DB_Länder,4,FALSE)/'Länder-DB'!$D$2)</f>
        <v>1.1839643652561247</v>
      </c>
      <c r="J297" s="459"/>
      <c r="K297" s="460"/>
      <c r="L297" s="458">
        <f>1+0.25*(1-VLOOKUP(L$19,DB_Länder,4,FALSE)/'Länder-DB'!$D$2)</f>
        <v>1</v>
      </c>
      <c r="M297" s="459"/>
      <c r="N297" s="460"/>
      <c r="O297" s="458"/>
      <c r="P297" s="459"/>
      <c r="Q297" s="460"/>
      <c r="R297" s="458"/>
      <c r="S297" s="459"/>
      <c r="T297" s="460"/>
      <c r="U297" s="458"/>
      <c r="V297" s="126"/>
    </row>
    <row r="298" spans="1:25" x14ac:dyDescent="0.2">
      <c r="A298" s="503"/>
      <c r="B298" s="503"/>
      <c r="C298" s="503"/>
      <c r="D298" s="503"/>
      <c r="E298" s="503"/>
      <c r="F298" s="503"/>
      <c r="G298" s="503"/>
      <c r="H298" s="503"/>
      <c r="I298" s="503"/>
      <c r="J298" s="503"/>
      <c r="K298" s="503"/>
      <c r="L298" s="503"/>
      <c r="M298" s="503"/>
      <c r="N298" s="503"/>
      <c r="O298" s="503"/>
      <c r="P298" s="503"/>
      <c r="Q298" s="503"/>
      <c r="R298" s="503"/>
      <c r="S298" s="503"/>
      <c r="T298" s="503"/>
      <c r="U298" s="503"/>
      <c r="V298" s="503"/>
      <c r="W298" s="503"/>
      <c r="X298" s="503"/>
    </row>
    <row r="300" spans="1:25" ht="15" thickBot="1" x14ac:dyDescent="0.25"/>
    <row r="301" spans="1:25" s="55" customFormat="1" ht="15" thickBot="1" x14ac:dyDescent="0.25">
      <c r="E301" s="559">
        <v>0</v>
      </c>
      <c r="F301" s="553" t="s">
        <v>479</v>
      </c>
      <c r="G301" s="554"/>
      <c r="H301" s="549">
        <v>0</v>
      </c>
      <c r="I301" s="553" t="s">
        <v>479</v>
      </c>
      <c r="J301" s="554"/>
      <c r="K301" s="549">
        <v>0</v>
      </c>
      <c r="L301" s="553" t="s">
        <v>479</v>
      </c>
      <c r="M301" s="554"/>
      <c r="N301" s="549">
        <v>0</v>
      </c>
      <c r="O301" s="553" t="s">
        <v>479</v>
      </c>
      <c r="P301" s="554"/>
      <c r="Q301" s="549">
        <v>0</v>
      </c>
      <c r="R301" s="553" t="s">
        <v>479</v>
      </c>
      <c r="S301" s="554"/>
      <c r="T301" s="549">
        <v>0</v>
      </c>
      <c r="U301" s="553" t="s">
        <v>479</v>
      </c>
      <c r="V301" s="554"/>
      <c r="W301" s="606" t="s">
        <v>389</v>
      </c>
      <c r="X301" s="555" t="s">
        <v>478</v>
      </c>
      <c r="Y301" s="560"/>
    </row>
    <row r="302" spans="1:25" ht="15" thickBot="1" x14ac:dyDescent="0.25">
      <c r="E302" s="124" t="e">
        <f>IF(F302,E301+1,E301)</f>
        <v>#REF!</v>
      </c>
      <c r="F302" s="549" t="e">
        <f>F$84&lt;&gt;F$73</f>
        <v>#REF!</v>
      </c>
      <c r="G302" s="562"/>
      <c r="H302" s="549" t="e">
        <f>IF(I302,H301+1,H301)</f>
        <v>#REF!</v>
      </c>
      <c r="I302" s="549" t="e">
        <f>I$84&lt;&gt;I$73</f>
        <v>#REF!</v>
      </c>
      <c r="J302" s="549"/>
      <c r="K302" s="549" t="e">
        <f>IF(L302,K301+1,K301)</f>
        <v>#REF!</v>
      </c>
      <c r="L302" s="549" t="e">
        <f>L$84&lt;&gt;L$73</f>
        <v>#REF!</v>
      </c>
      <c r="M302" s="549"/>
      <c r="N302" s="549">
        <f>IF(O302,N301+1,N301)</f>
        <v>0</v>
      </c>
      <c r="O302" s="549" t="b">
        <f>O$84&lt;&gt;O$73</f>
        <v>0</v>
      </c>
      <c r="P302" s="549"/>
      <c r="Q302" s="549">
        <f>IF(R302,Q301+1,Q301)</f>
        <v>0</v>
      </c>
      <c r="R302" s="549" t="b">
        <f>R$84&lt;&gt;R$73</f>
        <v>0</v>
      </c>
      <c r="S302" s="549"/>
      <c r="T302" s="549">
        <f>IF(U302,T301+1,T301)</f>
        <v>0</v>
      </c>
      <c r="U302" s="549" t="b">
        <f>U$84&lt;&gt;U$73</f>
        <v>0</v>
      </c>
      <c r="V302" s="563"/>
      <c r="W302" s="124" t="str">
        <f>C87</f>
        <v>Empfehlung Giesstechnik</v>
      </c>
      <c r="X302" s="552" t="s">
        <v>529</v>
      </c>
      <c r="Y302" s="37"/>
    </row>
    <row r="303" spans="1:25" ht="15" thickBot="1" x14ac:dyDescent="0.25">
      <c r="E303" s="124" t="e">
        <f>IF(F302,E302+1,E302)</f>
        <v>#REF!</v>
      </c>
      <c r="F303" s="551" t="e">
        <f>F87</f>
        <v>#REF!</v>
      </c>
      <c r="G303" s="562"/>
      <c r="H303" s="549" t="e">
        <f>IF(I302,H302+1,H302)</f>
        <v>#REF!</v>
      </c>
      <c r="I303" s="551" t="e">
        <f>I87</f>
        <v>#REF!</v>
      </c>
      <c r="J303" s="551"/>
      <c r="K303" s="549" t="e">
        <f>IF(L302,K302+1,K302)</f>
        <v>#REF!</v>
      </c>
      <c r="L303" s="551" t="e">
        <f>L87</f>
        <v>#REF!</v>
      </c>
      <c r="M303" s="551"/>
      <c r="N303" s="549">
        <f>IF(O302,N302+1,N302)</f>
        <v>0</v>
      </c>
      <c r="O303" s="551">
        <f>O87</f>
        <v>0</v>
      </c>
      <c r="P303" s="551"/>
      <c r="Q303" s="549">
        <f>IF(R302,Q302+1,Q302)</f>
        <v>0</v>
      </c>
      <c r="R303" s="551">
        <f>R87</f>
        <v>0</v>
      </c>
      <c r="S303" s="551"/>
      <c r="T303" s="549">
        <f>IF(U302,T302+1,T302)</f>
        <v>0</v>
      </c>
      <c r="U303" s="551">
        <f>U87</f>
        <v>0</v>
      </c>
      <c r="V303" s="564"/>
      <c r="W303" s="550"/>
      <c r="X303" s="27"/>
      <c r="Y303" s="32"/>
    </row>
    <row r="304" spans="1:25" ht="15" thickBot="1" x14ac:dyDescent="0.25">
      <c r="E304" s="124" t="e">
        <f>IF(F304,E303+1,E303)</f>
        <v>#REF!</v>
      </c>
      <c r="F304" s="549" t="b">
        <f>IFERROR(F91/F90&lt;3%,FALSE)</f>
        <v>0</v>
      </c>
      <c r="G304" s="562"/>
      <c r="H304" s="549" t="e">
        <f>IF(I304,H303+1,H303)</f>
        <v>#REF!</v>
      </c>
      <c r="I304" s="549" t="b">
        <f>IFERROR(I91/I90&lt;3%,FALSE)</f>
        <v>0</v>
      </c>
      <c r="J304" s="549"/>
      <c r="K304" s="549" t="e">
        <f>IF(L304,K303+1,K303)</f>
        <v>#REF!</v>
      </c>
      <c r="L304" s="549" t="b">
        <f>IFERROR(L91/L90&lt;3%,FALSE)</f>
        <v>0</v>
      </c>
      <c r="M304" s="549"/>
      <c r="N304" s="549">
        <f>IF(O304,N303+1,N303)</f>
        <v>0</v>
      </c>
      <c r="O304" s="549" t="b">
        <f>IFERROR(O91/O90&lt;3%,FALSE)</f>
        <v>0</v>
      </c>
      <c r="P304" s="549"/>
      <c r="Q304" s="549">
        <f>IF(R304,Q303+1,Q303)</f>
        <v>0</v>
      </c>
      <c r="R304" s="549" t="b">
        <f>IFERROR(R91/R90&lt;3%,FALSE)</f>
        <v>0</v>
      </c>
      <c r="S304" s="549"/>
      <c r="T304" s="549">
        <f>IF(U304,T303+1,T303)</f>
        <v>0</v>
      </c>
      <c r="U304" s="549" t="b">
        <f>IFERROR(U91/U90&lt;3%,FALSE)</f>
        <v>0</v>
      </c>
      <c r="V304" s="549"/>
      <c r="W304" s="552" t="str">
        <f>C89</f>
        <v>Kastenausnutzung (Volumen)</v>
      </c>
      <c r="X304" s="552" t="s">
        <v>530</v>
      </c>
      <c r="Y304" s="37"/>
    </row>
    <row r="305" spans="5:25" ht="15" thickBot="1" x14ac:dyDescent="0.25">
      <c r="E305" s="124" t="e">
        <f>IF(F304,E304+1,E304)</f>
        <v>#REF!</v>
      </c>
      <c r="F305" s="653" t="str">
        <f>IF(F304,TEXT(F$89,"0%")," ")</f>
        <v xml:space="preserve"> </v>
      </c>
      <c r="G305" s="562"/>
      <c r="H305" s="549" t="e">
        <f>IF(I304,H304+1,H304)</f>
        <v>#REF!</v>
      </c>
      <c r="I305" s="653" t="str">
        <f>IF(I304,TEXT(I$89,"0%")," ")</f>
        <v xml:space="preserve"> </v>
      </c>
      <c r="J305" s="551"/>
      <c r="K305" s="549" t="e">
        <f>IF(L304,K304+1,K304)</f>
        <v>#REF!</v>
      </c>
      <c r="L305" s="653" t="str">
        <f>IF(L304,TEXT(L$89,"0%")," ")</f>
        <v xml:space="preserve"> </v>
      </c>
      <c r="M305" s="551"/>
      <c r="N305" s="549">
        <f>IF(O304,N304+1,N304)</f>
        <v>0</v>
      </c>
      <c r="O305" s="653" t="str">
        <f>IF(O304,TEXT(O$89,"0%")," ")</f>
        <v xml:space="preserve"> </v>
      </c>
      <c r="P305" s="551"/>
      <c r="Q305" s="549">
        <f>IF(R304,Q304+1,Q304)</f>
        <v>0</v>
      </c>
      <c r="R305" s="653" t="str">
        <f>IF(R304,TEXT(R$89,"0%")," ")</f>
        <v xml:space="preserve"> </v>
      </c>
      <c r="S305" s="551"/>
      <c r="T305" s="549">
        <f>IF(U304,T304+1,T304)</f>
        <v>0</v>
      </c>
      <c r="U305" s="653" t="str">
        <f>IF(U304,TEXT(U$89,"0%")," ")</f>
        <v xml:space="preserve"> </v>
      </c>
      <c r="V305" s="551"/>
      <c r="W305" s="27"/>
      <c r="X305" s="27"/>
      <c r="Y305" s="32"/>
    </row>
    <row r="306" spans="5:25" ht="15" thickBot="1" x14ac:dyDescent="0.25">
      <c r="E306" s="124" t="e">
        <f>IF(F306,E305+1,E305)</f>
        <v>#REF!</v>
      </c>
      <c r="F306" s="549" t="b">
        <f>IFERROR(Refkalkulation!H64/(Refkalkulation!H64+Refkalkulation!H58)&gt;15%,FALSE)</f>
        <v>0</v>
      </c>
      <c r="G306" s="562"/>
      <c r="H306" s="549" t="e">
        <f>IF(I306,H305+1,H305)</f>
        <v>#REF!</v>
      </c>
      <c r="I306" s="549" t="b">
        <f>IFERROR(Refkalkulation!K64/(Refkalkulation!K64+Refkalkulation!K58)&gt;15%,FALSE)</f>
        <v>0</v>
      </c>
      <c r="J306" s="549"/>
      <c r="K306" s="549" t="e">
        <f>IF(L306,K305+1,K305)</f>
        <v>#REF!</v>
      </c>
      <c r="L306" s="549" t="b">
        <f>IFERROR(Refkalkulation!N64/(Refkalkulation!N64+Refkalkulation!N58)&gt;15%,FALSE)</f>
        <v>0</v>
      </c>
      <c r="M306" s="549"/>
      <c r="N306" s="549">
        <f>IF(O306,N305+1,N305)</f>
        <v>0</v>
      </c>
      <c r="O306" s="549" t="b">
        <f>IFERROR(Refkalkulation!#REF!/(Refkalkulation!#REF!+Refkalkulation!#REF!)&gt;15%,FALSE)</f>
        <v>0</v>
      </c>
      <c r="P306" s="549"/>
      <c r="Q306" s="549">
        <f>IF(R306,Q305+1,Q305)</f>
        <v>0</v>
      </c>
      <c r="R306" s="549" t="b">
        <f>IFERROR(Refkalkulation!#REF!/(Refkalkulation!#REF!+Refkalkulation!#REF!)&gt;15%,FALSE)</f>
        <v>0</v>
      </c>
      <c r="S306" s="549"/>
      <c r="T306" s="549">
        <f>IF(U306,T305+1,T305)</f>
        <v>0</v>
      </c>
      <c r="U306" s="549" t="b">
        <f>IFERROR(Refkalkulation!#REF!/(Refkalkulation!#REF!+Refkalkulation!#REF!)&gt;15%,FALSE)</f>
        <v>0</v>
      </c>
      <c r="V306" s="549"/>
      <c r="W306" s="552" t="s">
        <v>496</v>
      </c>
      <c r="X306" s="552" t="s">
        <v>532</v>
      </c>
      <c r="Y306" s="37"/>
    </row>
    <row r="307" spans="5:25" ht="15" thickBot="1" x14ac:dyDescent="0.25">
      <c r="E307" s="124" t="e">
        <f>IF(F306,E306+1,E306)</f>
        <v>#REF!</v>
      </c>
      <c r="F307" s="654" t="e">
        <f>TEXT(Refkalkulation!H60/(Refkalkulation!H60+Refkalkulation!H57*Refkalkulation!H59/60/Refkalkulation!H49),"0,0 %")</f>
        <v>#N/A</v>
      </c>
      <c r="G307" s="562"/>
      <c r="H307" s="549" t="e">
        <f>IF(I306,H306+1,H306)</f>
        <v>#REF!</v>
      </c>
      <c r="I307" s="652" t="e">
        <f>TEXT(Refkalkulation!K60/(Refkalkulation!K60+Refkalkulation!K57*Refkalkulation!K59/60/Refkalkulation!K49),"0,0 %")</f>
        <v>#N/A</v>
      </c>
      <c r="J307" s="551"/>
      <c r="K307" s="549" t="e">
        <f>IF(L306,K306+1,K306)</f>
        <v>#REF!</v>
      </c>
      <c r="L307" s="652" t="e">
        <f>TEXT(Refkalkulation!N60/(Refkalkulation!N60+Refkalkulation!N57*Refkalkulation!N59/60/Refkalkulation!N49),"0,0 %")</f>
        <v>#N/A</v>
      </c>
      <c r="M307" s="551"/>
      <c r="N307" s="549">
        <f>IF(O306,N306+1,N306)</f>
        <v>0</v>
      </c>
      <c r="O307" s="652" t="e">
        <f>TEXT(Refkalkulation!#REF!/(Refkalkulation!#REF!+Refkalkulation!#REF!*Refkalkulation!#REF!/60/Refkalkulation!#REF!),"0,0 %")</f>
        <v>#REF!</v>
      </c>
      <c r="P307" s="551"/>
      <c r="Q307" s="549">
        <f>IF(R306,Q306+1,Q306)</f>
        <v>0</v>
      </c>
      <c r="R307" s="652" t="e">
        <f>TEXT(Refkalkulation!#REF!/(Refkalkulation!#REF!+Refkalkulation!#REF!*Refkalkulation!#REF!/60/Refkalkulation!#REF!),"0,0 %")</f>
        <v>#REF!</v>
      </c>
      <c r="S307" s="551"/>
      <c r="T307" s="549">
        <f>IF(U306,T306+1,T306)</f>
        <v>0</v>
      </c>
      <c r="U307" s="652" t="e">
        <f>TEXT(Refkalkulation!#REF!/(Refkalkulation!#REF!+Refkalkulation!#REF!*Refkalkulation!#REF!/60/Refkalkulation!#REF!),"0,0 %")</f>
        <v>#REF!</v>
      </c>
      <c r="V307" s="551"/>
      <c r="W307" s="27"/>
      <c r="X307" s="27"/>
      <c r="Y307" s="32"/>
    </row>
    <row r="308" spans="5:25" ht="15" thickBot="1" x14ac:dyDescent="0.25">
      <c r="E308" s="124" t="e">
        <f>IF(F308,E307+1,E307)</f>
        <v>#REF!</v>
      </c>
      <c r="F308" s="549" t="b">
        <f>IFERROR(F286&gt;1,FALSE)</f>
        <v>0</v>
      </c>
      <c r="G308" s="562"/>
      <c r="H308" s="549" t="e">
        <f>IF(I308,H307+1,H307)</f>
        <v>#REF!</v>
      </c>
      <c r="I308" s="549" t="b">
        <f>IFERROR(I286&gt;1,FALSE)</f>
        <v>0</v>
      </c>
      <c r="J308" s="549"/>
      <c r="K308" s="549" t="e">
        <f>IF(L308,K307+1,K307)</f>
        <v>#REF!</v>
      </c>
      <c r="L308" s="549" t="b">
        <f>IFERROR(L286&gt;1,FALSE)</f>
        <v>0</v>
      </c>
      <c r="M308" s="549"/>
      <c r="N308" s="549">
        <f>IF(O308,N307+1,N307)</f>
        <v>0</v>
      </c>
      <c r="O308" s="549" t="b">
        <f>IFERROR(O286&gt;1,FALSE)</f>
        <v>0</v>
      </c>
      <c r="P308" s="549"/>
      <c r="Q308" s="549">
        <f>IF(R308,Q307+1,Q307)</f>
        <v>0</v>
      </c>
      <c r="R308" s="549" t="b">
        <f>IFERROR(R286&gt;1,FALSE)</f>
        <v>0</v>
      </c>
      <c r="S308" s="549"/>
      <c r="T308" s="549">
        <f>IF(U308,T307+1,T307)</f>
        <v>0</v>
      </c>
      <c r="U308" s="549" t="b">
        <f>IFERROR(U286&gt;1,FALSE)</f>
        <v>0</v>
      </c>
      <c r="V308" s="549"/>
      <c r="W308" s="552" t="s">
        <v>495</v>
      </c>
      <c r="X308" s="552" t="s">
        <v>528</v>
      </c>
      <c r="Y308" s="37"/>
    </row>
    <row r="309" spans="5:25" ht="15" thickBot="1" x14ac:dyDescent="0.25">
      <c r="E309" s="124" t="e">
        <f>IF(F308,E308+1,E308)</f>
        <v>#REF!</v>
      </c>
      <c r="F309" s="566" t="e">
        <f>CONCATENATE(F286,IF(Deutsch," WKZ aus "," tool from "),F285)</f>
        <v>#REF!</v>
      </c>
      <c r="G309" s="562"/>
      <c r="H309" s="549" t="e">
        <f>IF(I308,H308+1,H308)</f>
        <v>#REF!</v>
      </c>
      <c r="I309" s="566" t="e">
        <f>CONCATENATE(I286,IF(Deutsch," WKZ aus "," tool from "),I285)</f>
        <v>#REF!</v>
      </c>
      <c r="J309" s="551"/>
      <c r="K309" s="549" t="e">
        <f>IF(L308,K308+1,K308)</f>
        <v>#REF!</v>
      </c>
      <c r="L309" s="566" t="e">
        <f>CONCATENATE(L286,IF(Deutsch," WKZ aus "," tool from "),L285)</f>
        <v>#REF!</v>
      </c>
      <c r="M309" s="551"/>
      <c r="N309" s="549">
        <f>IF(O308,N308+1,N308)</f>
        <v>0</v>
      </c>
      <c r="O309" s="566" t="str">
        <f>CONCATENATE(O286,IF(Deutsch," WKZ aus "," tool from "),O285)</f>
        <v xml:space="preserve"> WKZ aus </v>
      </c>
      <c r="P309" s="551"/>
      <c r="Q309" s="549">
        <f>IF(R308,Q308+1,Q308)</f>
        <v>0</v>
      </c>
      <c r="R309" s="566" t="str">
        <f>CONCATENATE(R286,IF(Deutsch," WKZ aus "," tool from "),R285)</f>
        <v xml:space="preserve"> WKZ aus </v>
      </c>
      <c r="S309" s="551"/>
      <c r="T309" s="549">
        <f>IF(U308,T308+1,T308)</f>
        <v>0</v>
      </c>
      <c r="U309" s="566" t="str">
        <f>CONCATENATE(U286,IF(Deutsch," WKZ aus "," tool from "),U285)</f>
        <v xml:space="preserve"> WKZ aus </v>
      </c>
      <c r="V309" s="551"/>
      <c r="W309" s="27"/>
      <c r="X309" s="27"/>
      <c r="Y309" s="32"/>
    </row>
    <row r="310" spans="5:25" ht="15" thickBot="1" x14ac:dyDescent="0.25">
      <c r="E310" s="124" t="e">
        <f>IF(F310,E309+1,E309)</f>
        <v>#REF!</v>
      </c>
      <c r="F310" s="646" t="b">
        <f>IFERROR(F$142&lt;30%,FALSE)</f>
        <v>0</v>
      </c>
      <c r="G310" s="562"/>
      <c r="H310" s="549" t="e">
        <f>IF(I310,H309+1,H309)</f>
        <v>#REF!</v>
      </c>
      <c r="I310" s="646" t="b">
        <f>IFERROR(I$142&lt;30%,FALSE)</f>
        <v>0</v>
      </c>
      <c r="J310" s="549"/>
      <c r="K310" s="549" t="e">
        <f>IF(L310,K309+1,K309)</f>
        <v>#REF!</v>
      </c>
      <c r="L310" s="646" t="b">
        <f>IFERROR(L$142&lt;30%,FALSE)</f>
        <v>0</v>
      </c>
      <c r="M310" s="549"/>
      <c r="N310" s="549">
        <f>IF(O310,N309+1,N309)</f>
        <v>1</v>
      </c>
      <c r="O310" s="646" t="b">
        <f>IFERROR(O$142&lt;30%,FALSE)</f>
        <v>1</v>
      </c>
      <c r="P310" s="549"/>
      <c r="Q310" s="549">
        <f>IF(R310,Q309+1,Q309)</f>
        <v>1</v>
      </c>
      <c r="R310" s="646" t="b">
        <f>IFERROR(R$142&lt;30%,FALSE)</f>
        <v>1</v>
      </c>
      <c r="S310" s="549"/>
      <c r="T310" s="549">
        <f>IF(U310,T309+1,T309)</f>
        <v>1</v>
      </c>
      <c r="U310" s="646" t="b">
        <f>IFERROR(U$142&lt;30%,FALSE)</f>
        <v>1</v>
      </c>
      <c r="V310" s="549"/>
      <c r="W310" s="552" t="s">
        <v>527</v>
      </c>
      <c r="X310" s="552" t="s">
        <v>531</v>
      </c>
      <c r="Y310" s="37"/>
    </row>
    <row r="311" spans="5:25" ht="15" thickBot="1" x14ac:dyDescent="0.25">
      <c r="E311" s="124" t="e">
        <f>IF(F310,E310+1,E310)</f>
        <v>#REF!</v>
      </c>
      <c r="F311" s="652" t="e">
        <f>TEXT(F$142,"0 %")</f>
        <v>#REF!</v>
      </c>
      <c r="G311" s="562"/>
      <c r="H311" s="549" t="e">
        <f>IF(I310,H310+1,H310)</f>
        <v>#REF!</v>
      </c>
      <c r="I311" s="652" t="e">
        <f>TEXT(I$142,"0 %")</f>
        <v>#REF!</v>
      </c>
      <c r="J311" s="551"/>
      <c r="K311" s="549" t="e">
        <f>IF(L310,K310+1,K310)</f>
        <v>#REF!</v>
      </c>
      <c r="L311" s="652" t="e">
        <f>TEXT(L$142,"0 %")</f>
        <v>#REF!</v>
      </c>
      <c r="M311" s="551"/>
      <c r="N311" s="549">
        <f>IF(O310,N310+1,N310)</f>
        <v>2</v>
      </c>
      <c r="O311" s="652" t="str">
        <f>TEXT(O$142,"0 %")</f>
        <v>0 %</v>
      </c>
      <c r="P311" s="551"/>
      <c r="Q311" s="549">
        <f>IF(R310,Q310+1,Q310)</f>
        <v>2</v>
      </c>
      <c r="R311" s="652" t="str">
        <f>TEXT(R$142,"0 %")</f>
        <v>0 %</v>
      </c>
      <c r="S311" s="551"/>
      <c r="T311" s="549">
        <f>IF(U310,T310+1,T310)</f>
        <v>2</v>
      </c>
      <c r="U311" s="652" t="str">
        <f>TEXT(U$142,"0 %")</f>
        <v>0 %</v>
      </c>
      <c r="V311" s="551"/>
      <c r="W311" s="27"/>
      <c r="X311" s="27"/>
      <c r="Y311" s="32"/>
    </row>
    <row r="312" spans="5:25" ht="15" thickBot="1" x14ac:dyDescent="0.25">
      <c r="E312" s="124" t="e">
        <f>IF(F312,E311+1,E311)</f>
        <v>#REF!</v>
      </c>
      <c r="F312" s="549" t="b">
        <f>IFERROR(F74&gt;F83,FALSE)</f>
        <v>0</v>
      </c>
      <c r="G312" s="562"/>
      <c r="H312" s="549" t="e">
        <f>IF(I312,H311+1,H311)</f>
        <v>#REF!</v>
      </c>
      <c r="I312" s="549" t="b">
        <f>IFERROR(I74&gt;I83,FALSE)</f>
        <v>0</v>
      </c>
      <c r="J312" s="549"/>
      <c r="K312" s="549" t="e">
        <f>IF(L312,K311+1,K311)</f>
        <v>#REF!</v>
      </c>
      <c r="L312" s="549" t="b">
        <f>IFERROR(L74&gt;L83,FALSE)</f>
        <v>0</v>
      </c>
      <c r="M312" s="549"/>
      <c r="N312" s="549">
        <f>IF(O312,N311+1,N311)</f>
        <v>2</v>
      </c>
      <c r="O312" s="549" t="b">
        <f>IFERROR(O74&gt;O83,FALSE)</f>
        <v>0</v>
      </c>
      <c r="P312" s="549"/>
      <c r="Q312" s="549">
        <f>IF(R312,Q311+1,Q311)</f>
        <v>2</v>
      </c>
      <c r="R312" s="549" t="b">
        <f>IFERROR(R74&gt;R83,FALSE)</f>
        <v>0</v>
      </c>
      <c r="S312" s="549"/>
      <c r="T312" s="549">
        <f>IF(U312,T311+1,T311)</f>
        <v>2</v>
      </c>
      <c r="U312" s="549" t="b">
        <f>IFERROR(U74&gt;U83,FALSE)</f>
        <v>0</v>
      </c>
      <c r="V312" s="549"/>
      <c r="W312" s="552" t="s">
        <v>578</v>
      </c>
      <c r="X312" s="552" t="s">
        <v>579</v>
      </c>
      <c r="Y312" s="37"/>
    </row>
    <row r="313" spans="5:25" ht="15" thickBot="1" x14ac:dyDescent="0.25">
      <c r="E313" s="124" t="e">
        <f>IF(F312,E312+1,E312)</f>
        <v>#REF!</v>
      </c>
      <c r="F313" s="566" t="str">
        <f>IF(F312,"","")</f>
        <v/>
      </c>
      <c r="G313" s="562"/>
      <c r="H313" s="549" t="e">
        <f>IF(I312,H312+1,H312)</f>
        <v>#REF!</v>
      </c>
      <c r="I313" s="566" t="str">
        <f>IF(I312,"","")</f>
        <v/>
      </c>
      <c r="J313" s="551"/>
      <c r="K313" s="549" t="e">
        <f>IF(L312,K312+1,K312)</f>
        <v>#REF!</v>
      </c>
      <c r="L313" s="566" t="str">
        <f>IF(L312,"","")</f>
        <v/>
      </c>
      <c r="M313" s="551"/>
      <c r="N313" s="549">
        <f>IF(O312,N312+1,N312)</f>
        <v>2</v>
      </c>
      <c r="O313" s="566" t="str">
        <f>IF(O312,"","")</f>
        <v/>
      </c>
      <c r="P313" s="551"/>
      <c r="Q313" s="549">
        <f>IF(R312,Q312+1,Q312)</f>
        <v>2</v>
      </c>
      <c r="R313" s="566" t="str">
        <f>IF(R312,"","")</f>
        <v/>
      </c>
      <c r="S313" s="551"/>
      <c r="T313" s="549">
        <f>IF(U312,T312+1,T312)</f>
        <v>2</v>
      </c>
      <c r="U313" s="566" t="str">
        <f>IF(U312,"","")</f>
        <v/>
      </c>
      <c r="V313" s="551"/>
      <c r="W313" s="27"/>
      <c r="X313" s="27"/>
      <c r="Y313" s="32"/>
    </row>
    <row r="314" spans="5:25" ht="15" thickBot="1" x14ac:dyDescent="0.25">
      <c r="E314" s="124" t="e">
        <f>IF(F314,E313+1,E313)</f>
        <v>#REF!</v>
      </c>
      <c r="F314" s="549" t="b">
        <v>1</v>
      </c>
      <c r="G314" s="562"/>
      <c r="H314" s="549" t="e">
        <f>IF(I314,H313+1,H313)</f>
        <v>#REF!</v>
      </c>
      <c r="I314" s="549" t="b">
        <v>1</v>
      </c>
      <c r="J314" s="549"/>
      <c r="K314" s="549" t="e">
        <f>IF(L314,K313+1,K313)</f>
        <v>#REF!</v>
      </c>
      <c r="L314" s="549" t="b">
        <v>1</v>
      </c>
      <c r="M314" s="549"/>
      <c r="N314" s="549">
        <f>IF(O314,N313+1,N313)</f>
        <v>3</v>
      </c>
      <c r="O314" s="549" t="b">
        <v>1</v>
      </c>
      <c r="P314" s="549"/>
      <c r="Q314" s="549">
        <f>IF(R314,Q313+1,Q313)</f>
        <v>3</v>
      </c>
      <c r="R314" s="549" t="b">
        <v>1</v>
      </c>
      <c r="S314" s="549"/>
      <c r="T314" s="549">
        <f>IF(U314,T313+1,T313)</f>
        <v>3</v>
      </c>
      <c r="U314" s="549" t="b">
        <v>1</v>
      </c>
      <c r="V314" s="549"/>
      <c r="W314" s="552" t="s">
        <v>33</v>
      </c>
      <c r="X314" s="552" t="s">
        <v>33</v>
      </c>
      <c r="Y314" s="37"/>
    </row>
    <row r="315" spans="5:25" ht="15" thickBot="1" x14ac:dyDescent="0.25">
      <c r="E315" s="124" t="e">
        <f>IF(F314,E314+1,E314)</f>
        <v>#REF!</v>
      </c>
      <c r="F315" s="566" t="s">
        <v>33</v>
      </c>
      <c r="G315" s="562"/>
      <c r="H315" s="549" t="e">
        <f>IF(I314,H314+1,H314)</f>
        <v>#REF!</v>
      </c>
      <c r="I315" s="566" t="s">
        <v>33</v>
      </c>
      <c r="J315" s="551"/>
      <c r="K315" s="549" t="e">
        <f>IF(L314,K314+1,K314)</f>
        <v>#REF!</v>
      </c>
      <c r="L315" s="566" t="s">
        <v>33</v>
      </c>
      <c r="M315" s="551"/>
      <c r="N315" s="549">
        <f>IF(O314,N314+1,N314)</f>
        <v>4</v>
      </c>
      <c r="O315" s="566" t="s">
        <v>33</v>
      </c>
      <c r="P315" s="551"/>
      <c r="Q315" s="549">
        <f>IF(R314,Q314+1,Q314)</f>
        <v>4</v>
      </c>
      <c r="R315" s="566" t="s">
        <v>33</v>
      </c>
      <c r="S315" s="551"/>
      <c r="T315" s="549">
        <f>IF(U314,T314+1,T314)</f>
        <v>4</v>
      </c>
      <c r="U315" s="566" t="s">
        <v>33</v>
      </c>
      <c r="V315" s="551"/>
      <c r="W315" s="27"/>
      <c r="X315" s="27"/>
      <c r="Y315" s="32"/>
    </row>
    <row r="316" spans="5:25" ht="15" thickBot="1" x14ac:dyDescent="0.25">
      <c r="E316" s="124" t="e">
        <f>IF(F316,E315+1,E315)</f>
        <v>#REF!</v>
      </c>
      <c r="F316" s="549" t="b">
        <v>1</v>
      </c>
      <c r="G316" s="562"/>
      <c r="H316" s="549" t="e">
        <f>IF(I316,H315+1,H315)</f>
        <v>#REF!</v>
      </c>
      <c r="I316" s="549" t="b">
        <v>1</v>
      </c>
      <c r="J316" s="549"/>
      <c r="K316" s="549" t="e">
        <f>IF(L316,K315+1,K315)</f>
        <v>#REF!</v>
      </c>
      <c r="L316" s="549" t="b">
        <v>1</v>
      </c>
      <c r="M316" s="549"/>
      <c r="N316" s="549">
        <f>IF(O316,N315+1,N315)</f>
        <v>5</v>
      </c>
      <c r="O316" s="549" t="b">
        <v>1</v>
      </c>
      <c r="P316" s="549"/>
      <c r="Q316" s="549">
        <f>IF(R316,Q315+1,Q315)</f>
        <v>5</v>
      </c>
      <c r="R316" s="549" t="b">
        <v>1</v>
      </c>
      <c r="S316" s="549"/>
      <c r="T316" s="549">
        <f>IF(U316,T315+1,T315)</f>
        <v>5</v>
      </c>
      <c r="U316" s="549" t="b">
        <v>1</v>
      </c>
      <c r="V316" s="549"/>
      <c r="W316" s="552" t="s">
        <v>33</v>
      </c>
      <c r="X316" s="552" t="s">
        <v>33</v>
      </c>
      <c r="Y316" s="37"/>
    </row>
    <row r="317" spans="5:25" ht="15" thickBot="1" x14ac:dyDescent="0.25">
      <c r="E317" s="124" t="e">
        <f>IF(F316,E316+1,E316)</f>
        <v>#REF!</v>
      </c>
      <c r="F317" s="566" t="s">
        <v>33</v>
      </c>
      <c r="G317" s="562"/>
      <c r="H317" s="549" t="e">
        <f>IF(I316,H316+1,H316)</f>
        <v>#REF!</v>
      </c>
      <c r="I317" s="566" t="s">
        <v>33</v>
      </c>
      <c r="J317" s="551"/>
      <c r="K317" s="549" t="e">
        <f>IF(L316,K316+1,K316)</f>
        <v>#REF!</v>
      </c>
      <c r="L317" s="566" t="s">
        <v>33</v>
      </c>
      <c r="M317" s="551"/>
      <c r="N317" s="549">
        <f>IF(O316,N316+1,N316)</f>
        <v>6</v>
      </c>
      <c r="O317" s="566" t="s">
        <v>33</v>
      </c>
      <c r="P317" s="551"/>
      <c r="Q317" s="549">
        <f>IF(R316,Q316+1,Q316)</f>
        <v>6</v>
      </c>
      <c r="R317" s="566" t="s">
        <v>33</v>
      </c>
      <c r="S317" s="551"/>
      <c r="T317" s="549">
        <f>IF(U316,T316+1,T316)</f>
        <v>6</v>
      </c>
      <c r="U317" s="566" t="s">
        <v>33</v>
      </c>
      <c r="V317" s="551"/>
      <c r="W317" s="27"/>
      <c r="X317" s="27"/>
      <c r="Y317" s="32"/>
    </row>
    <row r="318" spans="5:25" ht="15" thickBot="1" x14ac:dyDescent="0.25">
      <c r="E318" s="124" t="e">
        <f>IF(F318,E317+1,E317)</f>
        <v>#REF!</v>
      </c>
      <c r="F318" s="549" t="b">
        <v>1</v>
      </c>
      <c r="G318" s="562"/>
      <c r="H318" s="549" t="e">
        <f>IF(I318,H317+1,H317)</f>
        <v>#REF!</v>
      </c>
      <c r="I318" s="549" t="b">
        <v>1</v>
      </c>
      <c r="J318" s="549"/>
      <c r="K318" s="549" t="e">
        <f>IF(L318,K317+1,K317)</f>
        <v>#REF!</v>
      </c>
      <c r="L318" s="549" t="b">
        <v>1</v>
      </c>
      <c r="M318" s="549"/>
      <c r="N318" s="549">
        <f>IF(O318,N317+1,N317)</f>
        <v>7</v>
      </c>
      <c r="O318" s="549" t="b">
        <v>1</v>
      </c>
      <c r="P318" s="549"/>
      <c r="Q318" s="549">
        <f>IF(R318,Q317+1,Q317)</f>
        <v>7</v>
      </c>
      <c r="R318" s="549" t="b">
        <v>1</v>
      </c>
      <c r="S318" s="549"/>
      <c r="T318" s="549">
        <f>IF(U318,T317+1,T317)</f>
        <v>7</v>
      </c>
      <c r="U318" s="549" t="b">
        <v>1</v>
      </c>
      <c r="V318" s="549"/>
      <c r="W318" s="552" t="s">
        <v>33</v>
      </c>
      <c r="X318" s="552" t="s">
        <v>33</v>
      </c>
      <c r="Y318" s="37"/>
    </row>
    <row r="319" spans="5:25" ht="15" thickBot="1" x14ac:dyDescent="0.25">
      <c r="E319" s="561" t="e">
        <f>IF(F318,E318+1,E318)</f>
        <v>#REF!</v>
      </c>
      <c r="F319" s="566" t="s">
        <v>33</v>
      </c>
      <c r="G319" s="551"/>
      <c r="H319" s="565" t="e">
        <f>IF(I318,H318+1,H318)</f>
        <v>#REF!</v>
      </c>
      <c r="I319" s="566" t="s">
        <v>33</v>
      </c>
      <c r="J319" s="551"/>
      <c r="K319" s="565" t="e">
        <f>IF(L318,K318+1,K318)</f>
        <v>#REF!</v>
      </c>
      <c r="L319" s="566" t="s">
        <v>33</v>
      </c>
      <c r="M319" s="551"/>
      <c r="N319" s="565">
        <f>IF(O318,N318+1,N318)</f>
        <v>8</v>
      </c>
      <c r="O319" s="566" t="s">
        <v>33</v>
      </c>
      <c r="P319" s="551"/>
      <c r="Q319" s="565">
        <f>IF(R318,Q318+1,Q318)</f>
        <v>8</v>
      </c>
      <c r="R319" s="566" t="s">
        <v>33</v>
      </c>
      <c r="S319" s="551"/>
      <c r="T319" s="565">
        <f>IF(U318,T318+1,T318)</f>
        <v>8</v>
      </c>
      <c r="U319" s="566" t="s">
        <v>33</v>
      </c>
      <c r="V319" s="551"/>
      <c r="W319" s="27"/>
      <c r="X319" s="27"/>
      <c r="Y319" s="32"/>
    </row>
  </sheetData>
  <autoFilter ref="B3:D273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81DBC414-7F27-41C8-896B-17CEB6D18ACE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49"/>
    </row>
    <row r="2" spans="1:1" x14ac:dyDescent="0.2">
      <c r="A2" s="1149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3" bestFit="1" customWidth="1"/>
    <col min="2" max="2" width="8" style="1073" bestFit="1" customWidth="1"/>
    <col min="3" max="3" width="8.625" style="1073" bestFit="1" customWidth="1"/>
    <col min="4" max="4" width="8.5" style="1073" bestFit="1" customWidth="1"/>
    <col min="5" max="5" width="8" style="1073" bestFit="1" customWidth="1"/>
    <col min="6" max="6" width="11.75" style="1073" bestFit="1" customWidth="1"/>
    <col min="7" max="7" width="9.875" style="1073" bestFit="1" customWidth="1"/>
    <col min="8" max="8" width="8.75" style="1073" bestFit="1" customWidth="1"/>
    <col min="9" max="9" width="16.75" style="1073" bestFit="1" customWidth="1"/>
    <col min="10" max="10" width="3.75" style="1073" customWidth="1"/>
    <col min="11" max="11" width="16.5" style="1096"/>
    <col min="12" max="16384" width="16.5" style="1073"/>
  </cols>
  <sheetData>
    <row r="1" spans="1:14" x14ac:dyDescent="0.2">
      <c r="A1" s="1072"/>
      <c r="B1" s="1072"/>
      <c r="C1" s="1072"/>
      <c r="D1" s="1072"/>
      <c r="E1" s="1072" t="str">
        <f>CONCATENATE(MID($D$9,1,2),".",MID($D$9,3,2),".",MID($D$9,5,4))</f>
        <v>12.06.20</v>
      </c>
      <c r="F1" s="1072"/>
      <c r="G1" s="1072"/>
      <c r="H1" s="1072"/>
      <c r="I1" s="1072"/>
      <c r="N1" s="1096" t="s">
        <v>895</v>
      </c>
    </row>
    <row r="2" spans="1:14" ht="38.25" x14ac:dyDescent="0.2">
      <c r="A2" s="1072" t="s">
        <v>873</v>
      </c>
      <c r="B2" s="1072" t="s">
        <v>874</v>
      </c>
      <c r="C2" s="1072" t="s">
        <v>875</v>
      </c>
      <c r="D2" s="1072" t="s">
        <v>876</v>
      </c>
      <c r="E2" s="1074" t="s">
        <v>877</v>
      </c>
      <c r="F2" s="1075" t="s">
        <v>878</v>
      </c>
      <c r="G2" s="1076" t="s">
        <v>879</v>
      </c>
      <c r="H2" s="1077" t="s">
        <v>882</v>
      </c>
      <c r="I2" s="1078" t="s">
        <v>883</v>
      </c>
      <c r="N2" s="1096" t="s">
        <v>896</v>
      </c>
    </row>
    <row r="3" spans="1:14" s="1084" customFormat="1" x14ac:dyDescent="0.2">
      <c r="A3" s="1079" t="s">
        <v>880</v>
      </c>
      <c r="B3" s="1080">
        <v>121400</v>
      </c>
      <c r="C3" s="1080">
        <v>121400</v>
      </c>
      <c r="D3" s="1080"/>
      <c r="E3" s="1095" t="str">
        <f t="shared" ref="E3:E5" si="0">MID($B$9,1,6)</f>
        <v>1,1319</v>
      </c>
      <c r="F3" s="1081"/>
      <c r="G3" s="1080"/>
      <c r="H3" s="1082">
        <f t="shared" ref="H3:H5" si="1">(C3/100+G3*E3)/1000*(1+F3)</f>
        <v>1.214</v>
      </c>
      <c r="I3" s="1083">
        <f t="shared" ref="I3:I5" si="2">H3/E3</f>
        <v>1.0725329092676033</v>
      </c>
      <c r="N3" s="1097"/>
    </row>
    <row r="4" spans="1:14" s="1091" customFormat="1" x14ac:dyDescent="0.2">
      <c r="A4" s="1085" t="s">
        <v>881</v>
      </c>
      <c r="B4" s="1086">
        <v>121000</v>
      </c>
      <c r="C4" s="1086">
        <v>121000</v>
      </c>
      <c r="D4" s="1086"/>
      <c r="E4" s="1094" t="str">
        <f t="shared" si="0"/>
        <v>1,1319</v>
      </c>
      <c r="F4" s="1087">
        <v>0.1</v>
      </c>
      <c r="G4" s="1088">
        <v>180</v>
      </c>
      <c r="H4" s="1089">
        <f t="shared" si="1"/>
        <v>1.5551162000000003</v>
      </c>
      <c r="I4" s="1090">
        <f t="shared" si="2"/>
        <v>1.3738989310009722</v>
      </c>
      <c r="K4" s="1091" t="s">
        <v>905</v>
      </c>
      <c r="N4" s="1098"/>
    </row>
    <row r="5" spans="1:14" s="1084" customFormat="1" x14ac:dyDescent="0.2">
      <c r="A5" s="1079" t="s">
        <v>901</v>
      </c>
      <c r="B5" s="1080">
        <v>120600</v>
      </c>
      <c r="C5" s="1080">
        <v>120600</v>
      </c>
      <c r="D5" s="1080"/>
      <c r="E5" s="1095" t="str">
        <f t="shared" si="0"/>
        <v>1,1319</v>
      </c>
      <c r="F5" s="1081"/>
      <c r="G5" s="1080"/>
      <c r="H5" s="1082">
        <f t="shared" si="1"/>
        <v>1.206</v>
      </c>
      <c r="I5" s="1083">
        <f t="shared" si="2"/>
        <v>1.0654651470978003</v>
      </c>
      <c r="N5" s="1097"/>
    </row>
    <row r="6" spans="1:14" x14ac:dyDescent="0.2">
      <c r="A6" s="1072"/>
      <c r="B6" s="1072"/>
      <c r="C6" s="1072"/>
      <c r="D6" s="1072"/>
      <c r="E6" s="1072"/>
      <c r="F6" s="1072"/>
      <c r="G6" s="1072"/>
      <c r="H6" s="1072"/>
      <c r="I6" s="1072"/>
      <c r="N6" s="1096"/>
    </row>
    <row r="7" spans="1:14" x14ac:dyDescent="0.2">
      <c r="N7" s="1096"/>
    </row>
    <row r="8" spans="1:14" ht="14.25" x14ac:dyDescent="0.2">
      <c r="A8" s="503" t="s">
        <v>884</v>
      </c>
      <c r="B8" t="s">
        <v>885</v>
      </c>
      <c r="C8" t="s">
        <v>886</v>
      </c>
      <c r="D8" t="s">
        <v>72</v>
      </c>
      <c r="E8" t="s">
        <v>887</v>
      </c>
      <c r="F8" t="s">
        <v>888</v>
      </c>
      <c r="G8" t="s">
        <v>889</v>
      </c>
      <c r="H8" t="s">
        <v>890</v>
      </c>
      <c r="N8" s="1096" t="s">
        <v>897</v>
      </c>
    </row>
    <row r="9" spans="1:14" ht="14.25" x14ac:dyDescent="0.2">
      <c r="A9" s="1092" t="s">
        <v>891</v>
      </c>
      <c r="B9" s="1092" t="s">
        <v>907</v>
      </c>
      <c r="C9" s="1092" t="s">
        <v>908</v>
      </c>
      <c r="D9">
        <v>120620</v>
      </c>
      <c r="E9" s="1093">
        <v>0.47638888888888886</v>
      </c>
      <c r="F9" s="1092" t="s">
        <v>909</v>
      </c>
      <c r="G9" s="1092" t="s">
        <v>910</v>
      </c>
      <c r="H9" s="1092" t="s">
        <v>911</v>
      </c>
    </row>
    <row r="10" spans="1:14" ht="14.25" x14ac:dyDescent="0.2">
      <c r="A10" s="1092" t="s">
        <v>891</v>
      </c>
      <c r="B10" s="1092" t="s">
        <v>912</v>
      </c>
      <c r="C10" s="1092" t="s">
        <v>892</v>
      </c>
      <c r="D10">
        <v>100620</v>
      </c>
      <c r="E10" s="1093">
        <v>0.5854166666666667</v>
      </c>
      <c r="F10" s="1092" t="s">
        <v>893</v>
      </c>
      <c r="G10" s="1092" t="s">
        <v>912</v>
      </c>
      <c r="H10" s="1092" t="s">
        <v>912</v>
      </c>
    </row>
    <row r="11" spans="1:14" ht="14.25" x14ac:dyDescent="0.2">
      <c r="A11" s="1092" t="s">
        <v>891</v>
      </c>
      <c r="B11" s="1092" t="s">
        <v>910</v>
      </c>
      <c r="C11" s="1092" t="s">
        <v>913</v>
      </c>
      <c r="D11">
        <v>110620</v>
      </c>
      <c r="E11" s="1093">
        <v>0.55277777777777781</v>
      </c>
      <c r="F11" s="1092" t="s">
        <v>893</v>
      </c>
      <c r="G11" s="1092" t="s">
        <v>910</v>
      </c>
      <c r="H11" s="1092" t="s">
        <v>910</v>
      </c>
    </row>
    <row r="12" spans="1:14" ht="14.25" x14ac:dyDescent="0.2">
      <c r="A12" s="1092" t="s">
        <v>891</v>
      </c>
      <c r="B12" s="1092" t="s">
        <v>907</v>
      </c>
      <c r="C12" s="1092" t="s">
        <v>914</v>
      </c>
      <c r="D12">
        <v>120620</v>
      </c>
      <c r="E12" s="1093">
        <v>0.47569444444444442</v>
      </c>
      <c r="F12" s="1092" t="s">
        <v>893</v>
      </c>
      <c r="G12" s="1092" t="s">
        <v>910</v>
      </c>
      <c r="H12" s="1092" t="s">
        <v>915</v>
      </c>
    </row>
    <row r="13" spans="1:14" ht="14.25" x14ac:dyDescent="0.2">
      <c r="A13" s="1092" t="s">
        <v>894</v>
      </c>
      <c r="B13" s="1092" t="s">
        <v>916</v>
      </c>
      <c r="C13" s="1092" t="s">
        <v>917</v>
      </c>
      <c r="D13">
        <v>120620</v>
      </c>
      <c r="E13" s="1093">
        <v>0.46597222222222223</v>
      </c>
      <c r="F13" s="1092" t="s">
        <v>918</v>
      </c>
      <c r="G13" s="1092" t="s">
        <v>919</v>
      </c>
      <c r="H13" s="1092" t="s">
        <v>920</v>
      </c>
    </row>
    <row r="16" spans="1:14" x14ac:dyDescent="0.2">
      <c r="E16" s="1072" t="str">
        <f>CONCATENATE(MID($D$9,1,2),".",MID($D$9,3,2),".",MID($D$9,5,4))</f>
        <v>12.06.20</v>
      </c>
    </row>
    <row r="17" spans="1:14" ht="38.25" x14ac:dyDescent="0.2">
      <c r="A17" s="1072" t="s">
        <v>873</v>
      </c>
      <c r="B17" s="1072" t="s">
        <v>874</v>
      </c>
      <c r="C17" s="1072" t="s">
        <v>875</v>
      </c>
      <c r="D17" s="1072" t="s">
        <v>876</v>
      </c>
      <c r="E17" s="1074" t="s">
        <v>877</v>
      </c>
      <c r="F17" s="1075" t="s">
        <v>878</v>
      </c>
      <c r="G17" s="1076" t="s">
        <v>879</v>
      </c>
      <c r="H17" s="1077" t="s">
        <v>882</v>
      </c>
      <c r="I17" s="1078" t="s">
        <v>883</v>
      </c>
    </row>
    <row r="18" spans="1:14" x14ac:dyDescent="0.2">
      <c r="A18" s="1079" t="s">
        <v>880</v>
      </c>
      <c r="B18" s="1080">
        <v>158200</v>
      </c>
      <c r="C18" s="1080">
        <v>158200</v>
      </c>
      <c r="D18" s="1080"/>
      <c r="E18" s="1095" t="str">
        <f t="shared" ref="E18:E21" si="3">MID($B$9,1,6)</f>
        <v>1,1319</v>
      </c>
      <c r="F18" s="1081"/>
      <c r="G18" s="1080"/>
      <c r="H18" s="1082">
        <f t="shared" ref="H18:H21" si="4">(C18/100+G18*E18)/1000*(1+F18)</f>
        <v>1.5820000000000001</v>
      </c>
      <c r="I18" s="1083">
        <f t="shared" ref="I18:I21" si="5">H18/E18</f>
        <v>1.3976499690785407</v>
      </c>
      <c r="N18" s="1096" t="s">
        <v>903</v>
      </c>
    </row>
    <row r="19" spans="1:14" x14ac:dyDescent="0.2">
      <c r="A19" s="1085" t="s">
        <v>881</v>
      </c>
      <c r="B19" s="1085">
        <v>160550</v>
      </c>
      <c r="C19" s="1085">
        <v>160550</v>
      </c>
      <c r="D19" s="1085"/>
      <c r="E19" s="1085" t="str">
        <f t="shared" si="3"/>
        <v>1,1319</v>
      </c>
      <c r="F19" s="1087">
        <v>0.1</v>
      </c>
      <c r="G19" s="1088">
        <v>400</v>
      </c>
      <c r="H19" s="1089">
        <f t="shared" si="4"/>
        <v>2.2640860000000003</v>
      </c>
      <c r="I19" s="1090">
        <f t="shared" si="5"/>
        <v>2.0002526724975707</v>
      </c>
      <c r="K19" s="1091" t="s">
        <v>904</v>
      </c>
    </row>
    <row r="20" spans="1:14" x14ac:dyDescent="0.2">
      <c r="A20" s="1079" t="s">
        <v>901</v>
      </c>
      <c r="B20" s="1080">
        <v>170500</v>
      </c>
      <c r="C20" s="1080">
        <v>170500</v>
      </c>
      <c r="D20" s="1080"/>
      <c r="E20" s="1095" t="str">
        <f t="shared" si="3"/>
        <v>1,1319</v>
      </c>
      <c r="F20" s="1081"/>
      <c r="G20" s="1080"/>
      <c r="H20" s="1082">
        <f t="shared" si="4"/>
        <v>1.7050000000000001</v>
      </c>
      <c r="I20" s="1083">
        <f t="shared" si="5"/>
        <v>1.5063168124392616</v>
      </c>
    </row>
    <row r="21" spans="1:14" x14ac:dyDescent="0.2">
      <c r="A21" s="1079" t="s">
        <v>902</v>
      </c>
      <c r="B21" s="1080">
        <v>178150</v>
      </c>
      <c r="C21" s="1080">
        <v>178150</v>
      </c>
      <c r="D21" s="1080"/>
      <c r="E21" s="1095" t="str">
        <f t="shared" si="3"/>
        <v>1,1319</v>
      </c>
      <c r="F21" s="1081"/>
      <c r="G21" s="1080"/>
      <c r="H21" s="1082">
        <f t="shared" si="4"/>
        <v>1.7815000000000001</v>
      </c>
      <c r="I21" s="1083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2022-03-18T13:53:10Z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
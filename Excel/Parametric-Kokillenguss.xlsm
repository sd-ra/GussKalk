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showInkAnnotation="0" updateLinks="never" codeName="DieseArbeitsmappe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B3384503-69F3-4754-8E1B-7288A7DD0D8C}" xr6:coauthVersionLast="47" xr6:coauthVersionMax="47" xr10:uidLastSave="{00000000-0000-0000-0000-000000000000}"/>
  <bookViews>
    <workbookView xWindow="-120" yWindow="-120" windowWidth="29040" windowHeight="15840" tabRatio="955" activeTab="10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  <externalReference r:id="rId16"/>
    <externalReference r:id="rId17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Parametrikber!$B$3:$D$269</definedName>
    <definedName name="_xlchart.v1.0" hidden="1">Charts!$C$67:$I$67</definedName>
    <definedName name="_xlchart.v1.1" hidden="1">Charts!$C$68:$I$68</definedName>
    <definedName name="_xlchart.v1.2" hidden="1">Charts!$C$69:$H$69</definedName>
    <definedName name="_xlchart.v1.3" hidden="1">Charts!$C$56:$I$56</definedName>
    <definedName name="_xlchart.v1.4" hidden="1">Charts!$C$57:$I$57</definedName>
    <definedName name="_xlchart.v1.5" hidden="1">Charts!$C$58:$I$58</definedName>
    <definedName name="_xlchart.v1.6" hidden="1">Charts!$C$62:$I$62</definedName>
    <definedName name="_xlchart.v1.7" hidden="1">Charts!$C$63:$I$63</definedName>
    <definedName name="_xlchart.v1.8" hidden="1">Charts!$C$64:$I$64</definedName>
    <definedName name="AW_Automatisierungsgrad">Auswahlfelder!$B$81:$B$87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Refkalkulation!$A$1:$X$139</definedName>
    <definedName name="_xlnm.Print_Area" localSheetId="4">'RFTI Template'!$B$2:$I$51</definedName>
    <definedName name="ds">Refkalkulation!#REF!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Parametrikber!$B$3:$D$191</definedName>
    <definedName name="Z_E76F23AC_014B_4C87_BE15_08B9C9C5DB20_.wvu.PrintArea" localSheetId="2" hidden="1">'Quick Input'!$A$1:$AC$86</definedName>
    <definedName name="Z_E76F23AC_014B_4C87_BE15_08B9C9C5DB20_.wvu.PrintArea" localSheetId="3" hidden="1">Refkalkulation!$A$1:$X$139</definedName>
    <definedName name="Z_E76F23AC_014B_4C87_BE15_08B9C9C5DB20_.wvu.PrintArea" localSheetId="4" hidden="1">'RFTI Template'!$B$2:$I$51</definedName>
    <definedName name="Z_E76F23AC_014B_4C87_BE15_08B9C9C5DB20_.wvu.Rows" localSheetId="2" hidden="1">'Quick Input'!$60:$84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3" i="15" l="1"/>
  <c r="I33" i="15"/>
  <c r="L33" i="15"/>
  <c r="L30" i="15"/>
  <c r="I30" i="15"/>
  <c r="F30" i="15"/>
  <c r="L29" i="15"/>
  <c r="I29" i="15"/>
  <c r="F29" i="15"/>
  <c r="U30" i="15"/>
  <c r="R30" i="15"/>
  <c r="O30" i="15"/>
  <c r="U29" i="15"/>
  <c r="R29" i="15"/>
  <c r="O29" i="15"/>
  <c r="L234" i="15"/>
  <c r="L236" i="15" s="1"/>
  <c r="I234" i="15"/>
  <c r="I235" i="15" s="1"/>
  <c r="F234" i="15"/>
  <c r="S23" i="3"/>
  <c r="P23" i="3"/>
  <c r="M23" i="3"/>
  <c r="F235" i="15" l="1"/>
  <c r="O32" i="15"/>
  <c r="O31" i="15" s="1"/>
  <c r="O28" i="15" s="1"/>
  <c r="L32" i="15"/>
  <c r="L31" i="15" s="1"/>
  <c r="L28" i="15" s="1"/>
  <c r="R32" i="15"/>
  <c r="R31" i="15" s="1"/>
  <c r="R28" i="15" s="1"/>
  <c r="L235" i="15"/>
  <c r="U32" i="15"/>
  <c r="U31" i="15" s="1"/>
  <c r="U28" i="15" s="1"/>
  <c r="F236" i="15"/>
  <c r="I236" i="15"/>
  <c r="U234" i="15" l="1"/>
  <c r="U236" i="15" s="1"/>
  <c r="R234" i="15"/>
  <c r="R236" i="15" s="1"/>
  <c r="O234" i="15"/>
  <c r="O235" i="15" s="1"/>
  <c r="B233" i="15"/>
  <c r="B234" i="15" s="1"/>
  <c r="B235" i="15" s="1"/>
  <c r="F59" i="15"/>
  <c r="F60" i="15" s="1"/>
  <c r="I59" i="15"/>
  <c r="I60" i="15" s="1"/>
  <c r="L59" i="15"/>
  <c r="L60" i="15" s="1"/>
  <c r="U146" i="15"/>
  <c r="R146" i="15"/>
  <c r="O146" i="15"/>
  <c r="R235" i="15" l="1"/>
  <c r="U235" i="15"/>
  <c r="O236" i="15"/>
  <c r="U57" i="15"/>
  <c r="U58" i="15" s="1"/>
  <c r="R57" i="15"/>
  <c r="R58" i="15" s="1"/>
  <c r="O57" i="15"/>
  <c r="O58" i="15" s="1"/>
  <c r="O56" i="15"/>
  <c r="R40" i="2"/>
  <c r="O40" i="2"/>
  <c r="R39" i="2"/>
  <c r="O39" i="2"/>
  <c r="R38" i="2"/>
  <c r="O38" i="2"/>
  <c r="R37" i="2"/>
  <c r="O37" i="2"/>
  <c r="R36" i="2"/>
  <c r="O36" i="2"/>
  <c r="R35" i="2"/>
  <c r="O35" i="2"/>
  <c r="R34" i="2"/>
  <c r="O34" i="2"/>
  <c r="R33" i="2"/>
  <c r="O33" i="2"/>
  <c r="R32" i="2"/>
  <c r="O32" i="2"/>
  <c r="R31" i="2"/>
  <c r="O31" i="2"/>
  <c r="R30" i="2"/>
  <c r="Q30" i="2"/>
  <c r="N30" i="2"/>
  <c r="O30" i="2" s="1"/>
  <c r="H30" i="2"/>
  <c r="R29" i="2"/>
  <c r="Q29" i="2"/>
  <c r="N29" i="2"/>
  <c r="O29" i="2" s="1"/>
  <c r="H29" i="2"/>
  <c r="R28" i="2"/>
  <c r="Q28" i="2"/>
  <c r="N28" i="2"/>
  <c r="O28" i="2" s="1"/>
  <c r="H28" i="2"/>
  <c r="Z27" i="2"/>
  <c r="Y27" i="2"/>
  <c r="X27" i="2"/>
  <c r="W27" i="2"/>
  <c r="R27" i="2"/>
  <c r="Q27" i="2"/>
  <c r="O27" i="2"/>
  <c r="H27" i="2"/>
  <c r="Z26" i="2"/>
  <c r="Y26" i="2"/>
  <c r="X26" i="2"/>
  <c r="W26" i="2"/>
  <c r="R26" i="2"/>
  <c r="Q26" i="2"/>
  <c r="O26" i="2"/>
  <c r="H26" i="2"/>
  <c r="Z25" i="2"/>
  <c r="Y25" i="2"/>
  <c r="X25" i="2"/>
  <c r="W25" i="2"/>
  <c r="R25" i="2"/>
  <c r="Q25" i="2"/>
  <c r="N25" i="2"/>
  <c r="O25" i="2" s="1"/>
  <c r="H25" i="2"/>
  <c r="Z24" i="2"/>
  <c r="Y24" i="2"/>
  <c r="X24" i="2"/>
  <c r="W24" i="2"/>
  <c r="R24" i="2"/>
  <c r="Q24" i="2"/>
  <c r="O24" i="2"/>
  <c r="H24" i="2"/>
  <c r="Z23" i="2"/>
  <c r="Y23" i="2"/>
  <c r="X23" i="2"/>
  <c r="R23" i="2"/>
  <c r="Q23" i="2"/>
  <c r="O23" i="2"/>
  <c r="H23" i="2"/>
  <c r="Z22" i="2"/>
  <c r="Y22" i="2"/>
  <c r="X22" i="2"/>
  <c r="R22" i="2"/>
  <c r="O22" i="2"/>
  <c r="Y21" i="2"/>
  <c r="M23" i="4"/>
  <c r="U56" i="15" l="1"/>
  <c r="I56" i="15"/>
  <c r="F56" i="15"/>
  <c r="R56" i="15"/>
  <c r="L56" i="15"/>
  <c r="E87" i="14"/>
  <c r="E86" i="14"/>
  <c r="E85" i="14"/>
  <c r="E84" i="14"/>
  <c r="E83" i="14"/>
  <c r="E82" i="14"/>
  <c r="E81" i="14"/>
  <c r="J15" i="14"/>
  <c r="I15" i="14"/>
  <c r="H15" i="14"/>
  <c r="J14" i="14"/>
  <c r="I14" i="14"/>
  <c r="H14" i="14"/>
  <c r="J13" i="14"/>
  <c r="I13" i="14"/>
  <c r="H13" i="14"/>
  <c r="J12" i="14"/>
  <c r="I12" i="14"/>
  <c r="H12" i="14"/>
  <c r="J11" i="14"/>
  <c r="I11" i="14"/>
  <c r="H11" i="14"/>
  <c r="J10" i="14"/>
  <c r="I10" i="14"/>
  <c r="H10" i="14"/>
  <c r="J9" i="14"/>
  <c r="I9" i="14"/>
  <c r="H9" i="14"/>
  <c r="J8" i="14"/>
  <c r="I8" i="14"/>
  <c r="H8" i="14"/>
  <c r="J7" i="14"/>
  <c r="I7" i="14"/>
  <c r="H7" i="14"/>
  <c r="J6" i="14"/>
  <c r="I6" i="14"/>
  <c r="H6" i="14"/>
  <c r="J5" i="14"/>
  <c r="I5" i="14"/>
  <c r="H5" i="14"/>
  <c r="J4" i="14"/>
  <c r="I4" i="14"/>
  <c r="H4" i="14"/>
  <c r="J3" i="14"/>
  <c r="I3" i="14"/>
  <c r="H3" i="14"/>
  <c r="D35" i="14"/>
  <c r="F123" i="15"/>
  <c r="S50" i="3" l="1"/>
  <c r="S47" i="3"/>
  <c r="S34" i="3"/>
  <c r="S33" i="3"/>
  <c r="S32" i="3"/>
  <c r="S31" i="3"/>
  <c r="S30" i="3"/>
  <c r="S29" i="3"/>
  <c r="S28" i="3"/>
  <c r="S27" i="3"/>
  <c r="S26" i="3"/>
  <c r="S25" i="3"/>
  <c r="S59" i="3"/>
  <c r="S22" i="3"/>
  <c r="L53" i="15" s="1"/>
  <c r="S84" i="3"/>
  <c r="S83" i="3"/>
  <c r="S82" i="3"/>
  <c r="S81" i="3"/>
  <c r="S80" i="3"/>
  <c r="S79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62" i="3"/>
  <c r="S61" i="3"/>
  <c r="S60" i="3"/>
  <c r="S58" i="3"/>
  <c r="S53" i="3"/>
  <c r="S54" i="3" s="1"/>
  <c r="S55" i="3" s="1"/>
  <c r="S56" i="3" s="1"/>
  <c r="S57" i="3" s="1"/>
  <c r="S51" i="3"/>
  <c r="S49" i="3"/>
  <c r="S48" i="3"/>
  <c r="S38" i="3"/>
  <c r="S37" i="3"/>
  <c r="S36" i="3"/>
  <c r="S35" i="3"/>
  <c r="S21" i="3"/>
  <c r="S19" i="3"/>
  <c r="S18" i="3"/>
  <c r="S17" i="3"/>
  <c r="S16" i="3"/>
  <c r="S15" i="3"/>
  <c r="S14" i="3"/>
  <c r="L233" i="15" l="1"/>
  <c r="L232" i="15" s="1"/>
  <c r="L55" i="15"/>
  <c r="L54" i="15"/>
  <c r="S39" i="3"/>
  <c r="S40" i="3" s="1"/>
  <c r="S41" i="3" l="1"/>
  <c r="S42" i="3" l="1"/>
  <c r="S43" i="3" l="1"/>
  <c r="S44" i="3" s="1"/>
  <c r="S45" i="3" s="1"/>
  <c r="S10" i="3" l="1"/>
  <c r="S20" i="3" s="1"/>
  <c r="P10" i="3"/>
  <c r="P11" i="3" s="1"/>
  <c r="S8" i="3"/>
  <c r="S9" i="3"/>
  <c r="P9" i="3"/>
  <c r="S12" i="3"/>
  <c r="S13" i="3" s="1"/>
  <c r="P12" i="3"/>
  <c r="P13" i="3" s="1"/>
  <c r="S11" i="3" l="1"/>
  <c r="F263" i="15"/>
  <c r="I263" i="15"/>
  <c r="L263" i="15"/>
  <c r="F155" i="15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7" i="7" l="1"/>
  <c r="H13" i="30" l="1"/>
  <c r="L13" i="30"/>
  <c r="D13" i="30"/>
  <c r="P63" i="3"/>
  <c r="O63" i="3" s="1"/>
  <c r="R63" i="3"/>
  <c r="M63" i="3"/>
  <c r="L63" i="3" s="1"/>
  <c r="B239" i="15"/>
  <c r="B240" i="15" s="1"/>
  <c r="B241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48" i="15" l="1"/>
  <c r="B249" i="15" s="1"/>
  <c r="B250" i="15" s="1"/>
  <c r="B251" i="15" s="1"/>
  <c r="B253" i="15" s="1"/>
  <c r="B254" i="15" s="1"/>
  <c r="B255" i="15" s="1"/>
  <c r="F139" i="15"/>
  <c r="B256" i="15" l="1"/>
  <c r="B262" i="15"/>
  <c r="B263" i="15" s="1"/>
  <c r="B264" i="15" s="1"/>
  <c r="B266" i="15"/>
  <c r="B267" i="15" s="1"/>
  <c r="B268" i="15" s="1"/>
  <c r="B258" i="15"/>
  <c r="B259" i="15" s="1"/>
  <c r="B260" i="15" s="1"/>
  <c r="O51" i="2" l="1"/>
  <c r="O50" i="2"/>
  <c r="O49" i="2"/>
  <c r="O48" i="2"/>
  <c r="O47" i="2"/>
  <c r="O46" i="2"/>
  <c r="L221" i="15" l="1"/>
  <c r="I221" i="15"/>
  <c r="F221" i="15"/>
  <c r="H45" i="7"/>
  <c r="L139" i="15"/>
  <c r="I139" i="15"/>
  <c r="M21" i="3" l="1"/>
  <c r="L57" i="7"/>
  <c r="G82" i="3" l="1"/>
  <c r="G81" i="3"/>
  <c r="P73" i="3"/>
  <c r="O73" i="3" s="1"/>
  <c r="R73" i="3"/>
  <c r="M73" i="3"/>
  <c r="L73" i="3" s="1"/>
  <c r="P71" i="3"/>
  <c r="O71" i="3" s="1"/>
  <c r="R71" i="3"/>
  <c r="P74" i="3"/>
  <c r="O74" i="3" s="1"/>
  <c r="R74" i="3"/>
  <c r="M71" i="3"/>
  <c r="L71" i="3" s="1"/>
  <c r="P70" i="3"/>
  <c r="O70" i="3" s="1"/>
  <c r="R70" i="3"/>
  <c r="M70" i="3"/>
  <c r="L70" i="3" s="1"/>
  <c r="P81" i="3"/>
  <c r="O81" i="3" s="1"/>
  <c r="R81" i="3"/>
  <c r="P82" i="3"/>
  <c r="O82" i="3" s="1"/>
  <c r="R82" i="3"/>
  <c r="M81" i="3"/>
  <c r="L81" i="3" s="1"/>
  <c r="N45" i="7"/>
  <c r="K45" i="7"/>
  <c r="L31" i="7" l="1"/>
  <c r="P62" i="3" s="1"/>
  <c r="I31" i="7"/>
  <c r="M62" i="3" s="1"/>
  <c r="M50" i="3"/>
  <c r="K64" i="3"/>
  <c r="M64" i="3"/>
  <c r="L64" i="3" s="1"/>
  <c r="P64" i="3"/>
  <c r="O64" i="3" s="1"/>
  <c r="R64" i="3"/>
  <c r="M66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L35" i="15"/>
  <c r="P47" i="3"/>
  <c r="I35" i="15" s="1"/>
  <c r="M47" i="3"/>
  <c r="F35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28" i="15"/>
  <c r="L61" i="15" s="1"/>
  <c r="I228" i="15"/>
  <c r="I61" i="15" s="1"/>
  <c r="F228" i="15"/>
  <c r="F61" i="15" s="1"/>
  <c r="F118" i="15" l="1"/>
  <c r="F241" i="15" s="1"/>
  <c r="D231" i="15"/>
  <c r="B228" i="15"/>
  <c r="B229" i="15" s="1"/>
  <c r="B230" i="15" s="1"/>
  <c r="B231" i="15" s="1"/>
  <c r="B237" i="15" s="1"/>
  <c r="F240" i="15" l="1"/>
  <c r="F239" i="15"/>
  <c r="F238" i="15"/>
  <c r="L118" i="15"/>
  <c r="I118" i="15"/>
  <c r="I241" i="15" s="1"/>
  <c r="E73" i="14"/>
  <c r="E72" i="14"/>
  <c r="E71" i="14"/>
  <c r="L241" i="15" l="1"/>
  <c r="L240" i="15"/>
  <c r="L239" i="15"/>
  <c r="L238" i="15"/>
  <c r="I239" i="15"/>
  <c r="I240" i="15"/>
  <c r="I238" i="15"/>
  <c r="J47" i="2"/>
  <c r="J48" i="2"/>
  <c r="J49" i="2"/>
  <c r="J50" i="2"/>
  <c r="J51" i="2"/>
  <c r="P58" i="3" l="1"/>
  <c r="K59" i="3"/>
  <c r="M12" i="3"/>
  <c r="M13" i="3" s="1"/>
  <c r="P34" i="3"/>
  <c r="M34" i="3"/>
  <c r="P33" i="3"/>
  <c r="M33" i="3"/>
  <c r="P22" i="3"/>
  <c r="I53" i="15" s="1"/>
  <c r="M22" i="3"/>
  <c r="F53" i="15" s="1"/>
  <c r="I233" i="15" l="1"/>
  <c r="I232" i="15" s="1"/>
  <c r="F233" i="15"/>
  <c r="F232" i="15" s="1"/>
  <c r="I55" i="15"/>
  <c r="I54" i="15"/>
  <c r="F54" i="15"/>
  <c r="F55" i="15"/>
  <c r="P32" i="3"/>
  <c r="M32" i="3"/>
  <c r="P50" i="3"/>
  <c r="P21" i="3"/>
  <c r="P28" i="3"/>
  <c r="M29" i="3"/>
  <c r="M28" i="3"/>
  <c r="F266" i="15" s="1"/>
  <c r="L262" i="15"/>
  <c r="P31" i="3"/>
  <c r="P30" i="3"/>
  <c r="P29" i="3"/>
  <c r="P27" i="3"/>
  <c r="I262" i="15" s="1"/>
  <c r="P26" i="3"/>
  <c r="M31" i="3"/>
  <c r="M30" i="3"/>
  <c r="M27" i="3"/>
  <c r="F262" i="15" s="1"/>
  <c r="M26" i="3"/>
  <c r="L258" i="15" l="1"/>
  <c r="L219" i="15"/>
  <c r="F258" i="15"/>
  <c r="F219" i="15"/>
  <c r="I258" i="15"/>
  <c r="I219" i="15"/>
  <c r="N139" i="7"/>
  <c r="L49" i="31" s="1"/>
  <c r="P59" i="3"/>
  <c r="K139" i="7" s="1"/>
  <c r="H49" i="31" s="1"/>
  <c r="M59" i="3"/>
  <c r="F25" i="15"/>
  <c r="I25" i="15"/>
  <c r="L25" i="15"/>
  <c r="P25" i="3"/>
  <c r="I248" i="15" s="1"/>
  <c r="L248" i="15"/>
  <c r="M25" i="3"/>
  <c r="F248" i="15" s="1"/>
  <c r="E57" i="14"/>
  <c r="E56" i="14"/>
  <c r="E55" i="14"/>
  <c r="E54" i="14"/>
  <c r="I249" i="15" l="1"/>
  <c r="I250" i="15" s="1"/>
  <c r="I96" i="15"/>
  <c r="F249" i="15"/>
  <c r="F250" i="15" s="1"/>
  <c r="F96" i="15"/>
  <c r="L96" i="15"/>
  <c r="L249" i="15"/>
  <c r="L250" i="15" s="1"/>
  <c r="L30" i="31"/>
  <c r="G10" i="3"/>
  <c r="H30" i="31"/>
  <c r="M10" i="3"/>
  <c r="L252" i="15" l="1"/>
  <c r="L251" i="15"/>
  <c r="L255" i="15"/>
  <c r="I251" i="15"/>
  <c r="I252" i="15"/>
  <c r="I255" i="15"/>
  <c r="F252" i="15"/>
  <c r="F251" i="15"/>
  <c r="D30" i="31"/>
  <c r="M11" i="3"/>
  <c r="L292" i="15"/>
  <c r="F292" i="15"/>
  <c r="I292" i="15"/>
  <c r="H9" i="7"/>
  <c r="H11" i="7" s="1"/>
  <c r="K9" i="7"/>
  <c r="K11" i="7" s="1"/>
  <c r="N9" i="7"/>
  <c r="N11" i="7" s="1"/>
  <c r="D12" i="25"/>
  <c r="F255" i="15" l="1"/>
  <c r="D33" i="30"/>
  <c r="D31" i="31"/>
  <c r="L33" i="30"/>
  <c r="L31" i="31"/>
  <c r="H33" i="30"/>
  <c r="H31" i="31"/>
  <c r="K10" i="7"/>
  <c r="N11" i="3"/>
  <c r="Q11" i="3"/>
  <c r="N10" i="7"/>
  <c r="K11" i="3"/>
  <c r="H10" i="7"/>
  <c r="L244" i="15"/>
  <c r="I244" i="15"/>
  <c r="F244" i="15"/>
  <c r="L243" i="15"/>
  <c r="I243" i="15"/>
  <c r="F243" i="15"/>
  <c r="B243" i="15" l="1"/>
  <c r="B244" i="15" s="1"/>
  <c r="B245" i="15" s="1"/>
  <c r="B246" i="15" s="1"/>
  <c r="M29" i="4" l="1"/>
  <c r="F97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37" i="15" l="1"/>
  <c r="L231" i="15" s="1"/>
  <c r="F237" i="15"/>
  <c r="F231" i="15" s="1"/>
  <c r="I237" i="15"/>
  <c r="I231" i="15" s="1"/>
  <c r="P65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D34" i="30" l="1"/>
  <c r="F13" i="3"/>
  <c r="E13" i="3"/>
  <c r="R78" i="3" l="1"/>
  <c r="P78" i="3"/>
  <c r="O78" i="3" s="1"/>
  <c r="L170" i="15"/>
  <c r="I170" i="15"/>
  <c r="F170" i="15"/>
  <c r="L167" i="15"/>
  <c r="I167" i="15"/>
  <c r="F167" i="15"/>
  <c r="L155" i="15"/>
  <c r="I155" i="15"/>
  <c r="L136" i="15"/>
  <c r="I136" i="15"/>
  <c r="F136" i="15"/>
  <c r="L123" i="15"/>
  <c r="I123" i="15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L147" i="15" s="1"/>
  <c r="L148" i="15" s="1"/>
  <c r="E16" i="14"/>
  <c r="E8" i="14"/>
  <c r="E7" i="14"/>
  <c r="F147" i="15" l="1"/>
  <c r="F148" i="15" s="1"/>
  <c r="I147" i="15"/>
  <c r="I148" i="15" s="1"/>
  <c r="L198" i="15"/>
  <c r="I198" i="15"/>
  <c r="I113" i="15"/>
  <c r="F198" i="15"/>
  <c r="L259" i="15"/>
  <c r="L267" i="15"/>
  <c r="L181" i="15"/>
  <c r="I267" i="15"/>
  <c r="I181" i="15"/>
  <c r="I259" i="15"/>
  <c r="F259" i="15"/>
  <c r="F267" i="15"/>
  <c r="F181" i="15"/>
  <c r="F218" i="15"/>
  <c r="L218" i="15"/>
  <c r="I218" i="15"/>
  <c r="F112" i="15"/>
  <c r="F113" i="15"/>
  <c r="L113" i="15"/>
  <c r="L112" i="15"/>
  <c r="I112" i="15"/>
  <c r="I289" i="15"/>
  <c r="I214" i="15"/>
  <c r="I189" i="15"/>
  <c r="I93" i="15"/>
  <c r="I284" i="15"/>
  <c r="I205" i="15"/>
  <c r="I185" i="15"/>
  <c r="I176" i="15"/>
  <c r="L213" i="15"/>
  <c r="L14" i="15"/>
  <c r="L13" i="15" s="1"/>
  <c r="L284" i="15"/>
  <c r="L205" i="15"/>
  <c r="L185" i="15"/>
  <c r="L176" i="15"/>
  <c r="L289" i="15"/>
  <c r="L214" i="15"/>
  <c r="L189" i="15"/>
  <c r="L93" i="15"/>
  <c r="F185" i="15"/>
  <c r="F93" i="15"/>
  <c r="F284" i="15"/>
  <c r="F189" i="15"/>
  <c r="F176" i="15"/>
  <c r="F214" i="15"/>
  <c r="F289" i="15"/>
  <c r="F205" i="15"/>
  <c r="I213" i="15"/>
  <c r="I14" i="15"/>
  <c r="I13" i="15" s="1"/>
  <c r="F149" i="15"/>
  <c r="L149" i="15"/>
  <c r="I149" i="15"/>
  <c r="L215" i="15"/>
  <c r="L125" i="15"/>
  <c r="I215" i="15"/>
  <c r="I125" i="15"/>
  <c r="F14" i="15"/>
  <c r="F13" i="15" s="1"/>
  <c r="F213" i="15"/>
  <c r="F125" i="15"/>
  <c r="F215" i="15"/>
  <c r="F137" i="15"/>
  <c r="F160" i="15"/>
  <c r="I160" i="15"/>
  <c r="I137" i="15"/>
  <c r="L160" i="15"/>
  <c r="L137" i="15"/>
  <c r="L150" i="15" l="1"/>
  <c r="I150" i="15"/>
  <c r="F150" i="15"/>
  <c r="L188" i="15"/>
  <c r="I188" i="15"/>
  <c r="F188" i="15"/>
  <c r="L94" i="15"/>
  <c r="I94" i="15"/>
  <c r="F94" i="15"/>
  <c r="M78" i="3"/>
  <c r="L78" i="3" s="1"/>
  <c r="B198" i="15"/>
  <c r="B199" i="15" s="1"/>
  <c r="B200" i="15" s="1"/>
  <c r="B201" i="15" s="1"/>
  <c r="B202" i="15" s="1"/>
  <c r="B203" i="15" s="1"/>
  <c r="L224" i="15"/>
  <c r="I224" i="15"/>
  <c r="F224" i="15"/>
  <c r="B223" i="15"/>
  <c r="B224" i="15" s="1"/>
  <c r="N8" i="7"/>
  <c r="L11" i="31" s="1"/>
  <c r="P35" i="3"/>
  <c r="K8" i="7" s="1"/>
  <c r="H11" i="31" s="1"/>
  <c r="M35" i="3"/>
  <c r="H8" i="7" s="1"/>
  <c r="D11" i="31" s="1"/>
  <c r="B79" i="15"/>
  <c r="B80" i="15" s="1"/>
  <c r="B81" i="15" s="1"/>
  <c r="B82" i="15" s="1"/>
  <c r="J52" i="3"/>
  <c r="Q38" i="3"/>
  <c r="P38" i="3"/>
  <c r="AB9" i="3"/>
  <c r="AB8" i="3"/>
  <c r="R84" i="3"/>
  <c r="R83" i="3"/>
  <c r="R80" i="3"/>
  <c r="R79" i="3"/>
  <c r="R72" i="3"/>
  <c r="R67" i="3"/>
  <c r="R65" i="3"/>
  <c r="R61" i="3"/>
  <c r="R60" i="3"/>
  <c r="Q54" i="3"/>
  <c r="L162" i="15"/>
  <c r="L285" i="15"/>
  <c r="N6" i="7"/>
  <c r="L12" i="30" s="1"/>
  <c r="N5" i="7"/>
  <c r="P84" i="3"/>
  <c r="O84" i="3" s="1"/>
  <c r="P83" i="3"/>
  <c r="O83" i="3" s="1"/>
  <c r="P69" i="3"/>
  <c r="P80" i="3"/>
  <c r="O80" i="3" s="1"/>
  <c r="P79" i="3"/>
  <c r="O79" i="3" s="1"/>
  <c r="P68" i="3"/>
  <c r="P67" i="3"/>
  <c r="O67" i="3" s="1"/>
  <c r="O65" i="3"/>
  <c r="P61" i="3"/>
  <c r="O61" i="3" s="1"/>
  <c r="P60" i="3"/>
  <c r="O60" i="3" s="1"/>
  <c r="P53" i="3"/>
  <c r="P51" i="3"/>
  <c r="P49" i="3"/>
  <c r="I162" i="15" s="1"/>
  <c r="P48" i="3"/>
  <c r="P37" i="3"/>
  <c r="I101" i="15" s="1"/>
  <c r="P36" i="3"/>
  <c r="P19" i="3"/>
  <c r="P18" i="3"/>
  <c r="I285" i="15" s="1"/>
  <c r="P17" i="3"/>
  <c r="P16" i="3"/>
  <c r="P15" i="3"/>
  <c r="P14" i="3"/>
  <c r="K6" i="7"/>
  <c r="H12" i="30" s="1"/>
  <c r="P8" i="3"/>
  <c r="K5" i="7" s="1"/>
  <c r="M37" i="3"/>
  <c r="M36" i="3"/>
  <c r="M19" i="3"/>
  <c r="H14" i="7" s="1"/>
  <c r="M18" i="3"/>
  <c r="F285" i="15" s="1"/>
  <c r="M17" i="3"/>
  <c r="M16" i="3"/>
  <c r="M15" i="3"/>
  <c r="M9" i="3"/>
  <c r="H6" i="7" s="1"/>
  <c r="M8" i="3"/>
  <c r="M14" i="3"/>
  <c r="M83" i="3"/>
  <c r="L83" i="3" s="1"/>
  <c r="M82" i="3"/>
  <c r="L82" i="3" s="1"/>
  <c r="M69" i="3"/>
  <c r="L69" i="3" s="1"/>
  <c r="M80" i="3"/>
  <c r="L80" i="3" s="1"/>
  <c r="M79" i="3"/>
  <c r="L79" i="3" s="1"/>
  <c r="M65" i="3"/>
  <c r="L65" i="3" s="1"/>
  <c r="M61" i="3"/>
  <c r="L61" i="3" s="1"/>
  <c r="M60" i="3"/>
  <c r="L60" i="3" s="1"/>
  <c r="M58" i="3"/>
  <c r="H139" i="7" s="1"/>
  <c r="D49" i="31" s="1"/>
  <c r="M53" i="3"/>
  <c r="M54" i="3" s="1"/>
  <c r="M55" i="3" s="1"/>
  <c r="M51" i="3"/>
  <c r="M49" i="3"/>
  <c r="F162" i="15" s="1"/>
  <c r="M48" i="3"/>
  <c r="F161" i="15" s="1"/>
  <c r="D84" i="3"/>
  <c r="C84" i="3"/>
  <c r="M84" i="3"/>
  <c r="M74" i="3"/>
  <c r="L74" i="3" s="1"/>
  <c r="M68" i="3"/>
  <c r="L68" i="3" s="1"/>
  <c r="M67" i="3"/>
  <c r="L67" i="3" s="1"/>
  <c r="B136" i="15"/>
  <c r="B137" i="15" s="1"/>
  <c r="B138" i="15" s="1"/>
  <c r="M58" i="7"/>
  <c r="J58" i="7"/>
  <c r="G58" i="7"/>
  <c r="L133" i="15"/>
  <c r="I133" i="15"/>
  <c r="F133" i="15"/>
  <c r="B84" i="15"/>
  <c r="B85" i="15" s="1"/>
  <c r="B86" i="15" s="1"/>
  <c r="B87" i="15" s="1"/>
  <c r="L158" i="15"/>
  <c r="I158" i="15"/>
  <c r="F158" i="15"/>
  <c r="N107" i="7"/>
  <c r="K107" i="7"/>
  <c r="H107" i="7"/>
  <c r="C62" i="14"/>
  <c r="C61" i="14"/>
  <c r="L97" i="15"/>
  <c r="I97" i="15"/>
  <c r="B37" i="15"/>
  <c r="B38" i="15" s="1"/>
  <c r="B39" i="15" s="1"/>
  <c r="B40" i="15" s="1"/>
  <c r="B41" i="15" s="1"/>
  <c r="L16" i="15"/>
  <c r="I16" i="15"/>
  <c r="F16" i="15"/>
  <c r="L9" i="15"/>
  <c r="I9" i="15"/>
  <c r="F9" i="15"/>
  <c r="L5" i="15"/>
  <c r="I5" i="15"/>
  <c r="F5" i="15"/>
  <c r="B292" i="15"/>
  <c r="B293" i="15" s="1"/>
  <c r="G2" i="3"/>
  <c r="D58" i="7" s="1"/>
  <c r="D19" i="25"/>
  <c r="H48" i="25"/>
  <c r="B131" i="15"/>
  <c r="B132" i="15" s="1"/>
  <c r="B133" i="15" s="1"/>
  <c r="B134" i="15" s="1"/>
  <c r="B127" i="15"/>
  <c r="B128" i="15" s="1"/>
  <c r="B129" i="15" s="1"/>
  <c r="G4" i="3"/>
  <c r="F3" i="7"/>
  <c r="D7" i="25"/>
  <c r="H7" i="25"/>
  <c r="C52" i="25"/>
  <c r="D30" i="14"/>
  <c r="G5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5" i="3"/>
  <c r="K51" i="3"/>
  <c r="K36" i="3"/>
  <c r="L3" i="15"/>
  <c r="K61" i="3"/>
  <c r="K35" i="3"/>
  <c r="K60" i="3"/>
  <c r="D75" i="14"/>
  <c r="D15" i="14"/>
  <c r="D11" i="14"/>
  <c r="D6" i="14"/>
  <c r="K58" i="3"/>
  <c r="K49" i="3"/>
  <c r="K48" i="3"/>
  <c r="K4" i="3"/>
  <c r="F78" i="15"/>
  <c r="L78" i="15"/>
  <c r="I78" i="15"/>
  <c r="D48" i="7" l="1"/>
  <c r="D47" i="7"/>
  <c r="D49" i="7"/>
  <c r="D20" i="7"/>
  <c r="O2" i="3"/>
  <c r="I24" i="3"/>
  <c r="B87" i="14"/>
  <c r="B85" i="14"/>
  <c r="B83" i="14"/>
  <c r="B81" i="14"/>
  <c r="G15" i="14"/>
  <c r="G14" i="14"/>
  <c r="G13" i="14"/>
  <c r="G12" i="14"/>
  <c r="G11" i="14"/>
  <c r="G10" i="14"/>
  <c r="G9" i="14"/>
  <c r="G8" i="14"/>
  <c r="G7" i="14"/>
  <c r="G6" i="14"/>
  <c r="G5" i="14"/>
  <c r="G3" i="14"/>
  <c r="B86" i="14"/>
  <c r="B84" i="14"/>
  <c r="B82" i="14"/>
  <c r="G4" i="14"/>
  <c r="D94" i="7"/>
  <c r="D95" i="7"/>
  <c r="D84" i="7"/>
  <c r="D80" i="7"/>
  <c r="D77" i="7"/>
  <c r="D83" i="7"/>
  <c r="D106" i="7"/>
  <c r="D105" i="7"/>
  <c r="D99" i="7"/>
  <c r="D103" i="7"/>
  <c r="D97" i="7"/>
  <c r="D102" i="7"/>
  <c r="D98" i="7"/>
  <c r="D101" i="7"/>
  <c r="I29" i="3"/>
  <c r="C23" i="24" s="1"/>
  <c r="S46" i="3"/>
  <c r="N7" i="7" s="1"/>
  <c r="P46" i="3"/>
  <c r="K7" i="7" s="1"/>
  <c r="D88" i="7"/>
  <c r="D78" i="7"/>
  <c r="D79" i="7"/>
  <c r="D81" i="7"/>
  <c r="D104" i="7"/>
  <c r="D100" i="7"/>
  <c r="D82" i="7"/>
  <c r="D107" i="7"/>
  <c r="D108" i="7"/>
  <c r="C48" i="31"/>
  <c r="I2" i="1"/>
  <c r="J2" i="1"/>
  <c r="O2" i="1"/>
  <c r="Q2" i="1"/>
  <c r="L2" i="1"/>
  <c r="M2" i="1"/>
  <c r="K2" i="1"/>
  <c r="P2" i="1"/>
  <c r="N2" i="1"/>
  <c r="I203" i="15"/>
  <c r="I201" i="15" s="1"/>
  <c r="I266" i="15"/>
  <c r="D22" i="7"/>
  <c r="C36" i="31" s="1"/>
  <c r="D21" i="7"/>
  <c r="I174" i="15"/>
  <c r="D31" i="7"/>
  <c r="D30" i="7"/>
  <c r="I63" i="3"/>
  <c r="C57" i="24" s="1"/>
  <c r="D138" i="7"/>
  <c r="D139" i="7"/>
  <c r="C49" i="31" s="1"/>
  <c r="D20" i="25"/>
  <c r="D12" i="30"/>
  <c r="D19" i="7"/>
  <c r="C32" i="30"/>
  <c r="F203" i="15"/>
  <c r="F201" i="15" s="1"/>
  <c r="L203" i="15"/>
  <c r="L201" i="15" s="1"/>
  <c r="L266" i="15"/>
  <c r="K84" i="3"/>
  <c r="R3" i="3"/>
  <c r="R4" i="3"/>
  <c r="D67" i="7"/>
  <c r="D66" i="7"/>
  <c r="L174" i="15"/>
  <c r="L264" i="15"/>
  <c r="F264" i="15"/>
  <c r="I264" i="15"/>
  <c r="D76" i="7"/>
  <c r="D85" i="7"/>
  <c r="D75" i="7"/>
  <c r="D74" i="7"/>
  <c r="D112" i="7"/>
  <c r="D91" i="7"/>
  <c r="D70" i="7"/>
  <c r="I71" i="3"/>
  <c r="C65" i="24" s="1"/>
  <c r="I73" i="3"/>
  <c r="O69" i="3"/>
  <c r="R69" i="3"/>
  <c r="R68" i="3"/>
  <c r="B40" i="24"/>
  <c r="I70" i="3"/>
  <c r="C64" i="24" s="1"/>
  <c r="O68" i="3"/>
  <c r="I81" i="3"/>
  <c r="C75" i="24" s="1"/>
  <c r="D121" i="7"/>
  <c r="D117" i="7"/>
  <c r="C38" i="31" s="1"/>
  <c r="D122" i="7"/>
  <c r="D18" i="7"/>
  <c r="D87" i="7"/>
  <c r="D45" i="7"/>
  <c r="D89" i="7"/>
  <c r="D72" i="7"/>
  <c r="D73" i="7"/>
  <c r="D44" i="7"/>
  <c r="D38" i="7"/>
  <c r="D41" i="7"/>
  <c r="D35" i="7"/>
  <c r="D24" i="7"/>
  <c r="I64" i="3"/>
  <c r="I62" i="3"/>
  <c r="C56" i="24" s="1"/>
  <c r="X4" i="3"/>
  <c r="M9" i="2"/>
  <c r="M10" i="2"/>
  <c r="D71" i="7"/>
  <c r="C41" i="31" s="1"/>
  <c r="D43" i="7"/>
  <c r="M14" i="2"/>
  <c r="M12" i="2"/>
  <c r="D29" i="7"/>
  <c r="M15" i="2"/>
  <c r="M13" i="2"/>
  <c r="D42" i="7"/>
  <c r="D15" i="7"/>
  <c r="M46" i="3"/>
  <c r="H7" i="7" s="1"/>
  <c r="I59" i="3"/>
  <c r="C53" i="24" s="1"/>
  <c r="I27" i="3"/>
  <c r="C21" i="24" s="1"/>
  <c r="I28" i="3"/>
  <c r="C22" i="24" s="1"/>
  <c r="D9" i="7"/>
  <c r="R5" i="3"/>
  <c r="G7" i="31" s="1"/>
  <c r="D92" i="7"/>
  <c r="C42" i="31" s="1"/>
  <c r="D111" i="7"/>
  <c r="D46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Q39" i="3"/>
  <c r="L46" i="15"/>
  <c r="L268" i="15"/>
  <c r="I46" i="15"/>
  <c r="P20" i="3"/>
  <c r="F46" i="15"/>
  <c r="M20" i="3"/>
  <c r="F32" i="15" s="1"/>
  <c r="F31" i="15" s="1"/>
  <c r="F28" i="15" s="1"/>
  <c r="H34" i="30"/>
  <c r="M38" i="3"/>
  <c r="M39" i="3" s="1"/>
  <c r="K39" i="3" s="1"/>
  <c r="L101" i="15"/>
  <c r="P39" i="3"/>
  <c r="N39" i="3" s="1"/>
  <c r="N38" i="3"/>
  <c r="I100" i="15"/>
  <c r="F101" i="15"/>
  <c r="I37" i="15"/>
  <c r="L37" i="15"/>
  <c r="I3" i="15"/>
  <c r="Q57" i="3"/>
  <c r="L38" i="15"/>
  <c r="L66" i="15" s="1"/>
  <c r="N37" i="3"/>
  <c r="F100" i="15"/>
  <c r="F103" i="15" s="1"/>
  <c r="F38" i="15"/>
  <c r="F66" i="15" s="1"/>
  <c r="L100" i="15"/>
  <c r="B226" i="15"/>
  <c r="B225" i="15"/>
  <c r="F37" i="15"/>
  <c r="F3" i="15"/>
  <c r="H5" i="7"/>
  <c r="D21" i="25" s="1"/>
  <c r="K2" i="25" s="1"/>
  <c r="K3" i="25" s="1"/>
  <c r="M8" i="2"/>
  <c r="M11" i="2"/>
  <c r="M5" i="2"/>
  <c r="M7" i="2"/>
  <c r="M6" i="2"/>
  <c r="D54" i="7"/>
  <c r="N14" i="7"/>
  <c r="K53" i="3"/>
  <c r="D24" i="25"/>
  <c r="K37" i="3"/>
  <c r="F174" i="15"/>
  <c r="F196" i="15"/>
  <c r="F271" i="15"/>
  <c r="F274" i="15"/>
  <c r="I38" i="15"/>
  <c r="I66" i="15" s="1"/>
  <c r="L271" i="15"/>
  <c r="L196" i="15"/>
  <c r="L274" i="15"/>
  <c r="K14" i="7"/>
  <c r="I196" i="15"/>
  <c r="D147" i="7"/>
  <c r="D134" i="7"/>
  <c r="D124" i="7"/>
  <c r="D119" i="7"/>
  <c r="D61" i="7"/>
  <c r="D53" i="7"/>
  <c r="D51" i="7"/>
  <c r="D34" i="7"/>
  <c r="D27" i="7"/>
  <c r="D5" i="7"/>
  <c r="D145" i="7"/>
  <c r="D137" i="7"/>
  <c r="D131" i="7"/>
  <c r="D110" i="7"/>
  <c r="D86" i="7"/>
  <c r="D62" i="7"/>
  <c r="D50" i="7"/>
  <c r="D37" i="7"/>
  <c r="D33" i="7"/>
  <c r="D25" i="7"/>
  <c r="C35" i="30" s="1"/>
  <c r="D143" i="7"/>
  <c r="D136" i="7"/>
  <c r="D129" i="7"/>
  <c r="D123" i="7"/>
  <c r="D116" i="7"/>
  <c r="C43" i="31" s="1"/>
  <c r="D114" i="7"/>
  <c r="D64" i="7"/>
  <c r="D60" i="7"/>
  <c r="D57" i="7"/>
  <c r="D52" i="7"/>
  <c r="D40" i="7"/>
  <c r="D36" i="7"/>
  <c r="D17" i="7"/>
  <c r="D141" i="7"/>
  <c r="D135" i="7"/>
  <c r="D127" i="7"/>
  <c r="D96" i="7"/>
  <c r="D63" i="7"/>
  <c r="D65" i="7"/>
  <c r="D55" i="7"/>
  <c r="D39" i="7"/>
  <c r="D1" i="7"/>
  <c r="J13" i="3"/>
  <c r="D22" i="25"/>
  <c r="I161" i="15"/>
  <c r="L161" i="15"/>
  <c r="L79" i="15"/>
  <c r="L80" i="15"/>
  <c r="L81" i="15"/>
  <c r="L82" i="15" s="1"/>
  <c r="I75" i="3"/>
  <c r="C69" i="24" s="1"/>
  <c r="I77" i="3"/>
  <c r="C71" i="24" s="1"/>
  <c r="I76" i="3"/>
  <c r="C70" i="24" s="1"/>
  <c r="F80" i="15"/>
  <c r="F81" i="15"/>
  <c r="F82" i="15" s="1"/>
  <c r="F79" i="15"/>
  <c r="I80" i="15"/>
  <c r="I79" i="15"/>
  <c r="I81" i="15"/>
  <c r="I82" i="15" s="1"/>
  <c r="I274" i="15"/>
  <c r="I271" i="15"/>
  <c r="P54" i="3"/>
  <c r="K55" i="3"/>
  <c r="M56" i="3"/>
  <c r="K54" i="3"/>
  <c r="I31" i="3"/>
  <c r="C25" i="24" s="1"/>
  <c r="C24" i="24"/>
  <c r="C2" i="14"/>
  <c r="I46" i="3"/>
  <c r="C40" i="24" s="1"/>
  <c r="I80" i="3"/>
  <c r="D115" i="7" s="1"/>
  <c r="X2" i="3"/>
  <c r="I52" i="3"/>
  <c r="C46" i="24" s="1"/>
  <c r="O4" i="3"/>
  <c r="I33" i="3"/>
  <c r="C27" i="24" s="1"/>
  <c r="I13" i="3"/>
  <c r="I3" i="3"/>
  <c r="E3" i="7" s="1"/>
  <c r="I49" i="3"/>
  <c r="C43" i="24" s="1"/>
  <c r="C89" i="15"/>
  <c r="W300" i="15" s="1"/>
  <c r="I68" i="3"/>
  <c r="C62" i="24" s="1"/>
  <c r="R2" i="3"/>
  <c r="R6" i="3"/>
  <c r="I4" i="3"/>
  <c r="D8" i="7" s="1"/>
  <c r="O6" i="3"/>
  <c r="I65" i="3"/>
  <c r="C59" i="24" s="1"/>
  <c r="I32" i="3"/>
  <c r="C26" i="24" s="1"/>
  <c r="I5" i="3"/>
  <c r="L6" i="3"/>
  <c r="I19" i="3"/>
  <c r="D32" i="7" s="1"/>
  <c r="I84" i="3"/>
  <c r="C78" i="24" s="1"/>
  <c r="I45" i="3"/>
  <c r="C39" i="24" s="1"/>
  <c r="C115" i="15"/>
  <c r="I58" i="3"/>
  <c r="C52" i="24" s="1"/>
  <c r="I74" i="3"/>
  <c r="I60" i="3"/>
  <c r="I21" i="3"/>
  <c r="I9" i="3"/>
  <c r="I15" i="3"/>
  <c r="C10" i="24" s="1"/>
  <c r="I36" i="3"/>
  <c r="C116" i="15"/>
  <c r="I37" i="3"/>
  <c r="I78" i="3"/>
  <c r="I83" i="3"/>
  <c r="C121" i="15"/>
  <c r="I17" i="3"/>
  <c r="C12" i="24" s="1"/>
  <c r="C120" i="15"/>
  <c r="I7" i="3"/>
  <c r="I26" i="3"/>
  <c r="I66" i="3"/>
  <c r="I79" i="3"/>
  <c r="C73" i="24" s="1"/>
  <c r="I8" i="3"/>
  <c r="C3" i="24" s="1"/>
  <c r="I69" i="3"/>
  <c r="I85" i="3"/>
  <c r="I48" i="3"/>
  <c r="C42" i="24" s="1"/>
  <c r="I11" i="3"/>
  <c r="C33" i="30" s="1"/>
  <c r="I47" i="3"/>
  <c r="C41" i="24" s="1"/>
  <c r="I12" i="3"/>
  <c r="I61" i="3"/>
  <c r="I34" i="3"/>
  <c r="C28" i="24" s="1"/>
  <c r="I22" i="3"/>
  <c r="I35" i="3"/>
  <c r="C29" i="24" s="1"/>
  <c r="I23" i="3"/>
  <c r="I72" i="3"/>
  <c r="C66" i="24" s="1"/>
  <c r="O54" i="4"/>
  <c r="I18" i="3"/>
  <c r="C13" i="24" s="1"/>
  <c r="I82" i="3"/>
  <c r="I50" i="3"/>
  <c r="C44" i="24" s="1"/>
  <c r="AA2" i="3"/>
  <c r="W1" i="7" s="1"/>
  <c r="I67" i="3"/>
  <c r="I51" i="3"/>
  <c r="C45" i="24" s="1"/>
  <c r="I14" i="3"/>
  <c r="C9" i="24" s="1"/>
  <c r="I16" i="3"/>
  <c r="C11" i="24" s="1"/>
  <c r="I20" i="3"/>
  <c r="C15" i="24" s="1"/>
  <c r="I25" i="3"/>
  <c r="C19" i="24" s="1"/>
  <c r="M54" i="4"/>
  <c r="I10" i="3"/>
  <c r="N54" i="4"/>
  <c r="C39" i="3"/>
  <c r="D39" i="3" s="1"/>
  <c r="D54" i="3" s="1"/>
  <c r="C43" i="3"/>
  <c r="D43" i="3" s="1"/>
  <c r="C44" i="3"/>
  <c r="C41" i="3"/>
  <c r="C38" i="3"/>
  <c r="S52" i="3" s="1"/>
  <c r="C42" i="3"/>
  <c r="A1" i="7"/>
  <c r="C40" i="3"/>
  <c r="C55" i="3" s="1"/>
  <c r="I268" i="15" l="1"/>
  <c r="I32" i="15"/>
  <c r="I31" i="15" s="1"/>
  <c r="I28" i="15" s="1"/>
  <c r="C38" i="30"/>
  <c r="K38" i="30" s="1"/>
  <c r="I261" i="15"/>
  <c r="L261" i="15"/>
  <c r="G1" i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F229" i="15"/>
  <c r="F230" i="15"/>
  <c r="L265" i="15"/>
  <c r="C18" i="24"/>
  <c r="K14" i="30"/>
  <c r="G14" i="30"/>
  <c r="C14" i="30"/>
  <c r="L229" i="15"/>
  <c r="L230" i="15"/>
  <c r="G32" i="30"/>
  <c r="K32" i="30"/>
  <c r="C17" i="24"/>
  <c r="K13" i="30"/>
  <c r="C13" i="30"/>
  <c r="K33" i="30"/>
  <c r="G33" i="30"/>
  <c r="K35" i="30"/>
  <c r="G35" i="30"/>
  <c r="I223" i="15"/>
  <c r="I225" i="15" s="1"/>
  <c r="I200" i="15"/>
  <c r="F223" i="15"/>
  <c r="F225" i="15" s="1"/>
  <c r="F200" i="15"/>
  <c r="L223" i="15"/>
  <c r="L225" i="15" s="1"/>
  <c r="L200" i="15"/>
  <c r="F261" i="15"/>
  <c r="C16" i="24"/>
  <c r="I265" i="15"/>
  <c r="F268" i="15"/>
  <c r="F265" i="15" s="1"/>
  <c r="H82" i="7" s="1"/>
  <c r="F260" i="15"/>
  <c r="F257" i="15" s="1"/>
  <c r="I260" i="15"/>
  <c r="I257" i="15" s="1"/>
  <c r="L260" i="15"/>
  <c r="L257" i="15" s="1"/>
  <c r="F186" i="15"/>
  <c r="I186" i="15"/>
  <c r="L191" i="15"/>
  <c r="L186" i="15"/>
  <c r="D90" i="7"/>
  <c r="C67" i="24"/>
  <c r="I229" i="15"/>
  <c r="I230" i="15"/>
  <c r="B73" i="14"/>
  <c r="B72" i="14"/>
  <c r="B71" i="14"/>
  <c r="F207" i="15"/>
  <c r="B38" i="14"/>
  <c r="G22" i="3" s="1"/>
  <c r="B57" i="14"/>
  <c r="B56" i="14"/>
  <c r="B55" i="14"/>
  <c r="B54" i="14"/>
  <c r="L102" i="15"/>
  <c r="Q40" i="3"/>
  <c r="I102" i="15"/>
  <c r="N13" i="3"/>
  <c r="C8" i="24"/>
  <c r="C6" i="24"/>
  <c r="L103" i="15"/>
  <c r="M40" i="3"/>
  <c r="M41" i="3" s="1"/>
  <c r="K41" i="3" s="1"/>
  <c r="K38" i="3"/>
  <c r="I191" i="15"/>
  <c r="F129" i="15"/>
  <c r="F191" i="15"/>
  <c r="P40" i="3"/>
  <c r="N40" i="3" s="1"/>
  <c r="F102" i="15"/>
  <c r="F104" i="15" s="1"/>
  <c r="F105" i="15" s="1"/>
  <c r="I103" i="15"/>
  <c r="X5" i="3"/>
  <c r="L44" i="15"/>
  <c r="L41" i="15" s="1"/>
  <c r="Q56" i="3"/>
  <c r="Q55" i="3"/>
  <c r="F182" i="15"/>
  <c r="K20" i="3"/>
  <c r="F44" i="15"/>
  <c r="F41" i="15" s="1"/>
  <c r="N133" i="7"/>
  <c r="L47" i="31" s="1"/>
  <c r="I68" i="31" s="1"/>
  <c r="B9" i="14"/>
  <c r="I44" i="15"/>
  <c r="I41" i="15" s="1"/>
  <c r="L182" i="15"/>
  <c r="L129" i="15"/>
  <c r="Q20" i="3"/>
  <c r="I129" i="15"/>
  <c r="N20" i="3"/>
  <c r="I182" i="15"/>
  <c r="B61" i="14"/>
  <c r="C72" i="24"/>
  <c r="D109" i="7"/>
  <c r="D7" i="7"/>
  <c r="F226" i="15"/>
  <c r="L226" i="15"/>
  <c r="I226" i="15"/>
  <c r="P55" i="3"/>
  <c r="N54" i="3"/>
  <c r="M57" i="3"/>
  <c r="K57" i="3" s="1"/>
  <c r="K56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D12" i="7"/>
  <c r="B43" i="14"/>
  <c r="C74" i="24"/>
  <c r="C87" i="15"/>
  <c r="W298" i="15" s="1"/>
  <c r="D133" i="7"/>
  <c r="C47" i="31" s="1"/>
  <c r="B62" i="14"/>
  <c r="B41" i="14"/>
  <c r="B60" i="14"/>
  <c r="G34" i="3" s="1"/>
  <c r="B19" i="14"/>
  <c r="B27" i="14"/>
  <c r="G50" i="3" s="1"/>
  <c r="B77" i="14"/>
  <c r="B3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93" i="7"/>
  <c r="D14" i="7"/>
  <c r="D23" i="7"/>
  <c r="C55" i="24"/>
  <c r="D13" i="7"/>
  <c r="C7" i="24"/>
  <c r="C58" i="24"/>
  <c r="D56" i="7"/>
  <c r="C60" i="24"/>
  <c r="D126" i="7"/>
  <c r="C77" i="24"/>
  <c r="C5" i="24"/>
  <c r="C61" i="24"/>
  <c r="D59" i="7"/>
  <c r="C14" i="31" s="1"/>
  <c r="C76" i="24"/>
  <c r="D125" i="7"/>
  <c r="D68" i="7"/>
  <c r="D69" i="7" s="1"/>
  <c r="C63" i="24"/>
  <c r="I43" i="3"/>
  <c r="C37" i="24" s="1"/>
  <c r="C54" i="3"/>
  <c r="I54" i="3" s="1"/>
  <c r="I39" i="3"/>
  <c r="C33" i="24" s="1"/>
  <c r="M52" i="3"/>
  <c r="C53" i="3"/>
  <c r="D38" i="3"/>
  <c r="D53" i="3" s="1"/>
  <c r="D44" i="3"/>
  <c r="I44" i="3" s="1"/>
  <c r="C38" i="24" s="1"/>
  <c r="D40" i="3"/>
  <c r="D55" i="3" s="1"/>
  <c r="I55" i="3" s="1"/>
  <c r="C49" i="24" s="1"/>
  <c r="C57" i="3"/>
  <c r="D42" i="3"/>
  <c r="D57" i="3" s="1"/>
  <c r="P52" i="3"/>
  <c r="D41" i="3"/>
  <c r="D56" i="3" s="1"/>
  <c r="C56" i="3"/>
  <c r="L146" i="15" l="1"/>
  <c r="L145" i="15" s="1"/>
  <c r="I146" i="15"/>
  <c r="I145" i="15" s="1"/>
  <c r="F146" i="15"/>
  <c r="F145" i="15" s="1"/>
  <c r="H20" i="7" s="1"/>
  <c r="K82" i="7"/>
  <c r="K83" i="7" s="1"/>
  <c r="N82" i="7"/>
  <c r="N83" i="7" s="1"/>
  <c r="G33" i="3"/>
  <c r="N88" i="7"/>
  <c r="N89" i="7" s="1"/>
  <c r="H88" i="7"/>
  <c r="K88" i="7"/>
  <c r="K89" i="7" s="1"/>
  <c r="G38" i="30"/>
  <c r="G42" i="30"/>
  <c r="G34" i="30"/>
  <c r="G36" i="30"/>
  <c r="K47" i="30"/>
  <c r="K46" i="30"/>
  <c r="G39" i="30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N13" i="7"/>
  <c r="F227" i="15"/>
  <c r="H37" i="7" s="1"/>
  <c r="L66" i="3"/>
  <c r="B27" i="24"/>
  <c r="B21" i="24"/>
  <c r="B41" i="24"/>
  <c r="L62" i="3"/>
  <c r="L227" i="15"/>
  <c r="N37" i="7" s="1"/>
  <c r="B28" i="24"/>
  <c r="B18" i="24"/>
  <c r="B16" i="24"/>
  <c r="H47" i="7"/>
  <c r="K47" i="7"/>
  <c r="N47" i="7"/>
  <c r="B19" i="24"/>
  <c r="B17" i="24"/>
  <c r="B60" i="24"/>
  <c r="B56" i="24"/>
  <c r="G62" i="3"/>
  <c r="B23" i="24"/>
  <c r="B25" i="24"/>
  <c r="B24" i="24"/>
  <c r="B22" i="24"/>
  <c r="B20" i="24"/>
  <c r="N71" i="7"/>
  <c r="K15" i="30" s="1"/>
  <c r="K71" i="7"/>
  <c r="G15" i="30" s="1"/>
  <c r="H71" i="7"/>
  <c r="C15" i="30" s="1"/>
  <c r="I227" i="15"/>
  <c r="K37" i="7" s="1"/>
  <c r="H13" i="7"/>
  <c r="R62" i="3"/>
  <c r="O62" i="3"/>
  <c r="G28" i="3"/>
  <c r="G23" i="3"/>
  <c r="G47" i="3"/>
  <c r="G12" i="3"/>
  <c r="G26" i="3"/>
  <c r="K28" i="3"/>
  <c r="G27" i="3"/>
  <c r="K27" i="3"/>
  <c r="G66" i="3"/>
  <c r="G25" i="3"/>
  <c r="L104" i="15"/>
  <c r="L105" i="15" s="1"/>
  <c r="L98" i="15" s="1"/>
  <c r="L99" i="15" s="1"/>
  <c r="L106" i="15" s="1"/>
  <c r="I104" i="15"/>
  <c r="I105" i="15" s="1"/>
  <c r="I98" i="15" s="1"/>
  <c r="I99" i="15" s="1"/>
  <c r="I106" i="15" s="1"/>
  <c r="Q41" i="3"/>
  <c r="P41" i="3"/>
  <c r="N41" i="3" s="1"/>
  <c r="K40" i="3"/>
  <c r="M42" i="3"/>
  <c r="K42" i="3" s="1"/>
  <c r="L39" i="15"/>
  <c r="L36" i="15" s="1"/>
  <c r="L42" i="15" s="1"/>
  <c r="F39" i="15"/>
  <c r="F36" i="15" s="1"/>
  <c r="F287" i="15" s="1"/>
  <c r="G30" i="3"/>
  <c r="G31" i="3"/>
  <c r="G29" i="3"/>
  <c r="I39" i="15"/>
  <c r="I36" i="15" s="1"/>
  <c r="I42" i="15" s="1"/>
  <c r="I43" i="15" s="1"/>
  <c r="K47" i="3"/>
  <c r="H29" i="25"/>
  <c r="P56" i="3"/>
  <c r="N55" i="3"/>
  <c r="H133" i="7"/>
  <c r="D47" i="31" s="1"/>
  <c r="I57" i="31" s="1"/>
  <c r="K21" i="3"/>
  <c r="F98" i="15"/>
  <c r="F127" i="15"/>
  <c r="K26" i="3"/>
  <c r="L210" i="15"/>
  <c r="I57" i="3"/>
  <c r="C51" i="24" s="1"/>
  <c r="I41" i="3"/>
  <c r="C35" i="24" s="1"/>
  <c r="I42" i="3"/>
  <c r="C36" i="24" s="1"/>
  <c r="N39" i="7"/>
  <c r="R66" i="3"/>
  <c r="K50" i="3"/>
  <c r="K32" i="3"/>
  <c r="K30" i="3" s="1"/>
  <c r="F64" i="15"/>
  <c r="G32" i="3"/>
  <c r="I207" i="15"/>
  <c r="P66" i="3"/>
  <c r="O66" i="3" s="1"/>
  <c r="I7" i="15"/>
  <c r="I53" i="3"/>
  <c r="C47" i="24" s="1"/>
  <c r="I210" i="15"/>
  <c r="F210" i="15"/>
  <c r="G46" i="3"/>
  <c r="K46" i="3"/>
  <c r="I38" i="3"/>
  <c r="F163" i="15"/>
  <c r="H95" i="7" s="1"/>
  <c r="H94" i="7" s="1"/>
  <c r="I56" i="3"/>
  <c r="C50" i="24" s="1"/>
  <c r="H39" i="7"/>
  <c r="F7" i="15"/>
  <c r="F11" i="15"/>
  <c r="F18" i="15"/>
  <c r="L127" i="15"/>
  <c r="F19" i="15"/>
  <c r="F134" i="15" s="1"/>
  <c r="I163" i="15"/>
  <c r="I40" i="3"/>
  <c r="C34" i="24" s="1"/>
  <c r="I127" i="15"/>
  <c r="L163" i="15"/>
  <c r="K99" i="7" l="1"/>
  <c r="K98" i="7" s="1"/>
  <c r="K84" i="7"/>
  <c r="K103" i="7"/>
  <c r="K102" i="7" s="1"/>
  <c r="K95" i="7"/>
  <c r="K94" i="7" s="1"/>
  <c r="K106" i="7"/>
  <c r="K105" i="7" s="1"/>
  <c r="N106" i="7"/>
  <c r="N105" i="7" s="1"/>
  <c r="N84" i="7"/>
  <c r="N99" i="7"/>
  <c r="N98" i="7" s="1"/>
  <c r="N95" i="7"/>
  <c r="N94" i="7" s="1"/>
  <c r="N103" i="7"/>
  <c r="N102" i="7" s="1"/>
  <c r="H106" i="7"/>
  <c r="H105" i="7" s="1"/>
  <c r="H84" i="7"/>
  <c r="H103" i="7"/>
  <c r="H102" i="7" s="1"/>
  <c r="H99" i="7"/>
  <c r="H98" i="7" s="1"/>
  <c r="P72" i="3"/>
  <c r="O72" i="3" s="1"/>
  <c r="H89" i="7"/>
  <c r="M72" i="3"/>
  <c r="L72" i="3" s="1"/>
  <c r="H83" i="7"/>
  <c r="R75" i="3"/>
  <c r="R76" i="3"/>
  <c r="C32" i="24"/>
  <c r="M43" i="3"/>
  <c r="M44" i="3" s="1"/>
  <c r="K44" i="3" s="1"/>
  <c r="I128" i="15"/>
  <c r="L66" i="7" s="1"/>
  <c r="L128" i="15"/>
  <c r="L126" i="15" s="1"/>
  <c r="F34" i="15"/>
  <c r="F195" i="15"/>
  <c r="J66" i="7"/>
  <c r="M66" i="7"/>
  <c r="G29" i="7"/>
  <c r="F26" i="15"/>
  <c r="F290" i="15"/>
  <c r="F190" i="15"/>
  <c r="F187" i="15" s="1"/>
  <c r="F293" i="15"/>
  <c r="F291" i="15" s="1"/>
  <c r="H138" i="7" s="1"/>
  <c r="F211" i="15"/>
  <c r="F168" i="15"/>
  <c r="F202" i="15" s="1"/>
  <c r="F138" i="15"/>
  <c r="F135" i="15" s="1"/>
  <c r="H86" i="7" s="1"/>
  <c r="F10" i="15"/>
  <c r="F157" i="15"/>
  <c r="F159" i="15" s="1"/>
  <c r="F171" i="15"/>
  <c r="F17" i="15"/>
  <c r="F15" i="15" s="1"/>
  <c r="F6" i="15"/>
  <c r="F4" i="15" s="1"/>
  <c r="Q42" i="3"/>
  <c r="L43" i="15"/>
  <c r="Q19" i="3" s="1"/>
  <c r="P42" i="3"/>
  <c r="N42" i="3" s="1"/>
  <c r="L40" i="15"/>
  <c r="L287" i="15"/>
  <c r="F40" i="15"/>
  <c r="I108" i="15"/>
  <c r="I40" i="15"/>
  <c r="I287" i="15"/>
  <c r="L108" i="15"/>
  <c r="H12" i="7"/>
  <c r="D32" i="31" s="1"/>
  <c r="K13" i="3"/>
  <c r="F42" i="15"/>
  <c r="F128" i="15" s="1"/>
  <c r="F126" i="15" s="1"/>
  <c r="F21" i="15"/>
  <c r="F199" i="15" s="1"/>
  <c r="F273" i="15"/>
  <c r="F272" i="15" s="1"/>
  <c r="F270" i="15"/>
  <c r="F269" i="15" s="1"/>
  <c r="F20" i="15"/>
  <c r="H74" i="7" s="1"/>
  <c r="F22" i="15"/>
  <c r="H96" i="7" s="1"/>
  <c r="N56" i="3"/>
  <c r="P57" i="3"/>
  <c r="N57" i="3" s="1"/>
  <c r="K29" i="3"/>
  <c r="K31" i="3"/>
  <c r="K22" i="3"/>
  <c r="L7" i="15"/>
  <c r="F99" i="15"/>
  <c r="F106" i="15" s="1"/>
  <c r="F108" i="15" s="1"/>
  <c r="L207" i="15"/>
  <c r="I11" i="15"/>
  <c r="I18" i="15"/>
  <c r="L67" i="15"/>
  <c r="K39" i="7"/>
  <c r="L73" i="15"/>
  <c r="L75" i="15" s="1"/>
  <c r="L77" i="15" s="1"/>
  <c r="F73" i="15"/>
  <c r="K12" i="7"/>
  <c r="H32" i="31" s="1"/>
  <c r="L11" i="15"/>
  <c r="F153" i="15"/>
  <c r="H61" i="7" s="1"/>
  <c r="I19" i="15"/>
  <c r="L18" i="15"/>
  <c r="I64" i="15"/>
  <c r="I153" i="15"/>
  <c r="K61" i="7" s="1"/>
  <c r="I73" i="15"/>
  <c r="L153" i="15"/>
  <c r="N61" i="7" s="1"/>
  <c r="L19" i="15"/>
  <c r="L22" i="15" s="1"/>
  <c r="F67" i="15"/>
  <c r="F68" i="15"/>
  <c r="G56" i="7"/>
  <c r="G66" i="7"/>
  <c r="N19" i="3"/>
  <c r="M76" i="3" l="1"/>
  <c r="L76" i="3" s="1"/>
  <c r="H81" i="7"/>
  <c r="H80" i="7" s="1"/>
  <c r="H78" i="7"/>
  <c r="H77" i="7" s="1"/>
  <c r="R77" i="3"/>
  <c r="M77" i="3"/>
  <c r="L77" i="3" s="1"/>
  <c r="P77" i="3"/>
  <c r="O77" i="3" s="1"/>
  <c r="P76" i="3"/>
  <c r="O76" i="3" s="1"/>
  <c r="M75" i="3"/>
  <c r="L75" i="3" s="1"/>
  <c r="P75" i="3"/>
  <c r="O75" i="3" s="1"/>
  <c r="F194" i="15"/>
  <c r="F193" i="15"/>
  <c r="K43" i="3"/>
  <c r="I126" i="15"/>
  <c r="F27" i="15"/>
  <c r="F116" i="15" s="1"/>
  <c r="F192" i="15"/>
  <c r="F197" i="15"/>
  <c r="L109" i="15"/>
  <c r="L110" i="15" s="1"/>
  <c r="L107" i="15" s="1"/>
  <c r="F169" i="15"/>
  <c r="F242" i="15"/>
  <c r="H43" i="7" s="1"/>
  <c r="H75" i="7"/>
  <c r="I34" i="15"/>
  <c r="I195" i="15"/>
  <c r="I194" i="15" s="1"/>
  <c r="F109" i="15"/>
  <c r="F110" i="15" s="1"/>
  <c r="F107" i="15" s="1"/>
  <c r="F220" i="15" s="1"/>
  <c r="F217" i="15" s="1"/>
  <c r="I109" i="15"/>
  <c r="I110" i="15" s="1"/>
  <c r="I107" i="15" s="1"/>
  <c r="L34" i="15"/>
  <c r="L195" i="15"/>
  <c r="L194" i="15" s="1"/>
  <c r="H15" i="7"/>
  <c r="K15" i="7"/>
  <c r="F209" i="15"/>
  <c r="H114" i="7" s="1"/>
  <c r="I293" i="15"/>
  <c r="I291" i="15" s="1"/>
  <c r="K138" i="7" s="1"/>
  <c r="I290" i="15"/>
  <c r="I26" i="15"/>
  <c r="I211" i="15"/>
  <c r="I190" i="15"/>
  <c r="I187" i="15" s="1"/>
  <c r="I168" i="15"/>
  <c r="I171" i="15"/>
  <c r="I17" i="15"/>
  <c r="I15" i="15" s="1"/>
  <c r="I138" i="15"/>
  <c r="I135" i="15" s="1"/>
  <c r="K86" i="7" s="1"/>
  <c r="I10" i="15"/>
  <c r="I157" i="15"/>
  <c r="I159" i="15" s="1"/>
  <c r="I134" i="15"/>
  <c r="I6" i="15"/>
  <c r="I4" i="15" s="1"/>
  <c r="L290" i="15"/>
  <c r="L26" i="15"/>
  <c r="L211" i="15"/>
  <c r="L190" i="15"/>
  <c r="L187" i="15" s="1"/>
  <c r="L293" i="15"/>
  <c r="L291" i="15" s="1"/>
  <c r="N138" i="7" s="1"/>
  <c r="L171" i="15"/>
  <c r="L17" i="15"/>
  <c r="L15" i="15" s="1"/>
  <c r="L138" i="15"/>
  <c r="L135" i="15" s="1"/>
  <c r="N86" i="7" s="1"/>
  <c r="L10" i="15"/>
  <c r="L157" i="15"/>
  <c r="L159" i="15" s="1"/>
  <c r="L134" i="15"/>
  <c r="L6" i="15"/>
  <c r="L4" i="15" s="1"/>
  <c r="L168" i="15"/>
  <c r="L202" i="15" s="1"/>
  <c r="Q43" i="3"/>
  <c r="F43" i="15"/>
  <c r="K19" i="3" s="1"/>
  <c r="P43" i="3"/>
  <c r="N43" i="3" s="1"/>
  <c r="M45" i="3"/>
  <c r="F277" i="15" s="1"/>
  <c r="F222" i="15" s="1"/>
  <c r="F75" i="15"/>
  <c r="F77" i="15" s="1"/>
  <c r="F74" i="15"/>
  <c r="L68" i="15"/>
  <c r="L65" i="15" s="1"/>
  <c r="L69" i="15" s="1"/>
  <c r="L70" i="15" s="1"/>
  <c r="L63" i="15" s="1"/>
  <c r="L64" i="15"/>
  <c r="I21" i="15"/>
  <c r="I199" i="15" s="1"/>
  <c r="I20" i="15"/>
  <c r="K74" i="7" s="1"/>
  <c r="I273" i="15"/>
  <c r="I272" i="15" s="1"/>
  <c r="I193" i="15" s="1"/>
  <c r="I270" i="15"/>
  <c r="I269" i="15" s="1"/>
  <c r="I22" i="15"/>
  <c r="L20" i="15"/>
  <c r="N74" i="7" s="1"/>
  <c r="L21" i="15"/>
  <c r="L199" i="15" s="1"/>
  <c r="L270" i="15"/>
  <c r="L269" i="15" s="1"/>
  <c r="L273" i="15"/>
  <c r="L272" i="15" s="1"/>
  <c r="L193" i="15" s="1"/>
  <c r="K133" i="7"/>
  <c r="H47" i="31" s="1"/>
  <c r="I63" i="31" s="1"/>
  <c r="L74" i="15"/>
  <c r="I68" i="15"/>
  <c r="I67" i="15"/>
  <c r="I75" i="15"/>
  <c r="I77" i="15" s="1"/>
  <c r="I74" i="15"/>
  <c r="F65" i="15"/>
  <c r="F69" i="15" s="1"/>
  <c r="F62" i="15" s="1"/>
  <c r="F85" i="15" s="1"/>
  <c r="H62" i="7"/>
  <c r="H40" i="7"/>
  <c r="H54" i="7"/>
  <c r="L27" i="15" l="1"/>
  <c r="L116" i="15" s="1"/>
  <c r="K81" i="7"/>
  <c r="K80" i="7" s="1"/>
  <c r="K78" i="7"/>
  <c r="K77" i="7" s="1"/>
  <c r="N81" i="7"/>
  <c r="N80" i="7" s="1"/>
  <c r="N78" i="7"/>
  <c r="N77" i="7" s="1"/>
  <c r="H85" i="7"/>
  <c r="E36" i="30"/>
  <c r="E34" i="31"/>
  <c r="I36" i="30"/>
  <c r="I34" i="31"/>
  <c r="F283" i="15"/>
  <c r="F278" i="15" s="1"/>
  <c r="L192" i="15"/>
  <c r="L275" i="15" s="1"/>
  <c r="N92" i="7" s="1"/>
  <c r="K16" i="30" s="1"/>
  <c r="I192" i="15"/>
  <c r="I275" i="15" s="1"/>
  <c r="K92" i="7" s="1"/>
  <c r="G16" i="30" s="1"/>
  <c r="F275" i="15"/>
  <c r="H92" i="7" s="1"/>
  <c r="C16" i="30" s="1"/>
  <c r="F12" i="15"/>
  <c r="F8" i="15" s="1"/>
  <c r="F164" i="15"/>
  <c r="F165" i="15"/>
  <c r="F166" i="15" s="1"/>
  <c r="F151" i="15"/>
  <c r="I27" i="15"/>
  <c r="I116" i="15" s="1"/>
  <c r="I132" i="15"/>
  <c r="I220" i="15"/>
  <c r="I217" i="15" s="1"/>
  <c r="L132" i="15"/>
  <c r="L220" i="15"/>
  <c r="L217" i="15" s="1"/>
  <c r="I202" i="15"/>
  <c r="I197" i="15" s="1"/>
  <c r="L216" i="15"/>
  <c r="L197" i="15"/>
  <c r="Q44" i="3"/>
  <c r="Q37" i="3" s="1"/>
  <c r="K75" i="7"/>
  <c r="N75" i="7"/>
  <c r="F132" i="15"/>
  <c r="F216" i="15"/>
  <c r="F84" i="15"/>
  <c r="F87" i="15" s="1"/>
  <c r="I216" i="15"/>
  <c r="I209" i="15"/>
  <c r="L209" i="15"/>
  <c r="N114" i="7" s="1"/>
  <c r="L242" i="15"/>
  <c r="L283" i="15"/>
  <c r="L151" i="15"/>
  <c r="I242" i="15"/>
  <c r="F208" i="15"/>
  <c r="F204" i="15" s="1"/>
  <c r="L152" i="15"/>
  <c r="N53" i="7" s="1"/>
  <c r="L12" i="15"/>
  <c r="L8" i="15" s="1"/>
  <c r="L164" i="15"/>
  <c r="L165" i="15"/>
  <c r="L166" i="15" s="1"/>
  <c r="L253" i="15" s="1"/>
  <c r="L169" i="15"/>
  <c r="I169" i="15"/>
  <c r="P44" i="3"/>
  <c r="K96" i="7"/>
  <c r="I66" i="7"/>
  <c r="H21" i="7"/>
  <c r="F140" i="15"/>
  <c r="K45" i="3"/>
  <c r="K62" i="7"/>
  <c r="L76" i="15"/>
  <c r="I76" i="15"/>
  <c r="F76" i="15"/>
  <c r="G50" i="7"/>
  <c r="K54" i="7"/>
  <c r="K40" i="7"/>
  <c r="F70" i="15"/>
  <c r="F63" i="15" s="1"/>
  <c r="F71" i="15" s="1"/>
  <c r="F50" i="15" s="1"/>
  <c r="L62" i="15"/>
  <c r="I65" i="15"/>
  <c r="I69" i="15" s="1"/>
  <c r="N96" i="7"/>
  <c r="N62" i="7"/>
  <c r="N54" i="7"/>
  <c r="N40" i="7"/>
  <c r="F253" i="15" l="1"/>
  <c r="F254" i="15" s="1"/>
  <c r="F247" i="15" s="1"/>
  <c r="F131" i="15" s="1"/>
  <c r="F130" i="15" s="1"/>
  <c r="L85" i="15"/>
  <c r="L84" i="15" s="1"/>
  <c r="L87" i="15" s="1"/>
  <c r="L71" i="15"/>
  <c r="L50" i="15" s="1"/>
  <c r="N85" i="7"/>
  <c r="F279" i="15"/>
  <c r="K85" i="7"/>
  <c r="F280" i="15"/>
  <c r="F212" i="15"/>
  <c r="L279" i="15"/>
  <c r="L278" i="15"/>
  <c r="L140" i="15"/>
  <c r="I12" i="15"/>
  <c r="I8" i="15" s="1"/>
  <c r="I283" i="15"/>
  <c r="I278" i="15" s="1"/>
  <c r="I164" i="15"/>
  <c r="F172" i="15"/>
  <c r="F154" i="15" s="1"/>
  <c r="H52" i="7" s="1"/>
  <c r="I165" i="15"/>
  <c r="I166" i="15" s="1"/>
  <c r="I152" i="15"/>
  <c r="K53" i="7" s="1"/>
  <c r="I151" i="15"/>
  <c r="L172" i="15"/>
  <c r="L154" i="15" s="1"/>
  <c r="N52" i="7" s="1"/>
  <c r="N55" i="7" s="1"/>
  <c r="L254" i="15"/>
  <c r="L247" i="15" s="1"/>
  <c r="L131" i="15" s="1"/>
  <c r="L130" i="15" s="1"/>
  <c r="N66" i="7" s="1"/>
  <c r="N67" i="7" s="1"/>
  <c r="F152" i="15"/>
  <c r="H53" i="7" s="1"/>
  <c r="H110" i="7"/>
  <c r="H111" i="7" s="1"/>
  <c r="E42" i="31" s="1"/>
  <c r="F206" i="15"/>
  <c r="F298" i="15"/>
  <c r="K114" i="7"/>
  <c r="F86" i="15"/>
  <c r="F72" i="15" s="1"/>
  <c r="O298" i="15"/>
  <c r="U298" i="15"/>
  <c r="L280" i="15"/>
  <c r="I208" i="15"/>
  <c r="I204" i="15" s="1"/>
  <c r="I212" i="15" s="1"/>
  <c r="L208" i="15"/>
  <c r="L204" i="15" s="1"/>
  <c r="L212" i="15" s="1"/>
  <c r="K43" i="7"/>
  <c r="N43" i="7"/>
  <c r="P45" i="3"/>
  <c r="N44" i="3"/>
  <c r="L86" i="15"/>
  <c r="L72" i="15" s="1"/>
  <c r="I70" i="15"/>
  <c r="I63" i="15" s="1"/>
  <c r="I62" i="15"/>
  <c r="I85" i="15" s="1"/>
  <c r="L298" i="15" l="1"/>
  <c r="I253" i="15"/>
  <c r="I254" i="15" s="1"/>
  <c r="I247" i="15" s="1"/>
  <c r="I131" i="15" s="1"/>
  <c r="I130" i="15" s="1"/>
  <c r="K66" i="7" s="1"/>
  <c r="K67" i="7" s="1"/>
  <c r="F281" i="15"/>
  <c r="F288" i="15" s="1"/>
  <c r="F286" i="15" s="1"/>
  <c r="H137" i="7" s="1"/>
  <c r="D48" i="31" s="1"/>
  <c r="E49" i="31" s="1"/>
  <c r="E44" i="30"/>
  <c r="I280" i="15"/>
  <c r="Q45" i="3"/>
  <c r="L277" i="15"/>
  <c r="L222" i="15" s="1"/>
  <c r="N21" i="7" s="1"/>
  <c r="I279" i="15"/>
  <c r="H55" i="7"/>
  <c r="I172" i="15"/>
  <c r="I154" i="15" s="1"/>
  <c r="K52" i="7" s="1"/>
  <c r="K55" i="7" s="1"/>
  <c r="L178" i="15"/>
  <c r="H66" i="7"/>
  <c r="H67" i="7" s="1"/>
  <c r="F178" i="15"/>
  <c r="I206" i="15"/>
  <c r="L206" i="15"/>
  <c r="I84" i="15"/>
  <c r="I298" i="15" s="1"/>
  <c r="I86" i="15"/>
  <c r="N110" i="7"/>
  <c r="N111" i="7" s="1"/>
  <c r="M42" i="31" s="1"/>
  <c r="K110" i="7"/>
  <c r="K111" i="7" s="1"/>
  <c r="I42" i="31" s="1"/>
  <c r="I277" i="15"/>
  <c r="I222" i="15" s="1"/>
  <c r="K21" i="7" s="1"/>
  <c r="N45" i="3"/>
  <c r="I140" i="15"/>
  <c r="I71" i="15"/>
  <c r="I50" i="15" s="1"/>
  <c r="L83" i="15"/>
  <c r="F83" i="15"/>
  <c r="L299" i="15"/>
  <c r="F299" i="15"/>
  <c r="L124" i="15" l="1"/>
  <c r="F276" i="15"/>
  <c r="F141" i="15" s="1"/>
  <c r="M44" i="30"/>
  <c r="I44" i="30"/>
  <c r="L281" i="15"/>
  <c r="L276" i="15" s="1"/>
  <c r="L141" i="15" s="1"/>
  <c r="I281" i="15"/>
  <c r="I288" i="15" s="1"/>
  <c r="O308" i="15"/>
  <c r="O309" i="15" s="1"/>
  <c r="U308" i="15"/>
  <c r="U309" i="15" s="1"/>
  <c r="F175" i="15"/>
  <c r="F173" i="15" s="1"/>
  <c r="H57" i="7" s="1"/>
  <c r="I178" i="15"/>
  <c r="L184" i="15"/>
  <c r="L183" i="15" s="1"/>
  <c r="I87" i="15"/>
  <c r="R298" i="15"/>
  <c r="R299" i="15"/>
  <c r="L308" i="15"/>
  <c r="L309" i="15" s="1"/>
  <c r="L122" i="15"/>
  <c r="N60" i="7" s="1"/>
  <c r="N63" i="7" s="1"/>
  <c r="N64" i="7" s="1"/>
  <c r="F308" i="15"/>
  <c r="F309" i="15" s="1"/>
  <c r="F90" i="15"/>
  <c r="F95" i="15" s="1"/>
  <c r="L90" i="15"/>
  <c r="I72" i="15"/>
  <c r="I83" i="15"/>
  <c r="G48" i="7"/>
  <c r="E298" i="15"/>
  <c r="O299" i="15"/>
  <c r="U299" i="15"/>
  <c r="K298" i="15"/>
  <c r="F92" i="15" l="1"/>
  <c r="F282" i="15"/>
  <c r="F304" i="15" s="1"/>
  <c r="F142" i="15"/>
  <c r="F143" i="15" s="1"/>
  <c r="F144" i="15" s="1"/>
  <c r="H48" i="7" s="1"/>
  <c r="F49" i="15" s="1"/>
  <c r="L288" i="15"/>
  <c r="L286" i="15" s="1"/>
  <c r="N137" i="7" s="1"/>
  <c r="L48" i="31" s="1"/>
  <c r="M49" i="31" s="1"/>
  <c r="U305" i="15"/>
  <c r="R305" i="15"/>
  <c r="I308" i="15"/>
  <c r="I309" i="15" s="1"/>
  <c r="L95" i="15"/>
  <c r="R304" i="15"/>
  <c r="U304" i="15"/>
  <c r="O305" i="15"/>
  <c r="L142" i="15"/>
  <c r="L306" i="15" s="1"/>
  <c r="L282" i="15"/>
  <c r="N136" i="7" s="1"/>
  <c r="I286" i="15"/>
  <c r="K137" i="7" s="1"/>
  <c r="H48" i="31" s="1"/>
  <c r="I49" i="31" s="1"/>
  <c r="I276" i="15"/>
  <c r="O304" i="15"/>
  <c r="E299" i="15"/>
  <c r="K299" i="15"/>
  <c r="I90" i="15"/>
  <c r="Q298" i="15"/>
  <c r="I299" i="15"/>
  <c r="U300" i="15"/>
  <c r="O300" i="15"/>
  <c r="N298" i="15"/>
  <c r="T298" i="15"/>
  <c r="L92" i="15" l="1"/>
  <c r="N20" i="7" s="1"/>
  <c r="H136" i="7"/>
  <c r="F307" i="15"/>
  <c r="F305" i="15"/>
  <c r="F306" i="15"/>
  <c r="O306" i="15"/>
  <c r="O307" i="15"/>
  <c r="I95" i="15"/>
  <c r="R307" i="15"/>
  <c r="U307" i="15"/>
  <c r="H58" i="7"/>
  <c r="L305" i="15"/>
  <c r="L304" i="15"/>
  <c r="L143" i="15"/>
  <c r="L144" i="15" s="1"/>
  <c r="L307" i="15"/>
  <c r="I282" i="15"/>
  <c r="I141" i="15"/>
  <c r="R308" i="15"/>
  <c r="R309" i="15" s="1"/>
  <c r="Q299" i="15"/>
  <c r="N299" i="15"/>
  <c r="N300" i="15" s="1"/>
  <c r="N301" i="15" s="1"/>
  <c r="T299" i="15"/>
  <c r="T300" i="15" s="1"/>
  <c r="T301" i="15" s="1"/>
  <c r="U303" i="15"/>
  <c r="O303" i="15"/>
  <c r="H298" i="15"/>
  <c r="O302" i="15"/>
  <c r="U301" i="15"/>
  <c r="O301" i="15"/>
  <c r="I92" i="15" l="1"/>
  <c r="K20" i="7" s="1"/>
  <c r="I305" i="15"/>
  <c r="K136" i="7"/>
  <c r="R306" i="15"/>
  <c r="U306" i="15"/>
  <c r="H69" i="7"/>
  <c r="R303" i="15"/>
  <c r="N48" i="7"/>
  <c r="L49" i="15" s="1"/>
  <c r="L47" i="15" s="1"/>
  <c r="L48" i="15" s="1"/>
  <c r="L45" i="15" s="1"/>
  <c r="I142" i="15"/>
  <c r="I306" i="15" s="1"/>
  <c r="I304" i="15"/>
  <c r="R300" i="15"/>
  <c r="Q300" i="15" s="1"/>
  <c r="U302" i="15"/>
  <c r="T302" i="15" s="1"/>
  <c r="H299" i="15"/>
  <c r="N302" i="15"/>
  <c r="L91" i="15" l="1"/>
  <c r="L180" i="15"/>
  <c r="L179" i="15" s="1"/>
  <c r="L177" i="15"/>
  <c r="L175" i="15" s="1"/>
  <c r="L173" i="15" s="1"/>
  <c r="N57" i="7" s="1"/>
  <c r="N32" i="7"/>
  <c r="L51" i="15"/>
  <c r="L52" i="15" s="1"/>
  <c r="N50" i="7" s="1"/>
  <c r="L117" i="15"/>
  <c r="L119" i="15" s="1"/>
  <c r="L111" i="15" s="1"/>
  <c r="N31" i="7" s="1"/>
  <c r="I111" i="15"/>
  <c r="K28" i="7" s="1"/>
  <c r="N36" i="7"/>
  <c r="N38" i="7" s="1"/>
  <c r="I143" i="15"/>
  <c r="I307" i="15"/>
  <c r="N143" i="7"/>
  <c r="N144" i="7"/>
  <c r="R301" i="15"/>
  <c r="T303" i="15"/>
  <c r="T304" i="15" s="1"/>
  <c r="T305" i="15" s="1"/>
  <c r="T306" i="15" s="1"/>
  <c r="T307" i="15" s="1"/>
  <c r="T308" i="15" s="1"/>
  <c r="T309" i="15" s="1"/>
  <c r="T310" i="15" s="1"/>
  <c r="T311" i="15" s="1"/>
  <c r="T312" i="15" s="1"/>
  <c r="T313" i="15" s="1"/>
  <c r="T314" i="15" s="1"/>
  <c r="Q301" i="15"/>
  <c r="N303" i="15"/>
  <c r="L120" i="15" l="1"/>
  <c r="L114" i="15"/>
  <c r="L24" i="15"/>
  <c r="L23" i="15" s="1"/>
  <c r="N131" i="7"/>
  <c r="L57" i="15"/>
  <c r="L58" i="15" s="1"/>
  <c r="L88" i="15"/>
  <c r="N87" i="7" s="1"/>
  <c r="N91" i="7" s="1"/>
  <c r="L89" i="15"/>
  <c r="M89" i="15" s="1"/>
  <c r="L300" i="15"/>
  <c r="L115" i="15"/>
  <c r="N28" i="7"/>
  <c r="N27" i="7"/>
  <c r="N58" i="7"/>
  <c r="L303" i="15"/>
  <c r="I120" i="15"/>
  <c r="I121" i="15" s="1"/>
  <c r="K34" i="7" s="1"/>
  <c r="I114" i="15"/>
  <c r="I24" i="15"/>
  <c r="I23" i="15" s="1"/>
  <c r="I246" i="15" s="1"/>
  <c r="I245" i="15" s="1"/>
  <c r="I115" i="15"/>
  <c r="K36" i="7"/>
  <c r="K31" i="7"/>
  <c r="K27" i="7"/>
  <c r="R302" i="15"/>
  <c r="Q302" i="15" s="1"/>
  <c r="Q303" i="15" s="1"/>
  <c r="Q304" i="15" s="1"/>
  <c r="Q305" i="15" s="1"/>
  <c r="Q306" i="15" s="1"/>
  <c r="Q307" i="15" s="1"/>
  <c r="Q308" i="15" s="1"/>
  <c r="Q309" i="15" s="1"/>
  <c r="Q310" i="15" s="1"/>
  <c r="Q311" i="15" s="1"/>
  <c r="Q312" i="15" s="1"/>
  <c r="Q313" i="15" s="1"/>
  <c r="Q314" i="15" s="1"/>
  <c r="Q315" i="15" s="1"/>
  <c r="I144" i="15"/>
  <c r="K48" i="7" s="1"/>
  <c r="I49" i="15" s="1"/>
  <c r="I47" i="15" s="1"/>
  <c r="L246" i="15"/>
  <c r="L121" i="15"/>
  <c r="N34" i="7" s="1"/>
  <c r="N33" i="7"/>
  <c r="T315" i="15"/>
  <c r="N304" i="15"/>
  <c r="N305" i="15" s="1"/>
  <c r="N306" i="15" s="1"/>
  <c r="N307" i="15" s="1"/>
  <c r="N308" i="15" s="1"/>
  <c r="N309" i="15" s="1"/>
  <c r="N310" i="15" s="1"/>
  <c r="N311" i="15" s="1"/>
  <c r="N312" i="15" s="1"/>
  <c r="N313" i="15" s="1"/>
  <c r="N314" i="15" s="1"/>
  <c r="I48" i="15" l="1"/>
  <c r="I45" i="15" s="1"/>
  <c r="K17" i="7"/>
  <c r="N69" i="7"/>
  <c r="N70" i="7" s="1"/>
  <c r="L302" i="15"/>
  <c r="M41" i="31"/>
  <c r="M43" i="30"/>
  <c r="K300" i="15"/>
  <c r="L301" i="15"/>
  <c r="K33" i="7"/>
  <c r="L245" i="15"/>
  <c r="N19" i="7"/>
  <c r="N22" i="7" s="1"/>
  <c r="M36" i="31" s="1"/>
  <c r="N41" i="7"/>
  <c r="N35" i="7"/>
  <c r="K42" i="7"/>
  <c r="N315" i="15"/>
  <c r="K301" i="15" l="1"/>
  <c r="K302" i="15"/>
  <c r="K303" i="15" s="1"/>
  <c r="K304" i="15" s="1"/>
  <c r="K305" i="15" s="1"/>
  <c r="K306" i="15" s="1"/>
  <c r="K307" i="15" s="1"/>
  <c r="K308" i="15" s="1"/>
  <c r="K309" i="15" s="1"/>
  <c r="K310" i="15" s="1"/>
  <c r="K311" i="15" s="1"/>
  <c r="K312" i="15" s="1"/>
  <c r="K313" i="15" s="1"/>
  <c r="K314" i="15" s="1"/>
  <c r="K315" i="15" s="1"/>
  <c r="M40" i="31"/>
  <c r="M42" i="30"/>
  <c r="K35" i="7"/>
  <c r="I37" i="30"/>
  <c r="K18" i="7"/>
  <c r="I35" i="31"/>
  <c r="I51" i="15"/>
  <c r="I52" i="15" s="1"/>
  <c r="K50" i="7" s="1"/>
  <c r="I184" i="15"/>
  <c r="I183" i="15" s="1"/>
  <c r="I91" i="15"/>
  <c r="K32" i="7"/>
  <c r="K44" i="7" s="1"/>
  <c r="I177" i="15"/>
  <c r="I175" i="15" s="1"/>
  <c r="I173" i="15" s="1"/>
  <c r="K57" i="7" s="1"/>
  <c r="I124" i="15"/>
  <c r="I122" i="15" s="1"/>
  <c r="K60" i="7" s="1"/>
  <c r="I180" i="15"/>
  <c r="I179" i="15" s="1"/>
  <c r="K41" i="7"/>
  <c r="M38" i="30"/>
  <c r="N42" i="7"/>
  <c r="N44" i="7" s="1"/>
  <c r="N46" i="7" s="1"/>
  <c r="M39" i="31" s="1"/>
  <c r="K144" i="7"/>
  <c r="K143" i="7"/>
  <c r="N145" i="7" l="1"/>
  <c r="N147" i="7"/>
  <c r="I88" i="15"/>
  <c r="K87" i="7" s="1"/>
  <c r="K91" i="7" s="1"/>
  <c r="I300" i="15"/>
  <c r="I89" i="15"/>
  <c r="J89" i="15" s="1"/>
  <c r="K131" i="7"/>
  <c r="I57" i="15"/>
  <c r="I58" i="15" s="1"/>
  <c r="N146" i="7"/>
  <c r="K63" i="7"/>
  <c r="K64" i="7" s="1"/>
  <c r="I303" i="15"/>
  <c r="I117" i="15"/>
  <c r="I119" i="15" s="1"/>
  <c r="K58" i="7"/>
  <c r="K69" i="7" s="1"/>
  <c r="K19" i="7"/>
  <c r="K22" i="7" s="1"/>
  <c r="K38" i="7"/>
  <c r="K46" i="7" s="1"/>
  <c r="N148" i="7"/>
  <c r="N113" i="7"/>
  <c r="N116" i="7" s="1"/>
  <c r="M43" i="31" s="1"/>
  <c r="L38" i="31" s="1"/>
  <c r="M41" i="30"/>
  <c r="H144" i="7"/>
  <c r="H143" i="7"/>
  <c r="I302" i="15" l="1"/>
  <c r="I41" i="30"/>
  <c r="I39" i="31"/>
  <c r="K70" i="7"/>
  <c r="I301" i="15"/>
  <c r="H300" i="15"/>
  <c r="H301" i="15" s="1"/>
  <c r="I43" i="30"/>
  <c r="I41" i="31"/>
  <c r="I36" i="31"/>
  <c r="I38" i="30"/>
  <c r="K24" i="7"/>
  <c r="K25" i="7"/>
  <c r="H35" i="30" s="1"/>
  <c r="N117" i="7"/>
  <c r="D68" i="31" s="1"/>
  <c r="H302" i="15" l="1"/>
  <c r="H303" i="15" s="1"/>
  <c r="H304" i="15" s="1"/>
  <c r="H305" i="15" s="1"/>
  <c r="H306" i="15" s="1"/>
  <c r="H307" i="15" s="1"/>
  <c r="H308" i="15" s="1"/>
  <c r="H309" i="15" s="1"/>
  <c r="H310" i="15" s="1"/>
  <c r="H311" i="15" s="1"/>
  <c r="H312" i="15" s="1"/>
  <c r="H313" i="15" s="1"/>
  <c r="H314" i="15" s="1"/>
  <c r="H315" i="15" s="1"/>
  <c r="K145" i="7"/>
  <c r="K148" i="7"/>
  <c r="K147" i="7"/>
  <c r="K146" i="7"/>
  <c r="I37" i="31"/>
  <c r="H33" i="31" s="1"/>
  <c r="C63" i="31" s="1"/>
  <c r="D64" i="31" s="1"/>
  <c r="I39" i="30"/>
  <c r="I42" i="30"/>
  <c r="I40" i="31"/>
  <c r="K113" i="7"/>
  <c r="K116" i="7" s="1"/>
  <c r="I43" i="31" s="1"/>
  <c r="H38" i="31" s="1"/>
  <c r="N123" i="7"/>
  <c r="L40" i="30"/>
  <c r="M45" i="30"/>
  <c r="W4" i="7"/>
  <c r="K117" i="7" l="1"/>
  <c r="K127" i="7"/>
  <c r="D63" i="31"/>
  <c r="E64" i="31" s="1"/>
  <c r="K120" i="7"/>
  <c r="K122" i="7" s="1"/>
  <c r="I45" i="30"/>
  <c r="H40" i="30"/>
  <c r="K123" i="7"/>
  <c r="H47" i="30" l="1"/>
  <c r="H45" i="31"/>
  <c r="F63" i="31" s="1"/>
  <c r="K124" i="7"/>
  <c r="H46" i="30" l="1"/>
  <c r="H48" i="30" s="1"/>
  <c r="I47" i="30" s="1"/>
  <c r="H44" i="31"/>
  <c r="K129" i="7"/>
  <c r="K2" i="7" s="1"/>
  <c r="K3" i="7" s="1"/>
  <c r="K4" i="7" s="1"/>
  <c r="I46" i="30" l="1"/>
  <c r="E63" i="31"/>
  <c r="F64" i="31" s="1"/>
  <c r="H46" i="31"/>
  <c r="I47" i="31" s="1"/>
  <c r="K134" i="7"/>
  <c r="K135" i="7" s="1"/>
  <c r="I44" i="31" l="1"/>
  <c r="G63" i="31"/>
  <c r="H63" i="31" s="1"/>
  <c r="I45" i="31"/>
  <c r="G47" i="31"/>
  <c r="K47" i="31"/>
  <c r="L34" i="30"/>
  <c r="Q13" i="3"/>
  <c r="N12" i="7"/>
  <c r="N15" i="7" s="1"/>
  <c r="M36" i="30" s="1"/>
  <c r="L32" i="31" l="1"/>
  <c r="N17" i="7"/>
  <c r="M34" i="31"/>
  <c r="M37" i="30" l="1"/>
  <c r="M35" i="31"/>
  <c r="N18" i="7"/>
  <c r="N24" i="7" l="1"/>
  <c r="M39" i="30" l="1"/>
  <c r="M37" i="31"/>
  <c r="L33" i="31" s="1"/>
  <c r="N25" i="7"/>
  <c r="C68" i="31" l="1"/>
  <c r="D69" i="31" s="1"/>
  <c r="E69" i="31" s="1"/>
  <c r="N120" i="7"/>
  <c r="N127" i="7"/>
  <c r="L35" i="30"/>
  <c r="L47" i="30" l="1"/>
  <c r="L45" i="31"/>
  <c r="N122" i="7"/>
  <c r="N124" i="7" s="1"/>
  <c r="L44" i="31" l="1"/>
  <c r="L46" i="31" s="1"/>
  <c r="L46" i="30"/>
  <c r="N129" i="7"/>
  <c r="F68" i="31"/>
  <c r="L48" i="30" l="1"/>
  <c r="M47" i="30" s="1"/>
  <c r="M47" i="31"/>
  <c r="G68" i="31"/>
  <c r="H68" i="31" s="1"/>
  <c r="M45" i="31"/>
  <c r="N2" i="7"/>
  <c r="N3" i="7" s="1"/>
  <c r="N4" i="7" s="1"/>
  <c r="N134" i="7"/>
  <c r="N135" i="7" s="1"/>
  <c r="M44" i="31"/>
  <c r="E68" i="31"/>
  <c r="F69" i="31" s="1"/>
  <c r="M46" i="30" l="1"/>
  <c r="U53" i="15" l="1"/>
  <c r="U233" i="15" s="1"/>
  <c r="U232" i="15" s="1"/>
  <c r="R53" i="15"/>
  <c r="R233" i="15" s="1"/>
  <c r="R232" i="15" s="1"/>
  <c r="O53" i="15"/>
  <c r="O233" i="15" s="1"/>
  <c r="O232" i="15" s="1"/>
  <c r="U55" i="15" l="1"/>
  <c r="U54" i="15"/>
  <c r="R54" i="15"/>
  <c r="R55" i="15"/>
  <c r="O55" i="15"/>
  <c r="O54" i="15"/>
  <c r="O51" i="15" l="1"/>
  <c r="U51" i="15"/>
  <c r="U52" i="15" s="1"/>
  <c r="R51" i="15"/>
  <c r="R52" i="15" s="1"/>
  <c r="O52" i="15"/>
  <c r="F111" i="15"/>
  <c r="F114" i="15"/>
  <c r="H31" i="7"/>
  <c r="H33" i="7"/>
  <c r="F23" i="15"/>
  <c r="F246" i="15"/>
  <c r="F245" i="15"/>
  <c r="H42" i="7"/>
  <c r="F120" i="15"/>
  <c r="F121" i="15"/>
  <c r="H34" i="7"/>
  <c r="F115" i="15"/>
  <c r="F24" i="15"/>
  <c r="H28" i="7"/>
  <c r="H36" i="7"/>
  <c r="H27" i="7"/>
  <c r="F52" i="15"/>
  <c r="H50" i="7"/>
  <c r="H131" i="7"/>
  <c r="F57" i="15"/>
  <c r="F58" i="15"/>
  <c r="F179" i="15"/>
  <c r="E43" i="31"/>
  <c r="H116" i="7"/>
  <c r="E46" i="30"/>
  <c r="D46" i="30"/>
  <c r="E47" i="30"/>
  <c r="D47" i="30"/>
  <c r="H4" i="7"/>
  <c r="H3" i="7"/>
  <c r="H2" i="7"/>
  <c r="E44" i="31"/>
  <c r="E43" i="30"/>
  <c r="F88" i="15"/>
  <c r="H87" i="7"/>
  <c r="H91" i="7"/>
  <c r="E41" i="31"/>
  <c r="E301" i="15"/>
  <c r="F301" i="15"/>
  <c r="E36" i="31"/>
  <c r="H19" i="7"/>
  <c r="H22" i="7"/>
  <c r="E38" i="30"/>
  <c r="G89" i="15"/>
  <c r="F89" i="15"/>
  <c r="F183" i="15"/>
  <c r="F184" i="15"/>
  <c r="D48" i="30"/>
  <c r="D35" i="30"/>
  <c r="E47" i="31"/>
  <c r="H129" i="7"/>
  <c r="H134" i="7"/>
  <c r="H135" i="7"/>
  <c r="C57" i="31"/>
  <c r="D58" i="31"/>
  <c r="F119" i="15"/>
  <c r="F117" i="15"/>
  <c r="E37" i="30"/>
  <c r="E303" i="15"/>
  <c r="E304" i="15"/>
  <c r="E305" i="15"/>
  <c r="E306" i="15"/>
  <c r="E307" i="15"/>
  <c r="E308" i="15"/>
  <c r="E309" i="15"/>
  <c r="E310" i="15"/>
  <c r="E311" i="15"/>
  <c r="E312" i="15"/>
  <c r="E313" i="15"/>
  <c r="E314" i="15"/>
  <c r="E315" i="15"/>
  <c r="F302" i="15"/>
  <c r="E302" i="15"/>
  <c r="H148" i="7"/>
  <c r="H145" i="7"/>
  <c r="H147" i="7"/>
  <c r="F91" i="15"/>
  <c r="F300" i="15"/>
  <c r="E300" i="15"/>
  <c r="H146" i="7"/>
  <c r="F51" i="15"/>
  <c r="F180" i="15"/>
  <c r="F177" i="15"/>
  <c r="E40" i="31"/>
  <c r="H63" i="7"/>
  <c r="H64" i="7"/>
  <c r="H70" i="7"/>
  <c r="E42" i="30"/>
  <c r="E41" i="30"/>
  <c r="H120" i="7"/>
  <c r="H122" i="7"/>
  <c r="H124" i="7"/>
  <c r="D44" i="31"/>
  <c r="E57" i="31"/>
  <c r="F58" i="31"/>
  <c r="F57" i="31"/>
  <c r="H25" i="7"/>
  <c r="H127" i="7"/>
  <c r="D45" i="31"/>
  <c r="E45" i="31"/>
  <c r="E35" i="31"/>
  <c r="D33" i="31"/>
  <c r="D46" i="31"/>
  <c r="G57" i="31"/>
  <c r="H57" i="31"/>
  <c r="E45" i="30"/>
  <c r="H123" i="7"/>
  <c r="H113" i="7"/>
  <c r="H117" i="7"/>
  <c r="D40" i="30"/>
  <c r="H38" i="7"/>
  <c r="H44" i="7"/>
  <c r="H35" i="7"/>
  <c r="H32" i="7"/>
  <c r="H41" i="7"/>
  <c r="H46" i="7"/>
  <c r="E39" i="31"/>
  <c r="D38" i="31"/>
  <c r="D57" i="31"/>
  <c r="E58" i="31"/>
  <c r="E37" i="31"/>
  <c r="H17" i="7"/>
  <c r="H18" i="7"/>
  <c r="H24" i="7"/>
  <c r="E39" i="30"/>
  <c r="F47" i="15"/>
  <c r="F48" i="15"/>
  <c r="F45" i="15"/>
  <c r="F124" i="15"/>
  <c r="F122" i="15"/>
  <c r="H60" i="7"/>
  <c r="F3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2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2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2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2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2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2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</authors>
  <commentList>
    <comment ref="B81" authorId="0" shapeId="0" xr:uid="{DDF86E2E-F00E-4E1A-8F5A-98C6E3AB503E}">
      <text>
        <r>
          <rPr>
            <sz val="8"/>
            <color indexed="81"/>
            <rFont val="Tahoma"/>
            <family val="2"/>
          </rPr>
          <t>(Stanze extern</t>
        </r>
      </text>
    </comment>
    <comment ref="B82" authorId="0" shapeId="0" xr:uid="{C3BA006E-F146-4B37-8F68-598EDFE75BD6}">
      <text>
        <r>
          <rPr>
            <b/>
            <sz val="8"/>
            <color indexed="81"/>
            <rFont val="Tahoma"/>
            <family val="2"/>
          </rPr>
          <t xml:space="preserve">Stanze getrennt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8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1" authorId="1" shapeId="0" xr:uid="{CAC29B76-0148-4E48-AFCF-8FAA263A2CEA}">
      <text>
        <r>
          <rPr>
            <sz val="8"/>
            <color indexed="81"/>
            <rFont val="Tahoma"/>
            <family val="2"/>
          </rPr>
          <t>(Stanze extern</t>
        </r>
      </text>
    </comment>
    <comment ref="T22" authorId="1" shapeId="0" xr:uid="{410898B1-9DB4-4895-AF48-DE19187C847E}">
      <text>
        <r>
          <rPr>
            <b/>
            <sz val="8"/>
            <color indexed="81"/>
            <rFont val="Tahoma"/>
            <family val="2"/>
          </rPr>
          <t xml:space="preserve">Stanze getrennt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A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111" authorId="1" shapeId="0" xr:uid="{00000000-0006-0000-0A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111" authorId="1" shapeId="0" xr:uid="{00000000-0006-0000-0A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111" authorId="1" shapeId="0" xr:uid="{00000000-0006-0000-0A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111" authorId="1" shapeId="0" xr:uid="{00000000-0006-0000-0A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111" authorId="1" shapeId="0" xr:uid="{00000000-0006-0000-0A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111" authorId="1" shapeId="0" xr:uid="{00000000-0006-0000-0A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00000000-0015-0000-FFFF-FFFF01000000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00000000-0015-0000-FFFF-FFFF02000000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00000000-0015-0000-FFFF-FFFF03000000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00000000-0015-0000-FFFF-FFFF04000000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<sst xmlns="http://schemas.openxmlformats.org/spreadsheetml/2006/main" count="3318" uniqueCount="1047">
  <si>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</si>
  <si>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</si>
  <si>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</si>
  <si>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</si>
  <si>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</si>
  <si>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</si>
  <si>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</si>
  <si>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</si>
  <si>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</si>
  <si>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</si>
  <si>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</si>
  <si>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</si>
  <si>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</si>
  <si>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</si>
  <si>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</si>
  <si>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</si>
  <si>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</si>
  <si>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</si>
  <si>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</si>
  <si>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</si>
  <si>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</si>
  <si>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</si>
  <si>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</si>
  <si>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</si>
  <si>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</si>
  <si>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</si>
  <si>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</si>
  <si>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</si>
  <si>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</si>
  <si>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</si>
  <si>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</si>
  <si>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</si>
  <si>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</si>
  <si>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</si>
  <si>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</si>
  <si>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</si>
  <si>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</si>
  <si>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</si>
  <si>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</si>
  <si>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</si>
  <si>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</si>
  <si>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</si>
  <si>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</si>
  <si>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</si>
  <si>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</si>
  <si>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</si>
  <si>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</si>
  <si>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</si>
  <si>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</si>
  <si>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</si>
  <si>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</si>
  <si>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</si>
  <si>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</si>
  <si>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</si>
  <si>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</si>
  <si>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</si>
  <si>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</si>
  <si>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</si>
  <si>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</si>
  <si>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</si>
  <si>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</si>
  <si>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</si>
  <si>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</si>
  <si>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</si>
  <si>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</si>
  <si>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</si>
  <si>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</si>
  <si>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</si>
  <si>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</si>
  <si>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</si>
  <si>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</si>
  <si>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</si>
  <si>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</si>
  <si>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</si>
  <si>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</si>
  <si>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</si>
  <si>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</si>
  <si>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</si>
  <si>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</si>
  <si>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</si>
  <si>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</si>
  <si>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</si>
  <si>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</si>
  <si>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</si>
  <si>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</si>
  <si>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</si>
  <si>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</si>
  <si>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</si>
  <si>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</si>
  <si>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</si>
  <si>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</si>
  <si>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</si>
  <si>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</si>
  <si>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</si>
  <si>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</si>
  <si>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</si>
  <si>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</si>
  <si>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</si>
  <si>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</si>
  <si>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</si>
  <si>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</si>
  <si>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</si>
  <si>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</si>
  <si>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</si>
  <si>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</si>
  <si>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</si>
  <si>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</si>
  <si>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</si>
  <si>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</si>
  <si>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</si>
  <si>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</si>
  <si>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</si>
  <si>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</si>
  <si>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</si>
  <si>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</si>
  <si>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</si>
  <si>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</si>
  <si>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</si>
  <si>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</si>
  <si>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</si>
  <si>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</si>
  <si>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</si>
  <si>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</si>
  <si>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</si>
  <si>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</si>
  <si>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</si>
  <si>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</si>
  <si>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</si>
  <si>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</si>
  <si>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</si>
  <si>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</si>
  <si>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</si>
  <si>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</si>
  <si>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</si>
  <si>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</si>
  <si>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</si>
  <si>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</si>
  <si>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</si>
  <si>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</si>
  <si>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</si>
  <si>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</si>
  <si>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</si>
  <si>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</si>
  <si>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</si>
  <si>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</si>
  <si>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</si>
  <si>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</si>
  <si>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</si>
  <si>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</si>
  <si>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</si>
  <si>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</si>
  <si>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</si>
  <si>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</si>
  <si>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</si>
  <si>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</si>
  <si>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</si>
  <si>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</si>
  <si>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</si>
  <si>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</si>
  <si>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</si>
  <si>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</si>
  <si>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</si>
  <si>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</si>
  <si>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</si>
  <si>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</si>
  <si>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</si>
  <si>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</si>
  <si>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</si>
  <si>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</si>
  <si>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</si>
  <si>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</si>
  <si>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</si>
  <si>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</si>
  <si>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</si>
  <si>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</si>
  <si>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</si>
  <si>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</si>
  <si>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</si>
  <si>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</si>
  <si>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</si>
  <si>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</si>
  <si>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</si>
  <si>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</si>
  <si>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</si>
  <si>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</si>
  <si>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</si>
  <si>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</si>
  <si>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</si>
  <si>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</si>
  <si>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</si>
  <si>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</si>
  <si>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</si>
  <si>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</si>
  <si>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</si>
  <si>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</si>
  <si>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</si>
  <si>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</si>
  <si>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</si>
  <si>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</si>
  <si>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</si>
  <si>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</si>
  <si>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</si>
  <si>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</si>
  <si>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</si>
  <si>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</si>
  <si>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</si>
  <si>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</si>
  <si>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</si>
  <si>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</si>
  <si>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</si>
  <si>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</si>
  <si>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</si>
  <si>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</si>
  <si>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</si>
  <si>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</si>
  <si>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</si>
  <si>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</si>
  <si>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</si>
  <si>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</si>
  <si>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</si>
  <si>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</si>
  <si>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</si>
  <si>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</si>
  <si>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</si>
  <si>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</si>
  <si>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</si>
  <si>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</si>
  <si>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</si>
  <si>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</si>
  <si>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</si>
  <si>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</si>
  <si>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</si>
  <si>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</si>
  <si>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</si>
  <si>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</si>
  <si>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</si>
  <si>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</si>
  <si>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</si>
  <si>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</si>
  <si>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</si>
  <si>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</si>
  <si>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</si>
  <si>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</si>
  <si>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</si>
  <si>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</si>
  <si>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</si>
  <si>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</si>
  <si>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</si>
  <si>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</si>
  <si>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</si>
  <si>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</si>
  <si>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</si>
  <si>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</si>
  <si>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</si>
  <si>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</si>
  <si>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</si>
  <si>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</si>
  <si>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</si>
  <si>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</si>
  <si>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</si>
  <si>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</si>
  <si>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</si>
  <si>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</si>
  <si>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</si>
  <si>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</si>
  <si>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</si>
  <si>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</si>
  <si>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</si>
  <si>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</si>
  <si>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</si>
  <si>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</si>
  <si>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</si>
  <si>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</si>
  <si>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</si>
  <si>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</si>
  <si>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</si>
  <si>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</si>
  <si>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</si>
  <si>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</si>
  <si>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</si>
  <si>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</si>
  <si>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</si>
  <si>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</si>
  <si>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</si>
  <si>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</si>
  <si>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</si>
  <si>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</si>
  <si>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</si>
  <si>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</si>
  <si>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</si>
  <si>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</si>
  <si>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</si>
  <si>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</si>
  <si>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</si>
  <si>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</si>
  <si>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</si>
  <si>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</si>
  <si>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</si>
  <si>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</si>
  <si>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</si>
  <si>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</si>
  <si>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</si>
  <si>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</si>
  <si>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</si>
  <si>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</si>
  <si>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</si>
  <si>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</si>
  <si>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</si>
  <si>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</si>
  <si>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</si>
  <si>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</si>
  <si>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</si>
  <si>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</si>
  <si>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</si>
  <si>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</si>
  <si>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</si>
  <si>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</si>
  <si>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</si>
  <si>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</si>
  <si>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</si>
  <si>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</si>
  <si>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</si>
  <si>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</si>
  <si>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</si>
  <si>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</si>
  <si>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</si>
  <si>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</si>
  <si>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</si>
  <si>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</si>
  <si>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</si>
  <si>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</si>
  <si>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</si>
  <si>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</si>
  <si>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</si>
  <si>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</si>
  <si>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</si>
  <si>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</si>
  <si>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</si>
  <si>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</si>
  <si>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</si>
  <si>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</si>
  <si>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</si>
  <si>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</si>
  <si>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</si>
  <si>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</si>
  <si>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</si>
  <si>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</si>
  <si>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</si>
  <si>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</si>
  <si>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</si>
  <si>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</si>
  <si>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</si>
  <si>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</si>
  <si>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</si>
  <si>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</si>
  <si>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</si>
  <si>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</si>
  <si>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</si>
  <si>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</si>
  <si>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</si>
  <si>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</si>
  <si>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</si>
  <si>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</si>
  <si>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</si>
  <si>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</si>
  <si>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</si>
  <si>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</si>
  <si>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</si>
  <si>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</si>
  <si>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</si>
  <si>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</si>
  <si>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</si>
  <si>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</si>
  <si>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</si>
  <si>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</si>
  <si>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</si>
  <si>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</si>
  <si>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</si>
  <si>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</si>
  <si>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</si>
  <si>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</si>
  <si>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</si>
  <si>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</si>
  <si>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</si>
  <si>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</si>
  <si>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</si>
  <si>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</si>
  <si>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</si>
  <si>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</si>
  <si>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</si>
  <si>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</si>
  <si>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</si>
  <si>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Kosten Harz Kernsand (€/kg)</t>
  </si>
  <si>
    <t>Anteil Harz/Härter (%) / Kernsand</t>
  </si>
  <si>
    <t>Modell-Abgüsse</t>
  </si>
  <si>
    <t>Kastenausnutzung (Nutzvol. / Kasten-Vol.)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</si>
  <si>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</si>
  <si>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</si>
  <si>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</si>
  <si>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</si>
  <si>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</si>
  <si>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</si>
  <si>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</si>
  <si>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</si>
  <si>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</si>
  <si>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</si>
  <si>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</si>
  <si>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</si>
  <si>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</si>
  <si>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</si>
  <si>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</si>
  <si>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</si>
  <si>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</si>
  <si>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</si>
  <si>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</si>
  <si>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</si>
  <si>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</si>
  <si>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</si>
  <si>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</si>
  <si>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</si>
  <si>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</si>
  <si>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</si>
  <si>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</si>
  <si>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</si>
  <si>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</si>
  <si>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</si>
  <si>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</si>
  <si>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</si>
  <si>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</si>
  <si>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</si>
  <si>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</si>
  <si>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halbautomatisch</t>
  </si>
  <si>
    <t>automatisch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</si>
  <si>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</si>
  <si>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</si>
  <si>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</si>
  <si>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</si>
  <si>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</si>
  <si>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</si>
  <si>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</si>
  <si>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</si>
  <si>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</si>
  <si>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</si>
  <si>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</si>
  <si>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</si>
  <si>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</si>
  <si>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</si>
  <si>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</si>
  <si>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</si>
  <si>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</si>
  <si>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</si>
  <si>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</si>
  <si>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</si>
  <si>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</si>
  <si>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</si>
  <si>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</si>
  <si>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</si>
  <si>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</si>
  <si>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</si>
  <si>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</si>
  <si>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</si>
  <si>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</si>
  <si>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</si>
  <si>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</si>
  <si>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</si>
  <si>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</si>
  <si>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</si>
  <si>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</si>
  <si>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</si>
  <si>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</si>
  <si>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</si>
  <si>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</si>
  <si>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</si>
  <si>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</si>
  <si>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</si>
  <si>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</si>
  <si>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</si>
  <si>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</si>
  <si>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</si>
  <si>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</si>
  <si>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</si>
  <si>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</si>
  <si>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</si>
  <si>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</si>
  <si>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</si>
  <si>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</si>
  <si>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</si>
  <si>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</si>
  <si>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</si>
  <si>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</si>
  <si>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</si>
  <si>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</si>
  <si>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</si>
  <si>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</si>
  <si>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</si>
  <si>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</si>
  <si>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</si>
  <si>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</si>
  <si>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</si>
  <si>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</si>
  <si>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</si>
  <si>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</si>
  <si>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</si>
  <si>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</si>
  <si>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</si>
  <si>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</si>
  <si>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</si>
  <si>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</si>
  <si>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</si>
  <si>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</si>
  <si>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</si>
  <si>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</si>
  <si>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</si>
  <si>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</si>
  <si>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</si>
  <si>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</si>
  <si>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</si>
  <si>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</si>
  <si>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</si>
  <si>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</si>
  <si>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</si>
  <si>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</si>
  <si>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</si>
  <si>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</si>
  <si>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</si>
  <si>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</si>
  <si>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</si>
  <si>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</si>
  <si>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</si>
  <si>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</si>
  <si>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</si>
  <si>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</si>
  <si>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</si>
  <si>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</si>
  <si>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</si>
  <si>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</si>
  <si>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</si>
  <si>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</si>
  <si>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</si>
  <si>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</si>
  <si>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</si>
  <si>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</si>
  <si>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</si>
  <si>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</si>
  <si>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</si>
  <si>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</si>
  <si>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</si>
  <si>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</si>
  <si>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</si>
  <si>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</si>
  <si>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</si>
  <si>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</si>
  <si>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</si>
  <si>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</si>
  <si>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</si>
  <si>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</si>
  <si>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</si>
  <si>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</si>
  <si>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</si>
  <si>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</si>
  <si>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</si>
  <si>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</si>
  <si>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</si>
  <si>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</si>
  <si>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</si>
  <si>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</si>
  <si>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</si>
  <si>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</si>
  <si>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</si>
  <si>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</si>
  <si>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</si>
  <si>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</si>
  <si>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</si>
  <si>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</si>
  <si>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</si>
  <si>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</si>
  <si>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</si>
  <si>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</si>
  <si>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</si>
  <si>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</si>
  <si>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</si>
  <si>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</si>
  <si>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</si>
  <si>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</si>
  <si>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</si>
  <si>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</si>
  <si>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</si>
  <si>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</si>
  <si>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</si>
  <si>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</si>
  <si>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</si>
  <si>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</si>
  <si>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</si>
  <si>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</si>
  <si>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</si>
  <si>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</si>
  <si>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</si>
  <si>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</si>
  <si>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</si>
  <si>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</si>
  <si>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</si>
  <si>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</si>
  <si>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</si>
  <si>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</si>
  <si>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</si>
  <si>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</si>
  <si>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</si>
  <si>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</si>
  <si>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</si>
  <si>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</si>
  <si>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</si>
  <si>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</si>
  <si>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</si>
  <si>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</si>
  <si>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</si>
  <si>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</si>
  <si>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</si>
  <si>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</si>
  <si>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</si>
  <si>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</si>
  <si>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</si>
  <si>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</si>
  <si>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</si>
  <si>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</si>
  <si>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</si>
  <si>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</si>
  <si>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</si>
  <si>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</si>
  <si>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</si>
  <si>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</si>
  <si>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</si>
  <si>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</si>
  <si>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</si>
  <si>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</si>
  <si>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</si>
  <si>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</si>
  <si>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</si>
  <si>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</si>
  <si>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</si>
  <si>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</si>
  <si>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</si>
  <si>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</si>
  <si>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</si>
  <si>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</si>
  <si>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</si>
  <si>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</si>
  <si>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</si>
  <si>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</si>
  <si>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</si>
  <si>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</si>
  <si>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</si>
  <si>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</si>
  <si>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</si>
  <si>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</si>
  <si>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</si>
  <si>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</si>
  <si>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</si>
  <si>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</si>
  <si>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</si>
  <si>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</si>
  <si>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</si>
  <si>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</si>
  <si>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</si>
  <si>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</si>
  <si>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</si>
  <si>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</si>
  <si>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</si>
  <si>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</si>
  <si>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</si>
  <si>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</si>
  <si>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</si>
  <si>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</si>
  <si>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</si>
  <si>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</si>
  <si>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</si>
  <si>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</si>
  <si>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</si>
  <si>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</si>
  <si>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</si>
  <si>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</si>
  <si>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</si>
  <si>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</si>
  <si>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</si>
  <si>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</si>
  <si>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</si>
  <si>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</si>
  <si>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</si>
  <si>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</si>
  <si>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</si>
  <si>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</si>
  <si>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</si>
  <si>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</si>
  <si>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</si>
  <si>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</si>
  <si>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</si>
  <si>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</si>
  <si>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</si>
  <si>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</si>
  <si>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</si>
  <si>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</si>
  <si>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</si>
  <si>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</si>
  <si>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</si>
  <si>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</si>
  <si>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</si>
  <si>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</si>
  <si>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</si>
  <si>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</si>
  <si>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</si>
  <si>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</si>
  <si>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</si>
  <si>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</si>
  <si>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</si>
  <si>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</si>
  <si>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</si>
  <si>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</si>
  <si>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</si>
  <si>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</si>
  <si>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</si>
  <si>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</si>
  <si>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</si>
  <si>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</si>
  <si>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</si>
  <si>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</si>
  <si>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</si>
  <si>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</si>
  <si>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</si>
  <si>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</si>
  <si>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</si>
  <si>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</si>
  <si>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</si>
  <si>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</si>
  <si>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</si>
  <si>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</si>
  <si>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</si>
  <si>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</si>
  <si>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</si>
  <si>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</si>
  <si>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</si>
  <si>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</si>
  <si>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</si>
  <si>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</si>
  <si>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</si>
  <si>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</si>
  <si>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</si>
  <si>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</si>
  <si>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</si>
  <si>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</si>
  <si>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</si>
  <si>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</si>
  <si>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</si>
  <si>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</si>
  <si>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</si>
  <si>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</si>
  <si>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</si>
  <si>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</si>
  <si>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</si>
  <si>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</si>
  <si>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</si>
  <si>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</si>
  <si>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</si>
  <si>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</si>
  <si>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</si>
  <si>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</si>
  <si>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</si>
  <si>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</si>
  <si>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</si>
  <si>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</si>
  <si>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</si>
  <si>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</si>
  <si>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</si>
  <si>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</si>
  <si>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</si>
  <si>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</si>
  <si>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</si>
  <si>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</si>
  <si>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</si>
  <si>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</si>
  <si>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</si>
  <si>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</si>
  <si>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</si>
  <si>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</si>
  <si>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</si>
  <si>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</si>
  <si>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</si>
  <si>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</si>
  <si>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</si>
  <si>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</si>
  <si>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</si>
  <si>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</si>
  <si>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</si>
  <si>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</si>
  <si>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</si>
  <si>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</si>
  <si>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</si>
  <si>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</si>
  <si>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</si>
  <si>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</si>
  <si>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</si>
  <si>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</si>
  <si>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</si>
  <si>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</si>
  <si>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</si>
  <si>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</si>
  <si>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</si>
  <si>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</si>
  <si>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</si>
  <si>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</si>
  <si>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</si>
  <si>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</si>
  <si>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</si>
  <si>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</si>
  <si>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</si>
  <si>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</si>
  <si>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</si>
  <si>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</si>
  <si>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</si>
  <si>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</si>
  <si>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</si>
  <si>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</si>
  <si>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</si>
  <si>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</si>
  <si>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</si>
  <si>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</si>
  <si>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</si>
  <si>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</si>
  <si>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</si>
  <si>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</si>
  <si>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</si>
  <si>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</si>
  <si>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</si>
  <si>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</si>
  <si>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</si>
  <si>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</si>
  <si>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</si>
  <si>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</si>
  <si>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</si>
  <si>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</si>
  <si>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</si>
  <si>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</si>
  <si>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</si>
  <si>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</si>
  <si>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</si>
  <si>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</si>
  <si>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</si>
  <si>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</si>
  <si>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</si>
  <si>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</si>
  <si>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</si>
  <si>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</si>
  <si>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</si>
  <si>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</si>
  <si>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</si>
  <si>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</si>
  <si>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</si>
  <si>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</si>
  <si>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</si>
  <si>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</si>
  <si>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</si>
  <si>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</si>
  <si>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</si>
  <si>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</si>
  <si>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</si>
  <si>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</si>
  <si>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</si>
  <si>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</si>
  <si>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</si>
  <si>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</si>
  <si>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</si>
  <si>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</si>
  <si>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</si>
  <si>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</si>
  <si>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</si>
  <si>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</si>
  <si>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</si>
  <si>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</si>
  <si>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</si>
  <si>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</si>
  <si>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</si>
  <si>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</si>
  <si>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</si>
  <si>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</si>
  <si>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</si>
  <si>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</si>
  <si>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</si>
  <si>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</si>
  <si>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</si>
  <si>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</si>
  <si>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</si>
  <si>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</si>
  <si>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</si>
  <si>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</si>
  <si>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</si>
  <si>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</si>
  <si>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</si>
  <si>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</si>
  <si>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</si>
  <si>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</si>
  <si>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</si>
  <si>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</si>
  <si>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</si>
  <si>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</si>
  <si>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</si>
  <si>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</si>
  <si>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</si>
  <si>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</si>
  <si>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</si>
  <si>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</si>
  <si>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</si>
  <si>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</si>
  <si>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</si>
  <si>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</si>
  <si>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</si>
  <si>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</si>
  <si>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</si>
  <si>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</si>
  <si>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</si>
  <si>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</si>
  <si>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</si>
  <si>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</si>
  <si>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</si>
  <si>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</si>
  <si>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</si>
  <si>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</si>
  <si>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</si>
  <si>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</si>
  <si>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</si>
  <si>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</si>
  <si>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</si>
  <si>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</si>
  <si>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</si>
  <si>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</si>
  <si>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</si>
  <si>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</si>
  <si>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</si>
  <si>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Imprägnierung</t>
  </si>
  <si>
    <t>automatic</t>
  </si>
  <si>
    <t>T6 Wärmebehandlung 750kg /h</t>
  </si>
  <si>
    <t>T5 Aushärten</t>
  </si>
  <si>
    <t>Strahlenanlage</t>
  </si>
  <si>
    <t>VT Prüfzeit/Teil (sec)</t>
  </si>
  <si>
    <t>VT testing time (s)</t>
  </si>
  <si>
    <t>PT Manuell</t>
  </si>
  <si>
    <t xml:space="preserve">PT Automatik </t>
  </si>
  <si>
    <t>VT-Prüfung</t>
  </si>
  <si>
    <t>Farbeindringprüfung/PT</t>
  </si>
  <si>
    <t>Feinputz-Platz</t>
  </si>
  <si>
    <t>kWh/kg</t>
  </si>
  <si>
    <t>kg/Jahr</t>
  </si>
  <si>
    <t>Maschine Invest</t>
  </si>
  <si>
    <t>€/kg</t>
  </si>
  <si>
    <t>V4.0</t>
  </si>
  <si>
    <t xml:space="preserve">  powered by Siemens / sd-Software GmbH</t>
  </si>
  <si>
    <t>low-pressure die</t>
  </si>
  <si>
    <t>tilt casting</t>
  </si>
  <si>
    <t>gravity die casting</t>
  </si>
  <si>
    <t>Niederdruck</t>
  </si>
  <si>
    <t>Kippgiessen</t>
  </si>
  <si>
    <t>Schwerkaft</t>
  </si>
  <si>
    <t>Giesstechnik</t>
  </si>
  <si>
    <t>casting technique</t>
  </si>
  <si>
    <t>type of automation</t>
  </si>
  <si>
    <t>Handbedienung</t>
  </si>
  <si>
    <t>cast machine</t>
  </si>
  <si>
    <t>Dosiergerät</t>
  </si>
  <si>
    <t>pick out machine</t>
  </si>
  <si>
    <t>Entnahmegerät</t>
  </si>
  <si>
    <t>production cell with punch</t>
  </si>
  <si>
    <t>Fertigungszelle mit Stanze</t>
  </si>
  <si>
    <t>production cell with burring</t>
  </si>
  <si>
    <t>Fertigungszelle mit Entgratung</t>
  </si>
  <si>
    <t>robot cell with testing</t>
  </si>
  <si>
    <t>Roboterzelle mit Prüfstation</t>
  </si>
  <si>
    <t>robot cell with packing</t>
  </si>
  <si>
    <t>Roboterzelle mit Verpackung</t>
  </si>
  <si>
    <t>Art Einlegekerne</t>
  </si>
  <si>
    <t>kind of cores</t>
  </si>
  <si>
    <t>28.02.2022</t>
  </si>
  <si>
    <t>Kernsalzkosten (€/t)</t>
  </si>
  <si>
    <t>Formmaschinen Kokillenguss</t>
  </si>
  <si>
    <t>Nr</t>
  </si>
  <si>
    <t>Kurz-zeichen</t>
  </si>
  <si>
    <t>Schließkraft in Tonnen</t>
  </si>
  <si>
    <t>Ofentyp</t>
  </si>
  <si>
    <t>max WKZ Länge</t>
  </si>
  <si>
    <t>Zykluszeit
typisch</t>
  </si>
  <si>
    <t>E-Wert</t>
  </si>
  <si>
    <t>Masch.-
fläche</t>
  </si>
  <si>
    <t>Anlagen-
Invest</t>
  </si>
  <si>
    <t>Ofen typ, max</t>
  </si>
  <si>
    <t>Invest Warmhalte-ofen</t>
  </si>
  <si>
    <t>Anlagen Gesamt-
invest</t>
  </si>
  <si>
    <t>max WKZ Breite
/Höhe</t>
  </si>
  <si>
    <t>WKZ Rüstzeit
typ</t>
  </si>
  <si>
    <t>type</t>
  </si>
  <si>
    <t>No</t>
  </si>
  <si>
    <t>short name</t>
  </si>
  <si>
    <t>oven</t>
  </si>
  <si>
    <t>lenght max</t>
  </si>
  <si>
    <t>typ. cycle time</t>
  </si>
  <si>
    <t>El.</t>
  </si>
  <si>
    <t>square</t>
  </si>
  <si>
    <t>sort !</t>
  </si>
  <si>
    <t>t (sortiert!)</t>
  </si>
  <si>
    <t>mm</t>
  </si>
  <si>
    <t>s</t>
  </si>
  <si>
    <t xml:space="preserve">TC </t>
  </si>
  <si>
    <t xml:space="preserve">LPD </t>
  </si>
  <si>
    <t>fix</t>
  </si>
  <si>
    <t>Wechsel</t>
  </si>
  <si>
    <t xml:space="preserve">GDC </t>
  </si>
  <si>
    <t>Invest 
ND</t>
  </si>
  <si>
    <t>Invest Kipp</t>
  </si>
  <si>
    <t>Invest SK</t>
  </si>
  <si>
    <t>Anschluss-wert</t>
  </si>
  <si>
    <t>Gerät</t>
  </si>
  <si>
    <t>ext. 
Stanzen</t>
  </si>
  <si>
    <t>Grundzeit Kern einlegen</t>
  </si>
  <si>
    <t>AW_Automatisierungsgrad</t>
  </si>
  <si>
    <t>Tool</t>
  </si>
  <si>
    <t>sec</t>
  </si>
  <si>
    <t>Flämmeinrichtung</t>
  </si>
  <si>
    <t>Giesseinrichtung</t>
  </si>
  <si>
    <t>Stanze</t>
  </si>
  <si>
    <t>Robo+Schleifstation</t>
  </si>
  <si>
    <t>Prüfstation</t>
  </si>
  <si>
    <t>Verpackung</t>
  </si>
  <si>
    <t>Maschinen-Nr.</t>
  </si>
  <si>
    <t>Maschinen-Nr. (iteriert)</t>
  </si>
  <si>
    <t>Giess-Technik</t>
  </si>
  <si>
    <t>gepr</t>
  </si>
  <si>
    <t>Maschine nach Gießart min</t>
  </si>
  <si>
    <t>Maschine nach Gießart max</t>
  </si>
  <si>
    <t>Investkosten Warmhalteofen</t>
  </si>
  <si>
    <t>System Warmhalteofen</t>
  </si>
  <si>
    <t>Zuordnung Warmhalteofen / Giessplatz</t>
  </si>
  <si>
    <t>Fertigungsausschuss 1</t>
  </si>
  <si>
    <t>scrap rate 1</t>
  </si>
  <si>
    <t>Kernkosten (Sandkernmaterial - Basis)</t>
  </si>
  <si>
    <t>Korrektur Kerngröße bei BeachBox</t>
  </si>
  <si>
    <t>WKZ-Vergrößerung (Schieber)</t>
  </si>
  <si>
    <t>Gusstechnik=ND oder Automatisierung</t>
  </si>
  <si>
    <t>Komplexität (Anzahl Richtungen)</t>
  </si>
  <si>
    <t>zusätzliche WKZ-Dicke Schieber X (cm)</t>
  </si>
  <si>
    <t>zusätzliche WKZ-Dicke Schieber Y (cm)</t>
  </si>
  <si>
    <t>Projezierte Fläche/Teil (cm2)</t>
  </si>
  <si>
    <t>Kavitäten Ist (Eingabe)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</si>
</sst>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0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FFFF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7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63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21" fillId="3" borderId="0" xfId="0" applyFont="1" applyFill="1" applyBorder="1"/>
    <xf numFmtId="0" fontId="0" fillId="2" borderId="6" xfId="0" applyFill="1" applyBorder="1" applyProtection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0" xfId="0" applyFill="1" applyBorder="1" applyAlignment="1">
      <alignment horizontal="center"/>
    </xf>
    <xf numFmtId="0" fontId="11" fillId="10" borderId="50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0" xfId="0" applyFill="1" applyBorder="1" applyAlignment="1">
      <alignment horizontal="center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1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49" xfId="0" applyFill="1" applyBorder="1"/>
    <xf numFmtId="0" fontId="0" fillId="2" borderId="52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49" xfId="0" applyNumberFormat="1" applyFill="1" applyBorder="1"/>
    <xf numFmtId="4" fontId="0" fillId="2" borderId="52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2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2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49" xfId="0" applyNumberFormat="1" applyFill="1" applyBorder="1"/>
    <xf numFmtId="167" fontId="0" fillId="2" borderId="52" xfId="0" applyNumberFormat="1" applyFill="1" applyBorder="1"/>
    <xf numFmtId="2" fontId="0" fillId="2" borderId="51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3" fillId="0" borderId="0" xfId="0" applyFont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0" fontId="11" fillId="15" borderId="5" xfId="0" applyFont="1" applyFill="1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4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49" xfId="0" applyFont="1" applyBorder="1" applyProtection="1"/>
    <xf numFmtId="0" fontId="53" fillId="0" borderId="7" xfId="0" applyFont="1" applyBorder="1" applyProtection="1"/>
    <xf numFmtId="4" fontId="6" fillId="0" borderId="22" xfId="0" applyNumberFormat="1" applyFont="1" applyFill="1" applyBorder="1" applyAlignment="1">
      <alignment horizontal="center"/>
    </xf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0" fillId="3" borderId="44" xfId="0" applyFill="1" applyBorder="1" applyAlignment="1">
      <alignment horizontal="center"/>
    </xf>
    <xf numFmtId="0" fontId="0" fillId="3" borderId="55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3" xfId="0" applyFont="1" applyFill="1" applyBorder="1" applyProtection="1"/>
    <xf numFmtId="0" fontId="4" fillId="10" borderId="63" xfId="0" applyFont="1" applyFill="1" applyBorder="1" applyProtection="1"/>
    <xf numFmtId="0" fontId="4" fillId="10" borderId="74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0" fillId="0" borderId="75" xfId="0" applyBorder="1"/>
    <xf numFmtId="0" fontId="0" fillId="0" borderId="76" xfId="0" applyBorder="1"/>
    <xf numFmtId="0" fontId="0" fillId="0" borderId="54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4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7" xfId="0" applyNumberFormat="1" applyFont="1" applyFill="1" applyBorder="1" applyAlignment="1" applyProtection="1">
      <alignment horizontal="center"/>
    </xf>
    <xf numFmtId="9" fontId="12" fillId="5" borderId="49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6" xfId="0" applyNumberFormat="1" applyFont="1" applyFill="1" applyBorder="1" applyAlignment="1" applyProtection="1">
      <alignment horizontal="center"/>
    </xf>
    <xf numFmtId="0" fontId="0" fillId="3" borderId="77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6" xfId="0" applyFill="1" applyBorder="1" applyProtection="1"/>
    <xf numFmtId="0" fontId="6" fillId="3" borderId="56" xfId="0" applyFont="1" applyFill="1" applyBorder="1" applyAlignment="1" applyProtection="1">
      <alignment horizontal="center"/>
    </xf>
    <xf numFmtId="9" fontId="6" fillId="3" borderId="49" xfId="0" applyNumberFormat="1" applyFont="1" applyFill="1" applyBorder="1" applyAlignment="1" applyProtection="1">
      <alignment horizontal="center"/>
    </xf>
    <xf numFmtId="0" fontId="6" fillId="3" borderId="49" xfId="3" applyNumberFormat="1" applyFont="1" applyFill="1" applyBorder="1" applyAlignment="1" applyProtection="1">
      <alignment horizontal="center"/>
    </xf>
    <xf numFmtId="0" fontId="6" fillId="3" borderId="77" xfId="0" applyFont="1" applyFill="1" applyBorder="1" applyAlignment="1" applyProtection="1">
      <alignment horizontal="center"/>
    </xf>
    <xf numFmtId="0" fontId="12" fillId="3" borderId="77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49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7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49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7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79" xfId="0" applyBorder="1"/>
    <xf numFmtId="0" fontId="4" fillId="0" borderId="80" xfId="0" applyFont="1" applyBorder="1" applyAlignment="1">
      <alignment horizontal="right"/>
    </xf>
    <xf numFmtId="0" fontId="3" fillId="0" borderId="78" xfId="0" applyFont="1" applyBorder="1"/>
    <xf numFmtId="49" fontId="4" fillId="0" borderId="1" xfId="0" quotePrefix="1" applyNumberFormat="1" applyFont="1" applyBorder="1" applyAlignment="1">
      <alignment horizontal="right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7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7" xfId="0" applyFill="1" applyBorder="1" applyAlignment="1" applyProtection="1">
      <alignment horizontal="center"/>
    </xf>
    <xf numFmtId="0" fontId="12" fillId="3" borderId="77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69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0" fillId="3" borderId="81" xfId="0" applyFont="1" applyFill="1" applyBorder="1" applyAlignment="1">
      <alignment vertical="top" wrapText="1"/>
    </xf>
    <xf numFmtId="0" fontId="70" fillId="3" borderId="81" xfId="0" applyFont="1" applyFill="1" applyBorder="1" applyAlignment="1">
      <alignment horizontal="center" vertical="top" wrapText="1"/>
    </xf>
    <xf numFmtId="0" fontId="70" fillId="3" borderId="82" xfId="0" applyFont="1" applyFill="1" applyBorder="1" applyAlignment="1">
      <alignment horizontal="center" vertical="top" wrapText="1"/>
    </xf>
    <xf numFmtId="0" fontId="71" fillId="0" borderId="81" xfId="0" applyFont="1" applyBorder="1" applyAlignment="1">
      <alignment vertical="top" wrapText="1"/>
    </xf>
    <xf numFmtId="0" fontId="12" fillId="0" borderId="81" xfId="0" applyFont="1" applyBorder="1"/>
    <xf numFmtId="0" fontId="0" fillId="0" borderId="81" xfId="0" applyBorder="1"/>
    <xf numFmtId="0" fontId="0" fillId="0" borderId="81" xfId="0" applyBorder="1" applyAlignment="1">
      <alignment wrapText="1"/>
    </xf>
    <xf numFmtId="0" fontId="0" fillId="0" borderId="83" xfId="0" applyBorder="1" applyAlignment="1">
      <alignment horizontal="center" wrapText="1"/>
    </xf>
    <xf numFmtId="1" fontId="71" fillId="0" borderId="81" xfId="0" applyNumberFormat="1" applyFont="1" applyBorder="1" applyAlignment="1">
      <alignment horizontal="center" vertical="top" wrapText="1"/>
    </xf>
    <xf numFmtId="0" fontId="71" fillId="0" borderId="81" xfId="0" applyFont="1" applyBorder="1" applyAlignment="1">
      <alignment horizontal="center" vertical="top" wrapText="1"/>
    </xf>
    <xf numFmtId="0" fontId="70" fillId="3" borderId="0" xfId="0" applyFont="1" applyFill="1" applyBorder="1" applyAlignment="1">
      <alignment horizontal="center" vertical="top" wrapText="1"/>
    </xf>
    <xf numFmtId="0" fontId="71" fillId="0" borderId="9" xfId="0" applyFont="1" applyBorder="1" applyAlignment="1">
      <alignment vertical="top" wrapText="1"/>
    </xf>
    <xf numFmtId="1" fontId="71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1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2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1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1" xfId="0" applyFont="1" applyFill="1" applyBorder="1" applyAlignment="1">
      <alignment vertical="top"/>
    </xf>
    <xf numFmtId="0" fontId="0" fillId="0" borderId="48" xfId="0" applyFill="1" applyBorder="1"/>
    <xf numFmtId="0" fontId="0" fillId="0" borderId="51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1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3" xfId="11" applyFill="1" applyBorder="1"/>
    <xf numFmtId="0" fontId="3" fillId="18" borderId="63" xfId="11" applyFill="1" applyBorder="1"/>
    <xf numFmtId="49" fontId="3" fillId="18" borderId="63" xfId="11" applyNumberFormat="1" applyFill="1" applyBorder="1"/>
    <xf numFmtId="14" fontId="3" fillId="18" borderId="63" xfId="11" applyNumberFormat="1" applyFill="1" applyBorder="1"/>
    <xf numFmtId="14" fontId="3" fillId="18" borderId="74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3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3" xfId="11" applyFont="1" applyFill="1" applyBorder="1" applyAlignment="1">
      <alignment vertical="top"/>
    </xf>
    <xf numFmtId="182" fontId="61" fillId="18" borderId="63" xfId="11" applyNumberFormat="1" applyFont="1" applyFill="1" applyBorder="1" applyAlignment="1">
      <alignment horizontal="left" vertical="top"/>
    </xf>
    <xf numFmtId="0" fontId="62" fillId="18" borderId="74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3" xfId="11" applyFont="1" applyFill="1" applyBorder="1" applyAlignment="1">
      <alignment horizontal="left"/>
    </xf>
    <xf numFmtId="174" fontId="3" fillId="26" borderId="63" xfId="11" applyNumberFormat="1" applyFill="1" applyBorder="1" applyAlignment="1">
      <alignment horizontal="center"/>
    </xf>
    <xf numFmtId="182" fontId="12" fillId="26" borderId="74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4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59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1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6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1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6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3" xfId="11" applyFill="1" applyBorder="1"/>
    <xf numFmtId="0" fontId="3" fillId="30" borderId="63" xfId="11" applyFill="1" applyBorder="1"/>
    <xf numFmtId="49" fontId="3" fillId="30" borderId="63" xfId="11" applyNumberFormat="1" applyFill="1" applyBorder="1"/>
    <xf numFmtId="14" fontId="3" fillId="30" borderId="74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3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3" xfId="11" applyFont="1" applyFill="1" applyBorder="1" applyAlignment="1">
      <alignment vertical="top"/>
    </xf>
    <xf numFmtId="182" fontId="61" fillId="30" borderId="63" xfId="11" applyNumberFormat="1" applyFont="1" applyFill="1" applyBorder="1" applyAlignment="1">
      <alignment horizontal="left" vertical="top"/>
    </xf>
    <xf numFmtId="0" fontId="62" fillId="30" borderId="74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3" xfId="11" applyFont="1" applyFill="1" applyBorder="1" applyAlignment="1">
      <alignment horizontal="left"/>
    </xf>
    <xf numFmtId="174" fontId="3" fillId="30" borderId="63" xfId="11" applyNumberFormat="1" applyFill="1" applyBorder="1" applyAlignment="1">
      <alignment horizontal="center"/>
    </xf>
    <xf numFmtId="182" fontId="12" fillId="30" borderId="74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3" fillId="30" borderId="63" xfId="11" applyNumberFormat="1" applyFont="1" applyFill="1" applyBorder="1" applyAlignment="1">
      <alignment horizontal="center" vertical="center"/>
    </xf>
    <xf numFmtId="175" fontId="61" fillId="30" borderId="74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3" fillId="30" borderId="53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4" fillId="0" borderId="9" xfId="13" applyFont="1" applyBorder="1" applyAlignment="1">
      <alignment horizontal="center" vertical="center"/>
    </xf>
    <xf numFmtId="0" fontId="74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6" fillId="0" borderId="0" xfId="14" applyFont="1" applyAlignment="1">
      <alignment horizontal="center" vertical="center"/>
    </xf>
    <xf numFmtId="186" fontId="77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75" fillId="0" borderId="0" xfId="13" applyNumberFormat="1" applyFont="1" applyAlignment="1">
      <alignment horizontal="center" vertical="center"/>
    </xf>
    <xf numFmtId="0" fontId="75" fillId="0" borderId="0" xfId="13" applyFont="1" applyAlignment="1">
      <alignment horizontal="center" vertical="center"/>
    </xf>
    <xf numFmtId="9" fontId="78" fillId="0" borderId="9" xfId="14" applyFont="1" applyBorder="1" applyAlignment="1">
      <alignment horizontal="center" vertical="center"/>
    </xf>
    <xf numFmtId="0" fontId="78" fillId="0" borderId="9" xfId="13" applyFont="1" applyBorder="1" applyAlignment="1">
      <alignment horizontal="center" vertical="center"/>
    </xf>
    <xf numFmtId="186" fontId="79" fillId="0" borderId="0" xfId="15" applyNumberFormat="1" applyFont="1" applyAlignment="1">
      <alignment horizontal="center" vertical="center"/>
    </xf>
    <xf numFmtId="182" fontId="75" fillId="0" borderId="0" xfId="16" applyNumberFormat="1" applyFont="1" applyAlignment="1">
      <alignment horizontal="center" vertical="center"/>
    </xf>
    <xf numFmtId="0" fontId="75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6" fillId="0" borderId="0" xfId="13" applyNumberFormat="1" applyFont="1" applyAlignment="1">
      <alignment horizontal="center" vertical="center"/>
    </xf>
    <xf numFmtId="0" fontId="1" fillId="0" borderId="0" xfId="17"/>
    <xf numFmtId="0" fontId="76" fillId="0" borderId="0" xfId="17" applyFont="1"/>
    <xf numFmtId="0" fontId="75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1" fillId="0" borderId="0" xfId="0" applyFont="1" applyAlignment="1">
      <alignment vertical="top" wrapText="1"/>
    </xf>
    <xf numFmtId="0" fontId="71" fillId="31" borderId="0" xfId="0" applyFont="1" applyFill="1" applyAlignment="1">
      <alignment vertical="top" wrapText="1"/>
    </xf>
    <xf numFmtId="1" fontId="71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0" fontId="6" fillId="32" borderId="1" xfId="0" applyFont="1" applyFill="1" applyBorder="1"/>
    <xf numFmtId="0" fontId="0" fillId="0" borderId="26" xfId="0" applyBorder="1"/>
    <xf numFmtId="4" fontId="15" fillId="2" borderId="26" xfId="0" applyNumberFormat="1" applyFont="1" applyFill="1" applyBorder="1" applyAlignment="1">
      <alignment horizontal="left"/>
    </xf>
    <xf numFmtId="0" fontId="3" fillId="0" borderId="0" xfId="0" applyFont="1" applyBorder="1"/>
    <xf numFmtId="49" fontId="6" fillId="5" borderId="22" xfId="0" applyNumberFormat="1" applyFont="1" applyFill="1" applyBorder="1" applyAlignment="1" applyProtection="1">
      <alignment horizontal="center"/>
      <protection locked="0"/>
    </xf>
    <xf numFmtId="0" fontId="9" fillId="0" borderId="15" xfId="0" applyFont="1" applyBorder="1"/>
    <xf numFmtId="0" fontId="3" fillId="0" borderId="84" xfId="0" applyFont="1" applyBorder="1"/>
    <xf numFmtId="0" fontId="3" fillId="0" borderId="85" xfId="0" applyFont="1" applyBorder="1"/>
    <xf numFmtId="1" fontId="6" fillId="0" borderId="8" xfId="0" applyNumberFormat="1" applyFont="1" applyFill="1" applyBorder="1" applyAlignment="1" applyProtection="1">
      <alignment horizontal="center"/>
    </xf>
    <xf numFmtId="0" fontId="3" fillId="0" borderId="86" xfId="0" applyFont="1" applyBorder="1"/>
    <xf numFmtId="0" fontId="3" fillId="0" borderId="87" xfId="0" applyFont="1" applyBorder="1"/>
    <xf numFmtId="0" fontId="6" fillId="2" borderId="48" xfId="0" applyFont="1" applyFill="1" applyBorder="1" applyAlignment="1" applyProtection="1">
      <alignment horizontal="right" vertical="center" wrapText="1"/>
    </xf>
    <xf numFmtId="0" fontId="0" fillId="2" borderId="26" xfId="0" applyFill="1" applyBorder="1" applyProtection="1"/>
    <xf numFmtId="0" fontId="9" fillId="2" borderId="49" xfId="0" applyFont="1" applyFill="1" applyBorder="1" applyProtection="1">
      <protection hidden="1"/>
    </xf>
    <xf numFmtId="0" fontId="0" fillId="2" borderId="77" xfId="0" applyFill="1" applyBorder="1"/>
    <xf numFmtId="0" fontId="0" fillId="0" borderId="77" xfId="0" applyBorder="1"/>
    <xf numFmtId="166" fontId="6" fillId="18" borderId="9" xfId="0" applyNumberFormat="1" applyFont="1" applyFill="1" applyBorder="1" applyAlignment="1" applyProtection="1">
      <alignment horizontal="center"/>
      <protection locked="0"/>
    </xf>
    <xf numFmtId="174" fontId="6" fillId="2" borderId="9" xfId="0" applyNumberFormat="1" applyFont="1" applyFill="1" applyBorder="1" applyAlignment="1" applyProtection="1">
      <alignment horizontal="center"/>
    </xf>
    <xf numFmtId="169" fontId="6" fillId="22" borderId="9" xfId="0" applyNumberFormat="1" applyFont="1" applyFill="1" applyBorder="1" applyAlignment="1" applyProtection="1">
      <alignment horizontal="center"/>
      <protection locked="0"/>
    </xf>
    <xf numFmtId="0" fontId="3" fillId="0" borderId="88" xfId="0" applyFont="1" applyBorder="1"/>
    <xf numFmtId="0" fontId="3" fillId="0" borderId="79" xfId="0" applyFont="1" applyBorder="1"/>
    <xf numFmtId="0" fontId="3" fillId="18" borderId="1" xfId="0" applyFont="1" applyFill="1" applyBorder="1"/>
    <xf numFmtId="0" fontId="6" fillId="33" borderId="2" xfId="0" applyFont="1" applyFill="1" applyBorder="1" applyProtection="1"/>
    <xf numFmtId="0" fontId="56" fillId="33" borderId="1" xfId="0" applyFont="1" applyFill="1" applyBorder="1" applyAlignment="1" applyProtection="1">
      <alignment horizontal="left" indent="3"/>
    </xf>
    <xf numFmtId="0" fontId="6" fillId="33" borderId="0" xfId="0" applyFont="1" applyFill="1" applyBorder="1" applyProtection="1"/>
    <xf numFmtId="0" fontId="56" fillId="33" borderId="0" xfId="0" applyFont="1" applyFill="1" applyBorder="1" applyProtection="1"/>
    <xf numFmtId="0" fontId="56" fillId="33" borderId="2" xfId="0" applyFont="1" applyFill="1" applyBorder="1" applyProtection="1"/>
    <xf numFmtId="3" fontId="0" fillId="0" borderId="0" xfId="0" applyNumberFormat="1" applyProtection="1"/>
    <xf numFmtId="44" fontId="0" fillId="0" borderId="0" xfId="7" applyFont="1" applyProtection="1"/>
    <xf numFmtId="0" fontId="3" fillId="0" borderId="0" xfId="0" applyNumberFormat="1" applyFont="1"/>
    <xf numFmtId="2" fontId="71" fillId="31" borderId="0" xfId="0" applyNumberFormat="1" applyFont="1" applyFill="1" applyAlignment="1">
      <alignment horizontal="center" vertical="top" wrapText="1"/>
    </xf>
    <xf numFmtId="4" fontId="6" fillId="18" borderId="9" xfId="0" applyNumberFormat="1" applyFont="1" applyFill="1" applyBorder="1" applyAlignment="1">
      <alignment horizontal="center"/>
    </xf>
    <xf numFmtId="0" fontId="3" fillId="34" borderId="0" xfId="0" applyFont="1" applyFill="1"/>
    <xf numFmtId="0" fontId="0" fillId="34" borderId="0" xfId="0" applyFill="1"/>
    <xf numFmtId="3" fontId="56" fillId="33" borderId="9" xfId="0" applyNumberFormat="1" applyFont="1" applyFill="1" applyBorder="1" applyAlignment="1" applyProtection="1">
      <alignment horizontal="center"/>
    </xf>
    <xf numFmtId="0" fontId="4" fillId="2" borderId="6" xfId="0" applyFont="1" applyFill="1" applyBorder="1" applyAlignment="1">
      <alignment horizontal="left"/>
    </xf>
    <xf numFmtId="0" fontId="0" fillId="0" borderId="19" xfId="0" applyBorder="1"/>
    <xf numFmtId="0" fontId="0" fillId="0" borderId="21" xfId="0" applyBorder="1"/>
    <xf numFmtId="16" fontId="0" fillId="0" borderId="20" xfId="0" applyNumberFormat="1" applyBorder="1"/>
    <xf numFmtId="0" fontId="0" fillId="0" borderId="0" xfId="0" applyAlignment="1">
      <alignment horizontal="left"/>
    </xf>
    <xf numFmtId="0" fontId="3" fillId="3" borderId="6" xfId="0" applyFont="1" applyFill="1" applyBorder="1"/>
    <xf numFmtId="0" fontId="0" fillId="0" borderId="20" xfId="0" applyBorder="1"/>
    <xf numFmtId="0" fontId="0" fillId="0" borderId="4" xfId="0" applyBorder="1" applyAlignment="1">
      <alignment horizontal="left"/>
    </xf>
    <xf numFmtId="0" fontId="0" fillId="0" borderId="56" xfId="0" applyBorder="1"/>
    <xf numFmtId="0" fontId="0" fillId="16" borderId="26" xfId="0" applyFill="1" applyBorder="1"/>
    <xf numFmtId="0" fontId="0" fillId="16" borderId="42" xfId="0" applyFill="1" applyBorder="1"/>
    <xf numFmtId="0" fontId="0" fillId="3" borderId="89" xfId="0" applyFill="1" applyBorder="1"/>
    <xf numFmtId="0" fontId="3" fillId="3" borderId="52" xfId="0" applyFont="1" applyFill="1" applyBorder="1"/>
    <xf numFmtId="0" fontId="0" fillId="16" borderId="49" xfId="0" applyFill="1" applyBorder="1"/>
    <xf numFmtId="0" fontId="0" fillId="3" borderId="77" xfId="0" applyFill="1" applyBorder="1"/>
    <xf numFmtId="0" fontId="6" fillId="3" borderId="3" xfId="0" applyFont="1" applyFill="1" applyBorder="1"/>
    <xf numFmtId="0" fontId="7" fillId="3" borderId="4" xfId="0" applyFont="1" applyFill="1" applyBorder="1" applyAlignment="1">
      <alignment horizontal="center"/>
    </xf>
    <xf numFmtId="183" fontId="6" fillId="3" borderId="48" xfId="0" applyNumberFormat="1" applyFont="1" applyFill="1" applyBorder="1" applyAlignment="1">
      <alignment horizontal="center"/>
    </xf>
    <xf numFmtId="0" fontId="6" fillId="3" borderId="39" xfId="0" applyFont="1" applyFill="1" applyBorder="1"/>
    <xf numFmtId="164" fontId="12" fillId="19" borderId="22" xfId="3" applyFont="1" applyFill="1" applyBorder="1" applyAlignment="1" applyProtection="1">
      <alignment horizontal="center"/>
    </xf>
    <xf numFmtId="0" fontId="0" fillId="4" borderId="9" xfId="0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0" fillId="4" borderId="19" xfId="0" applyFill="1" applyBorder="1" applyAlignment="1">
      <alignment horizontal="center" vertical="center" wrapText="1"/>
    </xf>
    <xf numFmtId="0" fontId="0" fillId="4" borderId="19" xfId="0" applyFill="1" applyBorder="1"/>
    <xf numFmtId="0" fontId="0" fillId="4" borderId="19" xfId="0" applyFill="1" applyBorder="1" applyAlignment="1">
      <alignment horizontal="center"/>
    </xf>
    <xf numFmtId="0" fontId="0" fillId="3" borderId="23" xfId="0" applyFill="1" applyBorder="1"/>
    <xf numFmtId="2" fontId="0" fillId="3" borderId="23" xfId="0" applyNumberFormat="1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170" fontId="0" fillId="3" borderId="9" xfId="3" applyNumberFormat="1" applyFont="1" applyFill="1" applyBorder="1" applyAlignment="1">
      <alignment horizontal="center"/>
    </xf>
    <xf numFmtId="1" fontId="0" fillId="3" borderId="23" xfId="0" applyNumberFormat="1" applyFill="1" applyBorder="1"/>
    <xf numFmtId="170" fontId="0" fillId="3" borderId="9" xfId="0" applyNumberFormat="1" applyFill="1" applyBorder="1"/>
    <xf numFmtId="1" fontId="0" fillId="3" borderId="9" xfId="0" applyNumberFormat="1" applyFill="1" applyBorder="1" applyAlignment="1">
      <alignment horizontal="center"/>
    </xf>
    <xf numFmtId="2" fontId="0" fillId="3" borderId="9" xfId="0" applyNumberFormat="1" applyFill="1" applyBorder="1" applyAlignment="1">
      <alignment horizontal="center"/>
    </xf>
    <xf numFmtId="1" fontId="0" fillId="3" borderId="9" xfId="0" applyNumberFormat="1" applyFill="1" applyBorder="1"/>
    <xf numFmtId="2" fontId="6" fillId="3" borderId="9" xfId="0" applyNumberFormat="1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 vertical="center" wrapText="1"/>
    </xf>
    <xf numFmtId="0" fontId="0" fillId="4" borderId="35" xfId="0" applyFill="1" applyBorder="1"/>
    <xf numFmtId="0" fontId="0" fillId="3" borderId="0" xfId="0" applyFill="1"/>
    <xf numFmtId="170" fontId="0" fillId="3" borderId="0" xfId="3" applyNumberFormat="1" applyFont="1" applyFill="1" applyBorder="1" applyAlignment="1" applyProtection="1">
      <alignment horizontal="center"/>
    </xf>
    <xf numFmtId="0" fontId="0" fillId="3" borderId="1" xfId="0" applyFill="1" applyBorder="1" applyAlignment="1">
      <alignment horizontal="right"/>
    </xf>
    <xf numFmtId="0" fontId="0" fillId="5" borderId="14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170" fontId="0" fillId="3" borderId="7" xfId="3" applyNumberFormat="1" applyFont="1" applyFill="1" applyBorder="1" applyAlignment="1" applyProtection="1">
      <alignment horizontal="center"/>
    </xf>
    <xf numFmtId="0" fontId="0" fillId="3" borderId="6" xfId="0" applyFill="1" applyBorder="1" applyAlignment="1">
      <alignment horizontal="right"/>
    </xf>
    <xf numFmtId="0" fontId="0" fillId="5" borderId="15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3" fillId="18" borderId="0" xfId="0" applyFont="1" applyFill="1"/>
    <xf numFmtId="1" fontId="6" fillId="3" borderId="9" xfId="3" applyNumberFormat="1" applyFont="1" applyFill="1" applyBorder="1" applyAlignment="1">
      <alignment horizontal="center"/>
    </xf>
    <xf numFmtId="0" fontId="3" fillId="2" borderId="26" xfId="0" applyFont="1" applyFill="1" applyBorder="1"/>
    <xf numFmtId="0" fontId="6" fillId="0" borderId="23" xfId="3" applyNumberFormat="1" applyFont="1" applyFill="1" applyBorder="1" applyAlignment="1">
      <alignment horizontal="center"/>
    </xf>
    <xf numFmtId="168" fontId="6" fillId="0" borderId="9" xfId="0" applyNumberFormat="1" applyFont="1" applyBorder="1" applyAlignment="1">
      <alignment horizontal="center"/>
    </xf>
    <xf numFmtId="9" fontId="51" fillId="14" borderId="2" xfId="6" applyNumberFormat="1" applyBorder="1" applyAlignment="1">
      <alignment horizontal="right"/>
    </xf>
    <xf numFmtId="9" fontId="0" fillId="2" borderId="26" xfId="5" applyFont="1" applyFill="1" applyBorder="1"/>
    <xf numFmtId="9" fontId="0" fillId="2" borderId="24" xfId="5" applyFont="1" applyFill="1" applyBorder="1"/>
    <xf numFmtId="0" fontId="6" fillId="2" borderId="30" xfId="0" applyFont="1" applyFill="1" applyBorder="1"/>
    <xf numFmtId="0" fontId="6" fillId="2" borderId="14" xfId="0" applyFont="1" applyFill="1" applyBorder="1"/>
    <xf numFmtId="3" fontId="6" fillId="0" borderId="19" xfId="0" applyNumberFormat="1" applyFont="1" applyBorder="1" applyAlignment="1">
      <alignment horizontal="center"/>
    </xf>
    <xf numFmtId="9" fontId="6" fillId="2" borderId="2" xfId="0" applyNumberFormat="1" applyFont="1" applyFill="1" applyBorder="1" applyAlignment="1">
      <alignment horizontal="left"/>
    </xf>
    <xf numFmtId="167" fontId="6" fillId="0" borderId="19" xfId="0" applyNumberFormat="1" applyFont="1" applyBorder="1" applyAlignment="1">
      <alignment horizontal="center"/>
    </xf>
    <xf numFmtId="9" fontId="6" fillId="2" borderId="10" xfId="0" applyNumberFormat="1" applyFont="1" applyFill="1" applyBorder="1" applyAlignment="1">
      <alignment horizontal="left"/>
    </xf>
    <xf numFmtId="167" fontId="6" fillId="0" borderId="22" xfId="0" applyNumberFormat="1" applyFont="1" applyBorder="1" applyAlignment="1">
      <alignment horizontal="center"/>
    </xf>
    <xf numFmtId="0" fontId="16" fillId="20" borderId="68" xfId="4" applyFont="1" applyFill="1" applyBorder="1" applyAlignment="1" applyProtection="1">
      <alignment horizontal="center" vertical="center"/>
    </xf>
    <xf numFmtId="0" fontId="17" fillId="20" borderId="69" xfId="4" applyFont="1" applyFill="1" applyBorder="1" applyAlignment="1" applyProtection="1">
      <alignment horizontal="center" vertical="center"/>
    </xf>
    <xf numFmtId="0" fontId="17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31" fillId="3" borderId="57" xfId="0" applyFont="1" applyFill="1" applyBorder="1" applyAlignment="1" applyProtection="1">
      <alignment horizontal="center" vertical="center"/>
    </xf>
    <xf numFmtId="0" fontId="32" fillId="3" borderId="58" xfId="0" applyFont="1" applyFill="1" applyBorder="1" applyAlignment="1" applyProtection="1">
      <alignment horizontal="center" vertical="center"/>
    </xf>
    <xf numFmtId="0" fontId="32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2" xfId="0" applyFont="1" applyFill="1" applyBorder="1" applyAlignment="1" applyProtection="1">
      <alignment horizontal="center" vertical="center"/>
    </xf>
    <xf numFmtId="0" fontId="17" fillId="3" borderId="63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2" xfId="0" applyFont="1" applyFill="1" applyBorder="1" applyAlignment="1" applyProtection="1">
      <alignment horizontal="center" vertical="center"/>
    </xf>
    <xf numFmtId="0" fontId="16" fillId="3" borderId="63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0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1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5" xfId="0" applyFont="1" applyFill="1" applyBorder="1" applyAlignment="1" applyProtection="1">
      <alignment horizontal="center" vertical="center"/>
    </xf>
    <xf numFmtId="0" fontId="31" fillId="3" borderId="66" xfId="0" applyFont="1" applyFill="1" applyBorder="1" applyAlignment="1" applyProtection="1">
      <alignment horizontal="center" vertical="center"/>
    </xf>
    <xf numFmtId="0" fontId="16" fillId="3" borderId="57" xfId="0" applyFont="1" applyFill="1" applyBorder="1" applyAlignment="1" applyProtection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</cellXfs>
  <cellStyles count="18">
    <cellStyle name="Euro" xfId="1" xr:uid="{00000000-0005-0000-0000-000003000000}"/>
    <cellStyle name="Gut" xfId="2" builtinId="26"/>
    <cellStyle name="Komma" xfId="3" builtinId="3"/>
    <cellStyle name="Komma 2" xfId="9" xr:uid="{00000000-0005-0000-0000-000005000000}"/>
    <cellStyle name="Komma 3" xfId="16" xr:uid="{00000000-0005-0000-0000-000006000000}"/>
    <cellStyle name="Notiz" xfId="4" builtinId="10"/>
    <cellStyle name="Prozent" xfId="5" builtinId="5"/>
    <cellStyle name="Prozent 2" xfId="10" xr:uid="{00000000-0005-0000-0000-00000A000000}"/>
    <cellStyle name="Prozent 3" xfId="14" xr:uid="{00000000-0005-0000-0000-00000B000000}"/>
    <cellStyle name="Schlecht" xfId="6" builtinId="27"/>
    <cellStyle name="Standard" xfId="0" builtinId="0"/>
    <cellStyle name="Standard 2" xfId="8" xr:uid="{00000000-0005-0000-0000-00000C000000}"/>
    <cellStyle name="Standard 3" xfId="11" xr:uid="{00000000-0005-0000-0000-00000D000000}"/>
    <cellStyle name="Standard 4" xfId="13" xr:uid="{00000000-0005-0000-0000-00000E000000}"/>
    <cellStyle name="Standard 4 2" xfId="17" xr:uid="{00000000-0005-0000-0000-00000F000000}"/>
    <cellStyle name="Währung" xfId="7" builtinId="4"/>
    <cellStyle name="Währung 2" xfId="12" xr:uid="{00000000-0005-0000-0000-000010000000}"/>
    <cellStyle name="Währung 3" xfId="15" xr:uid="{00000000-0005-0000-0000-000011000000}"/>
  </cellStyles>
  <dxfs count="188"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z val="10"/>
        <color theme="0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  <color rgb="FF33CCCC"/>
      <color rgb="FFFFFFCC"/>
      <color rgb="FFFFCCCC"/>
      <color rgb="FFFFFF99"/>
      <color rgb="FF00CCFF"/>
      <color rgb="FF66FF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0</c:v>
                </c:pt>
                <c:pt idx="5">
                  <c:v>#N/A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0</c:v>
                </c:pt>
                <c:pt idx="5">
                  <c:v>#N/A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0</c:v>
                </c:pt>
                <c:pt idx="5">
                  <c:v>#N/A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5" name="Grafik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66675</xdr:rowOff>
        </xdr:from>
        <xdr:to>
          <xdr:col>7</xdr:col>
          <xdr:colOff>1381125</xdr:colOff>
          <xdr:row>2</xdr:row>
          <xdr:rowOff>180975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1343025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</xdr:row>
          <xdr:rowOff>76200</xdr:rowOff>
        </xdr:from>
        <xdr:to>
          <xdr:col>13</xdr:col>
          <xdr:colOff>1371600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453390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1</xdr:row>
          <xdr:rowOff>76200</xdr:rowOff>
        </xdr:from>
        <xdr:to>
          <xdr:col>13</xdr:col>
          <xdr:colOff>1381125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1381125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66675</xdr:rowOff>
        </xdr:from>
        <xdr:to>
          <xdr:col>7</xdr:col>
          <xdr:colOff>1419225</xdr:colOff>
          <xdr:row>2</xdr:row>
          <xdr:rowOff>180975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147956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1066800</xdr:colOff>
      <xdr:row>50</xdr:row>
      <xdr:rowOff>95250</xdr:rowOff>
    </xdr:from>
    <xdr:to>
      <xdr:col>3</xdr:col>
      <xdr:colOff>504825</xdr:colOff>
      <xdr:row>51</xdr:row>
      <xdr:rowOff>76200</xdr:rowOff>
    </xdr:to>
    <xdr:cxnSp macro="">
      <xdr:nvCxnSpPr>
        <xdr:cNvPr id="2" name="AutoShape 105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CxnSpPr>
          <a:cxnSpLocks noChangeShapeType="1"/>
        </xdr:cNvCxnSpPr>
      </xdr:nvCxnSpPr>
      <xdr:spPr bwMode="auto">
        <a:xfrm>
          <a:off x="1295400" y="8237220"/>
          <a:ext cx="1706880" cy="167640"/>
        </a:xfrm>
        <a:prstGeom prst="bentConnector3">
          <a:avLst>
            <a:gd name="adj1" fmla="val 4971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AL-Sandguss-V3.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Kokillenguss_V3.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Charts (alt)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Tabelle1"/>
      <sheetName val="LME ALu-Alloy"/>
    </sheetNames>
    <sheetDataSet>
      <sheetData sheetId="0" refreshError="1"/>
      <sheetData sheetId="1" refreshError="1"/>
      <sheetData sheetId="2" refreshError="1"/>
      <sheetData sheetId="3">
        <row r="16">
          <cell r="N16">
            <v>5.5500000000000001E-2</v>
          </cell>
        </row>
        <row r="24">
          <cell r="N24">
            <v>7.0000000000000007E-2</v>
          </cell>
        </row>
        <row r="31">
          <cell r="N31">
            <v>2000</v>
          </cell>
        </row>
        <row r="32">
          <cell r="O32" t="str">
            <v>Gas</v>
          </cell>
        </row>
        <row r="50">
          <cell r="N50">
            <v>1</v>
          </cell>
        </row>
        <row r="52">
          <cell r="N52">
            <v>3</v>
          </cell>
        </row>
        <row r="59">
          <cell r="O59" t="str">
            <v>ohne</v>
          </cell>
        </row>
        <row r="61">
          <cell r="N61">
            <v>100</v>
          </cell>
        </row>
        <row r="67">
          <cell r="N67">
            <v>0</v>
          </cell>
        </row>
        <row r="70">
          <cell r="N70">
            <v>0</v>
          </cell>
        </row>
        <row r="74">
          <cell r="N74">
            <v>0</v>
          </cell>
        </row>
        <row r="75">
          <cell r="N75">
            <v>5</v>
          </cell>
        </row>
        <row r="84">
          <cell r="N84">
            <v>0</v>
          </cell>
        </row>
        <row r="86">
          <cell r="N86">
            <v>0.02</v>
          </cell>
        </row>
        <row r="89">
          <cell r="N89">
            <v>300</v>
          </cell>
        </row>
        <row r="91">
          <cell r="N91">
            <v>0</v>
          </cell>
        </row>
        <row r="92">
          <cell r="N92">
            <v>0</v>
          </cell>
        </row>
        <row r="93">
          <cell r="N93">
            <v>0</v>
          </cell>
        </row>
        <row r="95">
          <cell r="N95">
            <v>0</v>
          </cell>
        </row>
        <row r="96">
          <cell r="N96">
            <v>0.5</v>
          </cell>
        </row>
        <row r="102">
          <cell r="N102">
            <v>0.1</v>
          </cell>
        </row>
        <row r="108">
          <cell r="N108">
            <v>0.12</v>
          </cell>
        </row>
        <row r="112">
          <cell r="N112">
            <v>0</v>
          </cell>
        </row>
        <row r="113">
          <cell r="N113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LME ALu-Alloy"/>
      <sheetName val="DatCos"/>
    </sheetNames>
    <sheetDataSet>
      <sheetData sheetId="0" refreshError="1"/>
      <sheetData sheetId="1">
        <row r="14">
          <cell r="V14" t="str">
            <v>?</v>
          </cell>
          <cell r="Y14" t="str">
            <v>?</v>
          </cell>
          <cell r="AB14" t="str">
            <v>?</v>
          </cell>
        </row>
        <row r="15">
          <cell r="V15" t="str">
            <v>?</v>
          </cell>
          <cell r="Y15" t="str">
            <v>?</v>
          </cell>
          <cell r="AB15" t="str">
            <v>?</v>
          </cell>
        </row>
        <row r="16">
          <cell r="V16" t="str">
            <v>?</v>
          </cell>
          <cell r="Y16" t="str">
            <v>?</v>
          </cell>
          <cell r="AB16" t="str">
            <v>?</v>
          </cell>
        </row>
        <row r="20">
          <cell r="V20">
            <v>0</v>
          </cell>
          <cell r="Y20">
            <v>0</v>
          </cell>
          <cell r="AB20">
            <v>0</v>
          </cell>
        </row>
        <row r="21">
          <cell r="V21" t="str">
            <v>einfach</v>
          </cell>
          <cell r="Y21" t="str">
            <v>einfach</v>
          </cell>
          <cell r="AB21" t="str">
            <v>einfach</v>
          </cell>
        </row>
        <row r="22">
          <cell r="V22" t="str">
            <v>Niederdruck</v>
          </cell>
          <cell r="Y22" t="str">
            <v>Niederdruck</v>
          </cell>
          <cell r="AB22" t="str">
            <v>Niederdruck</v>
          </cell>
        </row>
        <row r="23">
          <cell r="V23" t="str">
            <v>Roboterzelle mit Prüfstation</v>
          </cell>
          <cell r="Y23" t="str">
            <v>Roboterzelle mit Prüfstation</v>
          </cell>
          <cell r="AB23" t="str">
            <v>Roboterzelle mit Prüfstation</v>
          </cell>
        </row>
      </sheetData>
      <sheetData sheetId="2">
        <row r="50">
          <cell r="H50">
            <v>3</v>
          </cell>
          <cell r="K50">
            <v>3</v>
          </cell>
          <cell r="N50">
            <v>3</v>
          </cell>
          <cell r="Q50">
            <v>5</v>
          </cell>
          <cell r="T50">
            <v>3</v>
          </cell>
          <cell r="W50">
            <v>3</v>
          </cell>
        </row>
      </sheetData>
      <sheetData sheetId="3" refreshError="1"/>
      <sheetData sheetId="4">
        <row r="16">
          <cell r="D16" t="str">
            <v>einfach</v>
          </cell>
          <cell r="E16">
            <v>1</v>
          </cell>
        </row>
        <row r="17">
          <cell r="D17" t="str">
            <v>mäßig</v>
          </cell>
          <cell r="E17">
            <v>2</v>
          </cell>
        </row>
        <row r="18">
          <cell r="D18" t="str">
            <v>schwierig</v>
          </cell>
          <cell r="E18">
            <v>3</v>
          </cell>
        </row>
        <row r="19">
          <cell r="D19" t="str">
            <v>komplex</v>
          </cell>
          <cell r="E19">
            <v>4</v>
          </cell>
        </row>
        <row r="36">
          <cell r="D36" t="str">
            <v>Niederdruck</v>
          </cell>
          <cell r="E36">
            <v>1</v>
          </cell>
        </row>
        <row r="37">
          <cell r="D37" t="str">
            <v>Kippgiessen</v>
          </cell>
          <cell r="E37">
            <v>2</v>
          </cell>
        </row>
        <row r="38">
          <cell r="D38" t="str">
            <v>Schwerkaft</v>
          </cell>
          <cell r="E38">
            <v>3</v>
          </cell>
        </row>
        <row r="41">
          <cell r="D41" t="str">
            <v>Handbedienung</v>
          </cell>
          <cell r="E41">
            <v>1</v>
          </cell>
        </row>
        <row r="42">
          <cell r="D42" t="str">
            <v>Dosiergerät</v>
          </cell>
          <cell r="E42">
            <v>2</v>
          </cell>
        </row>
        <row r="43">
          <cell r="D43" t="str">
            <v>Entnahmegerät</v>
          </cell>
          <cell r="E43">
            <v>3</v>
          </cell>
        </row>
        <row r="44">
          <cell r="D44" t="str">
            <v>Fertigungszelle mit Stanze</v>
          </cell>
          <cell r="E44">
            <v>4</v>
          </cell>
        </row>
        <row r="45">
          <cell r="D45" t="str">
            <v>Fertigungszelle mit Entgratung</v>
          </cell>
          <cell r="E45">
            <v>5</v>
          </cell>
        </row>
        <row r="46">
          <cell r="D46" t="str">
            <v>Roboterzelle mit Prüfstation</v>
          </cell>
          <cell r="E46">
            <v>6</v>
          </cell>
        </row>
        <row r="47">
          <cell r="D47" t="str">
            <v>Roboterzelle mit Verpackung</v>
          </cell>
          <cell r="E47">
            <v>7</v>
          </cell>
        </row>
        <row r="58">
          <cell r="D58" t="str">
            <v>BeachBox</v>
          </cell>
        </row>
      </sheetData>
      <sheetData sheetId="5">
        <row r="2">
          <cell r="A2" t="str">
            <v>Deutschland</v>
          </cell>
          <cell r="B2" t="str">
            <v>Germany</v>
          </cell>
        </row>
        <row r="3">
          <cell r="A3" t="str">
            <v>Frankreich</v>
          </cell>
          <cell r="B3" t="str">
            <v>France</v>
          </cell>
        </row>
        <row r="4">
          <cell r="A4" t="str">
            <v>Italien</v>
          </cell>
          <cell r="B4" t="str">
            <v>Italy</v>
          </cell>
        </row>
        <row r="5">
          <cell r="A5" t="str">
            <v>Tschechien</v>
          </cell>
          <cell r="B5" t="str">
            <v>Czech Republic</v>
          </cell>
        </row>
        <row r="6">
          <cell r="A6" t="str">
            <v>Polen</v>
          </cell>
          <cell r="B6" t="str">
            <v>Poland</v>
          </cell>
        </row>
        <row r="7">
          <cell r="A7" t="str">
            <v>Bulgarien</v>
          </cell>
          <cell r="B7" t="str">
            <v>Bulgaria</v>
          </cell>
        </row>
        <row r="8">
          <cell r="A8" t="str">
            <v>Rumänien</v>
          </cell>
          <cell r="B8" t="str">
            <v>Romania</v>
          </cell>
        </row>
        <row r="9">
          <cell r="A9" t="str">
            <v>Türkei</v>
          </cell>
          <cell r="B9" t="str">
            <v>Turkey</v>
          </cell>
        </row>
        <row r="10">
          <cell r="A10" t="str">
            <v>Indien</v>
          </cell>
          <cell r="B10" t="str">
            <v>India</v>
          </cell>
        </row>
        <row r="11">
          <cell r="A11" t="str">
            <v>China</v>
          </cell>
          <cell r="B11" t="str">
            <v>China</v>
          </cell>
        </row>
        <row r="12">
          <cell r="A12" t="str">
            <v>USA - Illinois</v>
          </cell>
          <cell r="B12" t="str">
            <v>USA - Illinois</v>
          </cell>
        </row>
        <row r="13">
          <cell r="A13" t="str">
            <v>Spanien</v>
          </cell>
          <cell r="B13" t="str">
            <v>Spain</v>
          </cell>
        </row>
        <row r="14">
          <cell r="A14" t="str">
            <v>Mexiko</v>
          </cell>
          <cell r="B14" t="str">
            <v>Mexico</v>
          </cell>
        </row>
      </sheetData>
      <sheetData sheetId="6" refreshError="1"/>
      <sheetData sheetId="7">
        <row r="22">
          <cell r="C22">
            <v>0</v>
          </cell>
        </row>
        <row r="23">
          <cell r="B23" t="str">
            <v>Kippgiessen</v>
          </cell>
          <cell r="C23">
            <v>1</v>
          </cell>
        </row>
        <row r="24">
          <cell r="B24" t="str">
            <v>Kippgiessen</v>
          </cell>
          <cell r="C24">
            <v>2</v>
          </cell>
        </row>
        <row r="25">
          <cell r="B25" t="str">
            <v>Niederdruck</v>
          </cell>
          <cell r="C25">
            <v>3</v>
          </cell>
        </row>
        <row r="26">
          <cell r="B26" t="str">
            <v>Niederdruck</v>
          </cell>
          <cell r="C26">
            <v>4</v>
          </cell>
        </row>
        <row r="27">
          <cell r="B27" t="str">
            <v>Niederdruck</v>
          </cell>
          <cell r="C27">
            <v>5</v>
          </cell>
        </row>
        <row r="28">
          <cell r="B28" t="str">
            <v>Niederdruck</v>
          </cell>
          <cell r="C28">
            <v>6</v>
          </cell>
        </row>
        <row r="29">
          <cell r="B29" t="str">
            <v>Schwerkaft</v>
          </cell>
          <cell r="C29">
            <v>7</v>
          </cell>
        </row>
        <row r="30">
          <cell r="B30" t="str">
            <v>Schwerkaft</v>
          </cell>
          <cell r="C30">
            <v>8</v>
          </cell>
        </row>
      </sheetData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00000000-0016-0000-0C00-000000000000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00000000-0016-0000-0C00-000001000000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00000000-0016-0000-0C00-000002000000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0__2" displayName="Table_0__2" ref="A2:I5" tableType="queryTable" totalsRowShown="0" headerRowDxfId="187" dataDxfId="186">
  <autoFilter ref="A2:I5" xr:uid="{00000000-0009-0000-0100-000001000000}"/>
  <tableColumns count="9">
    <tableColumn id="1" xr3:uid="{00000000-0010-0000-0000-000001000000}" uniqueName="1" name="Contract" queryTableFieldId="1" dataDxfId="185"/>
    <tableColumn id="2" xr3:uid="{00000000-0010-0000-0000-000002000000}" uniqueName="2" name="Bid (US$ / Tonne)" queryTableFieldId="2" dataDxfId="184"/>
    <tableColumn id="3" xr3:uid="{00000000-0010-0000-0000-000003000000}" uniqueName="3" name="Offer (US$ / Tonne)*" queryTableFieldId="3" dataDxfId="183"/>
    <tableColumn id="11" xr3:uid="{00000000-0010-0000-0000-00000B000000}" uniqueName="11" name="Spalte2" queryTableFieldId="11" dataDxfId="182"/>
    <tableColumn id="6" xr3:uid="{00000000-0010-0000-0000-000006000000}" uniqueName="6" name="Exchange [$/€]" queryTableFieldId="6" dataDxfId="181">
      <calculatedColumnFormula>MID($B$9,1,6)</calculatedColumnFormula>
    </tableColumn>
    <tableColumn id="13" xr3:uid="{00000000-0010-0000-0000-00000D000000}" uniqueName="13" name="Abbrand" queryTableFieldId="4" dataDxfId="180"/>
    <tableColumn id="12" xr3:uid="{00000000-0010-0000-0000-00000C000000}" uniqueName="12" name="Premium_x000a_[€/t]" queryTableFieldId="5" dataDxfId="179"/>
    <tableColumn id="8" xr3:uid="{00000000-0010-0000-0000-000008000000}" uniqueName="8" name="Alu-Alloy_x000a_3-months [$/kg]" queryTableFieldId="8" dataDxfId="178">
      <calculatedColumnFormula>(C3/100+G3*E3)/1000*(1+F3)</calculatedColumnFormula>
    </tableColumn>
    <tableColumn id="9" xr3:uid="{00000000-0010-0000-0000-000009000000}" uniqueName="9" name="Alu-Alloy_x000a_3-months [€/kg]" queryTableFieldId="9" dataDxfId="177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Börsenplätze_EUR_USD6" displayName="Börsenplätze_EUR_USD6" ref="A8:H13" tableType="queryTable" totalsRowShown="0">
  <autoFilter ref="A8:H13" xr:uid="{00000000-0009-0000-0100-000005000000}"/>
  <tableColumns count="8">
    <tableColumn id="1" xr3:uid="{00000000-0010-0000-0100-000001000000}" uniqueName="1" name="Börsenplatz" queryTableFieldId="1" dataDxfId="176"/>
    <tableColumn id="2" xr3:uid="{00000000-0010-0000-0100-000002000000}" uniqueName="2" name="Kurs" queryTableFieldId="2" dataDxfId="175"/>
    <tableColumn id="3" xr3:uid="{00000000-0010-0000-0100-000003000000}" uniqueName="3" name="Diff. %" queryTableFieldId="3" dataDxfId="174"/>
    <tableColumn id="4" xr3:uid="{00000000-0010-0000-0100-000004000000}" uniqueName="4" name="Datum" queryTableFieldId="4"/>
    <tableColumn id="5" xr3:uid="{00000000-0010-0000-0100-000005000000}" uniqueName="5" name="Zeit" queryTableFieldId="5" dataDxfId="173"/>
    <tableColumn id="6" xr3:uid="{00000000-0010-0000-0100-000006000000}" uniqueName="6" name="Eröffnung" queryTableFieldId="6" dataDxfId="172"/>
    <tableColumn id="7" xr3:uid="{00000000-0010-0000-0100-000007000000}" uniqueName="7" name="T.-Hoch" queryTableFieldId="7" dataDxfId="171"/>
    <tableColumn id="8" xr3:uid="{00000000-0010-0000-0100-000008000000}" uniqueName="8" name="T.-Tief" queryTableFieldId="8" dataDxfId="17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_0" displayName="Table_0" ref="A17:I21" tableType="queryTable" totalsRowShown="0">
  <autoFilter ref="A17:I21" xr:uid="{00000000-0009-0000-0100-000002000000}"/>
  <tableColumns count="9">
    <tableColumn id="1" xr3:uid="{00000000-0010-0000-0200-000001000000}" uniqueName="1" name="Contract" queryTableFieldId="1" dataDxfId="169" dataCellStyle="Standard 4"/>
    <tableColumn id="2" xr3:uid="{00000000-0010-0000-0200-000002000000}" uniqueName="2" name="Bid (US$ / Tonne)" queryTableFieldId="2" dataDxfId="168" dataCellStyle="Standard 4"/>
    <tableColumn id="3" xr3:uid="{00000000-0010-0000-0200-000003000000}" uniqueName="3" name="Offer (US$ / Tonne)*" queryTableFieldId="3" dataDxfId="167" dataCellStyle="Standard 4"/>
    <tableColumn id="4" xr3:uid="{00000000-0010-0000-0200-000004000000}" uniqueName="4" name="Spalte2" queryTableFieldId="4" dataDxfId="166" dataCellStyle="Standard 4"/>
    <tableColumn id="5" xr3:uid="{00000000-0010-0000-0200-000005000000}" uniqueName="5" name="Exchange [$/€]" queryTableFieldId="5" dataDxfId="165" dataCellStyle="Standard 4">
      <calculatedColumnFormula>MID($B$9,1,6)</calculatedColumnFormula>
    </tableColumn>
    <tableColumn id="6" xr3:uid="{00000000-0010-0000-0200-000006000000}" uniqueName="6" name="Abbrand" queryTableFieldId="6" dataDxfId="164" dataCellStyle="Prozent 3"/>
    <tableColumn id="7" xr3:uid="{00000000-0010-0000-0200-000007000000}" uniqueName="7" name="Premium_x000a_[€/t]" queryTableFieldId="7" dataDxfId="163" dataCellStyle="Standard 4"/>
    <tableColumn id="8" xr3:uid="{00000000-0010-0000-0200-000008000000}" uniqueName="8" name="Alu-Alloy_x000a_3-months [$/kg]" queryTableFieldId="8" dataDxfId="162" dataCellStyle="Währung 3">
      <calculatedColumnFormula>(C18/100+G18*E18)/1000*(1+F18)</calculatedColumnFormula>
    </tableColumn>
    <tableColumn id="9" xr3:uid="{00000000-0010-0000-0200-000009000000}" uniqueName="9" name="Alu-Alloy_x000a_3-months [€/kg]" queryTableFieldId="9" dataDxfId="161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5.xml"/><Relationship Id="rId4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09" customWidth="1"/>
    <col min="2" max="2" width="0.875" style="909" customWidth="1"/>
    <col min="3" max="3" width="31.75" style="909" customWidth="1"/>
    <col min="4" max="4" width="13" style="909" bestFit="1" customWidth="1"/>
    <col min="5" max="5" width="11" style="909"/>
    <col min="6" max="6" width="0.875" style="909" customWidth="1"/>
    <col min="7" max="7" width="31.75" style="909" customWidth="1"/>
    <col min="8" max="8" width="13" style="909" bestFit="1" customWidth="1"/>
    <col min="9" max="9" width="11" style="909"/>
    <col min="10" max="10" width="0.875" style="909" customWidth="1"/>
    <col min="11" max="11" width="31.75" style="909" customWidth="1"/>
    <col min="12" max="12" width="13" style="909" bestFit="1" customWidth="1"/>
    <col min="13" max="13" width="11" style="909"/>
    <col min="14" max="14" width="0.875" style="909" customWidth="1"/>
    <col min="15" max="15" width="2.625" style="909" customWidth="1"/>
    <col min="16" max="16384" width="11" style="909"/>
  </cols>
  <sheetData>
    <row r="1" spans="1:28" x14ac:dyDescent="0.2">
      <c r="A1" s="905"/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7"/>
      <c r="N1" s="907"/>
      <c r="O1" s="908"/>
    </row>
    <row r="2" spans="1:28" ht="5.0999999999999996" customHeight="1" x14ac:dyDescent="0.2">
      <c r="A2" s="910"/>
      <c r="B2" s="913"/>
      <c r="C2" s="1010"/>
      <c r="D2" s="1011"/>
      <c r="E2" s="1011"/>
      <c r="F2" s="1011"/>
      <c r="G2" s="1011"/>
      <c r="H2" s="1011"/>
      <c r="I2" s="1011"/>
      <c r="J2" s="1011"/>
      <c r="K2" s="1011"/>
      <c r="L2" s="1011"/>
      <c r="M2" s="1012"/>
      <c r="N2" s="913"/>
      <c r="O2" s="912"/>
    </row>
    <row r="3" spans="1:28" x14ac:dyDescent="0.2">
      <c r="A3" s="910"/>
      <c r="B3" s="913"/>
      <c r="C3" s="1013"/>
      <c r="D3" s="1014"/>
      <c r="E3" s="1014"/>
      <c r="F3" s="1014"/>
      <c r="G3" s="1014"/>
      <c r="H3" s="1014"/>
      <c r="I3" s="1014"/>
      <c r="J3" s="1014"/>
      <c r="K3" s="1014"/>
      <c r="L3" s="1014"/>
      <c r="M3" s="1016">
        <f ca="1">TODAY()</f>
        <v>44629</v>
      </c>
      <c r="N3" s="913"/>
      <c r="O3" s="912"/>
    </row>
    <row r="4" spans="1:28" ht="20.25" x14ac:dyDescent="0.3">
      <c r="A4" s="910"/>
      <c r="B4" s="913"/>
      <c r="C4" s="1038" t="str">
        <f>'Quick Input'!O2</f>
        <v>Kokillenguss</v>
      </c>
      <c r="D4" s="1014"/>
      <c r="E4" s="1014"/>
      <c r="F4" s="1014"/>
      <c r="G4" s="1018" t="str">
        <f>'Quick Input'!R2</f>
        <v>Siemens Standort</v>
      </c>
      <c r="H4" s="1019" t="str">
        <f>'Quick Input'!U2</f>
        <v>Erlangen</v>
      </c>
      <c r="I4" s="1014"/>
      <c r="J4" s="1014"/>
      <c r="K4" s="1014"/>
      <c r="L4" s="1014"/>
      <c r="M4" s="1039" t="str">
        <f>'Quick Input'!L3</f>
        <v>Dr.P. Pawar</v>
      </c>
      <c r="N4" s="913"/>
      <c r="O4" s="912"/>
    </row>
    <row r="5" spans="1:28" ht="20.25" x14ac:dyDescent="0.3">
      <c r="A5" s="910"/>
      <c r="B5" s="913"/>
      <c r="C5" s="1013" t="str">
        <f>CONCATENATE('Quick Input'!I9,": ",'Quick Input'!L9," / ESN: ",'Quick Input'!L8)</f>
        <v>Bezeichnung: Housing / ESN: 58622</v>
      </c>
      <c r="D5" s="1017"/>
      <c r="E5" s="1014"/>
      <c r="F5" s="1014"/>
      <c r="G5" s="1018" t="str">
        <f>'Quick Input'!R3</f>
        <v>Lieferant</v>
      </c>
      <c r="H5" s="1019" t="str">
        <f>'Quick Input'!U3</f>
        <v>MGG</v>
      </c>
      <c r="I5" s="1014"/>
      <c r="J5" s="1014"/>
      <c r="K5" s="1014"/>
      <c r="L5" s="1014"/>
      <c r="M5" s="1020"/>
      <c r="N5" s="913"/>
      <c r="O5" s="912"/>
    </row>
    <row r="6" spans="1:28" ht="15" x14ac:dyDescent="0.25">
      <c r="A6" s="910"/>
      <c r="B6" s="913"/>
      <c r="C6" s="1013"/>
      <c r="D6" s="1014"/>
      <c r="E6" s="1014"/>
      <c r="F6" s="1014"/>
      <c r="G6" s="1018" t="str">
        <f>'Quick Input'!R4</f>
        <v>Werk</v>
      </c>
      <c r="H6" s="1019" t="str">
        <f>'Quick Input'!U4</f>
        <v>DI MC</v>
      </c>
      <c r="I6" s="1014"/>
      <c r="J6" s="1014"/>
      <c r="K6" s="1014"/>
      <c r="L6" s="1014"/>
      <c r="M6" s="1016"/>
      <c r="N6" s="913"/>
      <c r="O6" s="912"/>
    </row>
    <row r="7" spans="1:28" ht="15" x14ac:dyDescent="0.25">
      <c r="A7" s="910"/>
      <c r="B7" s="913"/>
      <c r="C7" s="1013"/>
      <c r="D7" s="1014"/>
      <c r="E7" s="1014"/>
      <c r="F7" s="1014"/>
      <c r="G7" s="1018" t="str">
        <f>'Quick Input'!R5</f>
        <v>Ansprechpartner</v>
      </c>
      <c r="H7" s="1019" t="str">
        <f>'Quick Input'!U5</f>
        <v>JM_PUC AL</v>
      </c>
      <c r="I7" s="1014"/>
      <c r="J7" s="1014"/>
      <c r="K7" s="1014"/>
      <c r="L7" s="1014"/>
      <c r="M7" s="1016"/>
      <c r="N7" s="913"/>
      <c r="O7" s="912"/>
    </row>
    <row r="8" spans="1:28" ht="5.0999999999999996" customHeight="1" x14ac:dyDescent="0.2">
      <c r="A8" s="910"/>
      <c r="B8" s="913"/>
      <c r="C8" s="1021"/>
      <c r="D8" s="1022"/>
      <c r="E8" s="1022"/>
      <c r="F8" s="1022"/>
      <c r="G8" s="1023"/>
      <c r="H8" s="1022"/>
      <c r="I8" s="1022"/>
      <c r="J8" s="1022"/>
      <c r="K8" s="1022"/>
      <c r="L8" s="1022"/>
      <c r="M8" s="1024"/>
      <c r="N8" s="913"/>
      <c r="O8" s="912"/>
    </row>
    <row r="9" spans="1:28" ht="6.95" customHeight="1" x14ac:dyDescent="0.2">
      <c r="A9" s="910"/>
      <c r="B9" s="913"/>
      <c r="C9" s="913"/>
      <c r="D9" s="913"/>
      <c r="E9" s="913"/>
      <c r="F9" s="913"/>
      <c r="G9" s="920"/>
      <c r="H9" s="913"/>
      <c r="I9" s="913"/>
      <c r="J9" s="913"/>
      <c r="K9" s="913"/>
      <c r="L9" s="913"/>
      <c r="M9" s="914"/>
      <c r="N9" s="913"/>
      <c r="O9" s="912"/>
      <c r="AB9" s="921"/>
    </row>
    <row r="10" spans="1:28" ht="15.75" x14ac:dyDescent="0.25">
      <c r="A10" s="910"/>
      <c r="B10" s="913"/>
      <c r="C10" s="1025" t="str">
        <f>Refkalkulation!H7</f>
        <v>Deutschland</v>
      </c>
      <c r="D10" s="1026"/>
      <c r="E10" s="1027"/>
      <c r="F10" s="931"/>
      <c r="G10" s="1025" t="str">
        <f>Refkalkulation!K7</f>
        <v>Polen</v>
      </c>
      <c r="H10" s="1026"/>
      <c r="I10" s="1027"/>
      <c r="J10" s="931"/>
      <c r="K10" s="1025" t="str">
        <f>Refkalkulation!N7</f>
        <v>Deutschland</v>
      </c>
      <c r="L10" s="1026"/>
      <c r="M10" s="1028"/>
      <c r="N10" s="913"/>
      <c r="O10" s="912"/>
    </row>
    <row r="11" spans="1:28" x14ac:dyDescent="0.2">
      <c r="A11" s="910"/>
      <c r="B11" s="913"/>
      <c r="C11" s="1031" t="s">
        <v>872</v>
      </c>
      <c r="D11" s="1015">
        <f>Refkalkulation!H8</f>
        <v>43531</v>
      </c>
      <c r="E11" s="1020"/>
      <c r="F11" s="913"/>
      <c r="G11" s="1031" t="str">
        <f>C11</f>
        <v>Project-Start:</v>
      </c>
      <c r="H11" s="1015">
        <f>Refkalkulation!K8</f>
        <v>43531</v>
      </c>
      <c r="I11" s="1020"/>
      <c r="J11" s="913"/>
      <c r="K11" s="1031" t="str">
        <f>C11</f>
        <v>Project-Start:</v>
      </c>
      <c r="L11" s="1015">
        <f>Refkalkulation!N8</f>
        <v>43531</v>
      </c>
      <c r="M11" s="1020"/>
      <c r="N11" s="913"/>
      <c r="O11" s="912"/>
    </row>
    <row r="12" spans="1:28" x14ac:dyDescent="0.2">
      <c r="A12" s="910"/>
      <c r="B12" s="913"/>
      <c r="C12" s="1031" t="str">
        <f>CONCATENATE('Quick Input'!$I$36,": ")</f>
        <v xml:space="preserve">Laufzeit (Jahre): </v>
      </c>
      <c r="D12" s="1029">
        <f>'Quick Input'!L36</f>
        <v>6</v>
      </c>
      <c r="E12" s="1020"/>
      <c r="F12" s="913"/>
      <c r="G12" s="1031" t="str">
        <f>CONCATENATE('Quick Input'!$I$36,": ")</f>
        <v xml:space="preserve">Laufzeit (Jahre): </v>
      </c>
      <c r="H12" s="1029">
        <f>'Quick Input'!O36</f>
        <v>6</v>
      </c>
      <c r="I12" s="1020"/>
      <c r="J12" s="913"/>
      <c r="K12" s="1031" t="str">
        <f>CONCATENATE('Quick Input'!$I$36,": ")</f>
        <v xml:space="preserve">Laufzeit (Jahre): </v>
      </c>
      <c r="L12" s="1029">
        <f>'Quick Input'!R36</f>
        <v>6</v>
      </c>
      <c r="M12" s="1020"/>
      <c r="N12" s="913"/>
      <c r="O12" s="912"/>
    </row>
    <row r="13" spans="1:28" x14ac:dyDescent="0.2">
      <c r="A13" s="910"/>
      <c r="B13" s="913"/>
      <c r="C13" s="1032" t="str">
        <f>CONCATENATE('Quick Input'!$I$37,": ")</f>
        <v xml:space="preserve">Stückzahl pa (peak): </v>
      </c>
      <c r="D13" s="1029">
        <f>'Quick Input'!L37</f>
        <v>5000</v>
      </c>
      <c r="E13" s="1020"/>
      <c r="F13" s="913"/>
      <c r="G13" s="1032" t="str">
        <f>CONCATENATE('Quick Input'!$I$37,": ")</f>
        <v xml:space="preserve">Stückzahl pa (peak): </v>
      </c>
      <c r="H13" s="1029">
        <f>'Quick Input'!O37</f>
        <v>5000</v>
      </c>
      <c r="I13" s="1020"/>
      <c r="J13" s="913"/>
      <c r="K13" s="1032" t="str">
        <f>CONCATENATE('Quick Input'!$I$37,": ")</f>
        <v xml:space="preserve">Stückzahl pa (peak): </v>
      </c>
      <c r="L13" s="1029">
        <f>'Quick Input'!R37</f>
        <v>5000</v>
      </c>
      <c r="M13" s="1020"/>
      <c r="N13" s="913"/>
      <c r="O13" s="912"/>
    </row>
    <row r="14" spans="1:28" x14ac:dyDescent="0.2">
      <c r="A14" s="910"/>
      <c r="B14" s="913"/>
      <c r="C14" s="1032" t="str">
        <f>Refkalkulation!D59</f>
        <v>Fertigungslosgröße</v>
      </c>
      <c r="D14" s="1029">
        <f>Refkalkulation!H59</f>
        <v>100</v>
      </c>
      <c r="E14" s="1020"/>
      <c r="F14" s="913"/>
      <c r="G14" s="1032" t="str">
        <f>$C$14</f>
        <v>Fertigungslosgröße</v>
      </c>
      <c r="H14" s="1029">
        <f>Refkalkulation!K59</f>
        <v>100</v>
      </c>
      <c r="I14" s="1020"/>
      <c r="J14" s="913"/>
      <c r="K14" s="1032" t="str">
        <f>$C$14</f>
        <v>Fertigungslosgröße</v>
      </c>
      <c r="L14" s="1029">
        <f>Refkalkulation!N59</f>
        <v>100</v>
      </c>
      <c r="M14" s="1020"/>
      <c r="N14" s="913"/>
      <c r="O14" s="912"/>
    </row>
    <row r="15" spans="1:28" ht="15" x14ac:dyDescent="0.25">
      <c r="A15" s="910"/>
      <c r="B15" s="913"/>
      <c r="C15" s="1033" t="str">
        <f>CONCATENATE('Quick Input'!I22,": ",'Quick Input'!L22," / Sandkern: ",'Quick Input'!L23)</f>
        <v>Giesstechnik: Niederdruck / Sandkern: cast machine</v>
      </c>
      <c r="D15" s="1034"/>
      <c r="E15" s="1020"/>
      <c r="F15" s="913"/>
      <c r="G15" s="1033" t="str">
        <f>CONCATENATE('Quick Input'!I22,": ",'Quick Input'!O22," / Sandkern: ",'Quick Input'!O23)</f>
        <v>Giesstechnik: Niederdruck / Sandkern: Dosiergerät</v>
      </c>
      <c r="H15" s="1035"/>
      <c r="I15" s="1036"/>
      <c r="J15" s="913"/>
      <c r="K15" s="1033" t="str">
        <f>CONCATENATE('Quick Input'!I22,": ",'Quick Input'!R22," / Sandkern: ",'Quick Input'!R23)</f>
        <v>Giesstechnik: Schwerkaft / Sandkern: Entnahmegerät</v>
      </c>
      <c r="L15" s="1014"/>
      <c r="M15" s="1020"/>
      <c r="N15" s="913"/>
      <c r="O15" s="912"/>
    </row>
    <row r="16" spans="1:28" x14ac:dyDescent="0.2">
      <c r="A16" s="910"/>
      <c r="B16" s="913"/>
      <c r="C16" s="1013"/>
      <c r="D16" s="1014"/>
      <c r="E16" s="1020"/>
      <c r="F16" s="913"/>
      <c r="G16" s="1013"/>
      <c r="H16" s="1014"/>
      <c r="I16" s="1020"/>
      <c r="J16" s="913"/>
      <c r="K16" s="1013"/>
      <c r="L16" s="1014"/>
      <c r="M16" s="1020"/>
      <c r="N16" s="913"/>
      <c r="O16" s="912"/>
    </row>
    <row r="17" spans="1:15" x14ac:dyDescent="0.2">
      <c r="A17" s="910"/>
      <c r="B17" s="913"/>
      <c r="C17" s="1013"/>
      <c r="D17" s="1014"/>
      <c r="E17" s="1020"/>
      <c r="F17" s="913"/>
      <c r="G17" s="1013"/>
      <c r="H17" s="1014"/>
      <c r="I17" s="1020"/>
      <c r="J17" s="913"/>
      <c r="K17" s="1013"/>
      <c r="L17" s="1014"/>
      <c r="M17" s="1020"/>
      <c r="N17" s="913"/>
      <c r="O17" s="912"/>
    </row>
    <row r="18" spans="1:15" x14ac:dyDescent="0.2">
      <c r="A18" s="910"/>
      <c r="B18" s="913"/>
      <c r="C18" s="1013"/>
      <c r="D18" s="1014"/>
      <c r="E18" s="1020"/>
      <c r="F18" s="913"/>
      <c r="G18" s="1013"/>
      <c r="H18" s="1014"/>
      <c r="I18" s="1020"/>
      <c r="J18" s="913"/>
      <c r="K18" s="1013"/>
      <c r="L18" s="1014"/>
      <c r="M18" s="1020"/>
      <c r="N18" s="913"/>
      <c r="O18" s="912"/>
    </row>
    <row r="19" spans="1:15" x14ac:dyDescent="0.2">
      <c r="A19" s="910"/>
      <c r="B19" s="913"/>
      <c r="C19" s="1013"/>
      <c r="D19" s="1014"/>
      <c r="E19" s="1020"/>
      <c r="F19" s="913"/>
      <c r="G19" s="1013"/>
      <c r="H19" s="1014"/>
      <c r="I19" s="1020"/>
      <c r="J19" s="913"/>
      <c r="K19" s="1013"/>
      <c r="L19" s="1014"/>
      <c r="M19" s="1020"/>
      <c r="N19" s="913"/>
      <c r="O19" s="912"/>
    </row>
    <row r="20" spans="1:15" x14ac:dyDescent="0.2">
      <c r="A20" s="910"/>
      <c r="B20" s="913"/>
      <c r="C20" s="1013"/>
      <c r="D20" s="1014"/>
      <c r="E20" s="1020"/>
      <c r="F20" s="913"/>
      <c r="G20" s="1013"/>
      <c r="H20" s="1014"/>
      <c r="I20" s="1020"/>
      <c r="J20" s="913"/>
      <c r="K20" s="1013"/>
      <c r="L20" s="1014"/>
      <c r="M20" s="1020"/>
      <c r="N20" s="913"/>
      <c r="O20" s="912"/>
    </row>
    <row r="21" spans="1:15" x14ac:dyDescent="0.2">
      <c r="A21" s="910"/>
      <c r="B21" s="913"/>
      <c r="C21" s="1013"/>
      <c r="D21" s="1014"/>
      <c r="E21" s="1020"/>
      <c r="F21" s="913"/>
      <c r="G21" s="1013"/>
      <c r="H21" s="1014"/>
      <c r="I21" s="1020"/>
      <c r="J21" s="913"/>
      <c r="K21" s="1013"/>
      <c r="L21" s="1014"/>
      <c r="M21" s="1020"/>
      <c r="N21" s="913"/>
      <c r="O21" s="912"/>
    </row>
    <row r="22" spans="1:15" x14ac:dyDescent="0.2">
      <c r="A22" s="910"/>
      <c r="B22" s="913"/>
      <c r="C22" s="1013"/>
      <c r="D22" s="1014"/>
      <c r="E22" s="1020"/>
      <c r="F22" s="913"/>
      <c r="G22" s="1013"/>
      <c r="H22" s="1014"/>
      <c r="I22" s="1020"/>
      <c r="J22" s="913"/>
      <c r="K22" s="1013"/>
      <c r="L22" s="1014"/>
      <c r="M22" s="1020"/>
      <c r="N22" s="913"/>
      <c r="O22" s="912"/>
    </row>
    <row r="23" spans="1:15" x14ac:dyDescent="0.2">
      <c r="A23" s="910"/>
      <c r="B23" s="913"/>
      <c r="C23" s="1013"/>
      <c r="D23" s="1014"/>
      <c r="E23" s="1020"/>
      <c r="F23" s="913"/>
      <c r="G23" s="1013"/>
      <c r="H23" s="1014"/>
      <c r="I23" s="1020"/>
      <c r="J23" s="913"/>
      <c r="K23" s="1013"/>
      <c r="L23" s="1014"/>
      <c r="M23" s="1020"/>
      <c r="N23" s="913"/>
      <c r="O23" s="912"/>
    </row>
    <row r="24" spans="1:15" x14ac:dyDescent="0.2">
      <c r="A24" s="910"/>
      <c r="B24" s="913"/>
      <c r="C24" s="1013"/>
      <c r="D24" s="1014"/>
      <c r="E24" s="1020"/>
      <c r="F24" s="913"/>
      <c r="G24" s="1013"/>
      <c r="H24" s="1014"/>
      <c r="I24" s="1020"/>
      <c r="J24" s="913"/>
      <c r="K24" s="1013"/>
      <c r="L24" s="1014"/>
      <c r="M24" s="1020"/>
      <c r="N24" s="913"/>
      <c r="O24" s="912"/>
    </row>
    <row r="25" spans="1:15" x14ac:dyDescent="0.2">
      <c r="A25" s="910"/>
      <c r="B25" s="913"/>
      <c r="C25" s="1013"/>
      <c r="D25" s="1014"/>
      <c r="E25" s="1020"/>
      <c r="F25" s="913"/>
      <c r="G25" s="1013"/>
      <c r="H25" s="1014"/>
      <c r="I25" s="1020"/>
      <c r="J25" s="913"/>
      <c r="K25" s="1013"/>
      <c r="L25" s="1014"/>
      <c r="M25" s="1020"/>
      <c r="N25" s="913"/>
      <c r="O25" s="912"/>
    </row>
    <row r="26" spans="1:15" x14ac:dyDescent="0.2">
      <c r="A26" s="910"/>
      <c r="B26" s="913"/>
      <c r="C26" s="1013"/>
      <c r="D26" s="1014"/>
      <c r="E26" s="1020"/>
      <c r="F26" s="913"/>
      <c r="G26" s="1013"/>
      <c r="H26" s="1014"/>
      <c r="I26" s="1020"/>
      <c r="J26" s="913"/>
      <c r="K26" s="1013"/>
      <c r="L26" s="1014"/>
      <c r="M26" s="1020"/>
      <c r="N26" s="913"/>
      <c r="O26" s="912"/>
    </row>
    <row r="27" spans="1:15" x14ac:dyDescent="0.2">
      <c r="A27" s="910"/>
      <c r="B27" s="913"/>
      <c r="C27" s="1013"/>
      <c r="D27" s="1014"/>
      <c r="E27" s="1020"/>
      <c r="F27" s="913"/>
      <c r="G27" s="1013"/>
      <c r="H27" s="1014"/>
      <c r="I27" s="1020"/>
      <c r="J27" s="913"/>
      <c r="K27" s="1013"/>
      <c r="L27" s="1014"/>
      <c r="M27" s="1020"/>
      <c r="N27" s="913"/>
      <c r="O27" s="912"/>
    </row>
    <row r="28" spans="1:15" x14ac:dyDescent="0.2">
      <c r="A28" s="910"/>
      <c r="B28" s="913"/>
      <c r="C28" s="1013"/>
      <c r="D28" s="1014"/>
      <c r="E28" s="1020"/>
      <c r="F28" s="913"/>
      <c r="G28" s="1013"/>
      <c r="H28" s="1014"/>
      <c r="I28" s="1020"/>
      <c r="J28" s="913"/>
      <c r="K28" s="1013"/>
      <c r="L28" s="1014"/>
      <c r="M28" s="1020"/>
      <c r="N28" s="913"/>
      <c r="O28" s="912"/>
    </row>
    <row r="29" spans="1:15" x14ac:dyDescent="0.2">
      <c r="A29" s="910"/>
      <c r="B29" s="913"/>
      <c r="C29" s="1013"/>
      <c r="D29" s="1014"/>
      <c r="E29" s="1020"/>
      <c r="F29" s="913"/>
      <c r="G29" s="1013"/>
      <c r="H29" s="1014"/>
      <c r="I29" s="1020"/>
      <c r="J29" s="913"/>
      <c r="K29" s="1013"/>
      <c r="L29" s="1014"/>
      <c r="M29" s="1020"/>
      <c r="N29" s="913"/>
      <c r="O29" s="912"/>
    </row>
    <row r="30" spans="1:15" x14ac:dyDescent="0.2">
      <c r="A30" s="910"/>
      <c r="B30" s="913"/>
      <c r="C30" s="1040" t="s">
        <v>865</v>
      </c>
      <c r="D30" s="1041" t="str">
        <f>'Quick Input'!M10</f>
        <v>EN AC-46100</v>
      </c>
      <c r="E30" s="1028"/>
      <c r="F30" s="913"/>
      <c r="G30" s="1040" t="str">
        <f>C30</f>
        <v>Material - Information:</v>
      </c>
      <c r="H30" s="1041" t="str">
        <f>'Quick Input'!P10</f>
        <v>EN AC-43100</v>
      </c>
      <c r="I30" s="1028"/>
      <c r="J30" s="913"/>
      <c r="K30" s="1040" t="str">
        <f>C30</f>
        <v>Material - Information:</v>
      </c>
      <c r="L30" s="1041" t="str">
        <f>'Quick Input'!S10</f>
        <v>EN AC-43100</v>
      </c>
      <c r="M30" s="1028"/>
      <c r="N30" s="913"/>
      <c r="O30" s="912"/>
    </row>
    <row r="31" spans="1:15" x14ac:dyDescent="0.2">
      <c r="A31" s="910"/>
      <c r="B31" s="913"/>
      <c r="C31" s="1042" t="str">
        <f>CONCATENATE("               ",Refkalkulation!D9)</f>
        <v xml:space="preserve">               Materialien</v>
      </c>
      <c r="D31" s="1043" t="str">
        <f>'Quick Input'!M11</f>
        <v>Al Si10Cu2(Fe)</v>
      </c>
      <c r="E31" s="1044"/>
      <c r="F31" s="913"/>
      <c r="G31" s="1042" t="str">
        <f t="shared" ref="G31:G46" si="0">C31</f>
        <v xml:space="preserve">               Materialien</v>
      </c>
      <c r="H31" s="1043" t="str">
        <f>'Quick Input'!P11</f>
        <v>Al Si10Mg(b)</v>
      </c>
      <c r="I31" s="1044"/>
      <c r="J31" s="913"/>
      <c r="K31" s="1042" t="str">
        <f t="shared" ref="K31:K46" si="1">C31</f>
        <v xml:space="preserve">               Materialien</v>
      </c>
      <c r="L31" s="1043" t="str">
        <f>'Quick Input'!S11</f>
        <v>Al Si10Mg(b)</v>
      </c>
      <c r="M31" s="1044"/>
      <c r="N31" s="913"/>
      <c r="O31" s="912"/>
    </row>
    <row r="32" spans="1:15" x14ac:dyDescent="0.2">
      <c r="A32" s="910"/>
      <c r="B32" s="913"/>
      <c r="C32" s="1045" t="str">
        <f>CONCATENATE("               ",'Quick Input'!I13)</f>
        <v xml:space="preserve">               Al-Materialpreis (€/kg)</v>
      </c>
      <c r="D32" s="1046">
        <f>Refkalkulation!H12</f>
        <v>2.0002526724975707</v>
      </c>
      <c r="E32" s="1047"/>
      <c r="F32" s="940"/>
      <c r="G32" s="1045" t="str">
        <f t="shared" si="0"/>
        <v xml:space="preserve">               Al-Materialpreis (€/kg)</v>
      </c>
      <c r="H32" s="1046">
        <f>Refkalkulation!K12</f>
        <v>1.9670528580208975</v>
      </c>
      <c r="I32" s="1047"/>
      <c r="J32" s="940"/>
      <c r="K32" s="1045" t="str">
        <f t="shared" si="1"/>
        <v xml:space="preserve">               Al-Materialpreis (€/kg)</v>
      </c>
      <c r="L32" s="1046">
        <f>Refkalkulation!N12</f>
        <v>1.9670528580208975</v>
      </c>
      <c r="M32" s="1047"/>
      <c r="N32" s="913"/>
      <c r="O32" s="912"/>
    </row>
    <row r="33" spans="1:16" ht="15" x14ac:dyDescent="0.25">
      <c r="A33" s="910"/>
      <c r="B33" s="913"/>
      <c r="C33" s="1048" t="str">
        <f>Refkalkulation!D9</f>
        <v>Materialien</v>
      </c>
      <c r="D33" s="1049" t="e">
        <f ca="1">SUM(E34:E37)</f>
        <v>#REF!</v>
      </c>
      <c r="E33" s="1050"/>
      <c r="F33" s="913"/>
      <c r="G33" s="1048" t="str">
        <f t="shared" si="0"/>
        <v>Materialien</v>
      </c>
      <c r="H33" s="1049" t="e">
        <f>SUM(I34:I37)</f>
        <v>#REF!</v>
      </c>
      <c r="I33" s="1050"/>
      <c r="J33" s="913"/>
      <c r="K33" s="1048" t="str">
        <f t="shared" si="1"/>
        <v>Materialien</v>
      </c>
      <c r="L33" s="1049" t="e">
        <f>SUM(M34:M37)</f>
        <v>#REF!</v>
      </c>
      <c r="M33" s="1050"/>
      <c r="N33" s="913"/>
      <c r="O33" s="912"/>
    </row>
    <row r="34" spans="1:16" x14ac:dyDescent="0.2">
      <c r="A34" s="910"/>
      <c r="B34" s="913"/>
      <c r="C34" s="1051" t="str">
        <f>CONCATENATE("               ",Refkalkulation!D15)</f>
        <v xml:space="preserve">               Materialkosten Rohteil</v>
      </c>
      <c r="D34" s="1052"/>
      <c r="E34" s="1053">
        <f>Refkalkulation!H15</f>
        <v>80.010106899902823</v>
      </c>
      <c r="F34" s="947"/>
      <c r="G34" s="1051" t="str">
        <f t="shared" si="0"/>
        <v xml:space="preserve">               Materialkosten Rohteil</v>
      </c>
      <c r="H34" s="1052"/>
      <c r="I34" s="1053">
        <f>Refkalkulation!K15</f>
        <v>9.8352642901044867</v>
      </c>
      <c r="J34" s="947"/>
      <c r="K34" s="1051" t="str">
        <f t="shared" si="1"/>
        <v xml:space="preserve">               Materialkosten Rohteil</v>
      </c>
      <c r="L34" s="1052"/>
      <c r="M34" s="1053">
        <f>Refkalkulation!N15</f>
        <v>9.8352642901044867</v>
      </c>
      <c r="N34" s="947"/>
      <c r="O34" s="912"/>
    </row>
    <row r="35" spans="1:16" x14ac:dyDescent="0.2">
      <c r="A35" s="910"/>
      <c r="B35" s="913"/>
      <c r="C35" s="1051" t="str">
        <f>CONCATENATE("               ",Refkalkulation!D17)</f>
        <v xml:space="preserve">               Kosten Schmelzverlust</v>
      </c>
      <c r="D35" s="1052"/>
      <c r="E35" s="1053">
        <f ca="1">Refkalkulation!H17</f>
        <v>10.671366874761611</v>
      </c>
      <c r="F35" s="947"/>
      <c r="G35" s="1051" t="str">
        <f t="shared" si="0"/>
        <v xml:space="preserve">               Kosten Schmelzverlust</v>
      </c>
      <c r="H35" s="1052"/>
      <c r="I35" s="1053">
        <f>Refkalkulation!K17</f>
        <v>1.3198251401937215</v>
      </c>
      <c r="J35" s="947"/>
      <c r="K35" s="1051" t="str">
        <f t="shared" si="1"/>
        <v xml:space="preserve">               Kosten Schmelzverlust</v>
      </c>
      <c r="L35" s="1052"/>
      <c r="M35" s="1053">
        <f>Refkalkulation!N17</f>
        <v>1.865137261516342</v>
      </c>
      <c r="N35" s="947"/>
      <c r="O35" s="912"/>
    </row>
    <row r="36" spans="1:16" x14ac:dyDescent="0.2">
      <c r="A36" s="910"/>
      <c r="B36" s="913"/>
      <c r="C36" s="1051" t="str">
        <f>CONCATENATE("               ",Refkalkulation!D22)</f>
        <v xml:space="preserve">               Kosten Hilfsstoffe (€/Stk.)</v>
      </c>
      <c r="D36" s="1052"/>
      <c r="E36" s="1053" t="e">
        <f ca="1">Refkalkulation!H22</f>
        <v>#REF!</v>
      </c>
      <c r="F36" s="947"/>
      <c r="G36" s="1051" t="str">
        <f t="shared" si="0"/>
        <v xml:space="preserve">               Kosten Hilfsstoffe (€/Stk.)</v>
      </c>
      <c r="H36" s="1052"/>
      <c r="I36" s="1053" t="e">
        <f>Refkalkulation!K22</f>
        <v>#REF!</v>
      </c>
      <c r="J36" s="947"/>
      <c r="K36" s="1051" t="str">
        <f t="shared" si="1"/>
        <v xml:space="preserve">               Kosten Hilfsstoffe (€/Stk.)</v>
      </c>
      <c r="L36" s="1052"/>
      <c r="M36" s="1053" t="e">
        <f>Refkalkulation!N22</f>
        <v>#REF!</v>
      </c>
      <c r="N36" s="947"/>
      <c r="O36" s="912"/>
    </row>
    <row r="37" spans="1:16" x14ac:dyDescent="0.2">
      <c r="A37" s="910"/>
      <c r="B37" s="913"/>
      <c r="C37" s="1054" t="str">
        <f>CONCATENATE("               ",Refkalkulation!D24)</f>
        <v xml:space="preserve">               Materialgemeinkosten</v>
      </c>
      <c r="D37" s="1055"/>
      <c r="E37" s="1056" t="e">
        <f ca="1">Refkalkulation!H24</f>
        <v>#REF!</v>
      </c>
      <c r="F37" s="947"/>
      <c r="G37" s="1054" t="str">
        <f t="shared" si="0"/>
        <v xml:space="preserve">               Materialgemeinkosten</v>
      </c>
      <c r="H37" s="1055"/>
      <c r="I37" s="1056" t="e">
        <f>Refkalkulation!K24</f>
        <v>#REF!</v>
      </c>
      <c r="J37" s="947"/>
      <c r="K37" s="1054" t="str">
        <f t="shared" si="1"/>
        <v xml:space="preserve">               Materialgemeinkosten</v>
      </c>
      <c r="L37" s="1055"/>
      <c r="M37" s="1056" t="e">
        <f>Refkalkulation!N24</f>
        <v>#REF!</v>
      </c>
      <c r="N37" s="947"/>
      <c r="O37" s="912"/>
    </row>
    <row r="38" spans="1:16" ht="15" x14ac:dyDescent="0.25">
      <c r="A38" s="910"/>
      <c r="B38" s="913"/>
      <c r="C38" s="1048" t="str">
        <f>Refkalkulation!D117</f>
        <v>Fertigungskosten gesamt</v>
      </c>
      <c r="D38" s="1049" t="e">
        <f ca="1">SUM(E39:E43)</f>
        <v>#N/A</v>
      </c>
      <c r="E38" s="1057"/>
      <c r="F38" s="954"/>
      <c r="G38" s="1048" t="str">
        <f t="shared" si="0"/>
        <v>Fertigungskosten gesamt</v>
      </c>
      <c r="H38" s="1049" t="e">
        <f>SUM(I39:I43)</f>
        <v>#N/A</v>
      </c>
      <c r="I38" s="1057"/>
      <c r="J38" s="954"/>
      <c r="K38" s="1048" t="str">
        <f t="shared" si="1"/>
        <v>Fertigungskosten gesamt</v>
      </c>
      <c r="L38" s="1049" t="e">
        <f>SUM(M39:M43)</f>
        <v>#N/A</v>
      </c>
      <c r="M38" s="1057"/>
      <c r="N38" s="954"/>
      <c r="O38" s="912"/>
    </row>
    <row r="39" spans="1:16" x14ac:dyDescent="0.2">
      <c r="A39" s="910"/>
      <c r="B39" s="913"/>
      <c r="C39" s="1058" t="str">
        <f>CONCATENATE("               ",Refkalkulation!D27)</f>
        <v xml:space="preserve">               Prozess Schmelzen</v>
      </c>
      <c r="D39" s="1059"/>
      <c r="E39" s="1060">
        <f ca="1">Refkalkulation!H46</f>
        <v>6.2738874360143422</v>
      </c>
      <c r="F39" s="958"/>
      <c r="G39" s="1058" t="str">
        <f t="shared" si="0"/>
        <v xml:space="preserve">               Prozess Schmelzen</v>
      </c>
      <c r="H39" s="1059"/>
      <c r="I39" s="1060">
        <f>Refkalkulation!K46</f>
        <v>1.3057699544907651</v>
      </c>
      <c r="J39" s="958"/>
      <c r="K39" s="1058" t="str">
        <f t="shared" si="1"/>
        <v xml:space="preserve">               Prozess Schmelzen</v>
      </c>
      <c r="L39" s="1059"/>
      <c r="M39" s="1060">
        <f>Refkalkulation!N46</f>
        <v>1.2562462591794619</v>
      </c>
      <c r="N39" s="958"/>
      <c r="O39" s="912"/>
    </row>
    <row r="40" spans="1:16" x14ac:dyDescent="0.2">
      <c r="A40" s="910"/>
      <c r="B40" s="913"/>
      <c r="C40" s="1058" t="str">
        <f>CONCATENATE("               ",Refkalkulation!D47)</f>
        <v xml:space="preserve">               Prozess Kokillenguss</v>
      </c>
      <c r="D40" s="1061"/>
      <c r="E40" s="1060" t="e">
        <f ca="1">Refkalkulation!H70</f>
        <v>#N/A</v>
      </c>
      <c r="F40" s="958"/>
      <c r="G40" s="1058" t="str">
        <f t="shared" si="0"/>
        <v xml:space="preserve">               Prozess Kokillenguss</v>
      </c>
      <c r="H40" s="1061"/>
      <c r="I40" s="1060" t="e">
        <f>Refkalkulation!K70</f>
        <v>#N/A</v>
      </c>
      <c r="J40" s="958"/>
      <c r="K40" s="1058" t="str">
        <f t="shared" si="1"/>
        <v xml:space="preserve">               Prozess Kokillenguss</v>
      </c>
      <c r="L40" s="1061"/>
      <c r="M40" s="1060" t="e">
        <f>Refkalkulation!N70</f>
        <v>#N/A</v>
      </c>
      <c r="N40" s="958"/>
      <c r="O40" s="912"/>
    </row>
    <row r="41" spans="1:16" x14ac:dyDescent="0.2">
      <c r="A41" s="910"/>
      <c r="B41" s="913"/>
      <c r="C41" s="1058" t="str">
        <f>CONCATENATE("               ",Refkalkulation!D71)</f>
        <v xml:space="preserve">               Nachbehandlung</v>
      </c>
      <c r="D41" s="1061"/>
      <c r="E41" s="1060" t="e">
        <f ca="1">Refkalkulation!H91</f>
        <v>#N/A</v>
      </c>
      <c r="F41" s="958"/>
      <c r="G41" s="1058" t="str">
        <f t="shared" si="0"/>
        <v xml:space="preserve">               Nachbehandlung</v>
      </c>
      <c r="H41" s="1061"/>
      <c r="I41" s="1060">
        <f>Refkalkulation!K91</f>
        <v>2.5044858784039583</v>
      </c>
      <c r="J41" s="958"/>
      <c r="K41" s="1058" t="str">
        <f t="shared" si="1"/>
        <v xml:space="preserve">               Nachbehandlung</v>
      </c>
      <c r="L41" s="1061"/>
      <c r="M41" s="1060">
        <f>Refkalkulation!N91</f>
        <v>4.6564847423762696</v>
      </c>
      <c r="N41" s="958"/>
      <c r="O41" s="912"/>
    </row>
    <row r="42" spans="1:16" x14ac:dyDescent="0.2">
      <c r="A42" s="910"/>
      <c r="B42" s="913"/>
      <c r="C42" s="1058" t="str">
        <f>CONCATENATE("               ",Refkalkulation!D92)</f>
        <v xml:space="preserve">               Prüfen</v>
      </c>
      <c r="D42" s="1061"/>
      <c r="E42" s="1060">
        <f>Refkalkulation!H111+Refkalkulation!H114/Refkalkulation!H59</f>
        <v>6.3502320254629634</v>
      </c>
      <c r="F42" s="958"/>
      <c r="G42" s="1058" t="str">
        <f t="shared" si="0"/>
        <v xml:space="preserve">               Prüfen</v>
      </c>
      <c r="H42" s="1061"/>
      <c r="I42" s="1060">
        <f>Refkalkulation!K111+Refkalkulation!K114/Refkalkulation!K59</f>
        <v>3.2506872407407412</v>
      </c>
      <c r="J42" s="958"/>
      <c r="K42" s="1058" t="str">
        <f t="shared" si="1"/>
        <v xml:space="preserve">               Prüfen</v>
      </c>
      <c r="L42" s="1061"/>
      <c r="M42" s="1060">
        <f>Refkalkulation!N111+Refkalkulation!N114/Refkalkulation!N59</f>
        <v>4.4772743518518521</v>
      </c>
      <c r="N42" s="958"/>
      <c r="O42" s="912"/>
    </row>
    <row r="43" spans="1:16" x14ac:dyDescent="0.2">
      <c r="A43" s="910"/>
      <c r="B43" s="913"/>
      <c r="C43" s="1058" t="str">
        <f>CONCATENATE("               ",Refkalkulation!D116)</f>
        <v xml:space="preserve">               Fertigungsgemeinkosten</v>
      </c>
      <c r="D43" s="1061"/>
      <c r="E43" s="1060" t="e">
        <f ca="1">Refkalkulation!H116</f>
        <v>#N/A</v>
      </c>
      <c r="F43" s="958"/>
      <c r="G43" s="1058" t="str">
        <f t="shared" si="0"/>
        <v xml:space="preserve">               Fertigungsgemeinkosten</v>
      </c>
      <c r="H43" s="1061"/>
      <c r="I43" s="1060" t="e">
        <f>Refkalkulation!K116</f>
        <v>#N/A</v>
      </c>
      <c r="J43" s="958"/>
      <c r="K43" s="1058" t="str">
        <f t="shared" si="1"/>
        <v xml:space="preserve">               Fertigungsgemeinkosten</v>
      </c>
      <c r="L43" s="1061"/>
      <c r="M43" s="1060" t="e">
        <f>Refkalkulation!N116</f>
        <v>#N/A</v>
      </c>
      <c r="N43" s="958"/>
      <c r="O43" s="912"/>
    </row>
    <row r="44" spans="1:16" x14ac:dyDescent="0.2">
      <c r="A44" s="910"/>
      <c r="B44" s="913"/>
      <c r="C44" s="1062" t="str">
        <f>Refkalkulation!D124</f>
        <v>Gesamtgemeinkosten</v>
      </c>
      <c r="D44" s="1063" t="e">
        <f ca="1">Refkalkulation!H124</f>
        <v>#REF!</v>
      </c>
      <c r="E44" s="1064" t="e">
        <f ca="1">D44/D46</f>
        <v>#REF!</v>
      </c>
      <c r="F44" s="958"/>
      <c r="G44" s="1062" t="str">
        <f t="shared" si="0"/>
        <v>Gesamtgemeinkosten</v>
      </c>
      <c r="H44" s="1063" t="e">
        <f>Refkalkulation!K124</f>
        <v>#REF!</v>
      </c>
      <c r="I44" s="1064" t="e">
        <f>H44/H46</f>
        <v>#REF!</v>
      </c>
      <c r="J44" s="913"/>
      <c r="K44" s="1062" t="str">
        <f t="shared" si="1"/>
        <v>Gesamtgemeinkosten</v>
      </c>
      <c r="L44" s="1063" t="e">
        <f>Refkalkulation!N124</f>
        <v>#REF!</v>
      </c>
      <c r="M44" s="1064" t="e">
        <f>L44/L46</f>
        <v>#REF!</v>
      </c>
      <c r="N44" s="913"/>
      <c r="O44" s="912"/>
    </row>
    <row r="45" spans="1:16" ht="18" customHeight="1" x14ac:dyDescent="0.25">
      <c r="A45" s="910"/>
      <c r="B45" s="913"/>
      <c r="C45" s="1065" t="str">
        <f>Refkalkulation!D127</f>
        <v>Gesamtgewinn</v>
      </c>
      <c r="D45" s="1063" t="e">
        <f ca="1">Refkalkulation!H127</f>
        <v>#REF!</v>
      </c>
      <c r="E45" s="1066" t="e">
        <f ca="1">D45/D46</f>
        <v>#REF!</v>
      </c>
      <c r="F45" s="958"/>
      <c r="G45" s="1065" t="str">
        <f t="shared" si="0"/>
        <v>Gesamtgewinn</v>
      </c>
      <c r="H45" s="1063" t="e">
        <f>Refkalkulation!K127</f>
        <v>#REF!</v>
      </c>
      <c r="I45" s="1066" t="e">
        <f>H45/H46</f>
        <v>#REF!</v>
      </c>
      <c r="J45" s="913"/>
      <c r="K45" s="1065" t="str">
        <f t="shared" si="1"/>
        <v>Gesamtgewinn</v>
      </c>
      <c r="L45" s="1063" t="e">
        <f>Refkalkulation!N127</f>
        <v>#REF!</v>
      </c>
      <c r="M45" s="1066" t="e">
        <f>L45/L46</f>
        <v>#REF!</v>
      </c>
      <c r="N45" s="913"/>
      <c r="O45" s="912"/>
    </row>
    <row r="46" spans="1:16" ht="15" x14ac:dyDescent="0.2">
      <c r="A46" s="910"/>
      <c r="B46" s="913"/>
      <c r="C46" s="1071" t="str">
        <f>Refkalkulation!D129</f>
        <v>Bauteilpreis gesamt</v>
      </c>
      <c r="D46" s="1067" t="e">
        <f ca="1">SUM(D33:D45)</f>
        <v>#REF!</v>
      </c>
      <c r="E46" s="1068" t="s">
        <v>866</v>
      </c>
      <c r="F46" s="1030"/>
      <c r="G46" s="1071" t="str">
        <f t="shared" si="0"/>
        <v>Bauteilpreis gesamt</v>
      </c>
      <c r="H46" s="1067" t="e">
        <f>SUM(H33:H45)</f>
        <v>#REF!</v>
      </c>
      <c r="I46" s="1068" t="s">
        <v>866</v>
      </c>
      <c r="J46" s="1030"/>
      <c r="K46" s="1071" t="str">
        <f t="shared" si="1"/>
        <v>Bauteilpreis gesamt</v>
      </c>
      <c r="L46" s="1067" t="e">
        <f>SUM(L33:L45)</f>
        <v>#REF!</v>
      </c>
      <c r="M46" s="1068" t="s">
        <v>866</v>
      </c>
      <c r="N46" s="969"/>
      <c r="O46" s="912"/>
    </row>
    <row r="47" spans="1:16" x14ac:dyDescent="0.2">
      <c r="A47" s="910"/>
      <c r="B47" s="913"/>
      <c r="C47" s="1072" t="str">
        <f>Refkalkulation!D133</f>
        <v>Zielpreis Bauteil</v>
      </c>
      <c r="D47" s="1069">
        <f>Refkalkulation!H133</f>
        <v>55</v>
      </c>
      <c r="E47" s="1070" t="e">
        <f ca="1">(D47-D46)*D13</f>
        <v>#REF!</v>
      </c>
      <c r="F47" s="1030"/>
      <c r="G47" s="1072" t="str">
        <f>C47</f>
        <v>Zielpreis Bauteil</v>
      </c>
      <c r="H47" s="1069">
        <f>Refkalkulation!K133</f>
        <v>55</v>
      </c>
      <c r="I47" s="1070" t="e">
        <f>(H47-H46)*H13</f>
        <v>#REF!</v>
      </c>
      <c r="J47" s="1030"/>
      <c r="K47" s="1072" t="str">
        <f>C47</f>
        <v>Zielpreis Bauteil</v>
      </c>
      <c r="L47" s="1069">
        <f>Refkalkulation!N133</f>
        <v>55</v>
      </c>
      <c r="M47" s="1070" t="e">
        <f>(L47-L46)*L13</f>
        <v>#REF!</v>
      </c>
      <c r="N47" s="969"/>
      <c r="O47" s="912"/>
    </row>
    <row r="48" spans="1:16" ht="15" x14ac:dyDescent="0.2">
      <c r="A48" s="910"/>
      <c r="B48" s="913"/>
      <c r="C48" s="1071" t="str">
        <f>IF(Deutsch,"Modellkosten geschätzt","Pattern Cost estimated")</f>
        <v>Modellkosten geschätzt</v>
      </c>
      <c r="D48" s="1067">
        <f>Refkalkulation!H137+Refkalkulation!H138</f>
        <v>14200</v>
      </c>
      <c r="E48" s="1068" t="s">
        <v>867</v>
      </c>
      <c r="F48" s="1030"/>
      <c r="G48" s="1071" t="str">
        <f>C48</f>
        <v>Modellkosten geschätzt</v>
      </c>
      <c r="H48" s="1067">
        <f>Refkalkulation!K137+Refkalkulation!K138</f>
        <v>10900</v>
      </c>
      <c r="I48" s="1068" t="s">
        <v>867</v>
      </c>
      <c r="J48" s="1030"/>
      <c r="K48" s="1071" t="str">
        <f>C48</f>
        <v>Modellkosten geschätzt</v>
      </c>
      <c r="L48" s="1067">
        <f>Refkalkulation!N137+Refkalkulation!N138</f>
        <v>11300</v>
      </c>
      <c r="M48" s="1068" t="s">
        <v>867</v>
      </c>
      <c r="N48" s="969"/>
      <c r="O48" s="912"/>
      <c r="P48" s="1100"/>
    </row>
    <row r="49" spans="1:15" x14ac:dyDescent="0.2">
      <c r="A49" s="910"/>
      <c r="B49" s="913"/>
      <c r="C49" s="1072" t="str">
        <f>Refkalkulation!D139</f>
        <v>Modellkosten Angebot</v>
      </c>
      <c r="D49" s="1069">
        <f>Refkalkulation!H139</f>
        <v>10500</v>
      </c>
      <c r="E49" s="1070">
        <f>D49-D48</f>
        <v>-3700</v>
      </c>
      <c r="F49" s="1030"/>
      <c r="G49" s="1072" t="str">
        <f>C49</f>
        <v>Modellkosten Angebot</v>
      </c>
      <c r="H49" s="1069">
        <f>Refkalkulation!K139</f>
        <v>6000</v>
      </c>
      <c r="I49" s="1070">
        <f>H49-H48</f>
        <v>-4900</v>
      </c>
      <c r="J49" s="1030"/>
      <c r="K49" s="1072" t="str">
        <f>C49</f>
        <v>Modellkosten Angebot</v>
      </c>
      <c r="L49" s="1069">
        <f>Refkalkulation!N139</f>
        <v>8050</v>
      </c>
      <c r="M49" s="1070">
        <f>L49-L48</f>
        <v>-3250</v>
      </c>
      <c r="N49" s="969"/>
      <c r="O49" s="912"/>
    </row>
    <row r="50" spans="1:15" x14ac:dyDescent="0.2">
      <c r="A50" s="922"/>
      <c r="B50" s="923"/>
      <c r="C50" s="923"/>
      <c r="D50" s="923"/>
      <c r="E50" s="923"/>
      <c r="F50" s="923"/>
      <c r="G50" s="923"/>
      <c r="H50" s="923"/>
      <c r="I50" s="923"/>
      <c r="J50" s="923"/>
      <c r="K50" s="923"/>
      <c r="L50" s="923"/>
      <c r="M50" s="923"/>
      <c r="N50" s="923"/>
      <c r="O50" s="970"/>
    </row>
    <row r="56" spans="1:15" ht="0.2" customHeight="1" x14ac:dyDescent="0.2">
      <c r="A56" s="909" t="str">
        <f>C10</f>
        <v>Deutschland</v>
      </c>
      <c r="C56" s="909" t="s">
        <v>868</v>
      </c>
      <c r="D56" s="909" t="s">
        <v>869</v>
      </c>
      <c r="E56" s="909" t="s">
        <v>870</v>
      </c>
      <c r="F56" s="909" t="s">
        <v>871</v>
      </c>
      <c r="G56" s="909" t="s">
        <v>874</v>
      </c>
      <c r="H56" s="909" t="s">
        <v>873</v>
      </c>
      <c r="I56" s="909" t="s">
        <v>875</v>
      </c>
    </row>
    <row r="57" spans="1:15" ht="0.2" customHeight="1" x14ac:dyDescent="0.2">
      <c r="C57" s="1037" t="e">
        <f ca="1">D33</f>
        <v>#REF!</v>
      </c>
      <c r="D57" s="1037" t="e">
        <f ca="1">D38</f>
        <v>#N/A</v>
      </c>
      <c r="E57" s="1037" t="e">
        <f ca="1">D44</f>
        <v>#REF!</v>
      </c>
      <c r="F57" s="1037" t="e">
        <f ca="1">D45</f>
        <v>#REF!</v>
      </c>
      <c r="G57" s="1037" t="e">
        <f ca="1">D46</f>
        <v>#REF!</v>
      </c>
      <c r="H57" s="1037" t="e">
        <f ca="1">I57-G57</f>
        <v>#REF!</v>
      </c>
      <c r="I57" s="1037">
        <f>D47</f>
        <v>55</v>
      </c>
    </row>
    <row r="58" spans="1:15" ht="0.2" customHeight="1" x14ac:dyDescent="0.2">
      <c r="C58" s="1037"/>
      <c r="D58" s="1037" t="e">
        <f ca="1">C57</f>
        <v>#REF!</v>
      </c>
      <c r="E58" s="1037" t="e">
        <f ca="1">D57+D58</f>
        <v>#N/A</v>
      </c>
      <c r="F58" s="1037" t="e">
        <f ca="1">E57+E58</f>
        <v>#REF!</v>
      </c>
      <c r="G58" s="1037"/>
      <c r="H58" s="1037"/>
      <c r="I58" s="1037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09" t="str">
        <f>G10</f>
        <v>Polen</v>
      </c>
      <c r="C62" s="909" t="s">
        <v>868</v>
      </c>
      <c r="D62" s="909" t="s">
        <v>869</v>
      </c>
      <c r="E62" s="909" t="s">
        <v>870</v>
      </c>
      <c r="F62" s="909" t="s">
        <v>871</v>
      </c>
      <c r="G62" s="909" t="s">
        <v>874</v>
      </c>
      <c r="H62" s="909" t="s">
        <v>873</v>
      </c>
      <c r="I62" s="909" t="s">
        <v>875</v>
      </c>
    </row>
    <row r="63" spans="1:15" ht="0.2" customHeight="1" x14ac:dyDescent="0.2">
      <c r="C63" s="1037" t="e">
        <f>H33</f>
        <v>#REF!</v>
      </c>
      <c r="D63" s="1037" t="e">
        <f>H38</f>
        <v>#N/A</v>
      </c>
      <c r="E63" s="1037" t="e">
        <f>H44</f>
        <v>#REF!</v>
      </c>
      <c r="F63" s="1037" t="e">
        <f>H45</f>
        <v>#REF!</v>
      </c>
      <c r="G63" s="1037" t="e">
        <f>H46</f>
        <v>#REF!</v>
      </c>
      <c r="H63" s="1037" t="e">
        <f>I63-G63</f>
        <v>#REF!</v>
      </c>
      <c r="I63" s="1037">
        <f>H47</f>
        <v>55</v>
      </c>
    </row>
    <row r="64" spans="1:15" ht="0.2" customHeight="1" x14ac:dyDescent="0.2">
      <c r="C64" s="1037"/>
      <c r="D64" s="1037" t="e">
        <f>C63</f>
        <v>#REF!</v>
      </c>
      <c r="E64" s="1037" t="e">
        <f>D63+D64</f>
        <v>#N/A</v>
      </c>
      <c r="F64" s="1037" t="e">
        <f>E63+E64</f>
        <v>#REF!</v>
      </c>
      <c r="G64" s="1037"/>
      <c r="H64" s="1037"/>
      <c r="I64" s="1037"/>
    </row>
    <row r="65" spans="1:9" ht="0.2" customHeight="1" x14ac:dyDescent="0.2"/>
    <row r="66" spans="1:9" ht="0.2" customHeight="1" x14ac:dyDescent="0.2"/>
    <row r="67" spans="1:9" ht="0.2" customHeight="1" x14ac:dyDescent="0.2">
      <c r="A67" s="909" t="str">
        <f>K10</f>
        <v>Deutschland</v>
      </c>
      <c r="C67" s="909" t="s">
        <v>868</v>
      </c>
      <c r="D67" s="909" t="s">
        <v>869</v>
      </c>
      <c r="E67" s="909" t="s">
        <v>870</v>
      </c>
      <c r="F67" s="909" t="s">
        <v>871</v>
      </c>
      <c r="G67" s="909" t="s">
        <v>874</v>
      </c>
      <c r="H67" s="909" t="s">
        <v>873</v>
      </c>
      <c r="I67" s="909" t="s">
        <v>875</v>
      </c>
    </row>
    <row r="68" spans="1:9" ht="0.2" customHeight="1" x14ac:dyDescent="0.2">
      <c r="C68" s="1037" t="e">
        <f>L33</f>
        <v>#REF!</v>
      </c>
      <c r="D68" s="1037" t="e">
        <f>L38</f>
        <v>#N/A</v>
      </c>
      <c r="E68" s="1037" t="e">
        <f>L44</f>
        <v>#REF!</v>
      </c>
      <c r="F68" s="1037" t="e">
        <f>L45</f>
        <v>#REF!</v>
      </c>
      <c r="G68" s="1037" t="e">
        <f>L46</f>
        <v>#REF!</v>
      </c>
      <c r="H68" s="1037" t="e">
        <f>I68-G68</f>
        <v>#REF!</v>
      </c>
      <c r="I68" s="1037">
        <f>L47</f>
        <v>55</v>
      </c>
    </row>
    <row r="69" spans="1:9" ht="0.2" customHeight="1" x14ac:dyDescent="0.2">
      <c r="C69" s="1037"/>
      <c r="D69" s="1037" t="e">
        <f>C68</f>
        <v>#REF!</v>
      </c>
      <c r="E69" s="1037" t="e">
        <f>D68+D69</f>
        <v>#N/A</v>
      </c>
      <c r="F69" s="1037" t="e">
        <f>E68+E69</f>
        <v>#REF!</v>
      </c>
      <c r="G69" s="1037"/>
      <c r="H69" s="1037"/>
      <c r="I69" s="1037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09" customWidth="1"/>
    <col min="2" max="2" width="0.875" style="909" customWidth="1"/>
    <col min="3" max="3" width="31.75" style="909" customWidth="1"/>
    <col min="4" max="5" width="11" style="909"/>
    <col min="6" max="6" width="10.625" style="909" customWidth="1"/>
    <col min="7" max="7" width="31.75" style="909" customWidth="1"/>
    <col min="8" max="9" width="11" style="909"/>
    <col min="10" max="10" width="10.625" style="909" customWidth="1"/>
    <col min="11" max="11" width="31.75" style="909" customWidth="1"/>
    <col min="12" max="13" width="11" style="909"/>
    <col min="14" max="14" width="0.875" style="909" customWidth="1"/>
    <col min="15" max="15" width="8.125" style="909" customWidth="1"/>
    <col min="16" max="16384" width="11" style="909"/>
  </cols>
  <sheetData>
    <row r="1" spans="1:28" x14ac:dyDescent="0.2">
      <c r="A1" s="905"/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7"/>
      <c r="N1" s="907"/>
      <c r="O1" s="908"/>
    </row>
    <row r="2" spans="1:28" ht="5.0999999999999996" customHeight="1" x14ac:dyDescent="0.2">
      <c r="A2" s="910"/>
      <c r="B2" s="905"/>
      <c r="C2" s="906"/>
      <c r="D2" s="906"/>
      <c r="E2" s="906"/>
      <c r="F2" s="906"/>
      <c r="G2" s="906"/>
      <c r="H2" s="906"/>
      <c r="I2" s="906"/>
      <c r="J2" s="906"/>
      <c r="K2" s="906"/>
      <c r="L2" s="906"/>
      <c r="M2" s="907"/>
      <c r="N2" s="911"/>
      <c r="O2" s="912"/>
    </row>
    <row r="3" spans="1:28" x14ac:dyDescent="0.2">
      <c r="A3" s="910"/>
      <c r="B3" s="910"/>
      <c r="C3" s="913"/>
      <c r="D3" s="913"/>
      <c r="E3" s="913"/>
      <c r="F3" s="913"/>
      <c r="G3" s="913"/>
      <c r="H3" s="913"/>
      <c r="I3" s="913"/>
      <c r="J3" s="913"/>
      <c r="K3" s="913"/>
      <c r="L3" s="913"/>
      <c r="M3" s="914">
        <f ca="1">TODAY()</f>
        <v>44629</v>
      </c>
      <c r="N3" s="915"/>
      <c r="O3" s="912"/>
    </row>
    <row r="4" spans="1:28" x14ac:dyDescent="0.2">
      <c r="A4" s="910"/>
      <c r="B4" s="910"/>
      <c r="C4" s="913"/>
      <c r="D4" s="913"/>
      <c r="E4" s="913"/>
      <c r="F4" s="913"/>
      <c r="G4" s="913"/>
      <c r="H4" s="913"/>
      <c r="I4" s="913"/>
      <c r="J4" s="913"/>
      <c r="K4" s="913"/>
      <c r="L4" s="913"/>
      <c r="M4" s="972" t="str">
        <f>'Quick Input'!L3</f>
        <v>Dr.P. Pawar</v>
      </c>
      <c r="N4" s="916"/>
      <c r="O4" s="912"/>
    </row>
    <row r="5" spans="1:28" ht="20.25" x14ac:dyDescent="0.3">
      <c r="A5" s="910"/>
      <c r="B5" s="910"/>
      <c r="C5" s="917"/>
      <c r="D5" s="918"/>
      <c r="E5" s="913"/>
      <c r="F5" s="913"/>
      <c r="G5" s="919" t="str">
        <f>'Quick Input'!R2</f>
        <v>Siemens Standort</v>
      </c>
      <c r="H5" s="971" t="str">
        <f>'Quick Input'!U2</f>
        <v>Erlangen</v>
      </c>
      <c r="I5" s="913"/>
      <c r="J5" s="913"/>
      <c r="K5" s="913"/>
      <c r="L5" s="913"/>
      <c r="M5" s="913"/>
      <c r="N5" s="912"/>
      <c r="O5" s="912"/>
    </row>
    <row r="6" spans="1:28" x14ac:dyDescent="0.2">
      <c r="A6" s="910"/>
      <c r="B6" s="910"/>
      <c r="C6" s="913"/>
      <c r="D6" s="913"/>
      <c r="E6" s="913"/>
      <c r="F6" s="921"/>
      <c r="G6" s="919" t="str">
        <f>'Quick Input'!R3</f>
        <v>Lieferant</v>
      </c>
      <c r="H6" s="971" t="str">
        <f>'Quick Input'!U3</f>
        <v>MGG</v>
      </c>
      <c r="I6" s="913"/>
      <c r="J6" s="913"/>
      <c r="K6" s="913"/>
      <c r="L6" s="913"/>
      <c r="M6" s="914"/>
      <c r="N6" s="915"/>
      <c r="O6" s="912"/>
    </row>
    <row r="7" spans="1:28" x14ac:dyDescent="0.2">
      <c r="A7" s="910"/>
      <c r="B7" s="910"/>
      <c r="C7" s="913"/>
      <c r="D7" s="913"/>
      <c r="E7" s="913"/>
      <c r="F7" s="913"/>
      <c r="G7" s="919" t="str">
        <f>'Quick Input'!R4</f>
        <v>Werk</v>
      </c>
      <c r="H7" s="971" t="str">
        <f>'Quick Input'!U4</f>
        <v>DI MC</v>
      </c>
      <c r="I7" s="913"/>
      <c r="J7" s="913"/>
      <c r="K7" s="913"/>
      <c r="L7" s="913"/>
      <c r="M7" s="914"/>
      <c r="N7" s="915"/>
      <c r="O7" s="912"/>
    </row>
    <row r="8" spans="1:28" x14ac:dyDescent="0.2">
      <c r="A8" s="910"/>
      <c r="B8" s="910"/>
      <c r="C8" s="913"/>
      <c r="D8" s="913"/>
      <c r="E8" s="913"/>
      <c r="F8" s="913"/>
      <c r="G8" s="920"/>
      <c r="H8" s="913"/>
      <c r="I8" s="913"/>
      <c r="J8" s="913"/>
      <c r="K8" s="913"/>
      <c r="L8" s="913"/>
      <c r="M8" s="914"/>
      <c r="N8" s="915"/>
      <c r="O8" s="912"/>
    </row>
    <row r="9" spans="1:28" x14ac:dyDescent="0.2">
      <c r="A9" s="910"/>
      <c r="B9" s="910"/>
      <c r="C9" s="913"/>
      <c r="D9" s="913"/>
      <c r="E9" s="913"/>
      <c r="F9" s="913"/>
      <c r="G9" s="920"/>
      <c r="H9" s="913"/>
      <c r="I9" s="913"/>
      <c r="J9" s="913"/>
      <c r="K9" s="913"/>
      <c r="L9" s="913"/>
      <c r="M9" s="914"/>
      <c r="N9" s="915"/>
      <c r="O9" s="912"/>
    </row>
    <row r="10" spans="1:28" ht="5.0999999999999996" customHeight="1" x14ac:dyDescent="0.2">
      <c r="A10" s="910"/>
      <c r="B10" s="922"/>
      <c r="C10" s="923"/>
      <c r="D10" s="923"/>
      <c r="E10" s="923"/>
      <c r="F10" s="923"/>
      <c r="G10" s="924"/>
      <c r="H10" s="923"/>
      <c r="I10" s="923"/>
      <c r="J10" s="923"/>
      <c r="K10" s="923"/>
      <c r="L10" s="923"/>
      <c r="M10" s="925"/>
      <c r="N10" s="926"/>
      <c r="O10" s="912"/>
    </row>
    <row r="11" spans="1:28" x14ac:dyDescent="0.2">
      <c r="A11" s="910"/>
      <c r="B11" s="913"/>
      <c r="C11" s="921"/>
      <c r="D11" s="913"/>
      <c r="E11" s="913"/>
      <c r="F11" s="913"/>
      <c r="G11" s="920"/>
      <c r="H11" s="913"/>
      <c r="I11" s="913"/>
      <c r="J11" s="913"/>
      <c r="K11" s="913"/>
      <c r="L11" s="913"/>
      <c r="M11" s="914"/>
      <c r="N11" s="914"/>
      <c r="O11" s="912"/>
      <c r="AB11" s="927"/>
    </row>
    <row r="12" spans="1:28" ht="15" x14ac:dyDescent="0.2">
      <c r="A12" s="910"/>
      <c r="B12" s="913"/>
      <c r="C12" s="928" t="str">
        <f>Refkalkulation!H7</f>
        <v>Deutschland</v>
      </c>
      <c r="D12" s="929" t="str">
        <f>Refkalkulation!H$6</f>
        <v>Housing</v>
      </c>
      <c r="E12" s="930"/>
      <c r="F12" s="931"/>
      <c r="G12" s="928" t="str">
        <f>Refkalkulation!K7</f>
        <v>Polen</v>
      </c>
      <c r="H12" s="929" t="str">
        <f>Refkalkulation!K$6</f>
        <v>Housing</v>
      </c>
      <c r="I12" s="930"/>
      <c r="J12" s="931"/>
      <c r="K12" s="928" t="str">
        <f>Refkalkulation!N7</f>
        <v>Deutschland</v>
      </c>
      <c r="L12" s="929" t="str">
        <f>Refkalkulation!N$6</f>
        <v>Housing</v>
      </c>
      <c r="M12" s="908"/>
      <c r="N12" s="913"/>
      <c r="O12" s="912"/>
    </row>
    <row r="13" spans="1:28" x14ac:dyDescent="0.2">
      <c r="A13" s="910"/>
      <c r="B13" s="913"/>
      <c r="C13" s="910" t="str">
        <f>CONCATENATE('Quick Input'!$I22," ",'Quick Input'!L22)</f>
        <v>Giesstechnik Niederdruck</v>
      </c>
      <c r="D13" s="913">
        <f>'Quick Input'!L19</f>
        <v>40</v>
      </c>
      <c r="E13" s="912" t="s">
        <v>70</v>
      </c>
      <c r="F13" s="913"/>
      <c r="G13" s="910" t="str">
        <f>CONCATENATE('Quick Input'!$I22," ",'Quick Input'!O22)</f>
        <v>Giesstechnik Niederdruck</v>
      </c>
      <c r="H13" s="913">
        <f>'Quick Input'!O19</f>
        <v>5</v>
      </c>
      <c r="I13" s="912" t="s">
        <v>70</v>
      </c>
      <c r="J13" s="913"/>
      <c r="K13" s="910" t="str">
        <f>CONCATENATE('Quick Input'!$I22," ",'Quick Input'!R22)</f>
        <v>Giesstechnik Schwerkaft</v>
      </c>
      <c r="L13" s="913">
        <f>'Quick Input'!R19</f>
        <v>5</v>
      </c>
      <c r="M13" s="912" t="s">
        <v>70</v>
      </c>
      <c r="N13" s="913"/>
      <c r="O13" s="912"/>
    </row>
    <row r="14" spans="1:28" x14ac:dyDescent="0.2">
      <c r="A14" s="910"/>
      <c r="B14" s="913"/>
      <c r="C14" s="910" t="str">
        <f>CONCATENATE('Quick Input'!$I23," ",'Quick Input'!L23,": ",Refkalkulation!H65," ltr")</f>
        <v>Automatisierungsgrad cast machine: 20 ltr</v>
      </c>
      <c r="D14" s="913"/>
      <c r="E14" s="912"/>
      <c r="F14" s="913"/>
      <c r="G14" s="910" t="str">
        <f>CONCATENATE('Quick Input'!$I23," ",'Quick Input'!O23,": ",Refkalkulation!K65," ltr")</f>
        <v>Automatisierungsgrad Dosiergerät: 0 ltr</v>
      </c>
      <c r="H14" s="913"/>
      <c r="I14" s="912"/>
      <c r="J14" s="913"/>
      <c r="K14" s="910" t="str">
        <f>CONCATENATE('Quick Input'!$I23," ",'Quick Input'!R23,": ",Refkalkulation!N65," ltr")</f>
        <v>Automatisierungsgrad Entnahmegerät: 0 ltr</v>
      </c>
      <c r="L14" s="913"/>
      <c r="M14" s="912"/>
      <c r="N14" s="913"/>
      <c r="O14" s="912"/>
    </row>
    <row r="15" spans="1:28" x14ac:dyDescent="0.2">
      <c r="A15" s="910"/>
      <c r="B15" s="913"/>
      <c r="C15" s="910" t="str">
        <f>Refkalkulation!H71</f>
        <v>Sandstrahlen Gleitschleifen</v>
      </c>
      <c r="D15" s="913"/>
      <c r="E15" s="912"/>
      <c r="F15" s="913"/>
      <c r="G15" s="910" t="str">
        <f>Refkalkulation!K71</f>
        <v>Sandstrahlen Gleitschleifen</v>
      </c>
      <c r="H15" s="913"/>
      <c r="I15" s="912"/>
      <c r="J15" s="913"/>
      <c r="K15" s="910" t="str">
        <f>Refkalkulation!N71</f>
        <v>Sandstrahlen Gleitschleifen</v>
      </c>
      <c r="L15" s="913"/>
      <c r="M15" s="912"/>
      <c r="N15" s="913"/>
      <c r="O15" s="912"/>
    </row>
    <row r="16" spans="1:28" x14ac:dyDescent="0.2">
      <c r="A16" s="910"/>
      <c r="B16" s="913"/>
      <c r="C16" s="910" t="str">
        <f>Refkalkulation!H92</f>
        <v>US PT Röntgen prüfen</v>
      </c>
      <c r="D16" s="913"/>
      <c r="E16" s="912"/>
      <c r="F16" s="913"/>
      <c r="G16" s="910" t="str">
        <f>Refkalkulation!K92</f>
        <v>US PT Röntgen prüfen</v>
      </c>
      <c r="H16" s="913"/>
      <c r="I16" s="912"/>
      <c r="J16" s="913"/>
      <c r="K16" s="910" t="str">
        <f>Refkalkulation!N92</f>
        <v>US PT Röntgen prüfen</v>
      </c>
      <c r="L16" s="913"/>
      <c r="M16" s="912"/>
      <c r="N16" s="913"/>
      <c r="O16" s="912"/>
    </row>
    <row r="17" spans="1:15" x14ac:dyDescent="0.2">
      <c r="A17" s="910"/>
      <c r="B17" s="913"/>
      <c r="C17" s="910"/>
      <c r="D17" s="913"/>
      <c r="E17" s="912"/>
      <c r="F17" s="913"/>
      <c r="G17" s="910"/>
      <c r="H17" s="913"/>
      <c r="I17" s="912"/>
      <c r="J17" s="913"/>
      <c r="K17" s="910"/>
      <c r="L17" s="913"/>
      <c r="M17" s="912"/>
      <c r="N17" s="913"/>
      <c r="O17" s="912"/>
    </row>
    <row r="18" spans="1:15" x14ac:dyDescent="0.2">
      <c r="A18" s="910"/>
      <c r="B18" s="913"/>
      <c r="C18" s="910"/>
      <c r="D18" s="913"/>
      <c r="E18" s="912"/>
      <c r="F18" s="913"/>
      <c r="G18" s="910"/>
      <c r="H18" s="913"/>
      <c r="I18" s="912"/>
      <c r="J18" s="913"/>
      <c r="K18" s="910"/>
      <c r="L18" s="913"/>
      <c r="M18" s="912"/>
      <c r="N18" s="913"/>
      <c r="O18" s="912"/>
    </row>
    <row r="19" spans="1:15" x14ac:dyDescent="0.2">
      <c r="A19" s="910"/>
      <c r="B19" s="913"/>
      <c r="C19" s="910"/>
      <c r="D19" s="913"/>
      <c r="E19" s="912"/>
      <c r="F19" s="913"/>
      <c r="G19" s="910"/>
      <c r="H19" s="913"/>
      <c r="I19" s="912"/>
      <c r="J19" s="913"/>
      <c r="K19" s="910"/>
      <c r="L19" s="913"/>
      <c r="M19" s="912"/>
      <c r="N19" s="913"/>
      <c r="O19" s="912"/>
    </row>
    <row r="20" spans="1:15" x14ac:dyDescent="0.2">
      <c r="A20" s="910"/>
      <c r="B20" s="913"/>
      <c r="C20" s="910"/>
      <c r="D20" s="913"/>
      <c r="E20" s="912"/>
      <c r="F20" s="913"/>
      <c r="G20" s="910"/>
      <c r="H20" s="913"/>
      <c r="I20" s="912"/>
      <c r="J20" s="913"/>
      <c r="K20" s="910"/>
      <c r="L20" s="913"/>
      <c r="M20" s="912"/>
      <c r="N20" s="913"/>
      <c r="O20" s="912"/>
    </row>
    <row r="21" spans="1:15" x14ac:dyDescent="0.2">
      <c r="A21" s="910"/>
      <c r="B21" s="913"/>
      <c r="C21" s="910"/>
      <c r="D21" s="913"/>
      <c r="E21" s="912"/>
      <c r="F21" s="913"/>
      <c r="G21" s="910"/>
      <c r="H21" s="913"/>
      <c r="I21" s="912"/>
      <c r="J21" s="913"/>
      <c r="K21" s="910"/>
      <c r="L21" s="913"/>
      <c r="M21" s="912"/>
      <c r="N21" s="913"/>
      <c r="O21" s="912"/>
    </row>
    <row r="22" spans="1:15" x14ac:dyDescent="0.2">
      <c r="A22" s="910"/>
      <c r="B22" s="913"/>
      <c r="C22" s="910"/>
      <c r="D22" s="913"/>
      <c r="E22" s="912"/>
      <c r="F22" s="913"/>
      <c r="G22" s="910"/>
      <c r="H22" s="913"/>
      <c r="I22" s="912"/>
      <c r="J22" s="913"/>
      <c r="K22" s="910"/>
      <c r="L22" s="913"/>
      <c r="M22" s="912"/>
      <c r="N22" s="913"/>
      <c r="O22" s="912"/>
    </row>
    <row r="23" spans="1:15" x14ac:dyDescent="0.2">
      <c r="A23" s="910"/>
      <c r="B23" s="913"/>
      <c r="C23" s="910"/>
      <c r="D23" s="913"/>
      <c r="E23" s="912"/>
      <c r="F23" s="913"/>
      <c r="G23" s="910"/>
      <c r="H23" s="913"/>
      <c r="I23" s="912"/>
      <c r="J23" s="913"/>
      <c r="K23" s="910"/>
      <c r="L23" s="913"/>
      <c r="M23" s="912"/>
      <c r="N23" s="913"/>
      <c r="O23" s="912"/>
    </row>
    <row r="24" spans="1:15" x14ac:dyDescent="0.2">
      <c r="A24" s="910"/>
      <c r="B24" s="913"/>
      <c r="C24" s="910"/>
      <c r="D24" s="913"/>
      <c r="E24" s="912"/>
      <c r="F24" s="913"/>
      <c r="G24" s="910"/>
      <c r="H24" s="913"/>
      <c r="I24" s="912"/>
      <c r="J24" s="913"/>
      <c r="K24" s="910"/>
      <c r="L24" s="913"/>
      <c r="M24" s="912"/>
      <c r="N24" s="913"/>
      <c r="O24" s="912"/>
    </row>
    <row r="25" spans="1:15" x14ac:dyDescent="0.2">
      <c r="A25" s="910"/>
      <c r="B25" s="913"/>
      <c r="C25" s="910"/>
      <c r="D25" s="913"/>
      <c r="E25" s="912"/>
      <c r="F25" s="913"/>
      <c r="G25" s="910"/>
      <c r="H25" s="913"/>
      <c r="I25" s="912"/>
      <c r="J25" s="913"/>
      <c r="K25" s="910"/>
      <c r="L25" s="913"/>
      <c r="M25" s="912"/>
      <c r="N25" s="913"/>
      <c r="O25" s="912"/>
    </row>
    <row r="26" spans="1:15" x14ac:dyDescent="0.2">
      <c r="A26" s="910"/>
      <c r="B26" s="913"/>
      <c r="C26" s="910"/>
      <c r="D26" s="913"/>
      <c r="E26" s="912"/>
      <c r="F26" s="913"/>
      <c r="G26" s="910"/>
      <c r="H26" s="913"/>
      <c r="I26" s="912"/>
      <c r="J26" s="913"/>
      <c r="K26" s="910"/>
      <c r="L26" s="913"/>
      <c r="M26" s="912"/>
      <c r="N26" s="913"/>
      <c r="O26" s="912"/>
    </row>
    <row r="27" spans="1:15" x14ac:dyDescent="0.2">
      <c r="A27" s="910"/>
      <c r="B27" s="913"/>
      <c r="C27" s="910"/>
      <c r="D27" s="913"/>
      <c r="E27" s="912"/>
      <c r="F27" s="913"/>
      <c r="G27" s="910"/>
      <c r="H27" s="913"/>
      <c r="I27" s="912"/>
      <c r="J27" s="913"/>
      <c r="K27" s="910"/>
      <c r="L27" s="913"/>
      <c r="M27" s="912"/>
      <c r="N27" s="913"/>
      <c r="O27" s="912"/>
    </row>
    <row r="28" spans="1:15" x14ac:dyDescent="0.2">
      <c r="A28" s="910"/>
      <c r="B28" s="913"/>
      <c r="C28" s="910"/>
      <c r="D28" s="913"/>
      <c r="E28" s="912"/>
      <c r="F28" s="913"/>
      <c r="G28" s="910"/>
      <c r="H28" s="913"/>
      <c r="I28" s="912"/>
      <c r="J28" s="913"/>
      <c r="K28" s="910"/>
      <c r="L28" s="913"/>
      <c r="M28" s="912"/>
      <c r="N28" s="913"/>
      <c r="O28" s="912"/>
    </row>
    <row r="29" spans="1:15" x14ac:dyDescent="0.2">
      <c r="A29" s="910"/>
      <c r="B29" s="913"/>
      <c r="C29" s="910"/>
      <c r="D29" s="913"/>
      <c r="E29" s="912"/>
      <c r="F29" s="913"/>
      <c r="G29" s="910"/>
      <c r="H29" s="913"/>
      <c r="I29" s="912"/>
      <c r="J29" s="913"/>
      <c r="K29" s="910"/>
      <c r="L29" s="913"/>
      <c r="M29" s="912"/>
      <c r="N29" s="913"/>
      <c r="O29" s="912"/>
    </row>
    <row r="30" spans="1:15" x14ac:dyDescent="0.2">
      <c r="A30" s="910"/>
      <c r="B30" s="913"/>
      <c r="C30" s="910"/>
      <c r="D30" s="913"/>
      <c r="E30" s="912"/>
      <c r="F30" s="913"/>
      <c r="G30" s="910"/>
      <c r="H30" s="913"/>
      <c r="I30" s="912"/>
      <c r="J30" s="913"/>
      <c r="K30" s="910"/>
      <c r="L30" s="913"/>
      <c r="M30" s="912"/>
      <c r="N30" s="913"/>
      <c r="O30" s="912"/>
    </row>
    <row r="31" spans="1:15" x14ac:dyDescent="0.2">
      <c r="A31" s="910"/>
      <c r="B31" s="913"/>
      <c r="C31" s="910"/>
      <c r="D31" s="913"/>
      <c r="E31" s="912"/>
      <c r="F31" s="913"/>
      <c r="G31" s="910"/>
      <c r="H31" s="913"/>
      <c r="I31" s="912"/>
      <c r="J31" s="913"/>
      <c r="K31" s="910"/>
      <c r="L31" s="913"/>
      <c r="M31" s="912"/>
      <c r="N31" s="913"/>
      <c r="O31" s="912"/>
    </row>
    <row r="32" spans="1:15" x14ac:dyDescent="0.2">
      <c r="A32" s="910"/>
      <c r="B32" s="913"/>
      <c r="C32" s="932" t="str">
        <f>IF(Deutsch,"Material - Information:","material information:")</f>
        <v>Material - Information:</v>
      </c>
      <c r="D32" s="933"/>
      <c r="E32" s="908"/>
      <c r="F32" s="913"/>
      <c r="G32" s="932" t="str">
        <f>C32</f>
        <v>Material - Information:</v>
      </c>
      <c r="H32" s="933"/>
      <c r="I32" s="908"/>
      <c r="J32" s="913"/>
      <c r="K32" s="932" t="str">
        <f>C32</f>
        <v>Material - Information:</v>
      </c>
      <c r="L32" s="933"/>
      <c r="M32" s="908"/>
      <c r="N32" s="913"/>
      <c r="O32" s="912"/>
    </row>
    <row r="33" spans="1:15" x14ac:dyDescent="0.2">
      <c r="A33" s="910"/>
      <c r="B33" s="913"/>
      <c r="C33" s="934" t="str">
        <f>CONCATENATE("               ",'Quick Input'!$I$11)</f>
        <v xml:space="preserve">               Bezeichnung</v>
      </c>
      <c r="D33" s="935" t="str">
        <f>'Quick Input'!M11</f>
        <v>Al Si10Cu2(Fe)</v>
      </c>
      <c r="E33" s="936"/>
      <c r="F33" s="913"/>
      <c r="G33" s="934" t="str">
        <f t="shared" ref="G33:G48" si="0">C33</f>
        <v xml:space="preserve">               Bezeichnung</v>
      </c>
      <c r="H33" s="935" t="str">
        <f>'Quick Input'!P11</f>
        <v>Al Si10Mg(b)</v>
      </c>
      <c r="I33" s="936"/>
      <c r="J33" s="913"/>
      <c r="K33" s="934" t="str">
        <f t="shared" ref="K33:K48" si="1">C33</f>
        <v xml:space="preserve">               Bezeichnung</v>
      </c>
      <c r="L33" s="935" t="str">
        <f>'Quick Input'!S11</f>
        <v>Al Si10Mg(b)</v>
      </c>
      <c r="M33" s="936"/>
      <c r="N33" s="913"/>
      <c r="O33" s="912"/>
    </row>
    <row r="34" spans="1:15" x14ac:dyDescent="0.2">
      <c r="A34" s="910"/>
      <c r="B34" s="913"/>
      <c r="C34" s="937" t="str">
        <f>CONCATENATE("               ",'Quick Input'!$I$13)</f>
        <v xml:space="preserve">               Al-Materialpreis (€/kg)</v>
      </c>
      <c r="D34" s="938">
        <f>'Quick Input'!M13</f>
        <v>2.0002526724975707</v>
      </c>
      <c r="E34" s="939"/>
      <c r="F34" s="940"/>
      <c r="G34" s="937" t="str">
        <f t="shared" si="0"/>
        <v xml:space="preserve">               Al-Materialpreis (€/kg)</v>
      </c>
      <c r="H34" s="938">
        <f>'Quick Input'!P13</f>
        <v>1.9670528580208975</v>
      </c>
      <c r="I34" s="939"/>
      <c r="J34" s="940"/>
      <c r="K34" s="937" t="str">
        <f t="shared" si="1"/>
        <v xml:space="preserve">               Al-Materialpreis (€/kg)</v>
      </c>
      <c r="L34" s="938">
        <f>'Quick Input'!S13</f>
        <v>1.9670528580208975</v>
      </c>
      <c r="M34" s="939"/>
      <c r="N34" s="913"/>
      <c r="O34" s="912"/>
    </row>
    <row r="35" spans="1:15" ht="15" x14ac:dyDescent="0.25">
      <c r="A35" s="910"/>
      <c r="B35" s="913"/>
      <c r="C35" s="941" t="str">
        <f>Refkalkulation!D25</f>
        <v>Materialkosten gesamt</v>
      </c>
      <c r="D35" s="942" t="e">
        <f ca="1">Refkalkulation!H25</f>
        <v>#REF!</v>
      </c>
      <c r="E35" s="943"/>
      <c r="F35" s="913"/>
      <c r="G35" s="941" t="str">
        <f t="shared" si="0"/>
        <v>Materialkosten gesamt</v>
      </c>
      <c r="H35" s="942" t="e">
        <f>Refkalkulation!K25</f>
        <v>#REF!</v>
      </c>
      <c r="I35" s="943"/>
      <c r="J35" s="913"/>
      <c r="K35" s="941" t="str">
        <f t="shared" si="1"/>
        <v>Materialkosten gesamt</v>
      </c>
      <c r="L35" s="942" t="e">
        <f>Refkalkulation!N25</f>
        <v>#REF!</v>
      </c>
      <c r="M35" s="943"/>
      <c r="N35" s="913"/>
      <c r="O35" s="912"/>
    </row>
    <row r="36" spans="1:15" x14ac:dyDescent="0.2">
      <c r="A36" s="910"/>
      <c r="B36" s="913"/>
      <c r="C36" s="944" t="str">
        <f>CONCATENATE("               ",Refkalkulation!D15)</f>
        <v xml:space="preserve">               Materialkosten Rohteil</v>
      </c>
      <c r="D36" s="945"/>
      <c r="E36" s="946">
        <f>Refkalkulation!H15</f>
        <v>80.010106899902823</v>
      </c>
      <c r="F36" s="947"/>
      <c r="G36" s="944" t="str">
        <f t="shared" si="0"/>
        <v xml:space="preserve">               Materialkosten Rohteil</v>
      </c>
      <c r="H36" s="945"/>
      <c r="I36" s="946">
        <f>Refkalkulation!K15</f>
        <v>9.8352642901044867</v>
      </c>
      <c r="J36" s="947"/>
      <c r="K36" s="944" t="str">
        <f t="shared" si="1"/>
        <v xml:space="preserve">               Materialkosten Rohteil</v>
      </c>
      <c r="L36" s="945"/>
      <c r="M36" s="946">
        <f>Refkalkulation!N15</f>
        <v>9.8352642901044867</v>
      </c>
      <c r="N36" s="947"/>
      <c r="O36" s="912"/>
    </row>
    <row r="37" spans="1:15" x14ac:dyDescent="0.2">
      <c r="A37" s="910"/>
      <c r="B37" s="913"/>
      <c r="C37" s="944" t="str">
        <f>CONCATENATE("               ",Refkalkulation!$D$17)</f>
        <v xml:space="preserve">               Kosten Schmelzverlust</v>
      </c>
      <c r="D37" s="945"/>
      <c r="E37" s="946">
        <f ca="1">Refkalkulation!H17</f>
        <v>10.671366874761611</v>
      </c>
      <c r="F37" s="947"/>
      <c r="G37" s="944" t="str">
        <f t="shared" si="0"/>
        <v xml:space="preserve">               Kosten Schmelzverlust</v>
      </c>
      <c r="H37" s="945"/>
      <c r="I37" s="946">
        <f>Refkalkulation!K17</f>
        <v>1.3198251401937215</v>
      </c>
      <c r="J37" s="947"/>
      <c r="K37" s="944" t="str">
        <f t="shared" si="1"/>
        <v xml:space="preserve">               Kosten Schmelzverlust</v>
      </c>
      <c r="L37" s="945"/>
      <c r="M37" s="946">
        <f>Refkalkulation!N17</f>
        <v>1.865137261516342</v>
      </c>
      <c r="N37" s="947"/>
      <c r="O37" s="912"/>
    </row>
    <row r="38" spans="1:15" x14ac:dyDescent="0.2">
      <c r="A38" s="910"/>
      <c r="B38" s="913"/>
      <c r="C38" s="944" t="str">
        <f>CONCATENATE("               ",Refkalkulation!D22)</f>
        <v xml:space="preserve">               Kosten Hilfsstoffe (€/Stk.)</v>
      </c>
      <c r="D38" s="945"/>
      <c r="E38" s="946" t="e">
        <f ca="1">Refkalkulation!H22</f>
        <v>#REF!</v>
      </c>
      <c r="F38" s="947"/>
      <c r="G38" s="944" t="str">
        <f t="shared" si="0"/>
        <v xml:space="preserve">               Kosten Hilfsstoffe (€/Stk.)</v>
      </c>
      <c r="H38" s="945"/>
      <c r="I38" s="946" t="e">
        <f>Refkalkulation!K22</f>
        <v>#REF!</v>
      </c>
      <c r="J38" s="947"/>
      <c r="K38" s="944" t="str">
        <f t="shared" si="1"/>
        <v xml:space="preserve">               Kosten Hilfsstoffe (€/Stk.)</v>
      </c>
      <c r="L38" s="945"/>
      <c r="M38" s="946" t="e">
        <f>Refkalkulation!N22</f>
        <v>#REF!</v>
      </c>
      <c r="N38" s="947"/>
      <c r="O38" s="912"/>
    </row>
    <row r="39" spans="1:15" x14ac:dyDescent="0.2">
      <c r="A39" s="910"/>
      <c r="B39" s="913"/>
      <c r="C39" s="948" t="str">
        <f>CONCATENATE("               ",Refkalkulation!D24)</f>
        <v xml:space="preserve">               Materialgemeinkosten</v>
      </c>
      <c r="D39" s="949"/>
      <c r="E39" s="950" t="e">
        <f ca="1">Refkalkulation!H24</f>
        <v>#REF!</v>
      </c>
      <c r="F39" s="947"/>
      <c r="G39" s="948" t="str">
        <f t="shared" si="0"/>
        <v xml:space="preserve">               Materialgemeinkosten</v>
      </c>
      <c r="H39" s="949"/>
      <c r="I39" s="950" t="e">
        <f>Refkalkulation!K24</f>
        <v>#REF!</v>
      </c>
      <c r="J39" s="947"/>
      <c r="K39" s="948" t="str">
        <f t="shared" si="1"/>
        <v xml:space="preserve">               Materialgemeinkosten</v>
      </c>
      <c r="L39" s="949"/>
      <c r="M39" s="950" t="e">
        <f>Refkalkulation!N24</f>
        <v>#REF!</v>
      </c>
      <c r="N39" s="947"/>
      <c r="O39" s="912"/>
    </row>
    <row r="40" spans="1:15" ht="15" x14ac:dyDescent="0.25">
      <c r="A40" s="910"/>
      <c r="B40" s="913"/>
      <c r="C40" s="951" t="s">
        <v>859</v>
      </c>
      <c r="D40" s="952" t="e">
        <f ca="1">Refkalkulation!H117</f>
        <v>#N/A</v>
      </c>
      <c r="E40" s="953"/>
      <c r="F40" s="954"/>
      <c r="G40" s="951" t="str">
        <f t="shared" si="0"/>
        <v>Fertigungskosten</v>
      </c>
      <c r="H40" s="952" t="e">
        <f>Refkalkulation!K117</f>
        <v>#N/A</v>
      </c>
      <c r="I40" s="953"/>
      <c r="J40" s="954"/>
      <c r="K40" s="951" t="str">
        <f t="shared" si="1"/>
        <v>Fertigungskosten</v>
      </c>
      <c r="L40" s="952" t="e">
        <f>Refkalkulation!N117</f>
        <v>#N/A</v>
      </c>
      <c r="M40" s="953"/>
      <c r="N40" s="954"/>
      <c r="O40" s="912"/>
    </row>
    <row r="41" spans="1:15" x14ac:dyDescent="0.2">
      <c r="A41" s="910"/>
      <c r="B41" s="913"/>
      <c r="C41" s="955" t="str">
        <f>CONCATENATE("               ",Refkalkulation!D27)</f>
        <v xml:space="preserve">               Prozess Schmelzen</v>
      </c>
      <c r="D41" s="956"/>
      <c r="E41" s="957">
        <f ca="1">Refkalkulation!H46</f>
        <v>6.2738874360143422</v>
      </c>
      <c r="F41" s="958"/>
      <c r="G41" s="955" t="str">
        <f t="shared" si="0"/>
        <v xml:space="preserve">               Prozess Schmelzen</v>
      </c>
      <c r="H41" s="956"/>
      <c r="I41" s="957">
        <f>Refkalkulation!K46</f>
        <v>1.3057699544907651</v>
      </c>
      <c r="J41" s="958"/>
      <c r="K41" s="955" t="str">
        <f t="shared" si="1"/>
        <v xml:space="preserve">               Prozess Schmelzen</v>
      </c>
      <c r="L41" s="956"/>
      <c r="M41" s="957">
        <f>Refkalkulation!N46</f>
        <v>1.2562462591794619</v>
      </c>
      <c r="N41" s="958"/>
      <c r="O41" s="912"/>
    </row>
    <row r="42" spans="1:15" x14ac:dyDescent="0.2">
      <c r="A42" s="910"/>
      <c r="B42" s="913"/>
      <c r="C42" s="955" t="str">
        <f>CONCATENATE("               ",Refkalkulation!D47)</f>
        <v xml:space="preserve">               Prozess Kokillenguss</v>
      </c>
      <c r="D42" s="959"/>
      <c r="E42" s="957" t="e">
        <f ca="1">Refkalkulation!H70</f>
        <v>#N/A</v>
      </c>
      <c r="F42" s="958"/>
      <c r="G42" s="955" t="str">
        <f t="shared" si="0"/>
        <v xml:space="preserve">               Prozess Kokillenguss</v>
      </c>
      <c r="H42" s="959"/>
      <c r="I42" s="957" t="e">
        <f>Refkalkulation!K70</f>
        <v>#N/A</v>
      </c>
      <c r="J42" s="958"/>
      <c r="K42" s="955" t="str">
        <f t="shared" si="1"/>
        <v xml:space="preserve">               Prozess Kokillenguss</v>
      </c>
      <c r="L42" s="959"/>
      <c r="M42" s="957" t="e">
        <f>Refkalkulation!N70</f>
        <v>#N/A</v>
      </c>
      <c r="N42" s="958"/>
      <c r="O42" s="912"/>
    </row>
    <row r="43" spans="1:15" x14ac:dyDescent="0.2">
      <c r="A43" s="910"/>
      <c r="B43" s="913"/>
      <c r="C43" s="955" t="s">
        <v>860</v>
      </c>
      <c r="D43" s="959"/>
      <c r="E43" s="957" t="e">
        <f ca="1">Refkalkulation!H91</f>
        <v>#N/A</v>
      </c>
      <c r="F43" s="958"/>
      <c r="G43" s="955" t="str">
        <f t="shared" si="0"/>
        <v xml:space="preserve">               Nachbehandlung</v>
      </c>
      <c r="H43" s="959"/>
      <c r="I43" s="957">
        <f>Refkalkulation!K91</f>
        <v>2.5044858784039583</v>
      </c>
      <c r="J43" s="958"/>
      <c r="K43" s="955" t="str">
        <f t="shared" si="1"/>
        <v xml:space="preserve">               Nachbehandlung</v>
      </c>
      <c r="L43" s="959"/>
      <c r="M43" s="957">
        <f>Refkalkulation!N91</f>
        <v>4.6564847423762696</v>
      </c>
      <c r="N43" s="958"/>
      <c r="O43" s="912"/>
    </row>
    <row r="44" spans="1:15" x14ac:dyDescent="0.2">
      <c r="A44" s="910"/>
      <c r="B44" s="913"/>
      <c r="C44" s="955" t="s">
        <v>861</v>
      </c>
      <c r="D44" s="959"/>
      <c r="E44" s="957">
        <f>Refkalkulation!H111</f>
        <v>6.3502320254629634</v>
      </c>
      <c r="F44" s="958"/>
      <c r="G44" s="955" t="str">
        <f t="shared" si="0"/>
        <v xml:space="preserve">               Prüfen</v>
      </c>
      <c r="H44" s="959"/>
      <c r="I44" s="957">
        <f>Refkalkulation!K111</f>
        <v>3.2506872407407412</v>
      </c>
      <c r="J44" s="958"/>
      <c r="K44" s="955" t="str">
        <f t="shared" si="1"/>
        <v xml:space="preserve">               Prüfen</v>
      </c>
      <c r="L44" s="959"/>
      <c r="M44" s="957">
        <f>Refkalkulation!N111</f>
        <v>4.4772743518518521</v>
      </c>
      <c r="N44" s="958"/>
      <c r="O44" s="912"/>
    </row>
    <row r="45" spans="1:15" x14ac:dyDescent="0.2">
      <c r="A45" s="910"/>
      <c r="B45" s="913"/>
      <c r="C45" s="955" t="s">
        <v>862</v>
      </c>
      <c r="D45" s="959"/>
      <c r="E45" s="957" t="e">
        <f ca="1">Refkalkulation!H117-Refkalkulation!H113</f>
        <v>#N/A</v>
      </c>
      <c r="F45" s="958"/>
      <c r="G45" s="955" t="str">
        <f t="shared" si="0"/>
        <v xml:space="preserve">               Fertigungsnebenkosten</v>
      </c>
      <c r="H45" s="959"/>
      <c r="I45" s="957" t="e">
        <f>Refkalkulation!K117-Refkalkulation!K113</f>
        <v>#N/A</v>
      </c>
      <c r="J45" s="958"/>
      <c r="K45" s="955" t="str">
        <f t="shared" si="1"/>
        <v xml:space="preserve">               Fertigungsnebenkosten</v>
      </c>
      <c r="L45" s="959"/>
      <c r="M45" s="957" t="e">
        <f>Refkalkulation!N117-Refkalkulation!N113</f>
        <v>#N/A</v>
      </c>
      <c r="N45" s="958"/>
      <c r="O45" s="912"/>
    </row>
    <row r="46" spans="1:15" ht="15" x14ac:dyDescent="0.25">
      <c r="A46" s="910"/>
      <c r="B46" s="913"/>
      <c r="C46" s="960" t="str">
        <f>Refkalkulation!D124</f>
        <v>Gesamtgemeinkosten</v>
      </c>
      <c r="D46" s="961" t="e">
        <f ca="1">Refkalkulation!H124</f>
        <v>#REF!</v>
      </c>
      <c r="E46" s="962" t="e">
        <f ca="1">D46/D48</f>
        <v>#REF!</v>
      </c>
      <c r="F46" s="958"/>
      <c r="G46" s="960" t="str">
        <f t="shared" si="0"/>
        <v>Gesamtgemeinkosten</v>
      </c>
      <c r="H46" s="961" t="e">
        <f>Refkalkulation!K124</f>
        <v>#REF!</v>
      </c>
      <c r="I46" s="962" t="e">
        <f>H46/H48</f>
        <v>#REF!</v>
      </c>
      <c r="J46" s="913"/>
      <c r="K46" s="960" t="str">
        <f t="shared" si="1"/>
        <v>Gesamtgemeinkosten</v>
      </c>
      <c r="L46" s="961" t="e">
        <f>Refkalkulation!N124</f>
        <v>#REF!</v>
      </c>
      <c r="M46" s="962" t="e">
        <f>L46/L48</f>
        <v>#REF!</v>
      </c>
      <c r="N46" s="913"/>
      <c r="O46" s="912"/>
    </row>
    <row r="47" spans="1:15" ht="18" customHeight="1" x14ac:dyDescent="0.25">
      <c r="A47" s="910"/>
      <c r="B47" s="913"/>
      <c r="C47" s="963" t="str">
        <f>Refkalkulation!D127</f>
        <v>Gesamtgewinn</v>
      </c>
      <c r="D47" s="964" t="e">
        <f ca="1">Refkalkulation!H127</f>
        <v>#REF!</v>
      </c>
      <c r="E47" s="965" t="e">
        <f ca="1">D47/D48</f>
        <v>#REF!</v>
      </c>
      <c r="F47" s="958"/>
      <c r="G47" s="963" t="str">
        <f t="shared" si="0"/>
        <v>Gesamtgewinn</v>
      </c>
      <c r="H47" s="964" t="e">
        <f>Refkalkulation!K127</f>
        <v>#REF!</v>
      </c>
      <c r="I47" s="965" t="e">
        <f>H47/H48</f>
        <v>#REF!</v>
      </c>
      <c r="J47" s="913"/>
      <c r="K47" s="963" t="str">
        <f t="shared" si="1"/>
        <v>Gesamtgewinn</v>
      </c>
      <c r="L47" s="964" t="e">
        <f>Refkalkulation!N127</f>
        <v>#REF!</v>
      </c>
      <c r="M47" s="965" t="e">
        <f>L47/L48</f>
        <v>#REF!</v>
      </c>
      <c r="N47" s="913"/>
      <c r="O47" s="912"/>
    </row>
    <row r="48" spans="1:15" ht="33" customHeight="1" x14ac:dyDescent="0.2">
      <c r="A48" s="910"/>
      <c r="B48" s="913"/>
      <c r="C48" s="966" t="str">
        <f>Refkalkulation!D129</f>
        <v>Bauteilpreis gesamt</v>
      </c>
      <c r="D48" s="967" t="e">
        <f ca="1">SUM(D35:D47)</f>
        <v>#REF!</v>
      </c>
      <c r="E48" s="968"/>
      <c r="F48" s="969"/>
      <c r="G48" s="966" t="str">
        <f t="shared" si="0"/>
        <v>Bauteilpreis gesamt</v>
      </c>
      <c r="H48" s="967" t="e">
        <f>SUM(H35:H47)</f>
        <v>#REF!</v>
      </c>
      <c r="I48" s="968"/>
      <c r="J48" s="969"/>
      <c r="K48" s="966" t="str">
        <f t="shared" si="1"/>
        <v>Bauteilpreis gesamt</v>
      </c>
      <c r="L48" s="967" t="e">
        <f>SUM(L35:L47)</f>
        <v>#REF!</v>
      </c>
      <c r="M48" s="968"/>
      <c r="N48" s="969"/>
      <c r="O48" s="912"/>
    </row>
    <row r="49" spans="1:15" x14ac:dyDescent="0.2">
      <c r="A49" s="922"/>
      <c r="B49" s="923"/>
      <c r="C49" s="923"/>
      <c r="D49" s="923"/>
      <c r="E49" s="923"/>
      <c r="F49" s="923"/>
      <c r="G49" s="923"/>
      <c r="H49" s="923"/>
      <c r="I49" s="923"/>
      <c r="J49" s="923"/>
      <c r="K49" s="923"/>
      <c r="L49" s="923"/>
      <c r="M49" s="923"/>
      <c r="N49" s="923"/>
      <c r="O49" s="970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tabColor rgb="FFFFFF99"/>
    <pageSetUpPr fitToPage="1"/>
  </sheetPr>
  <dimension ref="A1:ZZ86"/>
  <sheetViews>
    <sheetView zoomScaleNormal="100" workbookViewId="0">
      <pane xSplit="10" ySplit="9" topLeftCell="K13" activePane="bottomRight" state="frozenSplit"/>
      <selection activeCell="L30" sqref="L30"/>
      <selection pane="topRight" activeCell="L30" sqref="L30"/>
      <selection pane="bottomLeft" activeCell="L30" sqref="L30"/>
      <selection pane="bottomRight" activeCell="R23" sqref="R23"/>
    </sheetView>
  </sheetViews>
  <sheetFormatPr baseColWidth="10" defaultColWidth="11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5.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7" customWidth="1"/>
    <col min="20" max="20" width="3.25" customWidth="1"/>
    <col min="21" max="21" width="18" customWidth="1"/>
    <col min="22" max="22" width="0.125" customWidth="1"/>
    <col min="23" max="23" width="0.125" hidden="1" customWidth="1"/>
    <col min="24" max="24" width="17.75" customWidth="1"/>
    <col min="25" max="26" width="0.125" hidden="1" customWidth="1"/>
    <col min="27" max="27" width="19.875" customWidth="1"/>
    <col min="28" max="28" width="6.375" customWidth="1"/>
    <col min="29" max="29" width="3" customWidth="1"/>
  </cols>
  <sheetData>
    <row r="1" spans="1:702" s="632" customFormat="1" ht="3.75" customHeight="1" thickBot="1" x14ac:dyDescent="0.25">
      <c r="A1" s="629"/>
      <c r="B1" s="630"/>
      <c r="C1" s="630"/>
      <c r="D1" s="631">
        <f>'Artikel-DB'!D3</f>
        <v>815</v>
      </c>
      <c r="E1" s="631" t="str">
        <f>'Artikel-DB'!E3</f>
        <v>815-1</v>
      </c>
      <c r="F1" s="631" t="str">
        <f>'Artikel-DB'!F3</f>
        <v>815-2</v>
      </c>
      <c r="G1" s="631" t="str">
        <f>'Artikel-DB'!G3</f>
        <v>815-2-1</v>
      </c>
      <c r="H1" s="631" t="str">
        <f>'Artikel-DB'!H3</f>
        <v>815-3</v>
      </c>
      <c r="I1" s="631" t="str">
        <f>'Artikel-DB'!I3</f>
        <v>815-3-1</v>
      </c>
      <c r="J1" s="631" t="str">
        <f>'Artikel-DB'!J3</f>
        <v>820-1</v>
      </c>
      <c r="K1" s="631" t="str">
        <f>'Artikel-DB'!K3</f>
        <v>820-1-1</v>
      </c>
      <c r="L1" s="631" t="str">
        <f>'Artikel-DB'!L3</f>
        <v>820-2</v>
      </c>
      <c r="M1" s="631" t="str">
        <f>'Artikel-DB'!M3</f>
        <v>820-2-1</v>
      </c>
      <c r="N1" s="631" t="str">
        <f>'Artikel-DB'!N3</f>
        <v>820-3</v>
      </c>
      <c r="O1" s="631" t="str">
        <f>'Artikel-DB'!O3</f>
        <v>820-3-1</v>
      </c>
      <c r="P1" s="631" t="str">
        <f>'Artikel-DB'!P3</f>
        <v>820-1-5</v>
      </c>
      <c r="Q1" s="631" t="str">
        <f>'Artikel-DB'!Q3</f>
        <v>820-2-5</v>
      </c>
      <c r="R1" s="631" t="str">
        <f>'Artikel-DB'!R3</f>
        <v>820-3-5</v>
      </c>
      <c r="S1" s="631" t="str">
        <f>'Artikel-DB'!S3</f>
        <v>812-1</v>
      </c>
      <c r="T1" s="631" t="str">
        <f>'Artikel-DB'!T3</f>
        <v>817-2-1</v>
      </c>
      <c r="U1" s="631" t="str">
        <f>'Artikel-DB'!U3</f>
        <v>816-3-1</v>
      </c>
      <c r="V1" s="631" t="str">
        <f>'Artikel-DB'!V3</f>
        <v>x</v>
      </c>
      <c r="W1" s="631" t="str">
        <f>'Artikel-DB'!W3</f>
        <v>x</v>
      </c>
      <c r="X1" s="631" t="str">
        <f>'Artikel-DB'!X3</f>
        <v>x</v>
      </c>
      <c r="Y1" s="631" t="str">
        <f>'Artikel-DB'!Y3</f>
        <v>x</v>
      </c>
      <c r="Z1" s="631" t="str">
        <f>'Artikel-DB'!Z3</f>
        <v>x</v>
      </c>
      <c r="AA1" s="631" t="str">
        <f>'Artikel-DB'!AA3</f>
        <v>x</v>
      </c>
      <c r="AB1" s="631" t="str">
        <f>'Artikel-DB'!AB3</f>
        <v>x</v>
      </c>
      <c r="AC1" s="631" t="s">
        <v>33</v>
      </c>
      <c r="AD1" s="631" t="str">
        <f>'Artikel-DB'!AD3</f>
        <v>x</v>
      </c>
      <c r="AE1" s="631" t="str">
        <f>'Artikel-DB'!AE3</f>
        <v>x</v>
      </c>
      <c r="AF1" s="631" t="str">
        <f>'Artikel-DB'!AF3</f>
        <v>x</v>
      </c>
      <c r="AG1" s="631" t="str">
        <f>'Artikel-DB'!AG3</f>
        <v>x</v>
      </c>
      <c r="AH1" s="631" t="str">
        <f>'Artikel-DB'!AH3</f>
        <v>x</v>
      </c>
      <c r="AI1" s="631" t="str">
        <f>'Artikel-DB'!AI3</f>
        <v>x</v>
      </c>
      <c r="AJ1" s="631" t="str">
        <f>'Artikel-DB'!AJ3</f>
        <v>x</v>
      </c>
      <c r="AK1" s="631" t="str">
        <f>'Artikel-DB'!AK3</f>
        <v>x</v>
      </c>
      <c r="AL1" s="631" t="str">
        <f>'Artikel-DB'!AL3</f>
        <v>x</v>
      </c>
      <c r="AM1" s="631" t="str">
        <f>'Artikel-DB'!AM3</f>
        <v>x</v>
      </c>
      <c r="AN1" s="631" t="str">
        <f>'Artikel-DB'!AN3</f>
        <v>x</v>
      </c>
      <c r="AO1" s="631" t="str">
        <f>'Artikel-DB'!AO3</f>
        <v>x</v>
      </c>
      <c r="AP1" s="631" t="str">
        <f>'Artikel-DB'!AP3</f>
        <v>x</v>
      </c>
      <c r="AQ1" s="631" t="str">
        <f>'Artikel-DB'!AQ3</f>
        <v>x</v>
      </c>
      <c r="AR1" s="631" t="str">
        <f>'Artikel-DB'!AR3</f>
        <v>x</v>
      </c>
      <c r="AS1" s="631" t="str">
        <f>'Artikel-DB'!AS3</f>
        <v>x</v>
      </c>
      <c r="AT1" s="631" t="str">
        <f>'Artikel-DB'!AT3</f>
        <v>x</v>
      </c>
      <c r="AU1" s="631" t="str">
        <f>'Artikel-DB'!AU3</f>
        <v>x</v>
      </c>
      <c r="AV1" s="631" t="str">
        <f>'Artikel-DB'!AV3</f>
        <v>x</v>
      </c>
      <c r="AW1" s="631" t="str">
        <f>'Artikel-DB'!AW3</f>
        <v>x</v>
      </c>
      <c r="AX1" s="631" t="str">
        <f>'Artikel-DB'!AX3</f>
        <v>x</v>
      </c>
      <c r="AY1" s="631" t="str">
        <f>'Artikel-DB'!AY3</f>
        <v>x</v>
      </c>
      <c r="AZ1" s="631" t="str">
        <f>'Artikel-DB'!AZ3</f>
        <v>x</v>
      </c>
      <c r="BA1" s="631" t="str">
        <f>'Artikel-DB'!BA3</f>
        <v>x</v>
      </c>
      <c r="BB1" s="631" t="str">
        <f>'Artikel-DB'!BB3</f>
        <v>x</v>
      </c>
      <c r="BC1" s="631" t="str">
        <f>'Artikel-DB'!BC3</f>
        <v>x</v>
      </c>
      <c r="BD1" s="631" t="str">
        <f>'Artikel-DB'!BD3</f>
        <v>x</v>
      </c>
      <c r="BE1" s="631" t="str">
        <f>'Artikel-DB'!BE3</f>
        <v>x</v>
      </c>
      <c r="BF1" s="631" t="str">
        <f>'Artikel-DB'!BF3</f>
        <v>x</v>
      </c>
      <c r="BG1" s="631" t="str">
        <f>'Artikel-DB'!BG3</f>
        <v>x</v>
      </c>
      <c r="BH1" s="631" t="str">
        <f>'Artikel-DB'!BH3</f>
        <v>x</v>
      </c>
      <c r="BI1" s="631" t="str">
        <f>'Artikel-DB'!BI3</f>
        <v>x</v>
      </c>
      <c r="BJ1" s="631" t="str">
        <f>'Artikel-DB'!BJ3</f>
        <v>x</v>
      </c>
      <c r="BK1" s="631" t="str">
        <f>'Artikel-DB'!BK3</f>
        <v>x</v>
      </c>
      <c r="BL1" s="631" t="str">
        <f>'Artikel-DB'!BL3</f>
        <v>x</v>
      </c>
      <c r="BM1" s="631" t="str">
        <f>'Artikel-DB'!BM3</f>
        <v>x</v>
      </c>
      <c r="BN1" s="631" t="str">
        <f>'Artikel-DB'!BN3</f>
        <v>x</v>
      </c>
      <c r="BO1" s="631" t="str">
        <f>'Artikel-DB'!BO3</f>
        <v>x</v>
      </c>
      <c r="BP1" s="631" t="str">
        <f>'Artikel-DB'!BP3</f>
        <v>x</v>
      </c>
      <c r="BQ1" s="631" t="str">
        <f>'Artikel-DB'!BQ3</f>
        <v>x</v>
      </c>
      <c r="BR1" s="631" t="str">
        <f>'Artikel-DB'!BR3</f>
        <v>x</v>
      </c>
      <c r="BS1" s="631" t="str">
        <f>'Artikel-DB'!BS3</f>
        <v>x</v>
      </c>
      <c r="BT1" s="631" t="str">
        <f>'Artikel-DB'!BT3</f>
        <v>x</v>
      </c>
      <c r="BU1" s="631" t="str">
        <f>'Artikel-DB'!BU3</f>
        <v>x</v>
      </c>
      <c r="BV1" s="631" t="str">
        <f>'Artikel-DB'!BV3</f>
        <v>x</v>
      </c>
      <c r="BW1" s="631" t="str">
        <f>'Artikel-DB'!BW3</f>
        <v>x</v>
      </c>
      <c r="BX1" s="631" t="str">
        <f>'Artikel-DB'!BX3</f>
        <v>x</v>
      </c>
      <c r="BY1" s="631" t="str">
        <f>'Artikel-DB'!BY3</f>
        <v>x</v>
      </c>
      <c r="BZ1" s="631" t="str">
        <f>'Artikel-DB'!BZ3</f>
        <v>x</v>
      </c>
      <c r="CA1" s="631" t="str">
        <f>'Artikel-DB'!CA3</f>
        <v>x</v>
      </c>
      <c r="CB1" s="631" t="str">
        <f>'Artikel-DB'!CB3</f>
        <v>x</v>
      </c>
      <c r="CC1" s="631" t="str">
        <f>'Artikel-DB'!CC3</f>
        <v>x</v>
      </c>
      <c r="CD1" s="631" t="str">
        <f>'Artikel-DB'!CD3</f>
        <v>x</v>
      </c>
      <c r="CE1" s="631" t="str">
        <f>'Artikel-DB'!CE3</f>
        <v>x</v>
      </c>
      <c r="CF1" s="631" t="str">
        <f>'Artikel-DB'!CF3</f>
        <v>x</v>
      </c>
      <c r="CG1" s="631" t="str">
        <f>'Artikel-DB'!CG3</f>
        <v>x</v>
      </c>
      <c r="CH1" s="631" t="str">
        <f>'Artikel-DB'!CH3</f>
        <v>x</v>
      </c>
      <c r="CI1" s="631" t="str">
        <f>'Artikel-DB'!CI3</f>
        <v>x</v>
      </c>
      <c r="CJ1" s="631" t="str">
        <f>'Artikel-DB'!CJ3</f>
        <v>x</v>
      </c>
      <c r="CK1" s="631" t="str">
        <f>'Artikel-DB'!CK3</f>
        <v>x</v>
      </c>
      <c r="CL1" s="631" t="str">
        <f>'Artikel-DB'!CL3</f>
        <v>x</v>
      </c>
      <c r="CM1" s="631" t="str">
        <f>'Artikel-DB'!CM3</f>
        <v>x</v>
      </c>
      <c r="CN1" s="631" t="str">
        <f>'Artikel-DB'!CN3</f>
        <v>x</v>
      </c>
      <c r="CO1" s="631" t="str">
        <f>'Artikel-DB'!CO3</f>
        <v>x</v>
      </c>
      <c r="CP1" s="631" t="str">
        <f>'Artikel-DB'!CP3</f>
        <v>x</v>
      </c>
      <c r="CQ1" s="631" t="str">
        <f>'Artikel-DB'!CQ3</f>
        <v>x</v>
      </c>
      <c r="CR1" s="631" t="str">
        <f>'Artikel-DB'!CR3</f>
        <v>x</v>
      </c>
      <c r="CS1" s="631" t="str">
        <f>'Artikel-DB'!CS3</f>
        <v>x</v>
      </c>
      <c r="CT1" s="631" t="str">
        <f>'Artikel-DB'!CT3</f>
        <v>x</v>
      </c>
      <c r="CU1" s="631" t="str">
        <f>'Artikel-DB'!CU3</f>
        <v>x</v>
      </c>
      <c r="CV1" s="631" t="str">
        <f>'Artikel-DB'!CV3</f>
        <v>x</v>
      </c>
      <c r="CW1" s="631" t="str">
        <f>'Artikel-DB'!CW3</f>
        <v>x</v>
      </c>
      <c r="CX1" s="631" t="str">
        <f>'Artikel-DB'!CX3</f>
        <v>x</v>
      </c>
      <c r="CY1" s="631" t="str">
        <f>'Artikel-DB'!CY3</f>
        <v>x</v>
      </c>
      <c r="CZ1" s="631" t="str">
        <f>'Artikel-DB'!CZ3</f>
        <v>x</v>
      </c>
      <c r="DA1" s="631" t="str">
        <f>'Artikel-DB'!DA3</f>
        <v>x</v>
      </c>
      <c r="DB1" s="631" t="str">
        <f>'Artikel-DB'!DB3</f>
        <v>x</v>
      </c>
      <c r="DC1" s="631" t="str">
        <f>'Artikel-DB'!DC3</f>
        <v>x</v>
      </c>
      <c r="DD1" s="631" t="str">
        <f>'Artikel-DB'!DD3</f>
        <v>x</v>
      </c>
      <c r="DE1" s="631" t="str">
        <f>'Artikel-DB'!DE3</f>
        <v>x</v>
      </c>
      <c r="DF1" s="631" t="str">
        <f>'Artikel-DB'!DF3</f>
        <v>x</v>
      </c>
      <c r="DG1" s="631" t="str">
        <f>'Artikel-DB'!DG3</f>
        <v>x</v>
      </c>
      <c r="DH1" s="631" t="str">
        <f>'Artikel-DB'!DH3</f>
        <v>x</v>
      </c>
      <c r="DI1" s="631" t="str">
        <f>'Artikel-DB'!DI3</f>
        <v>x</v>
      </c>
      <c r="DJ1" s="631" t="str">
        <f>'Artikel-DB'!DJ3</f>
        <v>x</v>
      </c>
      <c r="DK1" s="631" t="str">
        <f>'Artikel-DB'!DK3</f>
        <v>x</v>
      </c>
      <c r="DL1" s="631" t="str">
        <f>'Artikel-DB'!DL3</f>
        <v>x</v>
      </c>
      <c r="DM1" s="631" t="str">
        <f>'Artikel-DB'!DM3</f>
        <v>x</v>
      </c>
      <c r="DN1" s="631" t="str">
        <f>'Artikel-DB'!DN3</f>
        <v>x</v>
      </c>
      <c r="DO1" s="631" t="str">
        <f>'Artikel-DB'!DO3</f>
        <v>x</v>
      </c>
      <c r="DP1" s="631" t="str">
        <f>'Artikel-DB'!DP3</f>
        <v>x</v>
      </c>
      <c r="DQ1" s="631" t="str">
        <f>'Artikel-DB'!DQ3</f>
        <v>x</v>
      </c>
      <c r="DR1" s="631" t="str">
        <f>'Artikel-DB'!DR3</f>
        <v>x</v>
      </c>
      <c r="DS1" s="631" t="str">
        <f>'Artikel-DB'!DS3</f>
        <v>x</v>
      </c>
      <c r="DT1" s="631" t="str">
        <f>'Artikel-DB'!DT3</f>
        <v>x</v>
      </c>
      <c r="DU1" s="631" t="str">
        <f>'Artikel-DB'!DU3</f>
        <v>x</v>
      </c>
      <c r="DV1" s="631" t="str">
        <f>'Artikel-DB'!DV3</f>
        <v>x</v>
      </c>
      <c r="DW1" s="631" t="str">
        <f>'Artikel-DB'!DW3</f>
        <v>x</v>
      </c>
      <c r="DX1" s="631" t="str">
        <f>'Artikel-DB'!DX3</f>
        <v>x</v>
      </c>
      <c r="DY1" s="631" t="str">
        <f>'Artikel-DB'!DY3</f>
        <v>x</v>
      </c>
      <c r="DZ1" s="631" t="str">
        <f>'Artikel-DB'!DZ3</f>
        <v>x</v>
      </c>
      <c r="EA1" s="631" t="str">
        <f>'Artikel-DB'!EA3</f>
        <v>x</v>
      </c>
      <c r="EB1" s="631" t="str">
        <f>'Artikel-DB'!EB3</f>
        <v>x</v>
      </c>
      <c r="EC1" s="631" t="str">
        <f>'Artikel-DB'!EC3</f>
        <v>x</v>
      </c>
      <c r="ED1" s="631" t="str">
        <f>'Artikel-DB'!ED3</f>
        <v>x</v>
      </c>
      <c r="EE1" s="631" t="str">
        <f>'Artikel-DB'!EE3</f>
        <v>x</v>
      </c>
      <c r="EF1" s="631" t="str">
        <f>'Artikel-DB'!EF3</f>
        <v>x</v>
      </c>
      <c r="EG1" s="631" t="str">
        <f>'Artikel-DB'!EG3</f>
        <v>x</v>
      </c>
      <c r="EH1" s="631" t="str">
        <f>'Artikel-DB'!EH3</f>
        <v>x</v>
      </c>
      <c r="EI1" s="631" t="str">
        <f>'Artikel-DB'!EI3</f>
        <v>x</v>
      </c>
      <c r="EJ1" s="631" t="str">
        <f>'Artikel-DB'!EJ3</f>
        <v>x</v>
      </c>
      <c r="EK1" s="631" t="str">
        <f>'Artikel-DB'!EK3</f>
        <v>x</v>
      </c>
      <c r="EL1" s="631" t="str">
        <f>'Artikel-DB'!EL3</f>
        <v>x</v>
      </c>
      <c r="EM1" s="631" t="str">
        <f>'Artikel-DB'!EM3</f>
        <v>x</v>
      </c>
      <c r="EN1" s="631" t="str">
        <f>'Artikel-DB'!EN3</f>
        <v>x</v>
      </c>
      <c r="EO1" s="631" t="str">
        <f>'Artikel-DB'!EO3</f>
        <v>x</v>
      </c>
      <c r="EP1" s="631" t="str">
        <f>'Artikel-DB'!EP3</f>
        <v>x</v>
      </c>
      <c r="EQ1" s="631" t="str">
        <f>'Artikel-DB'!EQ3</f>
        <v>x</v>
      </c>
      <c r="ER1" s="631" t="str">
        <f>'Artikel-DB'!ER3</f>
        <v>x</v>
      </c>
      <c r="ES1" s="631" t="str">
        <f>'Artikel-DB'!ES3</f>
        <v>x</v>
      </c>
      <c r="ET1" s="631" t="str">
        <f>'Artikel-DB'!ET3</f>
        <v>x</v>
      </c>
      <c r="EU1" s="631" t="str">
        <f>'Artikel-DB'!EU3</f>
        <v>x</v>
      </c>
      <c r="EV1" s="631" t="str">
        <f>'Artikel-DB'!EV3</f>
        <v>x</v>
      </c>
      <c r="EW1" s="631" t="str">
        <f>'Artikel-DB'!EW3</f>
        <v>x</v>
      </c>
      <c r="EX1" s="631" t="str">
        <f>'Artikel-DB'!EX3</f>
        <v>x</v>
      </c>
      <c r="EY1" s="631" t="str">
        <f>'Artikel-DB'!EY3</f>
        <v>x</v>
      </c>
      <c r="EZ1" s="631" t="str">
        <f>'Artikel-DB'!EZ3</f>
        <v>x</v>
      </c>
      <c r="FA1" s="631" t="str">
        <f>'Artikel-DB'!FA3</f>
        <v>x</v>
      </c>
      <c r="FB1" s="631" t="str">
        <f>'Artikel-DB'!FB3</f>
        <v>x</v>
      </c>
      <c r="FC1" s="631" t="str">
        <f>'Artikel-DB'!FC3</f>
        <v>x</v>
      </c>
      <c r="FD1" s="631" t="str">
        <f>'Artikel-DB'!FD3</f>
        <v>x</v>
      </c>
      <c r="FE1" s="631" t="str">
        <f>'Artikel-DB'!FE3</f>
        <v>x</v>
      </c>
      <c r="FF1" s="631" t="str">
        <f>'Artikel-DB'!FF3</f>
        <v>x</v>
      </c>
      <c r="FG1" s="631" t="str">
        <f>'Artikel-DB'!FG3</f>
        <v>x</v>
      </c>
      <c r="FH1" s="631" t="str">
        <f>'Artikel-DB'!FH3</f>
        <v>x</v>
      </c>
      <c r="FI1" s="631" t="str">
        <f>'Artikel-DB'!FI3</f>
        <v>x</v>
      </c>
      <c r="FJ1" s="631" t="str">
        <f>'Artikel-DB'!FJ3</f>
        <v>x</v>
      </c>
      <c r="FK1" s="631" t="str">
        <f>'Artikel-DB'!FK3</f>
        <v>x</v>
      </c>
      <c r="FL1" s="631" t="str">
        <f>'Artikel-DB'!FL3</f>
        <v>x</v>
      </c>
      <c r="FM1" s="631" t="str">
        <f>'Artikel-DB'!FM3</f>
        <v>x</v>
      </c>
      <c r="FN1" s="631" t="str">
        <f>'Artikel-DB'!FN3</f>
        <v>x</v>
      </c>
      <c r="FO1" s="631" t="str">
        <f>'Artikel-DB'!FO3</f>
        <v>x</v>
      </c>
      <c r="FP1" s="631" t="str">
        <f>'Artikel-DB'!FP3</f>
        <v>x</v>
      </c>
      <c r="FQ1" s="631" t="str">
        <f>'Artikel-DB'!FQ3</f>
        <v>x</v>
      </c>
      <c r="FR1" s="631" t="str">
        <f>'Artikel-DB'!FR3</f>
        <v>x</v>
      </c>
      <c r="FS1" s="631" t="str">
        <f>'Artikel-DB'!FS3</f>
        <v>x</v>
      </c>
      <c r="FT1" s="631" t="str">
        <f>'Artikel-DB'!FT3</f>
        <v>x</v>
      </c>
      <c r="FU1" s="631" t="str">
        <f>'Artikel-DB'!FU3</f>
        <v>x</v>
      </c>
      <c r="FV1" s="631" t="str">
        <f>'Artikel-DB'!FV3</f>
        <v>x</v>
      </c>
      <c r="FW1" s="631" t="str">
        <f>'Artikel-DB'!FW3</f>
        <v>x</v>
      </c>
      <c r="FX1" s="631" t="str">
        <f>'Artikel-DB'!FX3</f>
        <v>x</v>
      </c>
      <c r="FY1" s="631" t="str">
        <f>'Artikel-DB'!FY3</f>
        <v>x</v>
      </c>
      <c r="FZ1" s="631" t="str">
        <f>'Artikel-DB'!FZ3</f>
        <v>x</v>
      </c>
      <c r="GA1" s="631" t="str">
        <f>'Artikel-DB'!GA3</f>
        <v>x</v>
      </c>
      <c r="GB1" s="631" t="str">
        <f>'Artikel-DB'!GB3</f>
        <v>x</v>
      </c>
      <c r="GC1" s="631" t="str">
        <f>'Artikel-DB'!GC3</f>
        <v>x</v>
      </c>
      <c r="GD1" s="631" t="str">
        <f>'Artikel-DB'!GD3</f>
        <v>x</v>
      </c>
      <c r="GE1" s="631" t="str">
        <f>'Artikel-DB'!GE3</f>
        <v>x</v>
      </c>
      <c r="GF1" s="631" t="str">
        <f>'Artikel-DB'!GF3</f>
        <v>x</v>
      </c>
      <c r="GG1" s="631" t="str">
        <f>'Artikel-DB'!GG3</f>
        <v>x</v>
      </c>
      <c r="GH1" s="631" t="str">
        <f>'Artikel-DB'!GH3</f>
        <v>x</v>
      </c>
      <c r="GI1" s="631" t="str">
        <f>'Artikel-DB'!GI3</f>
        <v>x</v>
      </c>
      <c r="GJ1" s="631" t="str">
        <f>'Artikel-DB'!GJ3</f>
        <v>x</v>
      </c>
      <c r="GK1" s="631" t="str">
        <f>'Artikel-DB'!GK3</f>
        <v>x</v>
      </c>
      <c r="GL1" s="631" t="str">
        <f>'Artikel-DB'!GL3</f>
        <v>x</v>
      </c>
      <c r="GM1" s="631" t="str">
        <f>'Artikel-DB'!GM3</f>
        <v>x</v>
      </c>
      <c r="GN1" s="631" t="str">
        <f>'Artikel-DB'!GN3</f>
        <v>x</v>
      </c>
      <c r="GO1" s="631" t="str">
        <f>'Artikel-DB'!GO3</f>
        <v>x</v>
      </c>
      <c r="GP1" s="631" t="str">
        <f>'Artikel-DB'!GP3</f>
        <v>x</v>
      </c>
      <c r="GQ1" s="631" t="str">
        <f>'Artikel-DB'!GQ3</f>
        <v>x</v>
      </c>
      <c r="GR1" s="631" t="str">
        <f>'Artikel-DB'!GR3</f>
        <v>x</v>
      </c>
      <c r="GS1" s="631" t="str">
        <f>'Artikel-DB'!GS3</f>
        <v>x</v>
      </c>
      <c r="GT1" s="631" t="str">
        <f>'Artikel-DB'!GT3</f>
        <v>x</v>
      </c>
      <c r="GU1" s="631" t="str">
        <f>'Artikel-DB'!GU3</f>
        <v>x</v>
      </c>
      <c r="GV1" s="631" t="str">
        <f>'Artikel-DB'!GV3</f>
        <v>x</v>
      </c>
      <c r="GW1" s="631" t="str">
        <f>'Artikel-DB'!GW3</f>
        <v>x</v>
      </c>
      <c r="GX1" s="631" t="str">
        <f>'Artikel-DB'!GX3</f>
        <v>x</v>
      </c>
      <c r="GY1" s="631" t="str">
        <f>'Artikel-DB'!GY3</f>
        <v>x</v>
      </c>
      <c r="GZ1" s="631" t="str">
        <f>'Artikel-DB'!GZ3</f>
        <v>x</v>
      </c>
      <c r="HA1" s="631" t="str">
        <f>'Artikel-DB'!HA3</f>
        <v>x</v>
      </c>
      <c r="HB1" s="631" t="str">
        <f>'Artikel-DB'!HB3</f>
        <v>x</v>
      </c>
      <c r="HC1" s="631" t="str">
        <f>'Artikel-DB'!HC3</f>
        <v>x</v>
      </c>
      <c r="HD1" s="631" t="str">
        <f>'Artikel-DB'!HD3</f>
        <v>x</v>
      </c>
      <c r="HE1" s="631" t="str">
        <f>'Artikel-DB'!HE3</f>
        <v>x</v>
      </c>
      <c r="HF1" s="631" t="str">
        <f>'Artikel-DB'!HF3</f>
        <v>x</v>
      </c>
      <c r="HG1" s="631" t="str">
        <f>'Artikel-DB'!HG3</f>
        <v>x</v>
      </c>
      <c r="HH1" s="631" t="str">
        <f>'Artikel-DB'!HH3</f>
        <v>x</v>
      </c>
      <c r="HI1" s="631" t="str">
        <f>'Artikel-DB'!HI3</f>
        <v>x</v>
      </c>
      <c r="HJ1" s="631" t="str">
        <f>'Artikel-DB'!HJ3</f>
        <v>x</v>
      </c>
      <c r="HK1" s="631" t="str">
        <f>'Artikel-DB'!HK3</f>
        <v>x</v>
      </c>
      <c r="HL1" s="631" t="str">
        <f>'Artikel-DB'!HL3</f>
        <v>x</v>
      </c>
      <c r="HM1" s="631" t="str">
        <f>'Artikel-DB'!HM3</f>
        <v>x</v>
      </c>
      <c r="HN1" s="631" t="str">
        <f>'Artikel-DB'!HN3</f>
        <v>x</v>
      </c>
      <c r="HO1" s="631" t="str">
        <f>'Artikel-DB'!HO3</f>
        <v>x</v>
      </c>
      <c r="HP1" s="631" t="str">
        <f>'Artikel-DB'!HP3</f>
        <v>x</v>
      </c>
      <c r="HQ1" s="631" t="str">
        <f>'Artikel-DB'!HQ3</f>
        <v>x</v>
      </c>
      <c r="HR1" s="631" t="str">
        <f>'Artikel-DB'!HR3</f>
        <v>x</v>
      </c>
      <c r="HS1" s="631" t="str">
        <f>'Artikel-DB'!HS3</f>
        <v>x</v>
      </c>
      <c r="HT1" s="631" t="str">
        <f>'Artikel-DB'!HT3</f>
        <v>x</v>
      </c>
      <c r="HU1" s="631" t="str">
        <f>'Artikel-DB'!HU3</f>
        <v>x</v>
      </c>
      <c r="HV1" s="631" t="str">
        <f>'Artikel-DB'!HV3</f>
        <v>x</v>
      </c>
      <c r="HW1" s="631" t="str">
        <f>'Artikel-DB'!HW3</f>
        <v>x</v>
      </c>
      <c r="HX1" s="631" t="str">
        <f>'Artikel-DB'!HX3</f>
        <v>x</v>
      </c>
      <c r="HY1" s="631" t="str">
        <f>'Artikel-DB'!HY3</f>
        <v>x</v>
      </c>
      <c r="HZ1" s="631" t="str">
        <f>'Artikel-DB'!HZ3</f>
        <v>x</v>
      </c>
      <c r="IA1" s="631" t="str">
        <f>'Artikel-DB'!IA3</f>
        <v>x</v>
      </c>
      <c r="IB1" s="631" t="str">
        <f>'Artikel-DB'!IB3</f>
        <v>x</v>
      </c>
      <c r="IC1" s="631" t="str">
        <f>'Artikel-DB'!IC3</f>
        <v>x</v>
      </c>
      <c r="ID1" s="631" t="str">
        <f>'Artikel-DB'!ID3</f>
        <v>x</v>
      </c>
      <c r="IE1" s="631" t="str">
        <f>'Artikel-DB'!IE3</f>
        <v>x</v>
      </c>
      <c r="IF1" s="631" t="str">
        <f>'Artikel-DB'!IF3</f>
        <v>x</v>
      </c>
      <c r="IG1" s="631" t="str">
        <f>'Artikel-DB'!IG3</f>
        <v>x</v>
      </c>
      <c r="IH1" s="631" t="str">
        <f>'Artikel-DB'!IH3</f>
        <v>x</v>
      </c>
      <c r="II1" s="631" t="str">
        <f>'Artikel-DB'!II3</f>
        <v>x</v>
      </c>
      <c r="IJ1" s="631" t="str">
        <f>'Artikel-DB'!IJ3</f>
        <v>x</v>
      </c>
      <c r="IK1" s="631" t="str">
        <f>'Artikel-DB'!IK3</f>
        <v>x</v>
      </c>
      <c r="IL1" s="631" t="str">
        <f>'Artikel-DB'!IL3</f>
        <v>x</v>
      </c>
      <c r="IM1" s="631" t="str">
        <f>'Artikel-DB'!IM3</f>
        <v>x</v>
      </c>
      <c r="IN1" s="631" t="str">
        <f>'Artikel-DB'!IN3</f>
        <v>x</v>
      </c>
      <c r="IO1" s="631" t="str">
        <f>'Artikel-DB'!IO3</f>
        <v>x</v>
      </c>
      <c r="IP1" s="631" t="str">
        <f>'Artikel-DB'!IP3</f>
        <v>x</v>
      </c>
      <c r="IQ1" s="631" t="str">
        <f>'Artikel-DB'!IQ3</f>
        <v>x</v>
      </c>
      <c r="IR1" s="631" t="str">
        <f>'Artikel-DB'!IR3</f>
        <v>x</v>
      </c>
      <c r="IS1" s="631" t="str">
        <f>'Artikel-DB'!IS3</f>
        <v>x</v>
      </c>
      <c r="IT1" s="631" t="str">
        <f>'Artikel-DB'!IT3</f>
        <v>x</v>
      </c>
      <c r="IU1" s="631" t="str">
        <f>'Artikel-DB'!IU3</f>
        <v>x</v>
      </c>
      <c r="IV1" s="631" t="str">
        <f>'Artikel-DB'!IV3</f>
        <v>x</v>
      </c>
      <c r="IW1" s="631" t="str">
        <f>'Artikel-DB'!IW3</f>
        <v>x</v>
      </c>
      <c r="IX1" s="631" t="str">
        <f>'Artikel-DB'!IX3</f>
        <v>x</v>
      </c>
      <c r="IY1" s="631" t="str">
        <f>'Artikel-DB'!IY3</f>
        <v>x</v>
      </c>
      <c r="IZ1" s="631" t="str">
        <f>'Artikel-DB'!IZ3</f>
        <v>x</v>
      </c>
      <c r="JA1" s="631" t="str">
        <f>'Artikel-DB'!JA3</f>
        <v>x</v>
      </c>
      <c r="JB1" s="631" t="str">
        <f>'Artikel-DB'!JB3</f>
        <v>x</v>
      </c>
      <c r="JC1" s="631" t="str">
        <f>'Artikel-DB'!JC3</f>
        <v>x</v>
      </c>
      <c r="JD1" s="631" t="str">
        <f>'Artikel-DB'!JD3</f>
        <v>x</v>
      </c>
      <c r="JE1" s="631" t="str">
        <f>'Artikel-DB'!JE3</f>
        <v>x</v>
      </c>
      <c r="JF1" s="631" t="str">
        <f>'Artikel-DB'!JF3</f>
        <v>x</v>
      </c>
      <c r="JG1" s="631" t="str">
        <f>'Artikel-DB'!JG3</f>
        <v>x</v>
      </c>
      <c r="JH1" s="631" t="str">
        <f>'Artikel-DB'!JH3</f>
        <v>x</v>
      </c>
      <c r="JI1" s="631" t="str">
        <f>'Artikel-DB'!JI3</f>
        <v>x</v>
      </c>
      <c r="JJ1" s="631" t="str">
        <f>'Artikel-DB'!JJ3</f>
        <v>x</v>
      </c>
      <c r="JK1" s="631" t="str">
        <f>'Artikel-DB'!JK3</f>
        <v>x</v>
      </c>
      <c r="JL1" s="631" t="str">
        <f>'Artikel-DB'!JL3</f>
        <v>x</v>
      </c>
      <c r="JM1" s="631" t="str">
        <f>'Artikel-DB'!JM3</f>
        <v>x</v>
      </c>
      <c r="JN1" s="631" t="str">
        <f>'Artikel-DB'!JN3</f>
        <v>x</v>
      </c>
      <c r="JO1" s="631" t="str">
        <f>'Artikel-DB'!JO3</f>
        <v>x</v>
      </c>
      <c r="JP1" s="631" t="str">
        <f>'Artikel-DB'!JP3</f>
        <v>x</v>
      </c>
      <c r="JQ1" s="631" t="str">
        <f>'Artikel-DB'!JQ3</f>
        <v>x</v>
      </c>
      <c r="JR1" s="631" t="str">
        <f>'Artikel-DB'!JR3</f>
        <v>x</v>
      </c>
      <c r="JS1" s="631" t="str">
        <f>'Artikel-DB'!JS3</f>
        <v>x</v>
      </c>
      <c r="JT1" s="631" t="str">
        <f>'Artikel-DB'!JT3</f>
        <v>x</v>
      </c>
      <c r="JU1" s="631" t="str">
        <f>'Artikel-DB'!JU3</f>
        <v>x</v>
      </c>
      <c r="JV1" s="631" t="str">
        <f>'Artikel-DB'!JV3</f>
        <v>x</v>
      </c>
      <c r="JW1" s="631" t="str">
        <f>'Artikel-DB'!JW3</f>
        <v>x</v>
      </c>
      <c r="JX1" s="631" t="str">
        <f>'Artikel-DB'!JX3</f>
        <v>x</v>
      </c>
      <c r="JY1" s="631" t="str">
        <f>'Artikel-DB'!JY3</f>
        <v>x</v>
      </c>
      <c r="JZ1" s="631" t="str">
        <f>'Artikel-DB'!JZ3</f>
        <v>x</v>
      </c>
      <c r="KA1" s="631" t="str">
        <f>'Artikel-DB'!KA3</f>
        <v>x</v>
      </c>
      <c r="KB1" s="631" t="str">
        <f>'Artikel-DB'!KB3</f>
        <v>x</v>
      </c>
      <c r="KC1" s="631" t="str">
        <f>'Artikel-DB'!KC3</f>
        <v>x</v>
      </c>
      <c r="KD1" s="631" t="str">
        <f>'Artikel-DB'!KD3</f>
        <v>x</v>
      </c>
      <c r="KE1" s="631" t="str">
        <f>'Artikel-DB'!KE3</f>
        <v>x</v>
      </c>
      <c r="KF1" s="631" t="str">
        <f>'Artikel-DB'!KF3</f>
        <v>x</v>
      </c>
      <c r="KG1" s="631" t="str">
        <f>'Artikel-DB'!KG3</f>
        <v>x</v>
      </c>
      <c r="KH1" s="631" t="str">
        <f>'Artikel-DB'!KH3</f>
        <v>x</v>
      </c>
      <c r="KI1" s="631" t="str">
        <f>'Artikel-DB'!KI3</f>
        <v>x</v>
      </c>
      <c r="KJ1" s="631" t="str">
        <f>'Artikel-DB'!KJ3</f>
        <v>x</v>
      </c>
      <c r="KK1" s="631" t="str">
        <f>'Artikel-DB'!KK3</f>
        <v>x</v>
      </c>
      <c r="KL1" s="631" t="str">
        <f>'Artikel-DB'!KL3</f>
        <v>x</v>
      </c>
      <c r="KM1" s="631" t="str">
        <f>'Artikel-DB'!KM3</f>
        <v>x</v>
      </c>
      <c r="KN1" s="631" t="str">
        <f>'Artikel-DB'!KN3</f>
        <v>x</v>
      </c>
      <c r="KO1" s="631" t="str">
        <f>'Artikel-DB'!KO3</f>
        <v>x</v>
      </c>
      <c r="KP1" s="631" t="str">
        <f>'Artikel-DB'!KP3</f>
        <v>x</v>
      </c>
      <c r="KQ1" s="631" t="str">
        <f>'Artikel-DB'!KQ3</f>
        <v>x</v>
      </c>
      <c r="KR1" s="631" t="str">
        <f>'Artikel-DB'!KR3</f>
        <v>x</v>
      </c>
      <c r="KS1" s="631" t="str">
        <f>'Artikel-DB'!KS3</f>
        <v>x</v>
      </c>
      <c r="KT1" s="631" t="str">
        <f>'Artikel-DB'!KT3</f>
        <v>x</v>
      </c>
      <c r="KU1" s="631" t="str">
        <f>'Artikel-DB'!KU3</f>
        <v>x</v>
      </c>
      <c r="KV1" s="631" t="str">
        <f>'Artikel-DB'!KV3</f>
        <v>x</v>
      </c>
      <c r="KW1" s="631" t="str">
        <f>'Artikel-DB'!KW3</f>
        <v>x</v>
      </c>
      <c r="KX1" s="631" t="str">
        <f>'Artikel-DB'!KX3</f>
        <v>x</v>
      </c>
      <c r="KY1" s="631" t="str">
        <f>'Artikel-DB'!KY3</f>
        <v>x</v>
      </c>
      <c r="KZ1" s="631" t="str">
        <f>'Artikel-DB'!KZ3</f>
        <v>x</v>
      </c>
      <c r="LA1" s="631" t="str">
        <f>'Artikel-DB'!LA3</f>
        <v>x</v>
      </c>
      <c r="LB1" s="631" t="str">
        <f>'Artikel-DB'!LB3</f>
        <v>x</v>
      </c>
      <c r="LC1" s="631" t="str">
        <f>'Artikel-DB'!LC3</f>
        <v>x</v>
      </c>
      <c r="LD1" s="631" t="str">
        <f>'Artikel-DB'!LD3</f>
        <v>x</v>
      </c>
      <c r="LE1" s="631" t="str">
        <f>'Artikel-DB'!LE3</f>
        <v>x</v>
      </c>
      <c r="LF1" s="631" t="str">
        <f>'Artikel-DB'!LF3</f>
        <v>x</v>
      </c>
      <c r="LG1" s="631" t="str">
        <f>'Artikel-DB'!LG3</f>
        <v>x</v>
      </c>
      <c r="LH1" s="631" t="str">
        <f>'Artikel-DB'!LH3</f>
        <v>x</v>
      </c>
      <c r="LI1" s="631" t="str">
        <f>'Artikel-DB'!LI3</f>
        <v>x</v>
      </c>
      <c r="LJ1" s="631" t="str">
        <f>'Artikel-DB'!LJ3</f>
        <v>x</v>
      </c>
      <c r="LK1" s="631" t="str">
        <f>'Artikel-DB'!LK3</f>
        <v>x</v>
      </c>
      <c r="LL1" s="631" t="str">
        <f>'Artikel-DB'!LL3</f>
        <v>x</v>
      </c>
      <c r="LM1" s="631" t="str">
        <f>'Artikel-DB'!LM3</f>
        <v>x</v>
      </c>
      <c r="LN1" s="631" t="str">
        <f>'Artikel-DB'!LN3</f>
        <v>x</v>
      </c>
      <c r="LO1" s="631" t="str">
        <f>'Artikel-DB'!LO3</f>
        <v>x</v>
      </c>
      <c r="LP1" s="631" t="str">
        <f>'Artikel-DB'!LP3</f>
        <v>x</v>
      </c>
      <c r="LQ1" s="631" t="str">
        <f>'Artikel-DB'!LQ3</f>
        <v>x</v>
      </c>
      <c r="LR1" s="631" t="str">
        <f>'Artikel-DB'!LR3</f>
        <v>x</v>
      </c>
      <c r="LS1" s="631" t="str">
        <f>'Artikel-DB'!LS3</f>
        <v>x</v>
      </c>
      <c r="LT1" s="631" t="str">
        <f>'Artikel-DB'!LT3</f>
        <v>x</v>
      </c>
      <c r="LU1" s="631" t="str">
        <f>'Artikel-DB'!LU3</f>
        <v>x</v>
      </c>
      <c r="LV1" s="631" t="str">
        <f>'Artikel-DB'!LV3</f>
        <v>x</v>
      </c>
      <c r="LW1" s="631" t="str">
        <f>'Artikel-DB'!LW3</f>
        <v>x</v>
      </c>
      <c r="LX1" s="631" t="str">
        <f>'Artikel-DB'!LX3</f>
        <v>x</v>
      </c>
      <c r="LY1" s="631" t="str">
        <f>'Artikel-DB'!LY3</f>
        <v>x</v>
      </c>
      <c r="LZ1" s="631" t="str">
        <f>'Artikel-DB'!LZ3</f>
        <v>x</v>
      </c>
      <c r="MA1" s="631" t="str">
        <f>'Artikel-DB'!MA3</f>
        <v>x</v>
      </c>
      <c r="MB1" s="631" t="str">
        <f>'Artikel-DB'!MB3</f>
        <v>x</v>
      </c>
      <c r="MC1" s="631" t="str">
        <f>'Artikel-DB'!MC3</f>
        <v>x</v>
      </c>
      <c r="MD1" s="631" t="str">
        <f>'Artikel-DB'!MD3</f>
        <v>x</v>
      </c>
      <c r="ME1" s="631" t="str">
        <f>'Artikel-DB'!ME3</f>
        <v>x</v>
      </c>
      <c r="MF1" s="631" t="str">
        <f>'Artikel-DB'!MF3</f>
        <v>x</v>
      </c>
      <c r="MG1" s="631" t="str">
        <f>'Artikel-DB'!MG3</f>
        <v>x</v>
      </c>
      <c r="MH1" s="631" t="str">
        <f>'Artikel-DB'!MH3</f>
        <v>x</v>
      </c>
      <c r="MI1" s="631" t="str">
        <f>'Artikel-DB'!MI3</f>
        <v>x</v>
      </c>
      <c r="MJ1" s="631" t="str">
        <f>'Artikel-DB'!MJ3</f>
        <v>x</v>
      </c>
      <c r="MK1" s="631" t="str">
        <f>'Artikel-DB'!MK3</f>
        <v>x</v>
      </c>
      <c r="ML1" s="631" t="str">
        <f>'Artikel-DB'!ML3</f>
        <v>x</v>
      </c>
      <c r="MM1" s="631" t="str">
        <f>'Artikel-DB'!MM3</f>
        <v>x</v>
      </c>
      <c r="MN1" s="631" t="str">
        <f>'Artikel-DB'!MN3</f>
        <v>x</v>
      </c>
      <c r="MO1" s="631" t="str">
        <f>'Artikel-DB'!MO3</f>
        <v>x</v>
      </c>
      <c r="MP1" s="631" t="str">
        <f>'Artikel-DB'!MP3</f>
        <v>x</v>
      </c>
      <c r="MQ1" s="631" t="str">
        <f>'Artikel-DB'!MQ3</f>
        <v>x</v>
      </c>
      <c r="MR1" s="631" t="str">
        <f>'Artikel-DB'!MR3</f>
        <v>x</v>
      </c>
      <c r="MS1" s="631" t="str">
        <f>'Artikel-DB'!MS3</f>
        <v>x</v>
      </c>
      <c r="MT1" s="631" t="str">
        <f>'Artikel-DB'!MT3</f>
        <v>x</v>
      </c>
      <c r="MU1" s="631" t="str">
        <f>'Artikel-DB'!MU3</f>
        <v>x</v>
      </c>
      <c r="MV1" s="631" t="str">
        <f>'Artikel-DB'!MV3</f>
        <v>x</v>
      </c>
      <c r="MW1" s="631" t="str">
        <f>'Artikel-DB'!MW3</f>
        <v>x</v>
      </c>
      <c r="MX1" s="631" t="str">
        <f>'Artikel-DB'!MX3</f>
        <v>x</v>
      </c>
      <c r="MY1" s="631" t="str">
        <f>'Artikel-DB'!MY3</f>
        <v>x</v>
      </c>
      <c r="MZ1" s="631" t="str">
        <f>'Artikel-DB'!MZ3</f>
        <v>x</v>
      </c>
      <c r="NA1" s="631" t="str">
        <f>'Artikel-DB'!NA3</f>
        <v>x</v>
      </c>
      <c r="NB1" s="631" t="str">
        <f>'Artikel-DB'!NB3</f>
        <v>x</v>
      </c>
      <c r="NC1" s="631" t="str">
        <f>'Artikel-DB'!NC3</f>
        <v>x</v>
      </c>
      <c r="ND1" s="631" t="str">
        <f>'Artikel-DB'!ND3</f>
        <v>x</v>
      </c>
      <c r="NE1" s="631" t="str">
        <f>'Artikel-DB'!NE3</f>
        <v>x</v>
      </c>
      <c r="NF1" s="631" t="str">
        <f>'Artikel-DB'!NF3</f>
        <v>x</v>
      </c>
      <c r="NG1" s="631" t="str">
        <f>'Artikel-DB'!NG3</f>
        <v>x</v>
      </c>
      <c r="NH1" s="631" t="str">
        <f>'Artikel-DB'!NH3</f>
        <v>x</v>
      </c>
      <c r="NI1" s="631" t="str">
        <f>'Artikel-DB'!NI3</f>
        <v>x</v>
      </c>
      <c r="NJ1" s="631" t="str">
        <f>'Artikel-DB'!NJ3</f>
        <v>x</v>
      </c>
      <c r="NK1" s="631" t="str">
        <f>'Artikel-DB'!NK3</f>
        <v>x</v>
      </c>
      <c r="NL1" s="631" t="str">
        <f>'Artikel-DB'!NL3</f>
        <v>x</v>
      </c>
      <c r="NM1" s="631" t="str">
        <f>'Artikel-DB'!NM3</f>
        <v>x</v>
      </c>
      <c r="NN1" s="631" t="str">
        <f>'Artikel-DB'!NN3</f>
        <v>x</v>
      </c>
      <c r="NO1" s="631" t="str">
        <f>'Artikel-DB'!NO3</f>
        <v>x</v>
      </c>
      <c r="NP1" s="631" t="str">
        <f>'Artikel-DB'!NP3</f>
        <v>x</v>
      </c>
      <c r="NQ1" s="631" t="str">
        <f>'Artikel-DB'!NQ3</f>
        <v>x</v>
      </c>
      <c r="NR1" s="631" t="str">
        <f>'Artikel-DB'!NR3</f>
        <v>x</v>
      </c>
      <c r="NS1" s="631" t="str">
        <f>'Artikel-DB'!NS3</f>
        <v>x</v>
      </c>
      <c r="NT1" s="631" t="str">
        <f>'Artikel-DB'!NT3</f>
        <v>x</v>
      </c>
      <c r="NU1" s="631" t="str">
        <f>'Artikel-DB'!NU3</f>
        <v>x</v>
      </c>
      <c r="NV1" s="631" t="str">
        <f>'Artikel-DB'!NV3</f>
        <v>x</v>
      </c>
      <c r="NW1" s="631" t="str">
        <f>'Artikel-DB'!NW3</f>
        <v>x</v>
      </c>
      <c r="NX1" s="631" t="str">
        <f>'Artikel-DB'!NX3</f>
        <v>x</v>
      </c>
      <c r="NY1" s="631" t="str">
        <f>'Artikel-DB'!NY3</f>
        <v>x</v>
      </c>
      <c r="NZ1" s="631" t="str">
        <f>'Artikel-DB'!NZ3</f>
        <v>x</v>
      </c>
      <c r="OA1" s="631" t="str">
        <f>'Artikel-DB'!OA3</f>
        <v>x</v>
      </c>
      <c r="OB1" s="631" t="str">
        <f>'Artikel-DB'!OB3</f>
        <v>x</v>
      </c>
      <c r="OC1" s="631" t="str">
        <f>'Artikel-DB'!OC3</f>
        <v>x</v>
      </c>
      <c r="OD1" s="631" t="str">
        <f>'Artikel-DB'!OD3</f>
        <v>x</v>
      </c>
      <c r="OE1" s="631" t="str">
        <f>'Artikel-DB'!OE3</f>
        <v>x</v>
      </c>
      <c r="OF1" s="631" t="str">
        <f>'Artikel-DB'!OF3</f>
        <v>x</v>
      </c>
      <c r="OG1" s="631" t="str">
        <f>'Artikel-DB'!OG3</f>
        <v>x</v>
      </c>
      <c r="OH1" s="631" t="str">
        <f>'Artikel-DB'!OH3</f>
        <v>x</v>
      </c>
      <c r="OI1" s="631" t="str">
        <f>'Artikel-DB'!OI3</f>
        <v>x</v>
      </c>
      <c r="OJ1" s="631" t="str">
        <f>'Artikel-DB'!OJ3</f>
        <v>x</v>
      </c>
      <c r="OK1" s="631" t="str">
        <f>'Artikel-DB'!OK3</f>
        <v>x</v>
      </c>
      <c r="OL1" s="631" t="str">
        <f>'Artikel-DB'!OL3</f>
        <v>x</v>
      </c>
      <c r="OM1" s="631" t="str">
        <f>'Artikel-DB'!OM3</f>
        <v>x</v>
      </c>
      <c r="ON1" s="631" t="str">
        <f>'Artikel-DB'!ON3</f>
        <v>x</v>
      </c>
      <c r="OO1" s="631" t="str">
        <f>'Artikel-DB'!OO3</f>
        <v>x</v>
      </c>
      <c r="OP1" s="631" t="str">
        <f>'Artikel-DB'!OP3</f>
        <v>x</v>
      </c>
      <c r="OQ1" s="631" t="str">
        <f>'Artikel-DB'!OQ3</f>
        <v>x</v>
      </c>
      <c r="OR1" s="631" t="str">
        <f>'Artikel-DB'!OR3</f>
        <v>x</v>
      </c>
      <c r="OS1" s="631" t="str">
        <f>'Artikel-DB'!OS3</f>
        <v>x</v>
      </c>
      <c r="OT1" s="631" t="str">
        <f>'Artikel-DB'!OT3</f>
        <v>x</v>
      </c>
      <c r="OU1" s="631" t="str">
        <f>'Artikel-DB'!OU3</f>
        <v>x</v>
      </c>
      <c r="OV1" s="631" t="str">
        <f>'Artikel-DB'!OV3</f>
        <v>x</v>
      </c>
      <c r="OW1" s="631" t="str">
        <f>'Artikel-DB'!OW3</f>
        <v>x</v>
      </c>
      <c r="OX1" s="631" t="str">
        <f>'Artikel-DB'!OX3</f>
        <v>x</v>
      </c>
      <c r="OY1" s="631" t="str">
        <f>'Artikel-DB'!OY3</f>
        <v>x</v>
      </c>
      <c r="OZ1" s="631" t="str">
        <f>'Artikel-DB'!OZ3</f>
        <v>x</v>
      </c>
      <c r="PA1" s="631" t="str">
        <f>'Artikel-DB'!PA3</f>
        <v>x</v>
      </c>
      <c r="PB1" s="631" t="str">
        <f>'Artikel-DB'!PB3</f>
        <v>x</v>
      </c>
      <c r="PC1" s="631" t="str">
        <f>'Artikel-DB'!PC3</f>
        <v>x</v>
      </c>
      <c r="PD1" s="631" t="str">
        <f>'Artikel-DB'!PD3</f>
        <v>x</v>
      </c>
      <c r="PE1" s="631" t="str">
        <f>'Artikel-DB'!PE3</f>
        <v>x</v>
      </c>
      <c r="PF1" s="631" t="str">
        <f>'Artikel-DB'!PF3</f>
        <v>x</v>
      </c>
      <c r="PG1" s="631" t="str">
        <f>'Artikel-DB'!PG3</f>
        <v>x</v>
      </c>
      <c r="PH1" s="631" t="str">
        <f>'Artikel-DB'!PH3</f>
        <v>x</v>
      </c>
      <c r="PI1" s="631" t="str">
        <f>'Artikel-DB'!PI3</f>
        <v>x</v>
      </c>
      <c r="PJ1" s="631" t="str">
        <f>'Artikel-DB'!PJ3</f>
        <v>x</v>
      </c>
      <c r="PK1" s="631" t="str">
        <f>'Artikel-DB'!PK3</f>
        <v>x</v>
      </c>
      <c r="PL1" s="631" t="str">
        <f>'Artikel-DB'!PL3</f>
        <v>x</v>
      </c>
      <c r="PM1" s="631" t="str">
        <f>'Artikel-DB'!PM3</f>
        <v>x</v>
      </c>
      <c r="PN1" s="631" t="str">
        <f>'Artikel-DB'!PN3</f>
        <v>x</v>
      </c>
      <c r="PO1" s="631" t="str">
        <f>'Artikel-DB'!PO3</f>
        <v>x</v>
      </c>
      <c r="PP1" s="631" t="str">
        <f>'Artikel-DB'!PP3</f>
        <v>x</v>
      </c>
      <c r="PQ1" s="631" t="str">
        <f>'Artikel-DB'!PQ3</f>
        <v>x</v>
      </c>
      <c r="PR1" s="631" t="str">
        <f>'Artikel-DB'!PR3</f>
        <v>x</v>
      </c>
      <c r="PS1" s="631" t="str">
        <f>'Artikel-DB'!PS3</f>
        <v>x</v>
      </c>
      <c r="PT1" s="631" t="str">
        <f>'Artikel-DB'!PT3</f>
        <v>x</v>
      </c>
      <c r="PU1" s="631" t="str">
        <f>'Artikel-DB'!PU3</f>
        <v>x</v>
      </c>
      <c r="PV1" s="631" t="str">
        <f>'Artikel-DB'!PV3</f>
        <v>x</v>
      </c>
      <c r="PW1" s="631" t="str">
        <f>'Artikel-DB'!PW3</f>
        <v>x</v>
      </c>
      <c r="PX1" s="631" t="str">
        <f>'Artikel-DB'!PX3</f>
        <v>x</v>
      </c>
      <c r="PY1" s="631" t="str">
        <f>'Artikel-DB'!PY3</f>
        <v>x</v>
      </c>
      <c r="PZ1" s="631" t="str">
        <f>'Artikel-DB'!PZ3</f>
        <v>x</v>
      </c>
      <c r="QA1" s="631" t="str">
        <f>'Artikel-DB'!QA3</f>
        <v>x</v>
      </c>
      <c r="QB1" s="631" t="str">
        <f>'Artikel-DB'!QB3</f>
        <v>x</v>
      </c>
      <c r="QC1" s="631" t="str">
        <f>'Artikel-DB'!QC3</f>
        <v>x</v>
      </c>
      <c r="QD1" s="631" t="str">
        <f>'Artikel-DB'!QD3</f>
        <v>x</v>
      </c>
      <c r="QE1" s="631" t="str">
        <f>'Artikel-DB'!QE3</f>
        <v>x</v>
      </c>
      <c r="QF1" s="631" t="str">
        <f>'Artikel-DB'!QF3</f>
        <v>x</v>
      </c>
      <c r="QG1" s="631" t="str">
        <f>'Artikel-DB'!QG3</f>
        <v>x</v>
      </c>
      <c r="QH1" s="631" t="str">
        <f>'Artikel-DB'!QH3</f>
        <v>x</v>
      </c>
      <c r="QI1" s="631" t="str">
        <f>'Artikel-DB'!QI3</f>
        <v>x</v>
      </c>
      <c r="QJ1" s="631" t="str">
        <f>'Artikel-DB'!QJ3</f>
        <v>x</v>
      </c>
      <c r="QK1" s="631" t="str">
        <f>'Artikel-DB'!QK3</f>
        <v>x</v>
      </c>
      <c r="QL1" s="631" t="str">
        <f>'Artikel-DB'!QL3</f>
        <v>x</v>
      </c>
      <c r="QM1" s="631" t="str">
        <f>'Artikel-DB'!QM3</f>
        <v>x</v>
      </c>
      <c r="QN1" s="631" t="str">
        <f>'Artikel-DB'!QN3</f>
        <v>x</v>
      </c>
      <c r="QO1" s="631" t="str">
        <f>'Artikel-DB'!QO3</f>
        <v>x</v>
      </c>
      <c r="QP1" s="631" t="str">
        <f>'Artikel-DB'!QP3</f>
        <v>x</v>
      </c>
      <c r="QQ1" s="631" t="str">
        <f>'Artikel-DB'!QQ3</f>
        <v>x</v>
      </c>
      <c r="QR1" s="631" t="str">
        <f>'Artikel-DB'!QR3</f>
        <v>x</v>
      </c>
      <c r="QS1" s="631" t="str">
        <f>'Artikel-DB'!QS3</f>
        <v>x</v>
      </c>
      <c r="QT1" s="631" t="str">
        <f>'Artikel-DB'!QT3</f>
        <v>x</v>
      </c>
      <c r="QU1" s="631" t="str">
        <f>'Artikel-DB'!QU3</f>
        <v>x</v>
      </c>
      <c r="QV1" s="631" t="str">
        <f>'Artikel-DB'!QV3</f>
        <v>x</v>
      </c>
      <c r="QW1" s="631" t="str">
        <f>'Artikel-DB'!QW3</f>
        <v>x</v>
      </c>
      <c r="QX1" s="631" t="str">
        <f>'Artikel-DB'!QX3</f>
        <v>x</v>
      </c>
      <c r="QY1" s="631" t="str">
        <f>'Artikel-DB'!QY3</f>
        <v>x</v>
      </c>
      <c r="QZ1" s="631" t="str">
        <f>'Artikel-DB'!QZ3</f>
        <v>x</v>
      </c>
      <c r="RA1" s="631" t="str">
        <f>'Artikel-DB'!RA3</f>
        <v>x</v>
      </c>
      <c r="RB1" s="631" t="str">
        <f>'Artikel-DB'!RB3</f>
        <v>x</v>
      </c>
      <c r="RC1" s="631" t="str">
        <f>'Artikel-DB'!RC3</f>
        <v>x</v>
      </c>
      <c r="RD1" s="631" t="str">
        <f>'Artikel-DB'!RD3</f>
        <v>x</v>
      </c>
      <c r="RE1" s="631" t="str">
        <f>'Artikel-DB'!RE3</f>
        <v>x</v>
      </c>
      <c r="RF1" s="631" t="str">
        <f>'Artikel-DB'!RF3</f>
        <v>x</v>
      </c>
      <c r="RG1" s="631" t="str">
        <f>'Artikel-DB'!RG3</f>
        <v>x</v>
      </c>
      <c r="RH1" s="631" t="str">
        <f>'Artikel-DB'!RH3</f>
        <v>x</v>
      </c>
      <c r="RI1" s="631" t="str">
        <f>'Artikel-DB'!RI3</f>
        <v>x</v>
      </c>
      <c r="RJ1" s="631" t="str">
        <f>'Artikel-DB'!RJ3</f>
        <v>x</v>
      </c>
      <c r="RK1" s="631" t="str">
        <f>'Artikel-DB'!RK3</f>
        <v>x</v>
      </c>
      <c r="RL1" s="631" t="str">
        <f>'Artikel-DB'!RL3</f>
        <v>x</v>
      </c>
      <c r="RM1" s="631" t="str">
        <f>'Artikel-DB'!RM3</f>
        <v>x</v>
      </c>
      <c r="RN1" s="631" t="str">
        <f>'Artikel-DB'!RN3</f>
        <v>x</v>
      </c>
      <c r="RO1" s="631" t="str">
        <f>'Artikel-DB'!RO3</f>
        <v>x</v>
      </c>
      <c r="RP1" s="631" t="str">
        <f>'Artikel-DB'!RP3</f>
        <v>x</v>
      </c>
      <c r="RQ1" s="631" t="str">
        <f>'Artikel-DB'!RQ3</f>
        <v>x</v>
      </c>
      <c r="RR1" s="631" t="str">
        <f>'Artikel-DB'!RR3</f>
        <v>x</v>
      </c>
      <c r="RS1" s="631" t="str">
        <f>'Artikel-DB'!RS3</f>
        <v>x</v>
      </c>
      <c r="RT1" s="631" t="str">
        <f>'Artikel-DB'!RT3</f>
        <v>x</v>
      </c>
      <c r="RU1" s="631" t="str">
        <f>'Artikel-DB'!RU3</f>
        <v>x</v>
      </c>
      <c r="RV1" s="631" t="str">
        <f>'Artikel-DB'!RV3</f>
        <v>x</v>
      </c>
      <c r="RW1" s="631" t="str">
        <f>'Artikel-DB'!RW3</f>
        <v>x</v>
      </c>
      <c r="RX1" s="631" t="str">
        <f>'Artikel-DB'!RX3</f>
        <v>x</v>
      </c>
      <c r="RY1" s="631" t="str">
        <f>'Artikel-DB'!RY3</f>
        <v>x</v>
      </c>
      <c r="RZ1" s="631" t="str">
        <f>'Artikel-DB'!RZ3</f>
        <v>x</v>
      </c>
      <c r="SA1" s="631" t="str">
        <f>'Artikel-DB'!SA3</f>
        <v>x</v>
      </c>
      <c r="SB1" s="631" t="str">
        <f>'Artikel-DB'!SB3</f>
        <v>x</v>
      </c>
      <c r="SC1" s="631" t="str">
        <f>'Artikel-DB'!SC3</f>
        <v>x</v>
      </c>
      <c r="SD1" s="631" t="str">
        <f>'Artikel-DB'!SD3</f>
        <v>x</v>
      </c>
      <c r="SE1" s="631" t="str">
        <f>'Artikel-DB'!SE3</f>
        <v>x</v>
      </c>
      <c r="SF1" s="631" t="str">
        <f>'Artikel-DB'!SF3</f>
        <v>x</v>
      </c>
      <c r="SG1" s="631" t="str">
        <f>'Artikel-DB'!SG3</f>
        <v>x</v>
      </c>
      <c r="SH1" s="631" t="str">
        <f>'Artikel-DB'!SH3</f>
        <v>x</v>
      </c>
      <c r="SI1" s="631" t="str">
        <f>'Artikel-DB'!SI3</f>
        <v>x</v>
      </c>
      <c r="SJ1" s="631" t="str">
        <f>'Artikel-DB'!SJ3</f>
        <v>x</v>
      </c>
      <c r="SK1" s="631" t="str">
        <f>'Artikel-DB'!SK3</f>
        <v>x</v>
      </c>
      <c r="SL1" s="631" t="str">
        <f>'Artikel-DB'!SL3</f>
        <v>x</v>
      </c>
      <c r="SM1" s="631" t="str">
        <f>'Artikel-DB'!SM3</f>
        <v>x</v>
      </c>
      <c r="SN1" s="631" t="str">
        <f>'Artikel-DB'!SN3</f>
        <v>x</v>
      </c>
      <c r="SO1" s="631" t="str">
        <f>'Artikel-DB'!SO3</f>
        <v>x</v>
      </c>
      <c r="SP1" s="631" t="str">
        <f>'Artikel-DB'!SP3</f>
        <v>x</v>
      </c>
      <c r="SQ1" s="631" t="str">
        <f>'Artikel-DB'!SQ3</f>
        <v>x</v>
      </c>
      <c r="SR1" s="631" t="str">
        <f>'Artikel-DB'!SR3</f>
        <v>x</v>
      </c>
      <c r="SS1" s="631" t="str">
        <f>'Artikel-DB'!SS3</f>
        <v>x</v>
      </c>
      <c r="ST1" s="631" t="str">
        <f>'Artikel-DB'!ST3</f>
        <v>x</v>
      </c>
      <c r="SU1" s="631" t="str">
        <f>'Artikel-DB'!SU3</f>
        <v>x</v>
      </c>
      <c r="SV1" s="631" t="str">
        <f>'Artikel-DB'!SV3</f>
        <v>x</v>
      </c>
      <c r="SW1" s="631" t="str">
        <f>'Artikel-DB'!SW3</f>
        <v>x</v>
      </c>
      <c r="SX1" s="631" t="str">
        <f>'Artikel-DB'!SX3</f>
        <v>x</v>
      </c>
      <c r="SY1" s="631" t="str">
        <f>'Artikel-DB'!SY3</f>
        <v>x</v>
      </c>
      <c r="SZ1" s="631" t="str">
        <f>'Artikel-DB'!SZ3</f>
        <v>x</v>
      </c>
      <c r="TA1" s="631" t="str">
        <f>'Artikel-DB'!TA3</f>
        <v>x</v>
      </c>
      <c r="TB1" s="631" t="str">
        <f>'Artikel-DB'!TB3</f>
        <v>x</v>
      </c>
      <c r="TC1" s="631" t="str">
        <f>'Artikel-DB'!TC3</f>
        <v>x</v>
      </c>
      <c r="TD1" s="631" t="str">
        <f>'Artikel-DB'!TD3</f>
        <v>x</v>
      </c>
      <c r="TE1" s="631" t="str">
        <f>'Artikel-DB'!TE3</f>
        <v>x</v>
      </c>
      <c r="TF1" s="631" t="str">
        <f>'Artikel-DB'!TF3</f>
        <v>x</v>
      </c>
      <c r="TG1" s="631" t="str">
        <f>'Artikel-DB'!TG3</f>
        <v>x</v>
      </c>
      <c r="TH1" s="631" t="str">
        <f>'Artikel-DB'!TH3</f>
        <v>x</v>
      </c>
      <c r="TI1" s="631" t="str">
        <f>'Artikel-DB'!TI3</f>
        <v>x</v>
      </c>
      <c r="TJ1" s="631" t="str">
        <f>'Artikel-DB'!TJ3</f>
        <v>x</v>
      </c>
      <c r="TK1" s="631" t="str">
        <f>'Artikel-DB'!TK3</f>
        <v>x</v>
      </c>
      <c r="TL1" s="631" t="str">
        <f>'Artikel-DB'!TL3</f>
        <v>x</v>
      </c>
      <c r="TM1" s="631" t="str">
        <f>'Artikel-DB'!TM3</f>
        <v>x</v>
      </c>
      <c r="TN1" s="631" t="str">
        <f>'Artikel-DB'!TN3</f>
        <v>x</v>
      </c>
      <c r="TO1" s="631" t="str">
        <f>'Artikel-DB'!TO3</f>
        <v>x</v>
      </c>
      <c r="TP1" s="631" t="str">
        <f>'Artikel-DB'!TP3</f>
        <v>x</v>
      </c>
      <c r="TQ1" s="631" t="str">
        <f>'Artikel-DB'!TQ3</f>
        <v>x</v>
      </c>
      <c r="TR1" s="631" t="str">
        <f>'Artikel-DB'!TR3</f>
        <v>x</v>
      </c>
      <c r="TS1" s="631" t="str">
        <f>'Artikel-DB'!TS3</f>
        <v>x</v>
      </c>
      <c r="TT1" s="631" t="str">
        <f>'Artikel-DB'!TT3</f>
        <v>x</v>
      </c>
      <c r="TU1" s="631" t="str">
        <f>'Artikel-DB'!TU3</f>
        <v>x</v>
      </c>
      <c r="TV1" s="631" t="str">
        <f>'Artikel-DB'!TV3</f>
        <v>x</v>
      </c>
      <c r="TW1" s="631" t="str">
        <f>'Artikel-DB'!TW3</f>
        <v>x</v>
      </c>
      <c r="TX1" s="631" t="str">
        <f>'Artikel-DB'!TX3</f>
        <v>x</v>
      </c>
      <c r="TY1" s="631" t="str">
        <f>'Artikel-DB'!TY3</f>
        <v>x</v>
      </c>
      <c r="TZ1" s="631" t="str">
        <f>'Artikel-DB'!TZ3</f>
        <v>x</v>
      </c>
      <c r="UA1" s="631" t="str">
        <f>'Artikel-DB'!UA3</f>
        <v>x</v>
      </c>
      <c r="UB1" s="631" t="str">
        <f>'Artikel-DB'!UB3</f>
        <v>x</v>
      </c>
      <c r="UC1" s="631" t="str">
        <f>'Artikel-DB'!UC3</f>
        <v>x</v>
      </c>
      <c r="UD1" s="631" t="str">
        <f>'Artikel-DB'!UD3</f>
        <v>x</v>
      </c>
      <c r="UE1" s="631" t="str">
        <f>'Artikel-DB'!UE3</f>
        <v>x</v>
      </c>
      <c r="UF1" s="631" t="str">
        <f>'Artikel-DB'!UF3</f>
        <v>x</v>
      </c>
      <c r="UG1" s="631" t="str">
        <f>'Artikel-DB'!UG3</f>
        <v>x</v>
      </c>
      <c r="UH1" s="631" t="str">
        <f>'Artikel-DB'!UH3</f>
        <v>x</v>
      </c>
      <c r="UI1" s="631" t="str">
        <f>'Artikel-DB'!UI3</f>
        <v>x</v>
      </c>
      <c r="UJ1" s="631" t="str">
        <f>'Artikel-DB'!UJ3</f>
        <v>x</v>
      </c>
      <c r="UK1" s="631" t="str">
        <f>'Artikel-DB'!UK3</f>
        <v>x</v>
      </c>
      <c r="UL1" s="631" t="str">
        <f>'Artikel-DB'!UL3</f>
        <v>x</v>
      </c>
      <c r="UM1" s="631" t="str">
        <f>'Artikel-DB'!UM3</f>
        <v>x</v>
      </c>
      <c r="UN1" s="631" t="str">
        <f>'Artikel-DB'!UN3</f>
        <v>x</v>
      </c>
      <c r="UO1" s="631" t="str">
        <f>'Artikel-DB'!UO3</f>
        <v>x</v>
      </c>
      <c r="UP1" s="631" t="str">
        <f>'Artikel-DB'!UP3</f>
        <v>x</v>
      </c>
      <c r="UQ1" s="631" t="str">
        <f>'Artikel-DB'!UQ3</f>
        <v>x</v>
      </c>
      <c r="UR1" s="631" t="str">
        <f>'Artikel-DB'!UR3</f>
        <v>x</v>
      </c>
      <c r="US1" s="631" t="str">
        <f>'Artikel-DB'!US3</f>
        <v>x</v>
      </c>
      <c r="UT1" s="631" t="str">
        <f>'Artikel-DB'!UT3</f>
        <v>x</v>
      </c>
      <c r="UU1" s="631" t="str">
        <f>'Artikel-DB'!UU3</f>
        <v>x</v>
      </c>
      <c r="UV1" s="631" t="str">
        <f>'Artikel-DB'!UV3</f>
        <v>x</v>
      </c>
      <c r="UW1" s="631" t="str">
        <f>'Artikel-DB'!UW3</f>
        <v>x</v>
      </c>
      <c r="UX1" s="631" t="str">
        <f>'Artikel-DB'!UX3</f>
        <v>x</v>
      </c>
      <c r="UY1" s="631" t="str">
        <f>'Artikel-DB'!UY3</f>
        <v>x</v>
      </c>
      <c r="UZ1" s="631" t="str">
        <f>'Artikel-DB'!UZ3</f>
        <v>x</v>
      </c>
      <c r="VA1" s="631" t="str">
        <f>'Artikel-DB'!VA3</f>
        <v>x</v>
      </c>
      <c r="VB1" s="631" t="str">
        <f>'Artikel-DB'!VB3</f>
        <v>x</v>
      </c>
      <c r="VC1" s="631" t="str">
        <f>'Artikel-DB'!VC3</f>
        <v>x</v>
      </c>
      <c r="VD1" s="631" t="str">
        <f>'Artikel-DB'!VD3</f>
        <v>x</v>
      </c>
      <c r="VE1" s="631" t="str">
        <f>'Artikel-DB'!VE3</f>
        <v>x</v>
      </c>
      <c r="VF1" s="631" t="str">
        <f>'Artikel-DB'!VF3</f>
        <v>x</v>
      </c>
      <c r="VG1" s="631" t="str">
        <f>'Artikel-DB'!VG3</f>
        <v>x</v>
      </c>
      <c r="VH1" s="631" t="str">
        <f>'Artikel-DB'!VH3</f>
        <v>x</v>
      </c>
      <c r="VI1" s="631" t="str">
        <f>'Artikel-DB'!VI3</f>
        <v>x</v>
      </c>
      <c r="VJ1" s="631" t="str">
        <f>'Artikel-DB'!VJ3</f>
        <v>x</v>
      </c>
      <c r="VK1" s="631" t="str">
        <f>'Artikel-DB'!VK3</f>
        <v>x</v>
      </c>
      <c r="VL1" s="631" t="str">
        <f>'Artikel-DB'!VL3</f>
        <v>x</v>
      </c>
      <c r="VM1" s="631" t="str">
        <f>'Artikel-DB'!VM3</f>
        <v>x</v>
      </c>
      <c r="VN1" s="631" t="str">
        <f>'Artikel-DB'!VN3</f>
        <v>x</v>
      </c>
      <c r="VO1" s="631" t="str">
        <f>'Artikel-DB'!VO3</f>
        <v>x</v>
      </c>
      <c r="VP1" s="631" t="str">
        <f>'Artikel-DB'!VP3</f>
        <v>x</v>
      </c>
      <c r="VQ1" s="631" t="str">
        <f>'Artikel-DB'!VQ3</f>
        <v>x</v>
      </c>
      <c r="VR1" s="631" t="str">
        <f>'Artikel-DB'!VR3</f>
        <v>x</v>
      </c>
      <c r="VS1" s="631" t="str">
        <f>'Artikel-DB'!VS3</f>
        <v>x</v>
      </c>
      <c r="VT1" s="631" t="str">
        <f>'Artikel-DB'!VT3</f>
        <v>x</v>
      </c>
      <c r="VU1" s="631" t="str">
        <f>'Artikel-DB'!VU3</f>
        <v>x</v>
      </c>
      <c r="VV1" s="631" t="str">
        <f>'Artikel-DB'!VV3</f>
        <v>x</v>
      </c>
      <c r="VW1" s="631" t="str">
        <f>'Artikel-DB'!VW3</f>
        <v>x</v>
      </c>
      <c r="VX1" s="631" t="str">
        <f>'Artikel-DB'!VX3</f>
        <v>x</v>
      </c>
      <c r="VY1" s="631" t="str">
        <f>'Artikel-DB'!VY3</f>
        <v>x</v>
      </c>
      <c r="VZ1" s="631" t="str">
        <f>'Artikel-DB'!VZ3</f>
        <v>x</v>
      </c>
      <c r="WA1" s="631" t="str">
        <f>'Artikel-DB'!WA3</f>
        <v>x</v>
      </c>
      <c r="WB1" s="631" t="str">
        <f>'Artikel-DB'!WB3</f>
        <v>x</v>
      </c>
      <c r="WC1" s="631" t="str">
        <f>'Artikel-DB'!WC3</f>
        <v>x</v>
      </c>
      <c r="WD1" s="631" t="str">
        <f>'Artikel-DB'!WD3</f>
        <v>x</v>
      </c>
      <c r="WE1" s="631" t="str">
        <f>'Artikel-DB'!WE3</f>
        <v>x</v>
      </c>
      <c r="WF1" s="631" t="str">
        <f>'Artikel-DB'!WF3</f>
        <v>x</v>
      </c>
      <c r="WG1" s="631" t="str">
        <f>'Artikel-DB'!WG3</f>
        <v>x</v>
      </c>
      <c r="WH1" s="631" t="str">
        <f>'Artikel-DB'!WH3</f>
        <v>x</v>
      </c>
      <c r="WI1" s="631" t="str">
        <f>'Artikel-DB'!WI3</f>
        <v>x</v>
      </c>
      <c r="WJ1" s="631" t="str">
        <f>'Artikel-DB'!WJ3</f>
        <v>x</v>
      </c>
      <c r="WK1" s="631" t="str">
        <f>'Artikel-DB'!WK3</f>
        <v>x</v>
      </c>
      <c r="WL1" s="631" t="str">
        <f>'Artikel-DB'!WL3</f>
        <v>x</v>
      </c>
      <c r="WM1" s="631" t="str">
        <f>'Artikel-DB'!WM3</f>
        <v>x</v>
      </c>
      <c r="WN1" s="631" t="str">
        <f>'Artikel-DB'!WN3</f>
        <v>x</v>
      </c>
      <c r="WO1" s="631" t="str">
        <f>'Artikel-DB'!WO3</f>
        <v>x</v>
      </c>
      <c r="WP1" s="631" t="str">
        <f>'Artikel-DB'!WP3</f>
        <v>x</v>
      </c>
      <c r="WQ1" s="631" t="str">
        <f>'Artikel-DB'!WQ3</f>
        <v>x</v>
      </c>
      <c r="WR1" s="631" t="str">
        <f>'Artikel-DB'!WR3</f>
        <v>x</v>
      </c>
      <c r="WS1" s="631" t="str">
        <f>'Artikel-DB'!WS3</f>
        <v>x</v>
      </c>
      <c r="WT1" s="631" t="str">
        <f>'Artikel-DB'!WT3</f>
        <v>x</v>
      </c>
      <c r="WU1" s="631" t="str">
        <f>'Artikel-DB'!WU3</f>
        <v>x</v>
      </c>
      <c r="WV1" s="631" t="str">
        <f>'Artikel-DB'!WV3</f>
        <v>x</v>
      </c>
      <c r="WW1" s="631" t="str">
        <f>'Artikel-DB'!WW3</f>
        <v>x</v>
      </c>
      <c r="WX1" s="631" t="str">
        <f>'Artikel-DB'!WX3</f>
        <v>x</v>
      </c>
      <c r="WY1" s="631" t="str">
        <f>'Artikel-DB'!WY3</f>
        <v>x</v>
      </c>
      <c r="WZ1" s="631" t="str">
        <f>'Artikel-DB'!WZ3</f>
        <v>x</v>
      </c>
      <c r="XA1" s="631" t="str">
        <f>'Artikel-DB'!XA3</f>
        <v>x</v>
      </c>
      <c r="XB1" s="631" t="str">
        <f>'Artikel-DB'!XB3</f>
        <v>x</v>
      </c>
      <c r="XC1" s="631" t="str">
        <f>'Artikel-DB'!XC3</f>
        <v>x</v>
      </c>
      <c r="XD1" s="631" t="str">
        <f>'Artikel-DB'!XD3</f>
        <v>x</v>
      </c>
      <c r="XE1" s="631" t="str">
        <f>'Artikel-DB'!XE3</f>
        <v>x</v>
      </c>
      <c r="XF1" s="631" t="str">
        <f>'Artikel-DB'!XF3</f>
        <v>x</v>
      </c>
      <c r="XG1" s="631" t="str">
        <f>'Artikel-DB'!XG3</f>
        <v>x</v>
      </c>
      <c r="XH1" s="631" t="str">
        <f>'Artikel-DB'!XH3</f>
        <v>x</v>
      </c>
      <c r="XI1" s="631" t="str">
        <f>'Artikel-DB'!XI3</f>
        <v>x</v>
      </c>
      <c r="XJ1" s="631" t="str">
        <f>'Artikel-DB'!XJ3</f>
        <v>x</v>
      </c>
      <c r="XK1" s="631" t="str">
        <f>'Artikel-DB'!XK3</f>
        <v>x</v>
      </c>
      <c r="XL1" s="631" t="str">
        <f>'Artikel-DB'!XL3</f>
        <v>x</v>
      </c>
      <c r="XM1" s="631" t="str">
        <f>'Artikel-DB'!XM3</f>
        <v>x</v>
      </c>
      <c r="XN1" s="631" t="str">
        <f>'Artikel-DB'!XN3</f>
        <v>x</v>
      </c>
      <c r="XO1" s="631" t="str">
        <f>'Artikel-DB'!XO3</f>
        <v>x</v>
      </c>
      <c r="XP1" s="631" t="str">
        <f>'Artikel-DB'!XP3</f>
        <v>x</v>
      </c>
      <c r="XQ1" s="631" t="str">
        <f>'Artikel-DB'!XQ3</f>
        <v>x</v>
      </c>
      <c r="XR1" s="631" t="str">
        <f>'Artikel-DB'!XR3</f>
        <v>x</v>
      </c>
      <c r="XS1" s="631" t="str">
        <f>'Artikel-DB'!XS3</f>
        <v>x</v>
      </c>
      <c r="XT1" s="631" t="str">
        <f>'Artikel-DB'!XT3</f>
        <v>x</v>
      </c>
      <c r="XU1" s="631" t="str">
        <f>'Artikel-DB'!XU3</f>
        <v>x</v>
      </c>
      <c r="XV1" s="631" t="str">
        <f>'Artikel-DB'!XV3</f>
        <v>x</v>
      </c>
      <c r="XW1" s="631" t="str">
        <f>'Artikel-DB'!XW3</f>
        <v>x</v>
      </c>
      <c r="XX1" s="631" t="str">
        <f>'Artikel-DB'!XX3</f>
        <v>x</v>
      </c>
      <c r="XY1" s="631" t="str">
        <f>'Artikel-DB'!XY3</f>
        <v>x</v>
      </c>
      <c r="XZ1" s="631" t="str">
        <f>'Artikel-DB'!XZ3</f>
        <v>x</v>
      </c>
      <c r="YA1" s="631" t="str">
        <f>'Artikel-DB'!YA3</f>
        <v>x</v>
      </c>
      <c r="YB1" s="631" t="str">
        <f>'Artikel-DB'!YB3</f>
        <v>x</v>
      </c>
      <c r="YC1" s="631" t="str">
        <f>'Artikel-DB'!YC3</f>
        <v>x</v>
      </c>
      <c r="YD1" s="631" t="str">
        <f>'Artikel-DB'!YD3</f>
        <v>x</v>
      </c>
      <c r="YE1" s="631" t="str">
        <f>'Artikel-DB'!YE3</f>
        <v>x</v>
      </c>
      <c r="YF1" s="631" t="str">
        <f>'Artikel-DB'!YF3</f>
        <v>x</v>
      </c>
      <c r="YG1" s="631" t="str">
        <f>'Artikel-DB'!YG3</f>
        <v>x</v>
      </c>
      <c r="YH1" s="631" t="str">
        <f>'Artikel-DB'!YH3</f>
        <v>x</v>
      </c>
      <c r="YI1" s="631" t="str">
        <f>'Artikel-DB'!YI3</f>
        <v>x</v>
      </c>
      <c r="YJ1" s="631" t="str">
        <f>'Artikel-DB'!YJ3</f>
        <v>x</v>
      </c>
      <c r="YK1" s="631" t="str">
        <f>'Artikel-DB'!YK3</f>
        <v>x</v>
      </c>
      <c r="YL1" s="631" t="str">
        <f>'Artikel-DB'!YL3</f>
        <v>x</v>
      </c>
      <c r="YM1" s="631" t="str">
        <f>'Artikel-DB'!YM3</f>
        <v>x</v>
      </c>
      <c r="YN1" s="631" t="str">
        <f>'Artikel-DB'!YN3</f>
        <v>x</v>
      </c>
      <c r="YO1" s="631" t="str">
        <f>'Artikel-DB'!YO3</f>
        <v>x</v>
      </c>
      <c r="YP1" s="631" t="str">
        <f>'Artikel-DB'!YP3</f>
        <v>x</v>
      </c>
      <c r="YQ1" s="631" t="str">
        <f>'Artikel-DB'!YQ3</f>
        <v>x</v>
      </c>
      <c r="YR1" s="631" t="str">
        <f>'Artikel-DB'!YR3</f>
        <v>x</v>
      </c>
      <c r="YS1" s="631" t="str">
        <f>'Artikel-DB'!YS3</f>
        <v>x</v>
      </c>
      <c r="YT1" s="631" t="str">
        <f>'Artikel-DB'!YT3</f>
        <v>x</v>
      </c>
      <c r="YU1" s="631" t="str">
        <f>'Artikel-DB'!YU3</f>
        <v>x</v>
      </c>
      <c r="YV1" s="631" t="str">
        <f>'Artikel-DB'!YV3</f>
        <v>x</v>
      </c>
      <c r="YW1" s="631" t="str">
        <f>'Artikel-DB'!YW3</f>
        <v>x</v>
      </c>
      <c r="YX1" s="631" t="str">
        <f>'Artikel-DB'!YX3</f>
        <v>x</v>
      </c>
      <c r="YY1" s="631" t="str">
        <f>'Artikel-DB'!YY3</f>
        <v>x</v>
      </c>
      <c r="YZ1" s="631" t="str">
        <f>'Artikel-DB'!YZ3</f>
        <v>x</v>
      </c>
      <c r="ZA1" s="631" t="str">
        <f>'Artikel-DB'!ZA3</f>
        <v>x</v>
      </c>
      <c r="ZB1" s="631" t="str">
        <f>'Artikel-DB'!ZB3</f>
        <v>x</v>
      </c>
      <c r="ZC1" s="631" t="str">
        <f>'Artikel-DB'!ZC3</f>
        <v>x</v>
      </c>
      <c r="ZD1" s="631" t="str">
        <f>'Artikel-DB'!ZD3</f>
        <v>x</v>
      </c>
      <c r="ZE1" s="631" t="str">
        <f>'Artikel-DB'!ZE3</f>
        <v>x</v>
      </c>
      <c r="ZF1" s="631" t="str">
        <f>'Artikel-DB'!ZF3</f>
        <v>x</v>
      </c>
      <c r="ZG1" s="631" t="str">
        <f>'Artikel-DB'!ZG3</f>
        <v>x</v>
      </c>
      <c r="ZH1" s="631" t="str">
        <f>'Artikel-DB'!ZH3</f>
        <v>x</v>
      </c>
      <c r="ZI1" s="631" t="str">
        <f>'Artikel-DB'!ZI3</f>
        <v>x</v>
      </c>
      <c r="ZJ1" s="631" t="str">
        <f>'Artikel-DB'!ZJ3</f>
        <v>x</v>
      </c>
      <c r="ZK1" s="631" t="str">
        <f>'Artikel-DB'!ZK3</f>
        <v>x</v>
      </c>
      <c r="ZL1" s="631" t="str">
        <f>'Artikel-DB'!ZL3</f>
        <v>x</v>
      </c>
      <c r="ZM1" s="631" t="str">
        <f>'Artikel-DB'!ZM3</f>
        <v>x</v>
      </c>
      <c r="ZN1" s="631" t="str">
        <f>'Artikel-DB'!ZN3</f>
        <v>x</v>
      </c>
      <c r="ZO1" s="631" t="str">
        <f>'Artikel-DB'!ZO3</f>
        <v>x</v>
      </c>
      <c r="ZP1" s="631" t="str">
        <f>'Artikel-DB'!ZP3</f>
        <v>x</v>
      </c>
      <c r="ZQ1" s="631" t="str">
        <f>'Artikel-DB'!ZQ3</f>
        <v>x</v>
      </c>
      <c r="ZR1" s="631" t="str">
        <f>'Artikel-DB'!ZR3</f>
        <v>x</v>
      </c>
      <c r="ZS1" s="631" t="str">
        <f>'Artikel-DB'!ZS3</f>
        <v>x</v>
      </c>
      <c r="ZT1" s="631" t="str">
        <f>'Artikel-DB'!ZT3</f>
        <v>x</v>
      </c>
      <c r="ZU1" s="631" t="str">
        <f>'Artikel-DB'!ZU3</f>
        <v>x</v>
      </c>
      <c r="ZV1" s="631" t="str">
        <f>'Artikel-DB'!ZV3</f>
        <v>x</v>
      </c>
      <c r="ZW1" s="631" t="str">
        <f>'Artikel-DB'!ZW3</f>
        <v>x</v>
      </c>
      <c r="ZX1" s="631" t="str">
        <f>'Artikel-DB'!ZX3</f>
        <v>x</v>
      </c>
      <c r="ZY1" s="631" t="str">
        <f>'Artikel-DB'!ZY3</f>
        <v>x</v>
      </c>
      <c r="ZZ1" s="631" t="str">
        <f>'Artikel-DB'!ZZ3</f>
        <v>x</v>
      </c>
    </row>
    <row r="2" spans="1:702" ht="18.75" thickBot="1" x14ac:dyDescent="0.3">
      <c r="A2" s="26"/>
      <c r="B2" s="359" t="s">
        <v>25</v>
      </c>
      <c r="C2" s="360" t="s">
        <v>50</v>
      </c>
      <c r="D2" s="361" t="s">
        <v>84</v>
      </c>
      <c r="E2" s="362" t="s">
        <v>60</v>
      </c>
      <c r="F2" s="363"/>
      <c r="G2" s="364" t="b">
        <f>$L$2=Auswahlfelder!$D$3</f>
        <v>1</v>
      </c>
      <c r="H2" s="124"/>
      <c r="I2" s="365" t="s">
        <v>51</v>
      </c>
      <c r="J2" s="366" t="s">
        <v>229</v>
      </c>
      <c r="K2" s="367"/>
      <c r="L2" s="822" t="s">
        <v>92</v>
      </c>
      <c r="M2" s="371"/>
      <c r="N2" s="372"/>
      <c r="O2" s="821" t="str">
        <f>IF(Deutsch,"Kokillenguss","die casting")</f>
        <v>Kokillenguss</v>
      </c>
      <c r="P2" s="7"/>
      <c r="Q2" s="7"/>
      <c r="R2" s="365" t="str">
        <f>IF(Deutsch,"Siemens Standort","Siemens site")</f>
        <v>Siemens Standort</v>
      </c>
      <c r="S2" s="875" t="s">
        <v>229</v>
      </c>
      <c r="T2" s="7"/>
      <c r="U2" s="368" t="s">
        <v>515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792" t="str">
        <f>IF($G$2,"Version ","release ")</f>
        <v xml:space="preserve">Version </v>
      </c>
      <c r="AB2" s="37"/>
      <c r="AC2" s="802" t="s">
        <v>33</v>
      </c>
    </row>
    <row r="3" spans="1:702" ht="15" thickBot="1" x14ac:dyDescent="0.25">
      <c r="A3" s="26"/>
      <c r="B3" s="319"/>
      <c r="C3" s="317" t="s">
        <v>71</v>
      </c>
      <c r="D3" s="317" t="s">
        <v>506</v>
      </c>
      <c r="E3" s="328" t="s">
        <v>55</v>
      </c>
      <c r="F3" s="329" t="s">
        <v>56</v>
      </c>
      <c r="G3" s="267"/>
      <c r="H3" s="3"/>
      <c r="I3" s="255" t="str">
        <f>IF(Deutsch,C3,D3)</f>
        <v>Bearbeiter</v>
      </c>
      <c r="J3" s="258" t="s">
        <v>229</v>
      </c>
      <c r="K3" s="10"/>
      <c r="L3" s="751" t="s">
        <v>864</v>
      </c>
      <c r="M3" s="128"/>
      <c r="N3" s="128"/>
      <c r="O3" s="4"/>
      <c r="P3" s="10"/>
      <c r="Q3" s="10"/>
      <c r="R3" s="255" t="str">
        <f>IF(Deutsch,"Lieferant","supplier")</f>
        <v>Lieferant</v>
      </c>
      <c r="S3" s="876" t="s">
        <v>229</v>
      </c>
      <c r="T3" s="4"/>
      <c r="U3" s="189" t="s">
        <v>902</v>
      </c>
      <c r="V3" s="4"/>
      <c r="W3" s="4"/>
      <c r="X3" s="613" t="s">
        <v>849</v>
      </c>
      <c r="Y3" s="10"/>
      <c r="Z3" s="4"/>
      <c r="AA3" s="804" t="s">
        <v>951</v>
      </c>
      <c r="AB3" s="805"/>
      <c r="AC3" s="802" t="s">
        <v>33</v>
      </c>
    </row>
    <row r="4" spans="1:702" ht="15" thickBot="1" x14ac:dyDescent="0.25">
      <c r="A4" s="26"/>
      <c r="B4" s="319"/>
      <c r="C4" s="318" t="s">
        <v>72</v>
      </c>
      <c r="D4" s="318" t="s">
        <v>74</v>
      </c>
      <c r="E4" s="268"/>
      <c r="F4" s="330"/>
      <c r="G4" s="447">
        <f ca="1">TODAY()</f>
        <v>44629</v>
      </c>
      <c r="H4" s="125"/>
      <c r="I4" s="255" t="str">
        <f>IF(Deutsch,C4,D4)</f>
        <v>Datum</v>
      </c>
      <c r="J4" s="257" t="s">
        <v>229</v>
      </c>
      <c r="K4" s="34">
        <f ca="1">TODAY()</f>
        <v>44629</v>
      </c>
      <c r="L4" s="454">
        <v>43993</v>
      </c>
      <c r="M4" s="129"/>
      <c r="N4" s="129"/>
      <c r="O4" s="378" t="str">
        <f>IF(Deutsch,"Alle löschen","delete all")</f>
        <v>Alle löschen</v>
      </c>
      <c r="P4" s="25"/>
      <c r="Q4" s="25"/>
      <c r="R4" s="255" t="str">
        <f>IF(Deutsch,"Werk","plant")</f>
        <v>Werk</v>
      </c>
      <c r="S4" s="876" t="s">
        <v>229</v>
      </c>
      <c r="T4" s="10"/>
      <c r="U4" s="189" t="s">
        <v>904</v>
      </c>
      <c r="V4" s="4"/>
      <c r="W4" s="4"/>
      <c r="X4" s="186" t="b">
        <f>ISERROR('Artikel-DB'!$B$2)</f>
        <v>0</v>
      </c>
      <c r="Y4" s="10"/>
      <c r="Z4" s="4"/>
      <c r="AA4" s="806" t="s">
        <v>977</v>
      </c>
      <c r="AB4" s="803"/>
      <c r="AC4" s="802" t="s">
        <v>33</v>
      </c>
    </row>
    <row r="5" spans="1:702" ht="15" thickBot="1" x14ac:dyDescent="0.25">
      <c r="A5" s="26"/>
      <c r="B5" s="319"/>
      <c r="C5" s="318" t="s">
        <v>7</v>
      </c>
      <c r="D5" s="318" t="s">
        <v>75</v>
      </c>
      <c r="E5" s="268"/>
      <c r="F5" s="330"/>
      <c r="G5" s="240" t="s">
        <v>49</v>
      </c>
      <c r="H5" s="12"/>
      <c r="I5" s="256" t="str">
        <f>IF(Deutsch,C5,D5)</f>
        <v>Währung</v>
      </c>
      <c r="J5" s="259" t="s">
        <v>229</v>
      </c>
      <c r="K5" s="4"/>
      <c r="L5" s="452" t="s">
        <v>49</v>
      </c>
      <c r="M5" s="131"/>
      <c r="N5" s="131"/>
      <c r="O5" s="13"/>
      <c r="P5" s="127"/>
      <c r="Q5" s="127"/>
      <c r="R5" s="255" t="str">
        <f>IF(Deutsch,"Ansprechpartner","contact person")</f>
        <v>Ansprechpartner</v>
      </c>
      <c r="S5" s="877" t="s">
        <v>229</v>
      </c>
      <c r="T5" s="10"/>
      <c r="U5" s="1133" t="s">
        <v>903</v>
      </c>
      <c r="V5" s="4"/>
      <c r="W5" s="4"/>
      <c r="X5" s="1134" t="b">
        <f>X4</f>
        <v>0</v>
      </c>
      <c r="Y5" s="4"/>
      <c r="Z5" s="4"/>
      <c r="AA5" s="1164" t="s">
        <v>952</v>
      </c>
      <c r="AB5" s="793"/>
      <c r="AC5" s="802" t="s">
        <v>33</v>
      </c>
    </row>
    <row r="6" spans="1:702" ht="15" customHeight="1" thickBot="1" x14ac:dyDescent="0.25">
      <c r="A6" s="26"/>
      <c r="B6" s="319"/>
      <c r="C6" s="318" t="s">
        <v>93</v>
      </c>
      <c r="D6" s="318" t="s">
        <v>241</v>
      </c>
      <c r="E6" s="268"/>
      <c r="F6" s="330"/>
      <c r="G6" s="41"/>
      <c r="H6" s="124"/>
      <c r="I6" s="7"/>
      <c r="J6" s="227"/>
      <c r="K6" s="228"/>
      <c r="L6" s="380" t="str">
        <f>IF(Deutsch,"Neu","new")</f>
        <v>Neu</v>
      </c>
      <c r="M6" s="229"/>
      <c r="N6" s="229"/>
      <c r="O6" s="381" t="str">
        <f>IF(Deutsch,$C6,$D6)</f>
        <v>S1 übernehmen</v>
      </c>
      <c r="P6" s="229"/>
      <c r="Q6" s="229"/>
      <c r="R6" s="382" t="str">
        <f>IF(Deutsch,$C6,$D6)</f>
        <v>S1 übernehmen</v>
      </c>
      <c r="S6" s="229"/>
      <c r="T6" s="805"/>
    </row>
    <row r="7" spans="1:702" ht="16.5" customHeight="1" thickBot="1" x14ac:dyDescent="0.3">
      <c r="A7" s="26"/>
      <c r="B7" s="319"/>
      <c r="C7" s="318" t="s">
        <v>233</v>
      </c>
      <c r="D7" s="318" t="s">
        <v>250</v>
      </c>
      <c r="E7" s="268"/>
      <c r="F7" s="330"/>
      <c r="G7" s="269" t="s">
        <v>76</v>
      </c>
      <c r="H7" s="17"/>
      <c r="I7" s="23" t="str">
        <f>IF($G$2,C7,D7)</f>
        <v>Bauteildaten</v>
      </c>
      <c r="J7" s="4"/>
      <c r="K7" s="4"/>
      <c r="L7" s="370" t="s">
        <v>169</v>
      </c>
      <c r="M7" s="38"/>
      <c r="N7" s="38"/>
      <c r="O7" s="369" t="s">
        <v>170</v>
      </c>
      <c r="P7" s="4"/>
      <c r="Q7" s="4"/>
      <c r="R7" s="369" t="s">
        <v>171</v>
      </c>
      <c r="S7" s="1130"/>
      <c r="T7" s="805"/>
      <c r="AB7" s="4"/>
      <c r="AC7" s="1132" t="s">
        <v>33</v>
      </c>
    </row>
    <row r="8" spans="1:702" ht="13.5" customHeight="1" thickBot="1" x14ac:dyDescent="0.25">
      <c r="A8" s="26"/>
      <c r="B8" s="319"/>
      <c r="C8" s="318" t="s">
        <v>90</v>
      </c>
      <c r="D8" s="318" t="s">
        <v>59</v>
      </c>
      <c r="E8" s="268"/>
      <c r="F8" s="330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R8</f>
        <v>58622</v>
      </c>
      <c r="T8" s="805"/>
      <c r="AB8" s="108">
        <f>AA$8</f>
        <v>0</v>
      </c>
      <c r="AC8" s="4" t="s">
        <v>33</v>
      </c>
    </row>
    <row r="9" spans="1:702" ht="15" thickBot="1" x14ac:dyDescent="0.25">
      <c r="A9" s="26"/>
      <c r="B9" s="319"/>
      <c r="C9" s="318" t="s">
        <v>32</v>
      </c>
      <c r="D9" s="318" t="s">
        <v>34</v>
      </c>
      <c r="E9" s="268"/>
      <c r="F9" s="330"/>
      <c r="G9" s="42" t="s">
        <v>69</v>
      </c>
      <c r="H9" s="17"/>
      <c r="I9" s="18" t="str">
        <f>IF($G$2,C9,D9)</f>
        <v>Bezeichnung</v>
      </c>
      <c r="J9" s="18"/>
      <c r="K9" s="104"/>
      <c r="L9" s="294" t="s">
        <v>910</v>
      </c>
      <c r="M9" s="104" t="str">
        <f>L$9</f>
        <v>Housing</v>
      </c>
      <c r="N9" s="104"/>
      <c r="O9" s="52" t="s">
        <v>910</v>
      </c>
      <c r="P9" s="104" t="str">
        <f>O$9</f>
        <v>Housing</v>
      </c>
      <c r="Q9" s="104"/>
      <c r="R9" s="52" t="s">
        <v>910</v>
      </c>
      <c r="S9" s="104" t="str">
        <f>R$9</f>
        <v>Housing</v>
      </c>
      <c r="T9" s="805"/>
      <c r="AB9" s="104">
        <f>AA$9</f>
        <v>0</v>
      </c>
      <c r="AC9" s="4" t="s">
        <v>33</v>
      </c>
    </row>
    <row r="10" spans="1:702" ht="15" thickBot="1" x14ac:dyDescent="0.25">
      <c r="A10" s="26"/>
      <c r="B10" s="320">
        <v>1</v>
      </c>
      <c r="C10" s="318" t="s">
        <v>28</v>
      </c>
      <c r="D10" s="318" t="s">
        <v>168</v>
      </c>
      <c r="E10" s="268"/>
      <c r="F10" s="330"/>
      <c r="G10" s="823" t="str">
        <f>'Material-DB'!$B$1</f>
        <v>EN AC-43100</v>
      </c>
      <c r="H10" s="17"/>
      <c r="I10" s="18" t="str">
        <f t="shared" ref="I10:I26" si="0">IF($G$2,C10,D10)</f>
        <v>AL-Materialart</v>
      </c>
      <c r="J10" s="18"/>
      <c r="K10" s="104"/>
      <c r="L10" s="290" t="s">
        <v>335</v>
      </c>
      <c r="M10" s="104" t="str">
        <f>IF(L$10=0,$G10,IF(L$10=" ",$G10,L$10))</f>
        <v>EN AC-46100</v>
      </c>
      <c r="N10" s="104"/>
      <c r="O10" s="47" t="s">
        <v>303</v>
      </c>
      <c r="P10" s="104" t="str">
        <f>IF(O$10=0,$G10,IF(O$10=" ",$G10,O$10))</f>
        <v>EN AC-43100</v>
      </c>
      <c r="Q10" s="104"/>
      <c r="R10" s="47" t="s">
        <v>303</v>
      </c>
      <c r="S10" s="104" t="str">
        <f>IF(R$10=0,$G10,IF(R$10=" ",$G10,R$10))</f>
        <v>EN AC-43100</v>
      </c>
      <c r="T10" s="805"/>
    </row>
    <row r="11" spans="1:702" ht="15" thickBot="1" x14ac:dyDescent="0.25">
      <c r="A11" s="26"/>
      <c r="B11" s="319" t="s">
        <v>82</v>
      </c>
      <c r="C11" s="318" t="s">
        <v>32</v>
      </c>
      <c r="D11" s="318" t="s">
        <v>35</v>
      </c>
      <c r="E11" s="268"/>
      <c r="F11" s="330"/>
      <c r="G11" s="238"/>
      <c r="H11" s="17"/>
      <c r="I11" s="20" t="str">
        <f t="shared" si="0"/>
        <v>Bezeichnung</v>
      </c>
      <c r="J11" s="130"/>
      <c r="K11" s="826" t="str">
        <f>CONCATENATE(M11,"  ",IFERROR(VLOOKUP(M$10,DB_Material,4,FALSE),""))</f>
        <v>Al Si10Cu2(Fe)  LM2, L-2640</v>
      </c>
      <c r="L11" s="633"/>
      <c r="M11" s="105" t="str">
        <f>IF(ISERROR(VLOOKUP(M$10,DB_Material,2,FALSE)),L11,VLOOKUP(M$10,DB_Material,2,FALSE))</f>
        <v>Al Si10Cu2(Fe)</v>
      </c>
      <c r="N11" s="826" t="str">
        <f>CONCATENATE(P11,"  ",IFERROR(VLOOKUP(P$10,DB_Material,4,FALSE),""))</f>
        <v>Al Si10Mg(b)  L239 (b)</v>
      </c>
      <c r="O11" s="633"/>
      <c r="P11" s="105" t="str">
        <f>IF(ISERROR(VLOOKUP(P$10,DB_Material,2,FALSE)),O11,VLOOKUP(P$10,DB_Material,2,FALSE))</f>
        <v>Al Si10Mg(b)</v>
      </c>
      <c r="Q11" s="826" t="str">
        <f>CONCATENATE(S11,"  ",IFERROR(VLOOKUP(S$10,DB_Material,4,FALSE),""))</f>
        <v>Al Si10Mg(b)  L239 (b)</v>
      </c>
      <c r="R11" s="633"/>
      <c r="S11" s="1131" t="str">
        <f>IF(ISERROR(VLOOKUP(S$10,DB_Material,2,FALSE)),S11,VLOOKUP(S$10,DB_Material,2,FALSE))</f>
        <v>Al Si10Mg(b)</v>
      </c>
      <c r="T11" s="805"/>
      <c r="V11" t="s">
        <v>33</v>
      </c>
    </row>
    <row r="12" spans="1:702" ht="15" thickBot="1" x14ac:dyDescent="0.25">
      <c r="A12" s="26"/>
      <c r="B12" s="320" t="s">
        <v>83</v>
      </c>
      <c r="C12" s="318" t="s">
        <v>29</v>
      </c>
      <c r="D12" s="318" t="s">
        <v>89</v>
      </c>
      <c r="E12" s="268"/>
      <c r="F12" s="330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0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805"/>
      <c r="V12" t="s">
        <v>33</v>
      </c>
    </row>
    <row r="13" spans="1:702" ht="15" thickBot="1" x14ac:dyDescent="0.25">
      <c r="A13" s="26"/>
      <c r="B13" s="320">
        <v>36</v>
      </c>
      <c r="C13" s="318" t="s">
        <v>757</v>
      </c>
      <c r="D13" s="318" t="s">
        <v>758</v>
      </c>
      <c r="E13" s="331">
        <f>MIN('Material-DB'!C4:C37)*0.7</f>
        <v>1.4069999999999998</v>
      </c>
      <c r="F13" s="332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70" t="str">
        <f>TEXT(M13,"0,000")</f>
        <v>2,000</v>
      </c>
      <c r="L13" s="291">
        <f>'LME ALu-Alloy'!I19</f>
        <v>2.0002526724975707</v>
      </c>
      <c r="M13" s="107">
        <f>IF(M$12=Auswahlfelder!$D$12,L$13,VLOOKUP(M$10,DB_Material,3,FALSE))</f>
        <v>2.0002526724975707</v>
      </c>
      <c r="N13" s="473" t="str">
        <f>TEXT(P13,"0,000")</f>
        <v>1,967</v>
      </c>
      <c r="O13" s="291">
        <v>1.9670528580208975</v>
      </c>
      <c r="P13" s="107">
        <f>IF(P$12=Auswahlfelder!$D$12,O$13,VLOOKUP(P$10,DB_Material,3,FALSE))</f>
        <v>1.9670528580208975</v>
      </c>
      <c r="Q13" s="473" t="str">
        <f t="shared" ref="Q13" si="1">TEXT(S13,"0,000")</f>
        <v>1,967</v>
      </c>
      <c r="R13" s="291">
        <v>1.9670528580208975</v>
      </c>
      <c r="S13" s="107">
        <f>IF(S$12=Auswahlfelder!$D$12,R$13,VLOOKUP(S$10,DB_Material,3,FALSE))</f>
        <v>1.9670528580208975</v>
      </c>
      <c r="T13" s="805"/>
      <c r="V13" t="s">
        <v>33</v>
      </c>
    </row>
    <row r="14" spans="1:702" ht="15.75" thickBot="1" x14ac:dyDescent="0.3">
      <c r="A14" s="26"/>
      <c r="B14" s="320">
        <v>6</v>
      </c>
      <c r="C14" s="318" t="s">
        <v>40</v>
      </c>
      <c r="D14" s="318" t="s">
        <v>36</v>
      </c>
      <c r="E14" s="333">
        <v>40</v>
      </c>
      <c r="F14" s="334">
        <v>3000</v>
      </c>
      <c r="G14" s="42" t="s">
        <v>69</v>
      </c>
      <c r="H14" s="17"/>
      <c r="I14" s="514" t="str">
        <f t="shared" si="0"/>
        <v>Länge (mm)</v>
      </c>
      <c r="J14" s="18"/>
      <c r="K14" s="104"/>
      <c r="L14" s="295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805"/>
      <c r="V14" t="s">
        <v>33</v>
      </c>
    </row>
    <row r="15" spans="1:702" ht="15.75" thickBot="1" x14ac:dyDescent="0.3">
      <c r="A15" s="26"/>
      <c r="B15" s="320">
        <v>29</v>
      </c>
      <c r="C15" s="318" t="s">
        <v>39</v>
      </c>
      <c r="D15" s="318" t="s">
        <v>37</v>
      </c>
      <c r="E15" s="333">
        <v>40</v>
      </c>
      <c r="F15" s="334">
        <v>1600</v>
      </c>
      <c r="G15" s="42" t="s">
        <v>69</v>
      </c>
      <c r="H15" s="17"/>
      <c r="I15" s="514" t="str">
        <f t="shared" si="0"/>
        <v>Breite (mm)</v>
      </c>
      <c r="J15" s="18"/>
      <c r="K15" s="104"/>
      <c r="L15" s="295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805"/>
      <c r="V15" t="s">
        <v>33</v>
      </c>
    </row>
    <row r="16" spans="1:702" ht="15.75" thickBot="1" x14ac:dyDescent="0.3">
      <c r="A16" s="26"/>
      <c r="B16" s="320">
        <v>33</v>
      </c>
      <c r="C16" s="318" t="s">
        <v>383</v>
      </c>
      <c r="D16" s="318" t="s">
        <v>384</v>
      </c>
      <c r="E16" s="333">
        <v>20</v>
      </c>
      <c r="F16" s="334">
        <v>1000</v>
      </c>
      <c r="G16" s="42" t="s">
        <v>69</v>
      </c>
      <c r="H16" s="17"/>
      <c r="I16" s="514" t="str">
        <f t="shared" si="0"/>
        <v>Höhe (mm)</v>
      </c>
      <c r="J16" s="18"/>
      <c r="K16" s="104"/>
      <c r="L16" s="295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805"/>
      <c r="V16" t="s">
        <v>33</v>
      </c>
    </row>
    <row r="17" spans="1:22" ht="15.75" thickBot="1" x14ac:dyDescent="0.3">
      <c r="A17" s="26"/>
      <c r="B17" s="320">
        <v>12</v>
      </c>
      <c r="C17" s="318" t="s">
        <v>38</v>
      </c>
      <c r="D17" s="318" t="s">
        <v>41</v>
      </c>
      <c r="E17" s="333">
        <v>8</v>
      </c>
      <c r="F17" s="334">
        <v>60</v>
      </c>
      <c r="G17" s="42" t="s">
        <v>69</v>
      </c>
      <c r="H17" s="17"/>
      <c r="I17" s="514" t="str">
        <f t="shared" si="0"/>
        <v>Wandstärke max (mm)</v>
      </c>
      <c r="J17" s="18"/>
      <c r="K17" s="106"/>
      <c r="L17" s="471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805"/>
      <c r="V17" t="s">
        <v>33</v>
      </c>
    </row>
    <row r="18" spans="1:22" ht="15.75" thickBot="1" x14ac:dyDescent="0.3">
      <c r="A18" s="26"/>
      <c r="B18" s="320">
        <v>14</v>
      </c>
      <c r="C18" s="318" t="s">
        <v>80</v>
      </c>
      <c r="D18" s="318" t="s">
        <v>81</v>
      </c>
      <c r="E18" s="333">
        <v>5</v>
      </c>
      <c r="F18" s="334">
        <v>45</v>
      </c>
      <c r="G18" s="42" t="s">
        <v>69</v>
      </c>
      <c r="H18" s="17"/>
      <c r="I18" s="514" t="str">
        <f t="shared" si="0"/>
        <v>Wandstärke min (mm)</v>
      </c>
      <c r="J18" s="18"/>
      <c r="K18" s="107"/>
      <c r="L18" s="472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805"/>
      <c r="V18" t="s">
        <v>33</v>
      </c>
    </row>
    <row r="19" spans="1:22" ht="15.75" thickBot="1" x14ac:dyDescent="0.3">
      <c r="A19" s="26"/>
      <c r="B19" s="320">
        <v>2</v>
      </c>
      <c r="C19" s="318" t="s">
        <v>361</v>
      </c>
      <c r="D19" s="318" t="s">
        <v>362</v>
      </c>
      <c r="E19" s="333">
        <v>0.2</v>
      </c>
      <c r="F19" s="334">
        <v>700</v>
      </c>
      <c r="G19" s="42" t="s">
        <v>69</v>
      </c>
      <c r="H19" s="17"/>
      <c r="I19" s="514" t="str">
        <f>IF($G$2,C19,D19)</f>
        <v>Rohteilgewicht AL (kg)</v>
      </c>
      <c r="J19" s="18"/>
      <c r="K19" s="108">
        <f>0.9*Parametrikber!F$43</f>
        <v>97.2</v>
      </c>
      <c r="L19" s="490">
        <v>40</v>
      </c>
      <c r="M19" s="107">
        <f>L$19</f>
        <v>40</v>
      </c>
      <c r="N19" s="108">
        <f>0.9*Parametrikber!I$43</f>
        <v>87.674400000000006</v>
      </c>
      <c r="O19" s="491">
        <v>5</v>
      </c>
      <c r="P19" s="107">
        <f>O$19</f>
        <v>5</v>
      </c>
      <c r="Q19" s="108">
        <f>0.9*Parametrikber!L$43</f>
        <v>87.674400000000006</v>
      </c>
      <c r="R19" s="491">
        <v>5</v>
      </c>
      <c r="S19" s="107">
        <f>R$19</f>
        <v>5</v>
      </c>
      <c r="T19" s="805"/>
      <c r="V19" t="s">
        <v>33</v>
      </c>
    </row>
    <row r="20" spans="1:22" ht="15.75" thickBot="1" x14ac:dyDescent="0.3">
      <c r="A20" s="26"/>
      <c r="B20" s="319" t="s">
        <v>121</v>
      </c>
      <c r="C20" s="318" t="s">
        <v>186</v>
      </c>
      <c r="D20" s="318" t="s">
        <v>48</v>
      </c>
      <c r="E20" s="333"/>
      <c r="F20" s="334"/>
      <c r="G20" s="238"/>
      <c r="H20" s="17"/>
      <c r="I20" s="515" t="str">
        <f t="shared" si="0"/>
        <v>Bauteilvolumen (cm³)</v>
      </c>
      <c r="J20" s="18"/>
      <c r="K20" s="260" t="str">
        <f>TEXT(M20,"0.0")</f>
        <v>14.815</v>
      </c>
      <c r="L20" s="292"/>
      <c r="M20" s="235">
        <f>IF(M$19&lt;&gt;"?",M$19*1000/VLOOKUP(M$10,DB_Material,5,FALSE),0)</f>
        <v>14814.814814814814</v>
      </c>
      <c r="N20" s="261" t="str">
        <f>TEXT(P20,"0.0")</f>
        <v>1.848</v>
      </c>
      <c r="O20" s="234"/>
      <c r="P20" s="235">
        <f>IF(P$19&lt;&gt;"?",P$19*1000/VLOOKUP(P$10,DB_Material,5,FALSE),0)</f>
        <v>1847.7457501847746</v>
      </c>
      <c r="Q20" s="261" t="str">
        <f>TEXT(S20,"0.0")</f>
        <v>1.848</v>
      </c>
      <c r="R20" s="234"/>
      <c r="S20" s="235">
        <f>IF(S$19&lt;&gt;"?",S$19*1000/VLOOKUP(S$10,'Material-DB'!$A$4:$F$37,5,FALSE),0)</f>
        <v>1847.7457501847746</v>
      </c>
      <c r="T20" s="805"/>
      <c r="V20" t="s">
        <v>33</v>
      </c>
    </row>
    <row r="21" spans="1:22" ht="15.75" thickBot="1" x14ac:dyDescent="0.3">
      <c r="A21" s="26"/>
      <c r="B21" s="320">
        <v>8</v>
      </c>
      <c r="C21" s="318" t="s">
        <v>26</v>
      </c>
      <c r="D21" s="318" t="s">
        <v>414</v>
      </c>
      <c r="E21" s="333"/>
      <c r="F21" s="334"/>
      <c r="G21" s="43" t="str">
        <f>INDEX(AW_Bauteilkomplexität,Auswahlfelder!C15,1)</f>
        <v>mäßig</v>
      </c>
      <c r="H21" s="17"/>
      <c r="I21" s="514" t="str">
        <f t="shared" si="0"/>
        <v>Bauteilkomplexität</v>
      </c>
      <c r="J21" s="39"/>
      <c r="K21" s="104" t="e">
        <f>VLOOKUP(L21,Auswahlfelder!$B$16:$C$19,2,FALSE)</f>
        <v>#N/A</v>
      </c>
      <c r="L21" s="294" t="s">
        <v>406</v>
      </c>
      <c r="M21" s="104" t="str">
        <f>IFERROR(VLOOKUP(L$21,Auswahlfelder!$D$16:$D$19,1,FALSE),VLOOKUP(L$21,Auswahlfelder!$C$16:$D$19,2,FALSE))</f>
        <v>schwierig</v>
      </c>
      <c r="N21" s="104"/>
      <c r="O21" s="52" t="s">
        <v>406</v>
      </c>
      <c r="P21" s="104" t="str">
        <f>IFERROR(VLOOKUP(O$21,Auswahlfelder!$D$16:$D$19,1,FALSE),VLOOKUP(O$21,Auswahlfelder!$C$16:$D$19,2,FALSE))</f>
        <v>schwierig</v>
      </c>
      <c r="Q21" s="104"/>
      <c r="R21" s="52" t="s">
        <v>400</v>
      </c>
      <c r="S21" s="104" t="str">
        <f>IFERROR(VLOOKUP(R$21,Auswahlfelder!$D$16:$D$19,1,FALSE),VLOOKUP(R$21,Auswahlfelder!$C$16:$D$19,2,FALSE))</f>
        <v>mäßig</v>
      </c>
      <c r="T21" s="805"/>
      <c r="V21" t="s">
        <v>33</v>
      </c>
    </row>
    <row r="22" spans="1:22" ht="15.75" thickBot="1" x14ac:dyDescent="0.3">
      <c r="A22" s="26"/>
      <c r="B22" s="320">
        <v>7</v>
      </c>
      <c r="C22" s="318" t="s">
        <v>959</v>
      </c>
      <c r="D22" s="318" t="s">
        <v>960</v>
      </c>
      <c r="E22" s="333"/>
      <c r="F22" s="334"/>
      <c r="G22" s="42" t="str">
        <f>INDEX(AW_Gusstechnik,Auswahlfelder!C35,1)</f>
        <v>Schwerkaft</v>
      </c>
      <c r="H22" s="17"/>
      <c r="I22" s="514" t="str">
        <f>IF($G$2,C22,D22)</f>
        <v>Giesstechnik</v>
      </c>
      <c r="J22" s="607"/>
      <c r="K22" s="104" t="e">
        <f>IF(K$32=$G32,0,L22)</f>
        <v>#N/A</v>
      </c>
      <c r="L22" s="518" t="s">
        <v>956</v>
      </c>
      <c r="M22" s="104" t="str">
        <f>IFERROR(VLOOKUP(L$22,Auswahlfelder!$D$36:$D$38,1,FALSE),VLOOKUP(L$22,Auswahlfelder!$C$36:$D$38,2,FALSE))</f>
        <v>Niederdruck</v>
      </c>
      <c r="N22" s="104"/>
      <c r="O22" s="507" t="s">
        <v>956</v>
      </c>
      <c r="P22" s="104" t="str">
        <f>IFERROR(VLOOKUP(O$22,Auswahlfelder!$D$36:$D$38,1,FALSE),VLOOKUP(O$22,Auswahlfelder!$C$36:$D$38,2,FALSE))</f>
        <v>Niederdruck</v>
      </c>
      <c r="Q22" s="104"/>
      <c r="R22" s="507" t="s">
        <v>958</v>
      </c>
      <c r="S22" s="104" t="str">
        <f>IFERROR(VLOOKUP(R$22,Auswahlfelder!$D$36:$D$38,1,FALSE),VLOOKUP(R$22,Auswahlfelder!$C$36:$D$38,2,FALSE))</f>
        <v>Schwerkaft</v>
      </c>
      <c r="T22" s="805"/>
      <c r="V22" t="s">
        <v>33</v>
      </c>
    </row>
    <row r="23" spans="1:22" ht="15.75" thickBot="1" x14ac:dyDescent="0.3">
      <c r="A23" s="26"/>
      <c r="B23" s="508" t="s">
        <v>412</v>
      </c>
      <c r="C23" s="318" t="s">
        <v>3</v>
      </c>
      <c r="D23" s="318" t="s">
        <v>927</v>
      </c>
      <c r="E23" s="333"/>
      <c r="F23" s="334"/>
      <c r="G23" s="43" t="str">
        <f>INDEX(AW_Einlegekerne,Auswahlfelder!C48,1)</f>
        <v>ohne</v>
      </c>
      <c r="H23" s="17"/>
      <c r="I23" s="514" t="str">
        <f t="shared" si="0"/>
        <v>Automatisierungsgrad</v>
      </c>
      <c r="J23" s="39"/>
      <c r="K23" s="104"/>
      <c r="L23" s="294" t="s">
        <v>963</v>
      </c>
      <c r="M23" s="104" t="str">
        <f>IFERROR(VLOOKUP(L$23,Auswahlfelder!$D$81:$D$87,1,FALSE),VLOOKUP(L$23,Auswahlfelder!$C$81:$D$87,2,FALSE))</f>
        <v>Dosiergerät</v>
      </c>
      <c r="N23" s="104"/>
      <c r="O23" s="294" t="s">
        <v>964</v>
      </c>
      <c r="P23" s="104" t="str">
        <f>IFERROR(VLOOKUP(O$23,Auswahlfelder!$D$81:$D$87,1,FALSE),VLOOKUP(O$23,Auswahlfelder!$C$81:$D$87,2,FALSE))</f>
        <v>Dosiergerät</v>
      </c>
      <c r="Q23" s="104"/>
      <c r="R23" s="294" t="s">
        <v>966</v>
      </c>
      <c r="S23" s="104" t="str">
        <f>IFERROR(VLOOKUP(R$23,Auswahlfelder!$D$81:$D$87,1,FALSE),VLOOKUP(R$23,Auswahlfelder!$C$81:$D$87,2,FALSE))</f>
        <v>Entnahmegerät</v>
      </c>
      <c r="T23" s="805"/>
      <c r="V23" t="s">
        <v>33</v>
      </c>
    </row>
    <row r="24" spans="1:22" ht="15.75" thickBot="1" x14ac:dyDescent="0.3">
      <c r="A24" s="26"/>
      <c r="B24" s="508"/>
      <c r="C24" s="318" t="s">
        <v>975</v>
      </c>
      <c r="D24" s="318" t="s">
        <v>976</v>
      </c>
      <c r="E24" s="333"/>
      <c r="F24" s="334"/>
      <c r="G24" s="43"/>
      <c r="H24" s="17"/>
      <c r="I24" s="514" t="str">
        <f t="shared" si="0"/>
        <v>Art Einlegekerne</v>
      </c>
      <c r="J24" s="39"/>
      <c r="K24" s="104"/>
      <c r="L24" s="294" t="s">
        <v>371</v>
      </c>
      <c r="M24" s="104"/>
      <c r="N24" s="104"/>
      <c r="O24" s="294" t="s">
        <v>371</v>
      </c>
      <c r="P24" s="104"/>
      <c r="Q24" s="104"/>
      <c r="R24" s="294" t="s">
        <v>371</v>
      </c>
      <c r="S24" s="104"/>
      <c r="T24" s="805"/>
    </row>
    <row r="25" spans="1:22" ht="15.75" thickBot="1" x14ac:dyDescent="0.3">
      <c r="A25" s="26"/>
      <c r="B25" s="320">
        <v>11</v>
      </c>
      <c r="C25" s="318" t="s">
        <v>720</v>
      </c>
      <c r="D25" s="318" t="s">
        <v>719</v>
      </c>
      <c r="E25" s="333"/>
      <c r="F25" s="334"/>
      <c r="G25" s="43" t="str">
        <f>INDEX(AW_Kernschiessen,Auswahlfelder!C53,1)</f>
        <v>Cold Box</v>
      </c>
      <c r="H25" s="17"/>
      <c r="I25" s="514" t="str">
        <f t="shared" si="0"/>
        <v>Kernherstellverfahren</v>
      </c>
      <c r="J25" s="39"/>
      <c r="K25" s="104"/>
      <c r="L25" s="290" t="s">
        <v>718</v>
      </c>
      <c r="M25" s="104" t="str">
        <f>IFERROR(VLOOKUP(L$25,Auswahlfelder!$D$54:$D$57,1,FALSE),VLOOKUP(L$25,Auswahlfelder!$C$54:$D$57,2,FALSE))</f>
        <v>BeachBox</v>
      </c>
      <c r="N25" s="104"/>
      <c r="O25" s="47" t="s">
        <v>714</v>
      </c>
      <c r="P25" s="104" t="str">
        <f>IFERROR(VLOOKUP(O$25,Auswahlfelder!$D$54:$D$57,1,FALSE),VLOOKUP(O$25,Auswahlfelder!$C$54:$D$57,2,FALSE))</f>
        <v>Hot Box</v>
      </c>
      <c r="Q25" s="104"/>
      <c r="R25" s="47" t="s">
        <v>721</v>
      </c>
      <c r="S25" s="104" t="str">
        <f>IFERROR(VLOOKUP(R$25,Auswahlfelder!$D$54:$D$57,1,FALSE),VLOOKUP(R$25,Auswahlfelder!$C$54:$D$57,2,FALSE))</f>
        <v>Co2-Kerne</v>
      </c>
      <c r="T25" s="805"/>
      <c r="V25" t="s">
        <v>33</v>
      </c>
    </row>
    <row r="26" spans="1:22" ht="15.75" thickBot="1" x14ac:dyDescent="0.3">
      <c r="A26" s="26"/>
      <c r="B26" s="320">
        <v>27</v>
      </c>
      <c r="C26" s="318" t="s">
        <v>723</v>
      </c>
      <c r="D26" s="318" t="s">
        <v>724</v>
      </c>
      <c r="E26" s="333"/>
      <c r="F26" s="334"/>
      <c r="G26" s="43" t="str">
        <f>INDEX(AW_JaNein,2)</f>
        <v>ja</v>
      </c>
      <c r="H26" s="17"/>
      <c r="I26" s="514" t="str">
        <f t="shared" si="0"/>
        <v>Oberfläche Sandstrahlen</v>
      </c>
      <c r="J26" s="39"/>
      <c r="K26" s="104" t="e">
        <f>VLOOKUP(L26,Auswahlfelder!$B$76:$C$78,2,FALSE)</f>
        <v>#N/A</v>
      </c>
      <c r="L26" s="290" t="s">
        <v>43</v>
      </c>
      <c r="M26" s="104" t="str">
        <f>IFERROR(VLOOKUP(L$26,Auswahlfelder!$D$22:$D$23,1,FALSE),VLOOKUP(L$26,Auswahlfelder!$C$22:$D$23,2,FALSE))</f>
        <v>ja</v>
      </c>
      <c r="N26" s="104"/>
      <c r="O26" s="47" t="s">
        <v>43</v>
      </c>
      <c r="P26" s="104" t="str">
        <f>IFERROR(VLOOKUP(O$26,Auswahlfelder!$D$22:$D$23,1,FALSE),VLOOKUP(O$26,Auswahlfelder!$C$22:$D$23,2,FALSE))</f>
        <v>ja</v>
      </c>
      <c r="Q26" s="104"/>
      <c r="R26" s="47" t="s">
        <v>43</v>
      </c>
      <c r="S26" s="104" t="str">
        <f>IFERROR(VLOOKUP(R$26,Auswahlfelder!$D$22:$D$23,1,FALSE),VLOOKUP(R$26,Auswahlfelder!$C$22:$D$23,2,FALSE))</f>
        <v>ja</v>
      </c>
      <c r="T26" s="805"/>
      <c r="V26" t="s">
        <v>33</v>
      </c>
    </row>
    <row r="27" spans="1:22" ht="15.75" thickBot="1" x14ac:dyDescent="0.3">
      <c r="A27" s="26"/>
      <c r="B27" s="320">
        <v>27</v>
      </c>
      <c r="C27" s="318" t="s">
        <v>725</v>
      </c>
      <c r="D27" s="318" t="s">
        <v>726</v>
      </c>
      <c r="E27" s="333"/>
      <c r="F27" s="334"/>
      <c r="G27" s="43" t="str">
        <f>INDEX(AW_JaNein,1)</f>
        <v>nein</v>
      </c>
      <c r="H27" s="17"/>
      <c r="I27" s="514" t="str">
        <f t="shared" ref="I27" si="2">IF($G$2,C27,D27)</f>
        <v>Oberfläche Gleitschleifen</v>
      </c>
      <c r="J27" s="39"/>
      <c r="K27" s="104" t="e">
        <f>VLOOKUP(L27,Auswahlfelder!$B$76:$C$78,2,FALSE)</f>
        <v>#N/A</v>
      </c>
      <c r="L27" s="290" t="s">
        <v>43</v>
      </c>
      <c r="M27" s="104" t="str">
        <f>IFERROR(VLOOKUP(L$27,Auswahlfelder!$D$22:$D$23,1,FALSE),VLOOKUP(L$27,Auswahlfelder!$C$22:$D$23,2,FALSE))</f>
        <v>ja</v>
      </c>
      <c r="N27" s="104"/>
      <c r="O27" s="47" t="s">
        <v>43</v>
      </c>
      <c r="P27" s="104" t="str">
        <f>IFERROR(VLOOKUP(O$27,Auswahlfelder!$D$22:$D$23,1,FALSE),VLOOKUP(O$27,Auswahlfelder!$C$22:$D$23,2,FALSE))</f>
        <v>ja</v>
      </c>
      <c r="Q27" s="104"/>
      <c r="R27" s="47" t="s">
        <v>43</v>
      </c>
      <c r="S27" s="104" t="str">
        <f>IFERROR(VLOOKUP(R$27,Auswahlfelder!$D$22:$D$23,1,FALSE),VLOOKUP(R$27,Auswahlfelder!$C$22:$D$23,2,FALSE))</f>
        <v>ja</v>
      </c>
      <c r="T27" s="805"/>
      <c r="V27" t="s">
        <v>33</v>
      </c>
    </row>
    <row r="28" spans="1:22" ht="15.75" thickBot="1" x14ac:dyDescent="0.3">
      <c r="A28" s="26"/>
      <c r="B28" s="320">
        <v>27</v>
      </c>
      <c r="C28" s="318" t="s">
        <v>727</v>
      </c>
      <c r="D28" s="318" t="s">
        <v>728</v>
      </c>
      <c r="E28" s="333"/>
      <c r="F28" s="334"/>
      <c r="G28" s="43" t="str">
        <f>INDEX(AW_JaNein,1)</f>
        <v>nein</v>
      </c>
      <c r="H28" s="17"/>
      <c r="I28" s="514" t="str">
        <f t="shared" ref="I28" si="3">IF($G$2,C28,D28)</f>
        <v>Oberfläche Feinputzen</v>
      </c>
      <c r="J28" s="39"/>
      <c r="K28" s="104" t="e">
        <f>VLOOKUP(L28,Auswahlfelder!$B$76:$C$78,2,FALSE)</f>
        <v>#N/A</v>
      </c>
      <c r="L28" s="290" t="s">
        <v>44</v>
      </c>
      <c r="M28" s="104" t="str">
        <f>IFERROR(VLOOKUP(L$28,Auswahlfelder!$D$22:$D$23,1,FALSE),VLOOKUP(L$28,Auswahlfelder!$C$22:$D$23,2,FALSE))</f>
        <v>nein</v>
      </c>
      <c r="N28" s="104"/>
      <c r="O28" s="47" t="s">
        <v>44</v>
      </c>
      <c r="P28" s="104" t="str">
        <f>IFERROR(VLOOKUP(O$28,Auswahlfelder!$D$22:$D$23,1,FALSE),VLOOKUP(O$28,Auswahlfelder!$C$22:$D$23,2,FALSE))</f>
        <v>nein</v>
      </c>
      <c r="Q28" s="104"/>
      <c r="R28" s="47" t="s">
        <v>44</v>
      </c>
      <c r="S28" s="104" t="str">
        <f>IFERROR(VLOOKUP(R$28,Auswahlfelder!$D$22:$D$23,1,FALSE),VLOOKUP(R$28,Auswahlfelder!$C$22:$D$23,2,FALSE))</f>
        <v>nein</v>
      </c>
      <c r="T28" s="805"/>
      <c r="V28" t="s">
        <v>33</v>
      </c>
    </row>
    <row r="29" spans="1:22" ht="15.75" thickBot="1" x14ac:dyDescent="0.3">
      <c r="A29" s="26"/>
      <c r="B29" s="320">
        <v>39</v>
      </c>
      <c r="C29" s="318" t="s">
        <v>556</v>
      </c>
      <c r="D29" s="318" t="s">
        <v>557</v>
      </c>
      <c r="E29" s="333"/>
      <c r="F29" s="334"/>
      <c r="G29" s="43" t="str">
        <f>INDEX(AW_JaNein,1)</f>
        <v>nein</v>
      </c>
      <c r="H29" s="17"/>
      <c r="I29" s="514" t="str">
        <f>IF($G$2,C29,D29)</f>
        <v>Ultraschall Prüfung</v>
      </c>
      <c r="J29" s="18"/>
      <c r="K29" s="104" t="e">
        <f>IF(K$32="nein",0,L29)</f>
        <v>#N/A</v>
      </c>
      <c r="L29" s="290" t="s">
        <v>43</v>
      </c>
      <c r="M29" s="104" t="str">
        <f>IFERROR(VLOOKUP(L$29,Auswahlfelder!$D$22:$D$23,1,FALSE),VLOOKUP(L$29,Auswahlfelder!$C$22:$D$23,2,FALSE))</f>
        <v>ja</v>
      </c>
      <c r="N29" s="104"/>
      <c r="O29" s="47" t="s">
        <v>43</v>
      </c>
      <c r="P29" s="104" t="str">
        <f>IFERROR(VLOOKUP(O$29,Auswahlfelder!$D$22:$D$23,1,FALSE),VLOOKUP(O$29,Auswahlfelder!$C$22:$D$23,2,FALSE))</f>
        <v>ja</v>
      </c>
      <c r="Q29" s="104"/>
      <c r="R29" s="47" t="s">
        <v>43</v>
      </c>
      <c r="S29" s="104" t="str">
        <f>IFERROR(VLOOKUP(R$29,Auswahlfelder!$D$22:$D$23,1,FALSE),VLOOKUP(R$29,Auswahlfelder!$C$22:$D$23,2,FALSE))</f>
        <v>ja</v>
      </c>
      <c r="T29" s="805"/>
      <c r="V29" t="s">
        <v>33</v>
      </c>
    </row>
    <row r="30" spans="1:22" ht="15.75" thickBot="1" x14ac:dyDescent="0.3">
      <c r="A30" s="26"/>
      <c r="B30" s="320">
        <v>39</v>
      </c>
      <c r="C30" s="318" t="s">
        <v>558</v>
      </c>
      <c r="D30" s="318" t="s">
        <v>559</v>
      </c>
      <c r="E30" s="333"/>
      <c r="F30" s="334"/>
      <c r="G30" s="43" t="str">
        <f>INDEX(AW_JaNein,1)</f>
        <v>nein</v>
      </c>
      <c r="H30" s="17"/>
      <c r="I30" s="514" t="s">
        <v>945</v>
      </c>
      <c r="J30" s="18"/>
      <c r="K30" s="104" t="e">
        <f>IF(K$32="nein",0,L30)</f>
        <v>#N/A</v>
      </c>
      <c r="L30" s="290" t="s">
        <v>43</v>
      </c>
      <c r="M30" s="104" t="str">
        <f>IFERROR(VLOOKUP(L$30,Auswahlfelder!$D$22:$D$23,1,FALSE),VLOOKUP(L$30,Auswahlfelder!$C$22:$D$23,2,FALSE))</f>
        <v>ja</v>
      </c>
      <c r="N30" s="104"/>
      <c r="O30" s="47" t="s">
        <v>43</v>
      </c>
      <c r="P30" s="104" t="str">
        <f>IFERROR(VLOOKUP(O$30,Auswahlfelder!$D$22:$D$23,1,FALSE),VLOOKUP(O$30,Auswahlfelder!$C$22:$D$23,2,FALSE))</f>
        <v>ja</v>
      </c>
      <c r="Q30" s="104"/>
      <c r="R30" s="47" t="s">
        <v>43</v>
      </c>
      <c r="S30" s="104" t="str">
        <f>IFERROR(VLOOKUP(R$30,Auswahlfelder!$D$22:$D$23,1,FALSE),VLOOKUP(R$30,Auswahlfelder!$C$22:$D$23,2,FALSE))</f>
        <v>ja</v>
      </c>
      <c r="T30" s="805"/>
      <c r="V30" t="s">
        <v>33</v>
      </c>
    </row>
    <row r="31" spans="1:22" ht="15.75" thickBot="1" x14ac:dyDescent="0.3">
      <c r="A31" s="26"/>
      <c r="B31" s="320">
        <v>39</v>
      </c>
      <c r="C31" s="318" t="s">
        <v>560</v>
      </c>
      <c r="D31" s="318" t="s">
        <v>561</v>
      </c>
      <c r="E31" s="333"/>
      <c r="F31" s="334"/>
      <c r="G31" s="43" t="str">
        <f>INDEX(AW_JaNein,1)</f>
        <v>nein</v>
      </c>
      <c r="H31" s="17"/>
      <c r="I31" s="514" t="str">
        <f t="shared" ref="I31:I35" si="4">IF($G$2,C31,D31)</f>
        <v>Röntgen Prüfung</v>
      </c>
      <c r="J31" s="18"/>
      <c r="K31" s="104" t="e">
        <f>IF(K$32="nein",0,L31)</f>
        <v>#N/A</v>
      </c>
      <c r="L31" s="290" t="s">
        <v>43</v>
      </c>
      <c r="M31" s="104" t="str">
        <f>IFERROR(VLOOKUP(L$31,Auswahlfelder!$D$22:$D$23,1,FALSE),VLOOKUP(L$31,Auswahlfelder!$C$22:$D$23,2,FALSE))</f>
        <v>ja</v>
      </c>
      <c r="N31" s="104"/>
      <c r="O31" s="47" t="s">
        <v>43</v>
      </c>
      <c r="P31" s="104" t="str">
        <f>IFERROR(VLOOKUP(O$31,Auswahlfelder!$D$22:$D$23,1,FALSE),VLOOKUP(O$31,Auswahlfelder!$C$22:$D$23,2,FALSE))</f>
        <v>ja</v>
      </c>
      <c r="Q31" s="104"/>
      <c r="R31" s="47" t="s">
        <v>43</v>
      </c>
      <c r="S31" s="104" t="str">
        <f>IFERROR(VLOOKUP(R$31,Auswahlfelder!$D$22:$D$23,1,FALSE),VLOOKUP(R$31,Auswahlfelder!$C$22:$D$23,2,FALSE))</f>
        <v>ja</v>
      </c>
      <c r="T31" s="805"/>
      <c r="V31" t="s">
        <v>33</v>
      </c>
    </row>
    <row r="32" spans="1:22" ht="15.75" thickBot="1" x14ac:dyDescent="0.3">
      <c r="A32" s="26"/>
      <c r="B32" s="320">
        <v>38</v>
      </c>
      <c r="C32" s="318" t="s">
        <v>259</v>
      </c>
      <c r="D32" s="318" t="s">
        <v>262</v>
      </c>
      <c r="E32" s="333"/>
      <c r="F32" s="334"/>
      <c r="G32" s="42" t="str">
        <f>INDEX(AW_Prüfbescheinigung,Auswahlfelder!C30,1)</f>
        <v>ohne</v>
      </c>
      <c r="H32" s="17"/>
      <c r="I32" s="514" t="str">
        <f t="shared" si="4"/>
        <v>Materialprüfzertifikat</v>
      </c>
      <c r="J32" s="39"/>
      <c r="K32" s="104" t="e">
        <f>VLOOKUP(IF(L29=0,$G32,L32),Auswahlfelder!$B$22:$G$23,2,FALSE)</f>
        <v>#N/A</v>
      </c>
      <c r="L32" s="290" t="s">
        <v>261</v>
      </c>
      <c r="M32" s="104" t="str">
        <f>IFERROR(VLOOKUP(L$32,Auswahlfelder!$D$31:$D$33,1,FALSE),VLOOKUP(L$32,Auswahlfelder!$C$31:$D$33,2,FALSE))</f>
        <v>ohne</v>
      </c>
      <c r="N32" s="104"/>
      <c r="O32" s="47" t="s">
        <v>261</v>
      </c>
      <c r="P32" s="104" t="str">
        <f>IFERROR(VLOOKUP(O$32,Auswahlfelder!$D$31:$D$33,1,FALSE),VLOOKUP(O$32,Auswahlfelder!$C$31:$D$33,2,FALSE))</f>
        <v>ohne</v>
      </c>
      <c r="Q32" s="104"/>
      <c r="R32" s="47" t="s">
        <v>261</v>
      </c>
      <c r="S32" s="104" t="str">
        <f>IFERROR(VLOOKUP(R$32,Auswahlfelder!$D$31:$D$33,1,FALSE),VLOOKUP(R$32,Auswahlfelder!$C$31:$D$33,2,FALSE))</f>
        <v>ohne</v>
      </c>
      <c r="T32" s="805"/>
      <c r="V32" t="s">
        <v>33</v>
      </c>
    </row>
    <row r="33" spans="1:22" ht="15.75" thickBot="1" x14ac:dyDescent="0.3">
      <c r="A33" s="26"/>
      <c r="B33" s="320">
        <v>13</v>
      </c>
      <c r="C33" s="318" t="s">
        <v>292</v>
      </c>
      <c r="D33" s="318" t="s">
        <v>296</v>
      </c>
      <c r="E33" s="333"/>
      <c r="F33" s="334"/>
      <c r="G33" s="42" t="str">
        <f>INDEX(AW_Wärmebehandlung,Auswahlfelder!C40,1)</f>
        <v>ohne (F)</v>
      </c>
      <c r="H33" s="17"/>
      <c r="I33" s="514" t="str">
        <f t="shared" si="4"/>
        <v>Wärmebehandlung</v>
      </c>
      <c r="J33" s="39"/>
      <c r="K33" s="104"/>
      <c r="L33" s="290" t="s">
        <v>522</v>
      </c>
      <c r="M33" s="104" t="str">
        <f>IFERROR(VLOOKUP(L$33,Auswahlfelder!$D$41:$D$46,1,FALSE),VLOOKUP(L$33,Auswahlfelder!$C$41:$D$46,2,FALSE))</f>
        <v>T7</v>
      </c>
      <c r="N33" s="104"/>
      <c r="O33" s="47" t="s">
        <v>293</v>
      </c>
      <c r="P33" s="104" t="str">
        <f>IFERROR(VLOOKUP(O$33,Auswahlfelder!$D$41:$D$46,1,FALSE),VLOOKUP(O$33,Auswahlfelder!$C$41:$D$46,2,FALSE))</f>
        <v>T4</v>
      </c>
      <c r="Q33" s="104"/>
      <c r="R33" s="47" t="s">
        <v>523</v>
      </c>
      <c r="S33" s="104" t="str">
        <f>IFERROR(VLOOKUP(R$33,Auswahlfelder!$D$41:$D$46,1,FALSE),VLOOKUP(R$33,Auswahlfelder!$C$41:$D$46,2,FALSE))</f>
        <v>T5</v>
      </c>
      <c r="T33" s="805"/>
      <c r="V33" t="s">
        <v>33</v>
      </c>
    </row>
    <row r="34" spans="1:22" ht="15.75" thickBot="1" x14ac:dyDescent="0.3">
      <c r="A34" s="26"/>
      <c r="B34" s="320">
        <v>34</v>
      </c>
      <c r="C34" s="318" t="s">
        <v>422</v>
      </c>
      <c r="D34" s="318" t="s">
        <v>417</v>
      </c>
      <c r="E34" s="333"/>
      <c r="F34" s="334"/>
      <c r="G34" s="42" t="str">
        <f>INDEX(AW_Reparaturschweißen,Auswahlfelder!C59,1)</f>
        <v>ohne</v>
      </c>
      <c r="H34" s="285"/>
      <c r="I34" s="516" t="str">
        <f t="shared" si="4"/>
        <v>Reparaturschweißung</v>
      </c>
      <c r="J34" s="450"/>
      <c r="K34" s="104"/>
      <c r="L34" s="436" t="s">
        <v>261</v>
      </c>
      <c r="M34" s="104" t="str">
        <f>IFERROR(VLOOKUP(L$34,Auswahlfelder!$D$60:$D$62,1,FALSE),VLOOKUP(L$34,Auswahlfelder!$C$60:$D$62,2,FALSE))</f>
        <v>ohne</v>
      </c>
      <c r="N34" s="437"/>
      <c r="O34" s="436" t="s">
        <v>261</v>
      </c>
      <c r="P34" s="104" t="str">
        <f>IFERROR(VLOOKUP(O$34,Auswahlfelder!$D$60:$D$62,1,FALSE),VLOOKUP(O$34,Auswahlfelder!$C$60:$D$62,2,FALSE))</f>
        <v>ohne</v>
      </c>
      <c r="Q34" s="437"/>
      <c r="R34" s="436" t="s">
        <v>261</v>
      </c>
      <c r="S34" s="104" t="str">
        <f>IFERROR(VLOOKUP(R$34,Auswahlfelder!$D$60:$D$62,1,FALSE),VLOOKUP(R$34,Auswahlfelder!$C$60:$D$62,2,FALSE))</f>
        <v>ohne</v>
      </c>
      <c r="T34" s="1148"/>
      <c r="V34" t="s">
        <v>33</v>
      </c>
    </row>
    <row r="35" spans="1:22" ht="15.75" thickBot="1" x14ac:dyDescent="0.3">
      <c r="A35" s="26"/>
      <c r="B35" s="319"/>
      <c r="C35" s="318" t="s">
        <v>72</v>
      </c>
      <c r="D35" s="318" t="s">
        <v>74</v>
      </c>
      <c r="E35" s="333"/>
      <c r="F35" s="334"/>
      <c r="G35" s="448">
        <f>$L$4</f>
        <v>43993</v>
      </c>
      <c r="H35" s="17"/>
      <c r="I35" s="514" t="str">
        <f t="shared" si="4"/>
        <v>Datum</v>
      </c>
      <c r="J35" s="18"/>
      <c r="K35" s="109">
        <f>L35</f>
        <v>43531</v>
      </c>
      <c r="L35" s="619">
        <v>43531</v>
      </c>
      <c r="M35" s="109">
        <f>L$35</f>
        <v>43531</v>
      </c>
      <c r="N35" s="109"/>
      <c r="O35" s="226">
        <v>43531</v>
      </c>
      <c r="P35" s="109">
        <f>O$35</f>
        <v>43531</v>
      </c>
      <c r="Q35" s="109"/>
      <c r="R35" s="226">
        <v>43531</v>
      </c>
      <c r="S35" s="109">
        <f>R$35</f>
        <v>43531</v>
      </c>
      <c r="T35" s="1149"/>
      <c r="V35" t="s">
        <v>33</v>
      </c>
    </row>
    <row r="36" spans="1:22" ht="15.75" thickBot="1" x14ac:dyDescent="0.3">
      <c r="A36" s="26"/>
      <c r="B36" s="320">
        <v>41</v>
      </c>
      <c r="C36" s="318" t="s">
        <v>73</v>
      </c>
      <c r="D36" s="318" t="s">
        <v>87</v>
      </c>
      <c r="E36" s="333">
        <v>0</v>
      </c>
      <c r="F36" s="334">
        <v>12</v>
      </c>
      <c r="G36" s="237">
        <v>6</v>
      </c>
      <c r="H36" s="17"/>
      <c r="I36" s="514" t="str">
        <f t="shared" ref="I36:I44" si="5">IF($G$2,C36,D36)</f>
        <v>Laufzeit (Jahre)</v>
      </c>
      <c r="J36" s="29"/>
      <c r="K36" s="39">
        <f>L36</f>
        <v>6</v>
      </c>
      <c r="L36" s="296">
        <v>6</v>
      </c>
      <c r="M36" s="110">
        <f>L$36</f>
        <v>6</v>
      </c>
      <c r="N36" s="39"/>
      <c r="O36" s="53">
        <v>6</v>
      </c>
      <c r="P36" s="110">
        <f>O$36</f>
        <v>6</v>
      </c>
      <c r="Q36" s="39"/>
      <c r="R36" s="53">
        <v>6</v>
      </c>
      <c r="S36" s="110">
        <f>R$36</f>
        <v>6</v>
      </c>
      <c r="T36" s="805"/>
      <c r="V36" t="s">
        <v>33</v>
      </c>
    </row>
    <row r="37" spans="1:22" ht="15.75" thickBot="1" x14ac:dyDescent="0.3">
      <c r="A37" s="26"/>
      <c r="B37" s="320">
        <v>26</v>
      </c>
      <c r="C37" s="373" t="s">
        <v>42</v>
      </c>
      <c r="D37" s="373" t="s">
        <v>58</v>
      </c>
      <c r="E37" s="333">
        <v>40</v>
      </c>
      <c r="F37" s="341">
        <v>40000</v>
      </c>
      <c r="G37" s="489" t="s">
        <v>69</v>
      </c>
      <c r="H37" s="17"/>
      <c r="I37" s="514" t="str">
        <f>IF($G$2,C37,D37)</f>
        <v>Stückzahl pa (peak)</v>
      </c>
      <c r="J37" s="18"/>
      <c r="K37" s="39">
        <f>M37</f>
        <v>5000</v>
      </c>
      <c r="L37" s="53">
        <v>5000</v>
      </c>
      <c r="M37" s="110">
        <f>L$37</f>
        <v>5000</v>
      </c>
      <c r="N37" s="39">
        <f>P37</f>
        <v>5000</v>
      </c>
      <c r="O37" s="53">
        <v>5000</v>
      </c>
      <c r="P37" s="110">
        <f>O$37</f>
        <v>5000</v>
      </c>
      <c r="Q37" s="39">
        <f>MAX(Q38:Q44)</f>
        <v>0</v>
      </c>
      <c r="R37" s="53">
        <v>5000</v>
      </c>
      <c r="S37" s="110">
        <f>R$37</f>
        <v>5000</v>
      </c>
      <c r="T37" s="805"/>
      <c r="V37" t="s">
        <v>33</v>
      </c>
    </row>
    <row r="38" spans="1:22" ht="15.75" thickBot="1" x14ac:dyDescent="0.3">
      <c r="A38" s="26"/>
      <c r="B38" s="321">
        <v>26</v>
      </c>
      <c r="C38" s="318" t="str">
        <f ca="1">CONCATENATE("FY ",RIGHT(YEAR(G$4-110),2),"/",RIGHT(YEAR(G$4-110)+1,2))</f>
        <v>FY 21/22</v>
      </c>
      <c r="D38" s="318" t="str">
        <f t="shared" ref="D38:D44" ca="1" si="6">C38</f>
        <v>FY 21/22</v>
      </c>
      <c r="E38" s="333">
        <v>0</v>
      </c>
      <c r="F38" s="334">
        <v>1</v>
      </c>
      <c r="G38" s="237"/>
      <c r="H38" s="17"/>
      <c r="I38" s="515" t="str">
        <f t="shared" ca="1" si="5"/>
        <v>FY 21/22</v>
      </c>
      <c r="J38" s="130"/>
      <c r="K38" s="134" t="str">
        <f t="shared" ref="K38:K45" si="7">TEXT(M38,"0.0")</f>
        <v>2.500</v>
      </c>
      <c r="L38" s="133"/>
      <c r="M38" s="132">
        <f>IF(L$38&lt;&gt;"",L$38,0.5*M$37)</f>
        <v>2500</v>
      </c>
      <c r="N38" s="453" t="str">
        <f t="shared" ref="N38:N45" si="8">TEXT(P38,"0.0")</f>
        <v>2.500</v>
      </c>
      <c r="O38" s="133"/>
      <c r="P38" s="132">
        <f>IF(O$38&lt;&gt;"",O$38,0.5*O$37)</f>
        <v>2500</v>
      </c>
      <c r="Q38" s="453" t="str">
        <f t="shared" ref="Q38:Q45" si="9">TEXT(S38,"0.0")</f>
        <v>2.500</v>
      </c>
      <c r="R38" s="133"/>
      <c r="S38" s="132">
        <f>IF(R$38&lt;&gt;"",R$38,0.5*R$37)</f>
        <v>2500</v>
      </c>
      <c r="T38" s="805"/>
      <c r="V38" t="s">
        <v>33</v>
      </c>
    </row>
    <row r="39" spans="1:22" ht="15.75" thickBot="1" x14ac:dyDescent="0.3">
      <c r="A39" s="26"/>
      <c r="B39" s="321">
        <v>26</v>
      </c>
      <c r="C39" s="318" t="str">
        <f ca="1">CONCATENATE("FY ",RIGHT(YEAR(G$4-110)+1,2),"/",RIGHT(YEAR(G$4-110)+2,2))</f>
        <v>FY 22/23</v>
      </c>
      <c r="D39" s="318" t="str">
        <f t="shared" ca="1" si="6"/>
        <v>FY 22/23</v>
      </c>
      <c r="E39" s="333">
        <v>0</v>
      </c>
      <c r="F39" s="334">
        <v>1</v>
      </c>
      <c r="G39" s="237"/>
      <c r="H39" s="17"/>
      <c r="I39" s="515" t="str">
        <f t="shared" ca="1" si="5"/>
        <v>FY 22/23</v>
      </c>
      <c r="J39" s="130"/>
      <c r="K39" s="134" t="str">
        <f t="shared" si="7"/>
        <v>5.000</v>
      </c>
      <c r="L39" s="133"/>
      <c r="M39" s="132">
        <f>IF(L39&lt;&gt;"",L39,IF(SUM(M$38:M38)+1.1*M$37&gt;L$37*L$36,MAX(0.75*(M$36*M$37-SUM(M$38:M38)),0.01*L$37),L$37))</f>
        <v>5000</v>
      </c>
      <c r="N39" s="453" t="str">
        <f t="shared" si="8"/>
        <v>5.000</v>
      </c>
      <c r="O39" s="133"/>
      <c r="P39" s="132">
        <f>IF(O39&lt;&gt;"",O39,IF(SUM(P$38:P38)+1.1*P$37&gt;O$37*O$36,MAX(0.75*(P$36*P$37-SUM(P$38:P38)),0.01*O$37),O$37))</f>
        <v>5000</v>
      </c>
      <c r="Q39" s="453" t="str">
        <f t="shared" si="9"/>
        <v>5.000</v>
      </c>
      <c r="R39" s="133"/>
      <c r="S39" s="132">
        <f>IF(R39&lt;&gt;"",R39,IF(SUM(S$38:S38)+1.1*S$37&gt;R$37*R$36,MAX(0.75*(S$36*S$37-SUM(S$38:S38)),0.01*R$37),R$37))</f>
        <v>5000</v>
      </c>
      <c r="T39" s="805"/>
      <c r="V39" t="s">
        <v>33</v>
      </c>
    </row>
    <row r="40" spans="1:22" ht="15.75" thickBot="1" x14ac:dyDescent="0.3">
      <c r="A40" s="26"/>
      <c r="B40" s="321">
        <v>26</v>
      </c>
      <c r="C40" s="318" t="str">
        <f ca="1">CONCATENATE("FY ",RIGHT(YEAR(G$4-110)+2,2),"/",RIGHT(YEAR(G$4-110)+3,2))</f>
        <v>FY 23/24</v>
      </c>
      <c r="D40" s="318" t="str">
        <f t="shared" ca="1" si="6"/>
        <v>FY 23/24</v>
      </c>
      <c r="E40" s="333">
        <v>0</v>
      </c>
      <c r="F40" s="334">
        <v>1</v>
      </c>
      <c r="G40" s="237"/>
      <c r="H40" s="17"/>
      <c r="I40" s="515" t="str">
        <f t="shared" ca="1" si="5"/>
        <v>FY 23/24</v>
      </c>
      <c r="J40" s="130"/>
      <c r="K40" s="134" t="str">
        <f t="shared" si="7"/>
        <v>5.000</v>
      </c>
      <c r="L40" s="133"/>
      <c r="M40" s="132">
        <f>IF(L40&lt;&gt;"",L40,IF(SUM(M$38:M39)+1.1*M$37&gt;L$37*L$36,MAX(0.75*(M$36*M$37-SUM(M$38:M39)),0.01*L$37),L$37))</f>
        <v>5000</v>
      </c>
      <c r="N40" s="453" t="str">
        <f t="shared" si="8"/>
        <v>5.000</v>
      </c>
      <c r="O40" s="133"/>
      <c r="P40" s="132">
        <f>IF(O40&lt;&gt;"",O40,IF(SUM(P$38:P39)+1.1*P$37&gt;O$37*O$36,MAX(0.75*(P$36*P$37-SUM(P$38:P39)),0.01*O$37),O$37))</f>
        <v>5000</v>
      </c>
      <c r="Q40" s="453" t="str">
        <f t="shared" si="9"/>
        <v>5.000</v>
      </c>
      <c r="R40" s="133"/>
      <c r="S40" s="132">
        <f>IF(R40&lt;&gt;"",R40,IF(SUM(S$38:S39)+1.1*S$37&gt;R$37*R$36,MAX(0.75*(S$36*S$37-SUM(S$38:S39)),0.01*R$37),R$37))</f>
        <v>5000</v>
      </c>
      <c r="T40" s="805"/>
      <c r="V40" t="s">
        <v>33</v>
      </c>
    </row>
    <row r="41" spans="1:22" ht="15.75" thickBot="1" x14ac:dyDescent="0.3">
      <c r="A41" s="26"/>
      <c r="B41" s="321">
        <v>26</v>
      </c>
      <c r="C41" s="318" t="str">
        <f ca="1">CONCATENATE("FY ",RIGHT(YEAR(G$4-110)+3,2),"/",RIGHT(YEAR(G$4-110)+4,2))</f>
        <v>FY 24/25</v>
      </c>
      <c r="D41" s="318" t="str">
        <f t="shared" ca="1" si="6"/>
        <v>FY 24/25</v>
      </c>
      <c r="E41" s="333">
        <v>0</v>
      </c>
      <c r="F41" s="334">
        <v>1</v>
      </c>
      <c r="G41" s="237"/>
      <c r="H41" s="17"/>
      <c r="I41" s="515" t="str">
        <f t="shared" ca="1" si="5"/>
        <v>FY 24/25</v>
      </c>
      <c r="J41" s="130"/>
      <c r="K41" s="134" t="str">
        <f t="shared" si="7"/>
        <v>5.000</v>
      </c>
      <c r="L41" s="133"/>
      <c r="M41" s="132">
        <f>IF(L41&lt;&gt;"",L41,IF(SUM(M$38:M40)+1.1*M$37&gt;L$37*L$36,MAX(0.75*(M$36*M$37-SUM(M$38:M40)),0.01*L$37),L$37))</f>
        <v>5000</v>
      </c>
      <c r="N41" s="453" t="str">
        <f t="shared" si="8"/>
        <v>5.000</v>
      </c>
      <c r="O41" s="133"/>
      <c r="P41" s="132">
        <f>IF(O41&lt;&gt;"",O41,IF(SUM(P$38:P40)+1.1*P$37&gt;O$37*O$36,MAX(0.75*(P$36*P$37-SUM(P$38:P40)),0.01*O$37),O$37))</f>
        <v>5000</v>
      </c>
      <c r="Q41" s="453" t="str">
        <f t="shared" si="9"/>
        <v>5.000</v>
      </c>
      <c r="R41" s="133"/>
      <c r="S41" s="132">
        <f>IF(R41&lt;&gt;"",R41,IF(SUM(S$38:S40)+1.1*S$37&gt;R$37*R$36,MAX(0.75*(S$36*S$37-SUM(S$38:S40)),0.01*R$37),R$37))</f>
        <v>5000</v>
      </c>
      <c r="T41" s="805"/>
      <c r="V41" t="s">
        <v>33</v>
      </c>
    </row>
    <row r="42" spans="1:22" ht="15.75" thickBot="1" x14ac:dyDescent="0.3">
      <c r="A42" s="26"/>
      <c r="B42" s="321">
        <v>26</v>
      </c>
      <c r="C42" s="318" t="str">
        <f ca="1">CONCATENATE("FY ",RIGHT(YEAR(G$4-110)+4,2),"/",RIGHT(YEAR(G$4-110)+5,2))</f>
        <v>FY 25/26</v>
      </c>
      <c r="D42" s="318" t="str">
        <f t="shared" ca="1" si="6"/>
        <v>FY 25/26</v>
      </c>
      <c r="E42" s="333">
        <v>0</v>
      </c>
      <c r="F42" s="334">
        <v>1</v>
      </c>
      <c r="G42" s="237"/>
      <c r="H42" s="17"/>
      <c r="I42" s="515" t="str">
        <f t="shared" ca="1" si="5"/>
        <v>FY 25/26</v>
      </c>
      <c r="J42" s="130"/>
      <c r="K42" s="134" t="str">
        <f t="shared" si="7"/>
        <v>5.000</v>
      </c>
      <c r="L42" s="133"/>
      <c r="M42" s="132">
        <f>IF(L42&lt;&gt;"",L42,IF(SUM(M$38:M41)+1.1*M$37&gt;L$37*L$36,MAX(0.75*(M$36*M$37-SUM(M$38:M41)),0.01*L$37),L$37))</f>
        <v>5000</v>
      </c>
      <c r="N42" s="453" t="str">
        <f t="shared" si="8"/>
        <v>5.000</v>
      </c>
      <c r="O42" s="133"/>
      <c r="P42" s="132">
        <f>IF(O42&lt;&gt;"",O42,IF(SUM(P$38:P41)+1.1*P$37&gt;O$37*O$36,MAX(0.75*(P$36*P$37-SUM(P$38:P41)),0.01*O$37),O$37))</f>
        <v>5000</v>
      </c>
      <c r="Q42" s="453" t="str">
        <f t="shared" si="9"/>
        <v>5.000</v>
      </c>
      <c r="R42" s="133"/>
      <c r="S42" s="132">
        <f>IF(R42&lt;&gt;"",R42,IF(SUM(S$38:S41)+1.1*S$37&gt;R$37*R$36,MAX(0.75*(S$36*S$37-SUM(S$38:S41)),0.01*R$37),R$37))</f>
        <v>5000</v>
      </c>
      <c r="T42" s="805"/>
      <c r="V42" t="s">
        <v>33</v>
      </c>
    </row>
    <row r="43" spans="1:22" ht="15.75" thickBot="1" x14ac:dyDescent="0.3">
      <c r="A43" s="26"/>
      <c r="B43" s="321">
        <v>26</v>
      </c>
      <c r="C43" s="318" t="str">
        <f ca="1">CONCATENATE("FY ",RIGHT(YEAR(G$4-110)+5,2),"/",RIGHT(YEAR(G$4-110)+6,2))</f>
        <v>FY 26/27</v>
      </c>
      <c r="D43" s="318" t="str">
        <f t="shared" ca="1" si="6"/>
        <v>FY 26/27</v>
      </c>
      <c r="E43" s="333">
        <v>0</v>
      </c>
      <c r="F43" s="334">
        <v>1</v>
      </c>
      <c r="G43" s="237"/>
      <c r="H43" s="17"/>
      <c r="I43" s="515" t="str">
        <f t="shared" ca="1" si="5"/>
        <v>FY 26/27</v>
      </c>
      <c r="J43" s="130"/>
      <c r="K43" s="134" t="str">
        <f t="shared" si="7"/>
        <v>5.000</v>
      </c>
      <c r="L43" s="133"/>
      <c r="M43" s="132">
        <f>IF(L43&lt;&gt;"",L43,IF(SUM(M$38:M42)+1.1*M$37&gt;L$37*L$36,MAX(0.75*(M$36*M$37-SUM(M$38:M42)),0.01*L$37),L$37))</f>
        <v>5000</v>
      </c>
      <c r="N43" s="453" t="str">
        <f t="shared" si="8"/>
        <v>5.000</v>
      </c>
      <c r="O43" s="133"/>
      <c r="P43" s="132">
        <f>IF(O43&lt;&gt;"",O43,IF(SUM(P$38:P42)+1.1*P$37&gt;O$37*O$36,MAX(0.75*(P$36*P$37-SUM(P$38:P42)),0.01*O$37),O$37))</f>
        <v>5000</v>
      </c>
      <c r="Q43" s="453" t="str">
        <f t="shared" si="9"/>
        <v>5.000</v>
      </c>
      <c r="R43" s="133"/>
      <c r="S43" s="132">
        <f>IF(R43&lt;&gt;"",R43,IF(SUM(S$38:S42)+1.1*S$37&gt;R$37*R$36,MAX(0.75*(S$36*S$37-SUM(S$38:S42)),0.01*R$37),R$37))</f>
        <v>5000</v>
      </c>
      <c r="T43" s="805"/>
      <c r="V43" t="s">
        <v>33</v>
      </c>
    </row>
    <row r="44" spans="1:22" ht="15.75" thickBot="1" x14ac:dyDescent="0.3">
      <c r="A44" s="26"/>
      <c r="B44" s="321">
        <v>26</v>
      </c>
      <c r="C44" s="318" t="str">
        <f ca="1">CONCATENATE("FY ",RIGHT(YEAR(G$4-110)+6,2),"/",RIGHT(YEAR(G$4-110)+7,2))</f>
        <v>FY 27/28</v>
      </c>
      <c r="D44" s="318" t="str">
        <f t="shared" ca="1" si="6"/>
        <v>FY 27/28</v>
      </c>
      <c r="E44" s="333">
        <v>0</v>
      </c>
      <c r="F44" s="334">
        <v>1</v>
      </c>
      <c r="G44" s="237"/>
      <c r="H44" s="17"/>
      <c r="I44" s="515" t="str">
        <f t="shared" ca="1" si="5"/>
        <v>FY 27/28</v>
      </c>
      <c r="J44" s="130"/>
      <c r="K44" s="134" t="str">
        <f t="shared" si="7"/>
        <v>1.875</v>
      </c>
      <c r="L44" s="133"/>
      <c r="M44" s="132">
        <f>IF(L44&lt;&gt;"",L44,IF(SUM(M$38:M43)+1.1*M$37&gt;L$37*L$36,MAX(0.75*(M$36*M$37-SUM(M$38:M43)),0.01*L$37),L$37))</f>
        <v>1875</v>
      </c>
      <c r="N44" s="453" t="str">
        <f t="shared" si="8"/>
        <v>1.875</v>
      </c>
      <c r="O44" s="133"/>
      <c r="P44" s="132">
        <f>IF(O44&lt;&gt;"",O44,IF(SUM(P$38:P43)+1.1*P$37&gt;O$37*O$36,MAX(0.75*(P$36*P$37-SUM(P$38:P43)),0.01*O$37),O$37))</f>
        <v>1875</v>
      </c>
      <c r="Q44" s="453" t="str">
        <f t="shared" si="9"/>
        <v>1.875</v>
      </c>
      <c r="R44" s="133"/>
      <c r="S44" s="132">
        <f>IF(R44&lt;&gt;"",R44,IF(SUM(S$38:S43)+1.1*S$37&gt;R$37*R$36,MAX(0.75*(S$36*S$37-SUM(S$38:S43)),0.01*R$37),R$37))</f>
        <v>1875</v>
      </c>
      <c r="T44" s="805"/>
      <c r="V44" t="s">
        <v>33</v>
      </c>
    </row>
    <row r="45" spans="1:22" ht="15.75" thickBot="1" x14ac:dyDescent="0.3">
      <c r="A45" s="26"/>
      <c r="B45" s="322">
        <v>26</v>
      </c>
      <c r="C45" s="318" t="s">
        <v>278</v>
      </c>
      <c r="D45" s="318" t="s">
        <v>54</v>
      </c>
      <c r="E45" s="333"/>
      <c r="F45" s="334"/>
      <c r="G45" s="237"/>
      <c r="H45" s="17"/>
      <c r="I45" s="514" t="str">
        <f>IF($G$2,C45,D45)</f>
        <v>Gesamt</v>
      </c>
      <c r="J45" s="18"/>
      <c r="K45" s="614" t="str">
        <f t="shared" si="7"/>
        <v>30.000</v>
      </c>
      <c r="L45" s="517"/>
      <c r="M45" s="230">
        <f>MAX(SUM(M$38:M$44),M$37*M$36,L$45,1)</f>
        <v>30000</v>
      </c>
      <c r="N45" s="617" t="str">
        <f t="shared" si="8"/>
        <v>30.000</v>
      </c>
      <c r="O45" s="618"/>
      <c r="P45" s="230">
        <f>MAX(SUM(P$38:P$44),P$37*P$36,O$45,1)</f>
        <v>30000</v>
      </c>
      <c r="Q45" s="617" t="str">
        <f t="shared" si="9"/>
        <v>30.000</v>
      </c>
      <c r="R45" s="618"/>
      <c r="S45" s="230">
        <f t="shared" ref="S45" si="10">MAX(SUM(S$38:S$44),S$37*S$36,R$45,1)</f>
        <v>30000</v>
      </c>
      <c r="T45" s="805"/>
      <c r="V45" t="s">
        <v>33</v>
      </c>
    </row>
    <row r="46" spans="1:22" ht="15.75" thickBot="1" x14ac:dyDescent="0.3">
      <c r="A46" s="26"/>
      <c r="B46" s="320">
        <v>17</v>
      </c>
      <c r="C46" s="318" t="s">
        <v>2</v>
      </c>
      <c r="D46" s="318" t="s">
        <v>57</v>
      </c>
      <c r="E46" s="333"/>
      <c r="F46" s="334"/>
      <c r="G46" s="237" t="str">
        <f>INDEX(AW_Produktionsregion,Auswahlfelder!H2,1)</f>
        <v>Deutschland</v>
      </c>
      <c r="H46" s="17"/>
      <c r="I46" s="514" t="str">
        <f t="shared" ref="I46:I52" si="11">IF($G$2,C46,D46)</f>
        <v>Produktionsregion</v>
      </c>
      <c r="J46" s="4"/>
      <c r="K46" s="39" t="str">
        <f>VLOOKUP(L$46,Auswahlfelder!$G$3:$K$9,2,FALSE)</f>
        <v>Germany</v>
      </c>
      <c r="L46" s="290" t="s">
        <v>14</v>
      </c>
      <c r="M46" s="104" t="str">
        <f>IFERROR(VLOOKUP(L$46,Auswahlfelder!$I$3:$I$15,1,FALSE),VLOOKUP(L$46,Auswahlfelder!$H$3:$I$15,2,FALSE))</f>
        <v>Deutschland</v>
      </c>
      <c r="N46" s="132"/>
      <c r="O46" s="290" t="s">
        <v>17</v>
      </c>
      <c r="P46" s="104" t="str">
        <f>IFERROR(VLOOKUP(O$46,Auswahlfelder!$I$3:$I$15,1,FALSE),VLOOKUP(O$46,Auswahlfelder!$H$3:$I$15,2,FALSE))</f>
        <v>Polen</v>
      </c>
      <c r="Q46" s="132"/>
      <c r="R46" s="290" t="s">
        <v>14</v>
      </c>
      <c r="S46" s="104" t="str">
        <f>IFERROR(VLOOKUP(R$46,Auswahlfelder!$I$3:$I$15,1,FALSE),VLOOKUP(R$46,Auswahlfelder!$H$3:$I$15,2,FALSE))</f>
        <v>Deutschland</v>
      </c>
      <c r="T46" s="805"/>
      <c r="V46" t="s">
        <v>33</v>
      </c>
    </row>
    <row r="47" spans="1:22" ht="15" thickBot="1" x14ac:dyDescent="0.25">
      <c r="A47" s="26"/>
      <c r="B47" s="319">
        <v>31</v>
      </c>
      <c r="C47" s="318" t="s">
        <v>4</v>
      </c>
      <c r="D47" s="318" t="s">
        <v>88</v>
      </c>
      <c r="E47" s="333"/>
      <c r="F47" s="334"/>
      <c r="G47" s="237" t="str">
        <f>INDEX(AW_Schichtmodel,Auswahlfelder!C6,1)</f>
        <v>2-Schicht</v>
      </c>
      <c r="H47" s="17"/>
      <c r="I47" s="18" t="str">
        <f t="shared" si="11"/>
        <v>Schichtmodel</v>
      </c>
      <c r="J47" s="4"/>
      <c r="K47" s="39" t="str">
        <f>VLOOKUP(L47,Auswahlfelder!$B$7:$C$9,2,FALSE)</f>
        <v>2 shifts</v>
      </c>
      <c r="L47" s="290" t="s">
        <v>20</v>
      </c>
      <c r="M47" s="104" t="str">
        <f>IFERROR(VLOOKUP(L$47,Auswahlfelder!$D$7:$D$9,1,FALSE),VLOOKUP(L$47,Auswahlfelder!$C$7:$D$9,2,FALSE))</f>
        <v>2-Schicht</v>
      </c>
      <c r="N47" s="132"/>
      <c r="O47" s="290" t="s">
        <v>20</v>
      </c>
      <c r="P47" s="104" t="str">
        <f>IFERROR(VLOOKUP(O$47,Auswahlfelder!$D$7:$D$9,1,FALSE),VLOOKUP(O$47,Auswahlfelder!$C$7:$D$9,2,FALSE))</f>
        <v>2-Schicht</v>
      </c>
      <c r="Q47" s="132"/>
      <c r="R47" s="290" t="s">
        <v>20</v>
      </c>
      <c r="S47" s="104" t="str">
        <f>IFERROR(VLOOKUP(R$47,Auswahlfelder!$D$7:$D$9,1,FALSE),VLOOKUP(R$47,Auswahlfelder!$C$7:$D$9,2,FALSE))</f>
        <v>2-Schicht</v>
      </c>
      <c r="T47" s="805"/>
      <c r="V47" t="s">
        <v>33</v>
      </c>
    </row>
    <row r="48" spans="1:22" ht="15" thickBot="1" x14ac:dyDescent="0.25">
      <c r="A48" s="26"/>
      <c r="B48" s="319"/>
      <c r="C48" s="318" t="s">
        <v>52</v>
      </c>
      <c r="D48" s="318" t="s">
        <v>85</v>
      </c>
      <c r="E48" s="333">
        <v>4</v>
      </c>
      <c r="F48" s="334">
        <v>7</v>
      </c>
      <c r="G48" s="237">
        <v>5</v>
      </c>
      <c r="H48" s="125"/>
      <c r="I48" s="18" t="str">
        <f t="shared" si="11"/>
        <v>Wochenarbeitstage</v>
      </c>
      <c r="J48" s="10"/>
      <c r="K48" s="39">
        <f>L48</f>
        <v>5</v>
      </c>
      <c r="L48" s="133">
        <v>5</v>
      </c>
      <c r="M48" s="110">
        <f>L$48</f>
        <v>5</v>
      </c>
      <c r="N48" s="39"/>
      <c r="O48" s="33">
        <v>5</v>
      </c>
      <c r="P48" s="110">
        <f>O$48</f>
        <v>5</v>
      </c>
      <c r="Q48" s="39"/>
      <c r="R48" s="33">
        <v>5</v>
      </c>
      <c r="S48" s="110">
        <f>R$48</f>
        <v>5</v>
      </c>
      <c r="T48" s="805"/>
      <c r="V48" t="s">
        <v>33</v>
      </c>
    </row>
    <row r="49" spans="1:22" ht="15" thickBot="1" x14ac:dyDescent="0.25">
      <c r="A49" s="26"/>
      <c r="B49" s="319"/>
      <c r="C49" s="318" t="s">
        <v>53</v>
      </c>
      <c r="D49" s="318" t="s">
        <v>86</v>
      </c>
      <c r="E49" s="333">
        <v>40</v>
      </c>
      <c r="F49" s="334">
        <v>50</v>
      </c>
      <c r="G49" s="237">
        <v>48</v>
      </c>
      <c r="H49" s="125"/>
      <c r="I49" s="18" t="str">
        <f t="shared" si="11"/>
        <v>Wochen/Jahr</v>
      </c>
      <c r="J49" s="10"/>
      <c r="K49" s="39">
        <f>L49</f>
        <v>48</v>
      </c>
      <c r="L49" s="133">
        <v>48</v>
      </c>
      <c r="M49" s="110">
        <f>L$49</f>
        <v>48</v>
      </c>
      <c r="N49" s="39"/>
      <c r="O49" s="33">
        <v>48</v>
      </c>
      <c r="P49" s="110">
        <f>O$49</f>
        <v>48</v>
      </c>
      <c r="Q49" s="39"/>
      <c r="R49" s="33">
        <v>48</v>
      </c>
      <c r="S49" s="110">
        <f>R$49</f>
        <v>48</v>
      </c>
      <c r="T49" s="805"/>
      <c r="V49" t="s">
        <v>33</v>
      </c>
    </row>
    <row r="50" spans="1:22" ht="15" thickBot="1" x14ac:dyDescent="0.25">
      <c r="A50" s="26"/>
      <c r="B50" s="321">
        <v>16</v>
      </c>
      <c r="C50" s="318" t="s">
        <v>95</v>
      </c>
      <c r="D50" s="318" t="s">
        <v>116</v>
      </c>
      <c r="E50" s="333"/>
      <c r="F50" s="334"/>
      <c r="G50" s="237" t="str">
        <f>INDEX(AW_Größe,Auswahlfelder!C25,1)</f>
        <v>mittel</v>
      </c>
      <c r="H50" s="125"/>
      <c r="I50" s="18" t="str">
        <f t="shared" si="11"/>
        <v>Firmengröße</v>
      </c>
      <c r="J50" s="10"/>
      <c r="K50" s="39" t="str">
        <f>VLOOKUP(L50,Auswahlfelder!$B$26:$G$28,2,FALSE)</f>
        <v>mid size</v>
      </c>
      <c r="L50" s="290" t="s">
        <v>27</v>
      </c>
      <c r="M50" s="104" t="str">
        <f>IFERROR(VLOOKUP(L$50,Auswahlfelder!$D$26:$D$28,1,FALSE),VLOOKUP(L$50,Auswahlfelder!$C$26:$D$28,2,FALSE))</f>
        <v>mittel</v>
      </c>
      <c r="N50" s="39"/>
      <c r="O50" s="47" t="s">
        <v>27</v>
      </c>
      <c r="P50" s="104" t="str">
        <f>IFERROR(VLOOKUP(O$50,Auswahlfelder!$D$26:$D$28,1,FALSE),VLOOKUP(O$50,Auswahlfelder!$C$26:$D$28,2,FALSE))</f>
        <v>mittel</v>
      </c>
      <c r="Q50" s="39"/>
      <c r="R50" s="47" t="s">
        <v>27</v>
      </c>
      <c r="S50" s="104" t="str">
        <f>IFERROR(VLOOKUP(R$50,Auswahlfelder!$D$26:$D$28,1,FALSE),VLOOKUP(R$50,Auswahlfelder!$C$26:$D$28,2,FALSE))</f>
        <v>mittel</v>
      </c>
      <c r="T50" s="805"/>
      <c r="V50" t="s">
        <v>33</v>
      </c>
    </row>
    <row r="51" spans="1:22" ht="15" thickBot="1" x14ac:dyDescent="0.25">
      <c r="A51" s="26"/>
      <c r="B51" s="321">
        <v>30</v>
      </c>
      <c r="C51" s="318" t="s">
        <v>539</v>
      </c>
      <c r="D51" s="318" t="s">
        <v>184</v>
      </c>
      <c r="E51" s="333">
        <v>0.5</v>
      </c>
      <c r="F51" s="334">
        <v>1</v>
      </c>
      <c r="G51" s="239">
        <f>'Länder-DB'!I31</f>
        <v>0.8</v>
      </c>
      <c r="H51" s="125"/>
      <c r="I51" s="18" t="str">
        <f t="shared" si="11"/>
        <v>Mittl. Maschinennutzung (%)</v>
      </c>
      <c r="J51" s="10"/>
      <c r="K51" s="111">
        <f>L51</f>
        <v>0.8</v>
      </c>
      <c r="L51" s="297">
        <v>0.8</v>
      </c>
      <c r="M51" s="111">
        <f>L$51</f>
        <v>0.8</v>
      </c>
      <c r="N51" s="111"/>
      <c r="O51" s="54">
        <v>0.7</v>
      </c>
      <c r="P51" s="111">
        <f>O$51</f>
        <v>0.7</v>
      </c>
      <c r="Q51" s="111"/>
      <c r="R51" s="54">
        <v>0.5</v>
      </c>
      <c r="S51" s="111">
        <f>R$51</f>
        <v>0.5</v>
      </c>
      <c r="T51" s="805"/>
      <c r="V51" t="s">
        <v>33</v>
      </c>
    </row>
    <row r="52" spans="1:22" ht="12.75" customHeight="1" thickBot="1" x14ac:dyDescent="0.25">
      <c r="A52" s="26"/>
      <c r="B52" s="319"/>
      <c r="C52" s="318" t="s">
        <v>5</v>
      </c>
      <c r="D52" s="318" t="s">
        <v>91</v>
      </c>
      <c r="E52" s="333"/>
      <c r="F52" s="334"/>
      <c r="G52" s="237"/>
      <c r="H52" s="17"/>
      <c r="I52" s="258" t="str">
        <f t="shared" si="11"/>
        <v>Zielpreis Bauteil</v>
      </c>
      <c r="J52" s="607" t="str">
        <f>CONCATENATE("FY ",RIGHT(YEAR(L$35-110),2),"/",RIGHT(YEAR(L$35-110)+1,2))</f>
        <v>FY 18/19</v>
      </c>
      <c r="K52" s="112"/>
      <c r="L52" s="893"/>
      <c r="M52" s="231" t="str">
        <f ca="1">$C$38</f>
        <v>FY 21/22</v>
      </c>
      <c r="N52" s="232"/>
      <c r="O52" s="620"/>
      <c r="P52" s="231" t="str">
        <f ca="1">$C$38</f>
        <v>FY 21/22</v>
      </c>
      <c r="Q52" s="232"/>
      <c r="R52" s="620"/>
      <c r="S52" s="231" t="str">
        <f ca="1">$C$38</f>
        <v>FY 21/22</v>
      </c>
      <c r="T52" s="805"/>
      <c r="V52" t="s">
        <v>33</v>
      </c>
    </row>
    <row r="53" spans="1:22" ht="14.25" customHeight="1" thickBot="1" x14ac:dyDescent="0.25">
      <c r="A53" s="26"/>
      <c r="B53" s="319"/>
      <c r="C53" s="318" t="str">
        <f t="shared" ref="C53:D57" ca="1" si="12">C38</f>
        <v>FY 21/22</v>
      </c>
      <c r="D53" s="318" t="str">
        <f t="shared" ca="1" si="12"/>
        <v>FY 21/22</v>
      </c>
      <c r="E53" s="333">
        <v>0.1</v>
      </c>
      <c r="F53" s="334"/>
      <c r="G53" s="237" t="s">
        <v>69</v>
      </c>
      <c r="H53" s="17"/>
      <c r="I53" s="20" t="str">
        <f ca="1">IF($G$2,C53,D53)</f>
        <v>FY 21/22</v>
      </c>
      <c r="J53" s="18"/>
      <c r="K53" s="134" t="str">
        <f>TEXT(M53,"")</f>
        <v/>
      </c>
      <c r="L53" s="293">
        <v>55</v>
      </c>
      <c r="M53" s="39">
        <f>IF(L$53&lt;&gt;"",L$53,0)</f>
        <v>55</v>
      </c>
      <c r="N53" s="39"/>
      <c r="O53" s="51">
        <v>55</v>
      </c>
      <c r="P53" s="39">
        <f>IF(O$53&lt;&gt;"",O$53,0)</f>
        <v>55</v>
      </c>
      <c r="Q53" s="39"/>
      <c r="R53" s="51">
        <v>55</v>
      </c>
      <c r="S53" s="39">
        <f>IF(R$53&lt;&gt;"",R$53,0)</f>
        <v>55</v>
      </c>
      <c r="T53" s="805"/>
      <c r="V53" t="s">
        <v>33</v>
      </c>
    </row>
    <row r="54" spans="1:22" ht="15" thickBot="1" x14ac:dyDescent="0.25">
      <c r="A54" s="26"/>
      <c r="B54" s="319"/>
      <c r="C54" s="318" t="str">
        <f t="shared" ca="1" si="12"/>
        <v>FY 22/23</v>
      </c>
      <c r="D54" s="318" t="str">
        <f t="shared" ca="1" si="12"/>
        <v>FY 22/23</v>
      </c>
      <c r="E54" s="333">
        <v>0.1</v>
      </c>
      <c r="F54" s="334"/>
      <c r="G54" s="237"/>
      <c r="H54" s="17"/>
      <c r="I54" s="20" t="str">
        <f ca="1">IF($G$2,C54,D54)</f>
        <v>FY 22/23</v>
      </c>
      <c r="J54" s="18"/>
      <c r="K54" s="477" t="str">
        <f>TEXT(M54,"0,00")</f>
        <v>55,00</v>
      </c>
      <c r="L54" s="293"/>
      <c r="M54" s="39">
        <f>IF(L$54&lt;&gt;"",L$54,M$53)</f>
        <v>55</v>
      </c>
      <c r="N54" s="477" t="str">
        <f>TEXT(P54,"0,00")</f>
        <v>55,00</v>
      </c>
      <c r="O54" s="293"/>
      <c r="P54" s="39">
        <f>IF(O$54&lt;&gt;"",O$54,P$53)</f>
        <v>55</v>
      </c>
      <c r="Q54" s="477" t="str">
        <f>TEXT(S54,"0,00")</f>
        <v>55,00</v>
      </c>
      <c r="R54" s="293"/>
      <c r="S54" s="39">
        <f>IF(R$54&lt;&gt;"",R$54,S$53)</f>
        <v>55</v>
      </c>
      <c r="T54" s="805"/>
      <c r="V54" t="s">
        <v>33</v>
      </c>
    </row>
    <row r="55" spans="1:22" ht="15" thickBot="1" x14ac:dyDescent="0.25">
      <c r="A55" s="26"/>
      <c r="B55" s="319"/>
      <c r="C55" s="318" t="str">
        <f t="shared" ca="1" si="12"/>
        <v>FY 23/24</v>
      </c>
      <c r="D55" s="318" t="str">
        <f t="shared" ca="1" si="12"/>
        <v>FY 23/24</v>
      </c>
      <c r="E55" s="333">
        <v>0.1</v>
      </c>
      <c r="F55" s="334"/>
      <c r="G55" s="237"/>
      <c r="H55" s="17"/>
      <c r="I55" s="20" t="str">
        <f ca="1">IF($G$2,C55,D55)</f>
        <v>FY 23/24</v>
      </c>
      <c r="J55" s="18"/>
      <c r="K55" s="134" t="str">
        <f>TEXT(M55,"0,00")</f>
        <v>55,00</v>
      </c>
      <c r="L55" s="293"/>
      <c r="M55" s="39">
        <f>IF(L$55&lt;&gt;"",L$55,M$54)</f>
        <v>55</v>
      </c>
      <c r="N55" s="134" t="str">
        <f>TEXT(P55,"0,00")</f>
        <v>55,00</v>
      </c>
      <c r="O55" s="293"/>
      <c r="P55" s="39">
        <f>IF(O$55&lt;&gt;"",O$55,P$54)</f>
        <v>55</v>
      </c>
      <c r="Q55" s="134" t="str">
        <f>TEXT(S55,"0,00")</f>
        <v>55,00</v>
      </c>
      <c r="R55" s="293"/>
      <c r="S55" s="39">
        <f>IF(R$55&lt;&gt;"",R$55,S$54)</f>
        <v>55</v>
      </c>
      <c r="T55" s="805"/>
      <c r="V55" t="s">
        <v>33</v>
      </c>
    </row>
    <row r="56" spans="1:22" ht="15" thickBot="1" x14ac:dyDescent="0.25">
      <c r="A56" s="26"/>
      <c r="B56" s="319"/>
      <c r="C56" s="318" t="str">
        <f t="shared" ca="1" si="12"/>
        <v>FY 24/25</v>
      </c>
      <c r="D56" s="318" t="str">
        <f t="shared" ca="1" si="12"/>
        <v>FY 24/25</v>
      </c>
      <c r="E56" s="333">
        <v>0.1</v>
      </c>
      <c r="F56" s="334"/>
      <c r="G56" s="237"/>
      <c r="H56" s="17"/>
      <c r="I56" s="20" t="str">
        <f ca="1">IF($G$2,C56,D56)</f>
        <v>FY 24/25</v>
      </c>
      <c r="J56" s="18"/>
      <c r="K56" s="134" t="str">
        <f>TEXT(M56,"0,00")</f>
        <v>55,00</v>
      </c>
      <c r="L56" s="293"/>
      <c r="M56" s="39">
        <f>IF(L$56&lt;&gt;"",L$56,M$55)</f>
        <v>55</v>
      </c>
      <c r="N56" s="134" t="str">
        <f>TEXT(P56,"0,00")</f>
        <v>55,00</v>
      </c>
      <c r="O56" s="293"/>
      <c r="P56" s="39">
        <f>IF(O$56&lt;&gt;"",O$56,P$55)</f>
        <v>55</v>
      </c>
      <c r="Q56" s="134" t="str">
        <f>TEXT(S56,"0,00")</f>
        <v>55,00</v>
      </c>
      <c r="R56" s="293"/>
      <c r="S56" s="39">
        <f>IF(R$56&lt;&gt;"",R$56,S$55)</f>
        <v>55</v>
      </c>
      <c r="T56" s="805"/>
      <c r="V56" t="s">
        <v>33</v>
      </c>
    </row>
    <row r="57" spans="1:22" ht="15" thickBot="1" x14ac:dyDescent="0.25">
      <c r="A57" s="26"/>
      <c r="B57" s="319"/>
      <c r="C57" s="318" t="str">
        <f t="shared" ca="1" si="12"/>
        <v>FY 25/26</v>
      </c>
      <c r="D57" s="318" t="str">
        <f t="shared" ca="1" si="12"/>
        <v>FY 25/26</v>
      </c>
      <c r="E57" s="333">
        <v>0.1</v>
      </c>
      <c r="F57" s="334"/>
      <c r="G57" s="237"/>
      <c r="H57" s="17"/>
      <c r="I57" s="20" t="str">
        <f ca="1">IF($G$2,C57,D57)</f>
        <v>FY 25/26</v>
      </c>
      <c r="J57" s="18"/>
      <c r="K57" s="134" t="str">
        <f>TEXT(M57,"0,00")</f>
        <v>55,00</v>
      </c>
      <c r="L57" s="293"/>
      <c r="M57" s="39">
        <f>IF(L$57&lt;&gt;"",L$57,M$56)</f>
        <v>55</v>
      </c>
      <c r="N57" s="134" t="str">
        <f>TEXT(P57,"0,00")</f>
        <v>55,00</v>
      </c>
      <c r="O57" s="293"/>
      <c r="P57" s="39">
        <f>IF(O$57&lt;&gt;"",O$57,P$56)</f>
        <v>55</v>
      </c>
      <c r="Q57" s="134" t="str">
        <f>TEXT(S57,"0,00")</f>
        <v>55,00</v>
      </c>
      <c r="R57" s="293"/>
      <c r="S57" s="39">
        <f>IF(R$57&lt;&gt;"",R$57,S$56)</f>
        <v>55</v>
      </c>
      <c r="T57" s="805"/>
      <c r="V57" t="s">
        <v>33</v>
      </c>
    </row>
    <row r="58" spans="1:22" ht="15" thickBot="1" x14ac:dyDescent="0.25">
      <c r="A58" s="26"/>
      <c r="B58" s="319"/>
      <c r="C58" s="318" t="s">
        <v>730</v>
      </c>
      <c r="D58" s="318" t="s">
        <v>234</v>
      </c>
      <c r="E58" s="333">
        <v>0</v>
      </c>
      <c r="F58" s="334"/>
      <c r="G58" s="43" t="s">
        <v>69</v>
      </c>
      <c r="H58" s="17"/>
      <c r="I58" s="21" t="str">
        <f t="shared" ref="I58:I85" si="13">IF($G$2,C58,D58)</f>
        <v>Modellkosten</v>
      </c>
      <c r="J58" s="18"/>
      <c r="K58" s="39">
        <f>L58</f>
        <v>10000</v>
      </c>
      <c r="L58" s="298">
        <v>10000</v>
      </c>
      <c r="M58" s="610">
        <f>L$58</f>
        <v>10000</v>
      </c>
      <c r="N58" s="39"/>
      <c r="O58" s="188">
        <v>5600</v>
      </c>
      <c r="P58" s="610">
        <f>O$58</f>
        <v>5600</v>
      </c>
      <c r="Q58" s="39"/>
      <c r="R58" s="188">
        <v>7500</v>
      </c>
      <c r="S58" s="610">
        <f t="shared" ref="S58" si="14">R$58</f>
        <v>7500</v>
      </c>
      <c r="T58" s="805"/>
      <c r="V58" t="s">
        <v>33</v>
      </c>
    </row>
    <row r="59" spans="1:22" ht="15" thickBot="1" x14ac:dyDescent="0.25">
      <c r="A59" s="26"/>
      <c r="B59" s="323"/>
      <c r="C59" s="324" t="s">
        <v>731</v>
      </c>
      <c r="D59" s="324" t="s">
        <v>729</v>
      </c>
      <c r="E59" s="337">
        <v>0</v>
      </c>
      <c r="F59" s="338"/>
      <c r="G59" s="241" t="s">
        <v>69</v>
      </c>
      <c r="H59" s="17"/>
      <c r="I59" s="21" t="str">
        <f t="shared" ref="I59" si="15">IF($G$2,C59,D59)</f>
        <v>Kosten Kernkästen</v>
      </c>
      <c r="J59" s="18"/>
      <c r="K59" s="39">
        <f>L59</f>
        <v>500</v>
      </c>
      <c r="L59" s="298">
        <v>500</v>
      </c>
      <c r="M59" s="610">
        <f>IF(M23=Auswahlfelder!$D$49,0,L$59)</f>
        <v>500</v>
      </c>
      <c r="N59" s="39"/>
      <c r="O59" s="188">
        <v>400</v>
      </c>
      <c r="P59" s="610">
        <f>IF(P23=Auswahlfelder!$D$49,0,O$59)</f>
        <v>400</v>
      </c>
      <c r="Q59" s="39"/>
      <c r="R59" s="188">
        <v>550</v>
      </c>
      <c r="S59" s="610">
        <f>IF(S23=Auswahlfelder!$D$49,0,R$59)</f>
        <v>550</v>
      </c>
      <c r="T59" s="805"/>
      <c r="V59" t="s">
        <v>33</v>
      </c>
    </row>
    <row r="60" spans="1:22" ht="15" hidden="1" thickBot="1" x14ac:dyDescent="0.25">
      <c r="A60" s="26"/>
      <c r="B60" s="321">
        <v>15</v>
      </c>
      <c r="C60" s="325" t="s">
        <v>226</v>
      </c>
      <c r="D60" s="325" t="s">
        <v>167</v>
      </c>
      <c r="E60" s="339">
        <v>0.01</v>
      </c>
      <c r="F60" s="340">
        <v>0.09</v>
      </c>
      <c r="G60" s="238" t="s">
        <v>185</v>
      </c>
      <c r="H60" s="17"/>
      <c r="I60" s="21" t="str">
        <f t="shared" si="13"/>
        <v>Schmelzverlust in %</v>
      </c>
      <c r="J60" s="18"/>
      <c r="K60" s="111">
        <f>Refkalkulation!H$16</f>
        <v>5.5500000000000001E-2</v>
      </c>
      <c r="L60" s="135">
        <f>M$60</f>
        <v>5.5500000000000001E-2</v>
      </c>
      <c r="M60" s="233">
        <f>Refkalkulation!H$16</f>
        <v>5.5500000000000001E-2</v>
      </c>
      <c r="N60" s="233"/>
      <c r="O60" s="135">
        <f>P$60</f>
        <v>5.5500000000000001E-2</v>
      </c>
      <c r="P60" s="233">
        <f>Refkalkulation!K$16</f>
        <v>5.5500000000000001E-2</v>
      </c>
      <c r="Q60" s="233"/>
      <c r="R60" s="135">
        <f>S$60</f>
        <v>5.5500000000000001E-2</v>
      </c>
      <c r="S60" s="233">
        <f>[2]Refkalkulation!N$16</f>
        <v>5.5500000000000001E-2</v>
      </c>
      <c r="T60" s="805"/>
    </row>
    <row r="61" spans="1:22" ht="15" hidden="1" thickBot="1" x14ac:dyDescent="0.25">
      <c r="A61" s="26"/>
      <c r="B61" s="321">
        <v>42</v>
      </c>
      <c r="C61" s="318" t="s">
        <v>98</v>
      </c>
      <c r="D61" s="318" t="s">
        <v>775</v>
      </c>
      <c r="E61" s="335">
        <v>0.05</v>
      </c>
      <c r="F61" s="336">
        <v>0.12</v>
      </c>
      <c r="G61" s="238" t="s">
        <v>185</v>
      </c>
      <c r="H61" s="17"/>
      <c r="I61" s="21" t="str">
        <f t="shared" si="13"/>
        <v>Materialgemeinkostensatz</v>
      </c>
      <c r="J61" s="18"/>
      <c r="K61" s="111">
        <f>Refkalkulation!H$23</f>
        <v>7.0000000000000007E-2</v>
      </c>
      <c r="L61" s="135">
        <f>M$61</f>
        <v>7.0000000000000007E-2</v>
      </c>
      <c r="M61" s="233">
        <f>Refkalkulation!H$23</f>
        <v>7.0000000000000007E-2</v>
      </c>
      <c r="N61" s="233"/>
      <c r="O61" s="135">
        <f>P$61</f>
        <v>7.0000000000000007E-2</v>
      </c>
      <c r="P61" s="233">
        <f>Refkalkulation!K$23</f>
        <v>7.0000000000000007E-2</v>
      </c>
      <c r="Q61" s="233"/>
      <c r="R61" s="135">
        <f>S$61</f>
        <v>7.0000000000000007E-2</v>
      </c>
      <c r="S61" s="233">
        <f>[2]Refkalkulation!N$24</f>
        <v>7.0000000000000007E-2</v>
      </c>
      <c r="T61" s="805"/>
    </row>
    <row r="62" spans="1:22" ht="15" hidden="1" thickBot="1" x14ac:dyDescent="0.25">
      <c r="A62" s="26"/>
      <c r="B62" s="321" t="s">
        <v>69</v>
      </c>
      <c r="C62" s="318" t="s">
        <v>764</v>
      </c>
      <c r="D62" s="318" t="s">
        <v>763</v>
      </c>
      <c r="E62" s="335"/>
      <c r="F62" s="336"/>
      <c r="G62" s="715" t="str">
        <f>Auswahlfelder!$B$71</f>
        <v>Gas</v>
      </c>
      <c r="H62" s="17"/>
      <c r="I62" s="21" t="str">
        <f t="shared" si="13"/>
        <v>Energieart</v>
      </c>
      <c r="J62" s="18"/>
      <c r="K62" s="111"/>
      <c r="L62" s="135" t="str">
        <f>VLOOKUP(VLOOKUP(M$62,Auswahlfelder!$D$71:$E$73,2,FALSE),Auswahlfelder!$A$71:$B$73,2,FALSE)</f>
        <v>Gas</v>
      </c>
      <c r="M62" s="233" t="str">
        <f>Refkalkulation!I31</f>
        <v>Gas</v>
      </c>
      <c r="N62" s="233"/>
      <c r="O62" s="135" t="str">
        <f>VLOOKUP(VLOOKUP(P$62,Auswahlfelder!$D$71:$E$73,2,FALSE),Auswahlfelder!$A$71:$B$73,2,FALSE)</f>
        <v>Gas</v>
      </c>
      <c r="P62" s="233" t="str">
        <f>Refkalkulation!L31</f>
        <v>Gas</v>
      </c>
      <c r="Q62" s="233"/>
      <c r="R62" s="135" t="str">
        <f>VLOOKUP(VLOOKUP(S$62,Auswahlfelder!$D$71:$E$73,2,FALSE),Auswahlfelder!$A$71:$B$73,2,FALSE)</f>
        <v>Gas</v>
      </c>
      <c r="S62" s="233" t="str">
        <f>[2]Refkalkulation!O32</f>
        <v>Gas</v>
      </c>
      <c r="T62" s="805"/>
      <c r="V62" t="s">
        <v>33</v>
      </c>
    </row>
    <row r="63" spans="1:22" ht="15" hidden="1" thickBot="1" x14ac:dyDescent="0.25">
      <c r="A63" s="26"/>
      <c r="B63" s="321">
        <v>20</v>
      </c>
      <c r="C63" s="318" t="s">
        <v>857</v>
      </c>
      <c r="D63" s="318" t="s">
        <v>858</v>
      </c>
      <c r="E63" s="335"/>
      <c r="F63" s="336"/>
      <c r="G63" s="981">
        <v>0</v>
      </c>
      <c r="H63" s="17"/>
      <c r="I63" s="21" t="str">
        <f t="shared" ref="I63" si="16">IF($G$2,C63,D63)</f>
        <v>Ofenleistung</v>
      </c>
      <c r="J63" s="18"/>
      <c r="K63" s="111"/>
      <c r="L63" s="187">
        <f>M$63</f>
        <v>2000</v>
      </c>
      <c r="M63" s="233">
        <f>Refkalkulation!H$30</f>
        <v>2000</v>
      </c>
      <c r="N63" s="233"/>
      <c r="O63" s="187">
        <f>P$63</f>
        <v>2000</v>
      </c>
      <c r="P63" s="233">
        <f>Refkalkulation!K$30</f>
        <v>2000</v>
      </c>
      <c r="Q63" s="233"/>
      <c r="R63" s="187">
        <f t="shared" ref="R63" si="17">S$63</f>
        <v>2000</v>
      </c>
      <c r="S63" s="233">
        <f>[2]Refkalkulation!N$31</f>
        <v>2000</v>
      </c>
      <c r="T63" s="805"/>
      <c r="V63" t="s">
        <v>33</v>
      </c>
    </row>
    <row r="64" spans="1:22" ht="15" hidden="1" thickBot="1" x14ac:dyDescent="0.25">
      <c r="A64" s="26"/>
      <c r="B64" s="321">
        <v>4</v>
      </c>
      <c r="C64" s="318" t="s">
        <v>376</v>
      </c>
      <c r="D64" s="318" t="s">
        <v>377</v>
      </c>
      <c r="E64" s="333">
        <v>1</v>
      </c>
      <c r="F64" s="334">
        <v>12</v>
      </c>
      <c r="G64" s="238" t="s">
        <v>185</v>
      </c>
      <c r="H64" s="17"/>
      <c r="I64" s="21" t="str">
        <f t="shared" si="13"/>
        <v>Modelle/Platte</v>
      </c>
      <c r="J64" s="18"/>
      <c r="K64" s="120">
        <f>Refkalkulation!H$49</f>
        <v>1</v>
      </c>
      <c r="L64" s="187">
        <f>M$64</f>
        <v>1</v>
      </c>
      <c r="M64" s="272">
        <f>Refkalkulation!H$49</f>
        <v>1</v>
      </c>
      <c r="N64" s="273"/>
      <c r="O64" s="187">
        <f>P$64</f>
        <v>1</v>
      </c>
      <c r="P64" s="272">
        <f>Refkalkulation!K$49</f>
        <v>1</v>
      </c>
      <c r="Q64" s="273"/>
      <c r="R64" s="187">
        <f>S$64</f>
        <v>1</v>
      </c>
      <c r="S64" s="272">
        <f>[2]Refkalkulation!N$50</f>
        <v>1</v>
      </c>
      <c r="T64" s="805"/>
    </row>
    <row r="65" spans="1:22" ht="15" hidden="1" thickBot="1" x14ac:dyDescent="0.25">
      <c r="A65" s="26"/>
      <c r="B65" s="321">
        <v>25</v>
      </c>
      <c r="C65" s="318" t="s">
        <v>248</v>
      </c>
      <c r="D65" s="318" t="s">
        <v>249</v>
      </c>
      <c r="E65" s="333">
        <v>1</v>
      </c>
      <c r="F65" s="334"/>
      <c r="G65" s="238" t="s">
        <v>185</v>
      </c>
      <c r="H65" s="17"/>
      <c r="I65" s="21" t="str">
        <f t="shared" si="13"/>
        <v>Maschine Nr.</v>
      </c>
      <c r="J65" s="18"/>
      <c r="K65" s="120"/>
      <c r="L65" s="187">
        <f>M$65</f>
        <v>9</v>
      </c>
      <c r="M65" s="272">
        <f>Refkalkulation!H$51</f>
        <v>9</v>
      </c>
      <c r="N65" s="273"/>
      <c r="O65" s="187">
        <f>P$65</f>
        <v>3</v>
      </c>
      <c r="P65" s="272">
        <f>Refkalkulation!K$51</f>
        <v>3</v>
      </c>
      <c r="Q65" s="273"/>
      <c r="R65" s="187">
        <f>S$65</f>
        <v>3</v>
      </c>
      <c r="S65" s="272">
        <f>[2]Refkalkulation!N$52</f>
        <v>3</v>
      </c>
      <c r="T65" s="805"/>
    </row>
    <row r="66" spans="1:22" ht="15" hidden="1" thickBot="1" x14ac:dyDescent="0.25">
      <c r="A66" s="26"/>
      <c r="B66" s="321">
        <v>62</v>
      </c>
      <c r="C66" s="318" t="s">
        <v>520</v>
      </c>
      <c r="D66" s="318" t="s">
        <v>521</v>
      </c>
      <c r="E66" s="333"/>
      <c r="F66" s="341"/>
      <c r="G66" s="715" t="str">
        <f>Auswahlfelder!$B$65</f>
        <v>ohne</v>
      </c>
      <c r="H66" s="17"/>
      <c r="I66" s="21" t="str">
        <f>IF($G$2,C66,D66)</f>
        <v>Anteil Kühleisen Volumen</v>
      </c>
      <c r="J66" s="18"/>
      <c r="K66" s="120"/>
      <c r="L66" s="643" t="str">
        <f>VLOOKUP(VLOOKUP(M66,Auswahlfelder!$D$65:$E$68,2,FALSE),Auswahlfelder!$A$65:$B$68,2,FALSE)</f>
        <v>ohne</v>
      </c>
      <c r="M66" s="272" t="str">
        <f>Refkalkulation!I$57</f>
        <v>ohne</v>
      </c>
      <c r="N66" s="273"/>
      <c r="O66" s="643" t="str">
        <f>VLOOKUP(VLOOKUP(P66,Auswahlfelder!$D$65:$E$68,2,FALSE),Auswahlfelder!$A$65:$B$68,2,FALSE)</f>
        <v>ohne</v>
      </c>
      <c r="P66" s="272" t="str">
        <f>Refkalkulation!L$57</f>
        <v>ohne</v>
      </c>
      <c r="Q66" s="273"/>
      <c r="R66" s="643" t="str">
        <f>VLOOKUP(VLOOKUP(S66,Auswahlfelder!$D$65:$E$68,2,FALSE),Auswahlfelder!$A$65:$B$68,2,FALSE)</f>
        <v>ohne</v>
      </c>
      <c r="S66" s="272" t="str">
        <f>[2]Refkalkulation!O$59</f>
        <v>ohne</v>
      </c>
      <c r="T66" s="805"/>
    </row>
    <row r="67" spans="1:22" ht="15" hidden="1" thickBot="1" x14ac:dyDescent="0.25">
      <c r="A67" s="26"/>
      <c r="B67" s="321">
        <v>10</v>
      </c>
      <c r="C67" s="318" t="s">
        <v>97</v>
      </c>
      <c r="D67" s="318" t="s">
        <v>189</v>
      </c>
      <c r="E67" s="333">
        <v>1</v>
      </c>
      <c r="F67" s="341">
        <v>10000</v>
      </c>
      <c r="G67" s="238" t="s">
        <v>185</v>
      </c>
      <c r="H67" s="17"/>
      <c r="I67" s="21" t="str">
        <f t="shared" si="13"/>
        <v>Fertigungslosgröße</v>
      </c>
      <c r="J67" s="18"/>
      <c r="K67" s="120"/>
      <c r="L67" s="187">
        <f>M$67</f>
        <v>100</v>
      </c>
      <c r="M67" s="272">
        <f>Refkalkulation!H$59</f>
        <v>100</v>
      </c>
      <c r="N67" s="273"/>
      <c r="O67" s="187">
        <f>P$67</f>
        <v>100</v>
      </c>
      <c r="P67" s="272">
        <f>Refkalkulation!K$59</f>
        <v>100</v>
      </c>
      <c r="Q67" s="273"/>
      <c r="R67" s="187">
        <f>S$67</f>
        <v>100</v>
      </c>
      <c r="S67" s="272">
        <f>[2]Refkalkulation!N$61</f>
        <v>100</v>
      </c>
      <c r="T67" s="805"/>
    </row>
    <row r="68" spans="1:22" ht="15" hidden="1" thickBot="1" x14ac:dyDescent="0.25">
      <c r="A68" s="26"/>
      <c r="B68" s="321">
        <v>52</v>
      </c>
      <c r="C68" s="318" t="s">
        <v>353</v>
      </c>
      <c r="D68" s="318" t="s">
        <v>354</v>
      </c>
      <c r="E68" s="333">
        <v>0</v>
      </c>
      <c r="F68" s="341">
        <v>60</v>
      </c>
      <c r="G68" s="238" t="s">
        <v>185</v>
      </c>
      <c r="H68" s="17"/>
      <c r="I68" s="21" t="str">
        <f t="shared" si="13"/>
        <v>Kernvolumen (l)</v>
      </c>
      <c r="J68" s="18"/>
      <c r="K68" s="120"/>
      <c r="L68" s="187">
        <f>M$68</f>
        <v>20</v>
      </c>
      <c r="M68" s="272">
        <f>Refkalkulation!H$65</f>
        <v>20</v>
      </c>
      <c r="N68" s="273"/>
      <c r="O68" s="187">
        <f>P$68</f>
        <v>0</v>
      </c>
      <c r="P68" s="272">
        <f>Refkalkulation!K$65</f>
        <v>0</v>
      </c>
      <c r="Q68" s="273"/>
      <c r="R68" s="187">
        <f>S$68</f>
        <v>0</v>
      </c>
      <c r="S68" s="272">
        <f>[2]Refkalkulation!N$67</f>
        <v>0</v>
      </c>
      <c r="T68" s="805"/>
    </row>
    <row r="69" spans="1:22" ht="15" hidden="1" thickBot="1" x14ac:dyDescent="0.25">
      <c r="A69" s="26"/>
      <c r="B69" s="321">
        <v>37</v>
      </c>
      <c r="C69" s="318" t="s">
        <v>1036</v>
      </c>
      <c r="D69" s="318" t="s">
        <v>1037</v>
      </c>
      <c r="E69" s="335">
        <v>0</v>
      </c>
      <c r="F69" s="336">
        <v>0.08</v>
      </c>
      <c r="G69" s="238" t="s">
        <v>185</v>
      </c>
      <c r="H69" s="17"/>
      <c r="I69" s="21" t="str">
        <f>IF($G$2,C69,D69)</f>
        <v>Fertigungsausschuss 1</v>
      </c>
      <c r="J69" s="18"/>
      <c r="K69" s="120"/>
      <c r="L69" s="135">
        <f>M$69</f>
        <v>0</v>
      </c>
      <c r="M69" s="233">
        <f>Refkalkulation!H$68</f>
        <v>0</v>
      </c>
      <c r="N69" s="273"/>
      <c r="O69" s="135">
        <f>P$69</f>
        <v>0</v>
      </c>
      <c r="P69" s="233">
        <f>Refkalkulation!K$68</f>
        <v>0</v>
      </c>
      <c r="Q69" s="273"/>
      <c r="R69" s="135">
        <f>S$69</f>
        <v>0</v>
      </c>
      <c r="S69" s="233">
        <f>[2]Refkalkulation!N$70</f>
        <v>0</v>
      </c>
      <c r="T69" s="805"/>
    </row>
    <row r="70" spans="1:22" ht="15" hidden="1" thickBot="1" x14ac:dyDescent="0.25">
      <c r="A70" s="26"/>
      <c r="B70" s="321"/>
      <c r="C70" s="318" t="s">
        <v>785</v>
      </c>
      <c r="D70" s="318" t="s">
        <v>784</v>
      </c>
      <c r="E70" s="333">
        <v>0</v>
      </c>
      <c r="F70" s="341">
        <v>60</v>
      </c>
      <c r="G70" s="238" t="s">
        <v>185</v>
      </c>
      <c r="H70" s="17"/>
      <c r="I70" s="21" t="str">
        <f t="shared" ref="I70" si="18">IF($G$2,C70,D70)</f>
        <v>Zeit Auspacken (min)</v>
      </c>
      <c r="J70" s="18"/>
      <c r="K70" s="120"/>
      <c r="L70" s="878">
        <f>M$70</f>
        <v>0</v>
      </c>
      <c r="M70" s="272">
        <f>Refkalkulation!H$72</f>
        <v>0</v>
      </c>
      <c r="N70" s="273"/>
      <c r="O70" s="878">
        <f>P$70</f>
        <v>0</v>
      </c>
      <c r="P70" s="272">
        <f>Refkalkulation!K$72</f>
        <v>0</v>
      </c>
      <c r="Q70" s="273"/>
      <c r="R70" s="878">
        <f t="shared" ref="R70" si="19">S$70</f>
        <v>0</v>
      </c>
      <c r="S70" s="272">
        <f>[2]Refkalkulation!N$74</f>
        <v>0</v>
      </c>
      <c r="T70" s="805"/>
    </row>
    <row r="71" spans="1:22" ht="15" hidden="1" thickBot="1" x14ac:dyDescent="0.25">
      <c r="A71" s="26"/>
      <c r="B71" s="321"/>
      <c r="C71" s="318" t="s">
        <v>786</v>
      </c>
      <c r="D71" s="318" t="s">
        <v>787</v>
      </c>
      <c r="E71" s="333">
        <v>0</v>
      </c>
      <c r="F71" s="341">
        <v>60</v>
      </c>
      <c r="G71" s="238" t="s">
        <v>185</v>
      </c>
      <c r="H71" s="17"/>
      <c r="I71" s="21" t="str">
        <f t="shared" ref="I71" si="20">IF($G$2,C71,D71)</f>
        <v>Anschnitt trennen (min)</v>
      </c>
      <c r="J71" s="18"/>
      <c r="K71" s="120"/>
      <c r="L71" s="878">
        <f>M$71</f>
        <v>60</v>
      </c>
      <c r="M71" s="272">
        <f>Refkalkulation!H$73</f>
        <v>60</v>
      </c>
      <c r="N71" s="273"/>
      <c r="O71" s="878">
        <f>P$71</f>
        <v>5</v>
      </c>
      <c r="P71" s="272">
        <f>Refkalkulation!K$73</f>
        <v>5</v>
      </c>
      <c r="Q71" s="273"/>
      <c r="R71" s="878">
        <f>S$71</f>
        <v>5</v>
      </c>
      <c r="S71" s="272">
        <f>[2]Refkalkulation!N$75</f>
        <v>5</v>
      </c>
      <c r="T71" s="805"/>
    </row>
    <row r="72" spans="1:22" ht="15" hidden="1" thickBot="1" x14ac:dyDescent="0.25">
      <c r="A72" s="26"/>
      <c r="B72" s="603">
        <v>13</v>
      </c>
      <c r="C72" s="318" t="s">
        <v>292</v>
      </c>
      <c r="D72" s="318" t="s">
        <v>296</v>
      </c>
      <c r="E72" s="333">
        <v>0</v>
      </c>
      <c r="F72" s="334">
        <v>2</v>
      </c>
      <c r="G72" s="238" t="s">
        <v>185</v>
      </c>
      <c r="H72" s="17"/>
      <c r="I72" s="21" t="str">
        <f>IF($G$2,C72,D72)</f>
        <v>Wärmebehandlung</v>
      </c>
      <c r="J72" s="18"/>
      <c r="K72" s="112"/>
      <c r="L72" s="879">
        <f>M$72</f>
        <v>0.7</v>
      </c>
      <c r="M72" s="122">
        <f>Refkalkulation!H$88</f>
        <v>0.7</v>
      </c>
      <c r="N72" s="122"/>
      <c r="O72" s="879">
        <f>P$72</f>
        <v>0.4</v>
      </c>
      <c r="P72" s="122">
        <f>Refkalkulation!K$88</f>
        <v>0.4</v>
      </c>
      <c r="Q72" s="273"/>
      <c r="R72" s="879">
        <f>S$72</f>
        <v>0</v>
      </c>
      <c r="S72" s="122">
        <f>[2]Refkalkulation!N$84</f>
        <v>0</v>
      </c>
      <c r="T72" s="805"/>
      <c r="V72" t="s">
        <v>33</v>
      </c>
    </row>
    <row r="73" spans="1:22" ht="15" hidden="1" thickBot="1" x14ac:dyDescent="0.25">
      <c r="A73" s="26"/>
      <c r="B73" s="321">
        <v>37</v>
      </c>
      <c r="C73" s="318" t="s">
        <v>788</v>
      </c>
      <c r="D73" s="318" t="s">
        <v>789</v>
      </c>
      <c r="E73" s="335">
        <v>0</v>
      </c>
      <c r="F73" s="336">
        <v>0.04</v>
      </c>
      <c r="G73" s="238" t="s">
        <v>185</v>
      </c>
      <c r="H73" s="17"/>
      <c r="I73" s="21" t="str">
        <f>IF($G$2,C73,D73)</f>
        <v>Fertigungsausschuss 2</v>
      </c>
      <c r="J73" s="18"/>
      <c r="K73" s="120"/>
      <c r="L73" s="135">
        <f>M$73</f>
        <v>0.02</v>
      </c>
      <c r="M73" s="233">
        <f>Refkalkulation!H$90</f>
        <v>0.02</v>
      </c>
      <c r="N73" s="273"/>
      <c r="O73" s="135">
        <f>P$73</f>
        <v>0.02</v>
      </c>
      <c r="P73" s="233">
        <f>Refkalkulation!K$90</f>
        <v>0.02</v>
      </c>
      <c r="Q73" s="273"/>
      <c r="R73" s="135">
        <f t="shared" ref="R73" si="21">S$73</f>
        <v>0.02</v>
      </c>
      <c r="S73" s="233">
        <f>[2]Refkalkulation!N$86</f>
        <v>0.02</v>
      </c>
      <c r="T73" s="805"/>
    </row>
    <row r="74" spans="1:22" ht="15" hidden="1" thickBot="1" x14ac:dyDescent="0.25">
      <c r="A74" s="26"/>
      <c r="B74" s="321">
        <v>60</v>
      </c>
      <c r="C74" s="318" t="s">
        <v>940</v>
      </c>
      <c r="D74" s="318" t="s">
        <v>941</v>
      </c>
      <c r="E74" s="333">
        <v>0</v>
      </c>
      <c r="F74" s="341">
        <v>20000</v>
      </c>
      <c r="G74" s="238" t="s">
        <v>185</v>
      </c>
      <c r="H74" s="17"/>
      <c r="I74" s="21" t="str">
        <f t="shared" si="13"/>
        <v>VT Prüfzeit/Teil (sec)</v>
      </c>
      <c r="J74" s="18"/>
      <c r="K74" s="120"/>
      <c r="L74" s="187">
        <f>M$74</f>
        <v>400</v>
      </c>
      <c r="M74" s="272">
        <f>Refkalkulation!H$93</f>
        <v>400</v>
      </c>
      <c r="N74" s="273"/>
      <c r="O74" s="187">
        <f>P$74</f>
        <v>300</v>
      </c>
      <c r="P74" s="272">
        <f>Refkalkulation!K$93</f>
        <v>300</v>
      </c>
      <c r="Q74" s="273"/>
      <c r="R74" s="187">
        <f t="shared" ref="R74" si="22">S$74</f>
        <v>300</v>
      </c>
      <c r="S74" s="272">
        <f>[2]Refkalkulation!N$89</f>
        <v>300</v>
      </c>
      <c r="T74" s="805"/>
    </row>
    <row r="75" spans="1:22" ht="15" hidden="1" thickBot="1" x14ac:dyDescent="0.25">
      <c r="A75" s="26"/>
      <c r="B75" s="321">
        <v>39</v>
      </c>
      <c r="C75" s="318" t="s">
        <v>562</v>
      </c>
      <c r="D75" s="318" t="s">
        <v>563</v>
      </c>
      <c r="E75" s="333"/>
      <c r="F75" s="341"/>
      <c r="G75" s="715">
        <v>0</v>
      </c>
      <c r="H75" s="17"/>
      <c r="I75" s="21" t="str">
        <f>IF($G$2,C75,D75)</f>
        <v>Kosten US-Prüfung</v>
      </c>
      <c r="J75" s="18"/>
      <c r="K75" s="120"/>
      <c r="L75" s="879">
        <f>M$75</f>
        <v>0.41742621527777779</v>
      </c>
      <c r="M75" s="272">
        <f>Refkalkulation!H$99</f>
        <v>0.41742621527777779</v>
      </c>
      <c r="N75" s="273"/>
      <c r="O75" s="879">
        <f>P$75</f>
        <v>0.30864583333333334</v>
      </c>
      <c r="P75" s="272">
        <f>Refkalkulation!K$99</f>
        <v>0.30864583333333334</v>
      </c>
      <c r="Q75" s="273"/>
      <c r="R75" s="879">
        <f t="shared" ref="R75" si="23">S$75</f>
        <v>0</v>
      </c>
      <c r="S75" s="272">
        <f>[2]Refkalkulation!N$91</f>
        <v>0</v>
      </c>
      <c r="T75" s="805"/>
    </row>
    <row r="76" spans="1:22" ht="15" hidden="1" thickBot="1" x14ac:dyDescent="0.25">
      <c r="A76" s="26"/>
      <c r="B76" s="321">
        <v>39</v>
      </c>
      <c r="C76" s="318" t="s">
        <v>564</v>
      </c>
      <c r="D76" s="318" t="s">
        <v>565</v>
      </c>
      <c r="E76" s="335">
        <v>0</v>
      </c>
      <c r="F76" s="336">
        <v>0.12</v>
      </c>
      <c r="G76" s="715">
        <v>0</v>
      </c>
      <c r="H76" s="17"/>
      <c r="I76" s="21" t="str">
        <f t="shared" ref="I76:I77" si="24">IF($G$2,C76,D76)</f>
        <v>Kosten FE-Prüfung</v>
      </c>
      <c r="J76" s="18"/>
      <c r="K76" s="120"/>
      <c r="L76" s="879">
        <f>M$76</f>
        <v>0.37082465277777776</v>
      </c>
      <c r="M76" s="233">
        <f>Refkalkulation!H$103</f>
        <v>0.37082465277777776</v>
      </c>
      <c r="N76" s="273"/>
      <c r="O76" s="879">
        <f>P$76</f>
        <v>0.34611111111111109</v>
      </c>
      <c r="P76" s="233">
        <f>Refkalkulation!K$103</f>
        <v>0.34611111111111109</v>
      </c>
      <c r="Q76" s="273"/>
      <c r="R76" s="879">
        <f t="shared" ref="R76" si="25">S$76</f>
        <v>0</v>
      </c>
      <c r="S76" s="233">
        <f>[2]Refkalkulation!N$92</f>
        <v>0</v>
      </c>
      <c r="T76" s="805"/>
    </row>
    <row r="77" spans="1:22" ht="15" hidden="1" thickBot="1" x14ac:dyDescent="0.25">
      <c r="A77" s="26"/>
      <c r="B77" s="321">
        <v>39</v>
      </c>
      <c r="C77" s="318" t="s">
        <v>566</v>
      </c>
      <c r="D77" s="318" t="s">
        <v>567</v>
      </c>
      <c r="E77" s="335"/>
      <c r="F77" s="336"/>
      <c r="G77" s="715">
        <v>0</v>
      </c>
      <c r="H77" s="17"/>
      <c r="I77" s="21" t="str">
        <f t="shared" si="24"/>
        <v>Kosten X-Prüfung</v>
      </c>
      <c r="J77" s="18"/>
      <c r="K77" s="120"/>
      <c r="L77" s="879">
        <f>M$77</f>
        <v>1.8357928240740744</v>
      </c>
      <c r="M77" s="233">
        <f>Refkalkulation!H$106</f>
        <v>1.8357928240740744</v>
      </c>
      <c r="N77" s="273"/>
      <c r="O77" s="879">
        <f>P$77</f>
        <v>1.7619212962962969</v>
      </c>
      <c r="P77" s="233">
        <f>Refkalkulation!K$106</f>
        <v>1.7619212962962969</v>
      </c>
      <c r="Q77" s="273"/>
      <c r="R77" s="879">
        <f t="shared" ref="R77" si="26">S$77</f>
        <v>0</v>
      </c>
      <c r="S77" s="233">
        <f>[2]Refkalkulation!N$93</f>
        <v>0</v>
      </c>
      <c r="T77" s="805"/>
    </row>
    <row r="78" spans="1:22" ht="15" hidden="1" thickBot="1" x14ac:dyDescent="0.25">
      <c r="A78" s="26"/>
      <c r="B78" s="321">
        <v>39</v>
      </c>
      <c r="C78" s="318" t="s">
        <v>580</v>
      </c>
      <c r="D78" s="318" t="s">
        <v>581</v>
      </c>
      <c r="E78" s="335">
        <v>0</v>
      </c>
      <c r="F78" s="336">
        <v>1</v>
      </c>
      <c r="G78" s="716">
        <v>0.5</v>
      </c>
      <c r="H78" s="17"/>
      <c r="I78" s="21" t="str">
        <f>IF($G$2,C78,D78)</f>
        <v>Anteil Nachprüfung</v>
      </c>
      <c r="J78" s="18"/>
      <c r="K78" s="120"/>
      <c r="L78" s="717">
        <f>M$78</f>
        <v>0.5</v>
      </c>
      <c r="M78" s="233">
        <f>Refkalkulation!H$109</f>
        <v>0.5</v>
      </c>
      <c r="N78" s="273"/>
      <c r="O78" s="717">
        <f>P$78</f>
        <v>0.5</v>
      </c>
      <c r="P78" s="233">
        <f>Refkalkulation!K$109</f>
        <v>0.5</v>
      </c>
      <c r="Q78" s="273"/>
      <c r="R78" s="717">
        <f>S$78</f>
        <v>0.5</v>
      </c>
      <c r="S78" s="233">
        <f>[2]Refkalkulation!N$96</f>
        <v>0.5</v>
      </c>
      <c r="T78" s="805"/>
    </row>
    <row r="79" spans="1:22" ht="15" hidden="1" thickBot="1" x14ac:dyDescent="0.25">
      <c r="A79" s="26"/>
      <c r="B79" s="603">
        <v>13</v>
      </c>
      <c r="C79" s="318" t="s">
        <v>507</v>
      </c>
      <c r="D79" s="318" t="s">
        <v>508</v>
      </c>
      <c r="E79" s="333">
        <v>0</v>
      </c>
      <c r="F79" s="611">
        <v>0.5</v>
      </c>
      <c r="G79" s="716">
        <v>0</v>
      </c>
      <c r="H79" s="17"/>
      <c r="I79" s="21" t="str">
        <f>IF($G$2,C79,D79)</f>
        <v>Reparaturanteil (%)</v>
      </c>
      <c r="J79" s="18"/>
      <c r="K79" s="112"/>
      <c r="L79" s="135">
        <f>M$79</f>
        <v>0</v>
      </c>
      <c r="M79" s="122">
        <f>Refkalkulation!H$108</f>
        <v>0</v>
      </c>
      <c r="N79" s="122"/>
      <c r="O79" s="135">
        <f>P$79</f>
        <v>0</v>
      </c>
      <c r="P79" s="122">
        <f>Refkalkulation!K$108</f>
        <v>0</v>
      </c>
      <c r="Q79" s="273"/>
      <c r="R79" s="135">
        <f>S$79</f>
        <v>0</v>
      </c>
      <c r="S79" s="122">
        <f>[2]Refkalkulation!N$95</f>
        <v>0</v>
      </c>
      <c r="T79" s="805"/>
      <c r="V79" t="s">
        <v>33</v>
      </c>
    </row>
    <row r="80" spans="1:22" ht="15" hidden="1" thickBot="1" x14ac:dyDescent="0.25">
      <c r="A80" s="26"/>
      <c r="B80" s="321">
        <v>43</v>
      </c>
      <c r="C80" s="318" t="s">
        <v>128</v>
      </c>
      <c r="D80" s="318" t="s">
        <v>245</v>
      </c>
      <c r="E80" s="335">
        <v>0.05</v>
      </c>
      <c r="F80" s="336">
        <v>0.3</v>
      </c>
      <c r="G80" s="238" t="s">
        <v>185</v>
      </c>
      <c r="H80" s="17"/>
      <c r="I80" s="21" t="str">
        <f t="shared" si="13"/>
        <v>Fertigungsgemeinkosten</v>
      </c>
      <c r="J80" s="18"/>
      <c r="K80" s="120"/>
      <c r="L80" s="135">
        <f>M$80</f>
        <v>0.1</v>
      </c>
      <c r="M80" s="233">
        <f>Refkalkulation!H$115</f>
        <v>0.1</v>
      </c>
      <c r="N80" s="273"/>
      <c r="O80" s="135">
        <f>P$80</f>
        <v>0.1</v>
      </c>
      <c r="P80" s="233">
        <f>Refkalkulation!K$115</f>
        <v>0.1</v>
      </c>
      <c r="Q80" s="273"/>
      <c r="R80" s="135">
        <f>S$80</f>
        <v>0.1</v>
      </c>
      <c r="S80" s="233">
        <f>[2]Refkalkulation!N$102</f>
        <v>0.1</v>
      </c>
      <c r="T80" s="805"/>
    </row>
    <row r="81" spans="1:22" ht="15" hidden="1" thickBot="1" x14ac:dyDescent="0.25">
      <c r="A81" s="26"/>
      <c r="B81" s="321"/>
      <c r="C81" s="318" t="s">
        <v>783</v>
      </c>
      <c r="D81" s="318" t="s">
        <v>782</v>
      </c>
      <c r="E81" s="335">
        <v>0</v>
      </c>
      <c r="F81" s="336">
        <v>0.2</v>
      </c>
      <c r="G81" s="716">
        <f>'Länder-DB'!$I$33</f>
        <v>0.12</v>
      </c>
      <c r="H81" s="17"/>
      <c r="I81" s="21" t="str">
        <f t="shared" ref="I81" si="27">IF($G$2,C81,D81)</f>
        <v>Vertriebs- und Verw. GK satz</v>
      </c>
      <c r="J81" s="18"/>
      <c r="K81" s="120"/>
      <c r="L81" s="135">
        <f>M$81</f>
        <v>0.12</v>
      </c>
      <c r="M81" s="233">
        <f>Refkalkulation!H$121</f>
        <v>0.12</v>
      </c>
      <c r="N81" s="273"/>
      <c r="O81" s="135">
        <f>P$81</f>
        <v>0.12</v>
      </c>
      <c r="P81" s="233">
        <f>Refkalkulation!K$121</f>
        <v>0.12</v>
      </c>
      <c r="Q81" s="273"/>
      <c r="R81" s="135">
        <f t="shared" ref="R81" si="28">S$81</f>
        <v>0.12</v>
      </c>
      <c r="S81" s="233">
        <f>[2]Refkalkulation!N$108</f>
        <v>0.12</v>
      </c>
      <c r="T81" s="805"/>
    </row>
    <row r="82" spans="1:22" ht="15" hidden="1" thickBot="1" x14ac:dyDescent="0.25">
      <c r="A82" s="26"/>
      <c r="B82" s="321">
        <v>32</v>
      </c>
      <c r="C82" s="318" t="s">
        <v>235</v>
      </c>
      <c r="D82" s="318" t="s">
        <v>246</v>
      </c>
      <c r="E82" s="335">
        <v>0</v>
      </c>
      <c r="F82" s="336">
        <v>0.12</v>
      </c>
      <c r="G82" s="716">
        <f>'Länder-DB'!I25</f>
        <v>0</v>
      </c>
      <c r="H82" s="17"/>
      <c r="I82" s="21" t="str">
        <f t="shared" si="13"/>
        <v>Gewinn auf Material</v>
      </c>
      <c r="J82" s="18"/>
      <c r="K82" s="120"/>
      <c r="L82" s="135">
        <f>M$82</f>
        <v>0</v>
      </c>
      <c r="M82" s="233">
        <f>Refkalkulation!H$125</f>
        <v>0</v>
      </c>
      <c r="N82" s="273"/>
      <c r="O82" s="135">
        <f>P$82</f>
        <v>0</v>
      </c>
      <c r="P82" s="233">
        <f>Refkalkulation!K$125</f>
        <v>0</v>
      </c>
      <c r="Q82" s="273"/>
      <c r="R82" s="135">
        <f t="shared" ref="R82" si="29">S$82</f>
        <v>0</v>
      </c>
      <c r="S82" s="233">
        <f>[2]Refkalkulation!N$112</f>
        <v>0</v>
      </c>
      <c r="T82" s="805"/>
    </row>
    <row r="83" spans="1:22" ht="15" hidden="1" thickBot="1" x14ac:dyDescent="0.25">
      <c r="A83" s="26"/>
      <c r="B83" s="321">
        <v>32</v>
      </c>
      <c r="C83" s="318" t="s">
        <v>231</v>
      </c>
      <c r="D83" s="318" t="s">
        <v>247</v>
      </c>
      <c r="E83" s="335">
        <v>0</v>
      </c>
      <c r="F83" s="336">
        <v>0.12</v>
      </c>
      <c r="G83" s="238" t="s">
        <v>185</v>
      </c>
      <c r="H83" s="17"/>
      <c r="I83" s="21" t="str">
        <f t="shared" si="13"/>
        <v>Gewinn auf Wertschöpfung</v>
      </c>
      <c r="J83" s="18"/>
      <c r="K83" s="120"/>
      <c r="L83" s="135">
        <f>M$83</f>
        <v>0</v>
      </c>
      <c r="M83" s="233">
        <f>Refkalkulation!H$126</f>
        <v>0</v>
      </c>
      <c r="N83" s="273"/>
      <c r="O83" s="135">
        <f>P$83</f>
        <v>0</v>
      </c>
      <c r="P83" s="233">
        <f>Refkalkulation!K$126</f>
        <v>0</v>
      </c>
      <c r="Q83" s="273"/>
      <c r="R83" s="135">
        <f>S$83</f>
        <v>0</v>
      </c>
      <c r="S83" s="233">
        <f>[2]Refkalkulation!N$113</f>
        <v>0</v>
      </c>
      <c r="T83" s="805"/>
    </row>
    <row r="84" spans="1:22" ht="39" hidden="1" customHeight="1" thickBot="1" x14ac:dyDescent="0.25">
      <c r="A84" s="26"/>
      <c r="B84" s="319"/>
      <c r="C84" s="318" t="str">
        <f>C3</f>
        <v>Bearbeiter</v>
      </c>
      <c r="D84" s="318" t="str">
        <f>D3</f>
        <v>user</v>
      </c>
      <c r="E84" s="333"/>
      <c r="F84" s="334"/>
      <c r="G84" s="238" t="s">
        <v>185</v>
      </c>
      <c r="H84" s="17"/>
      <c r="I84" s="21" t="str">
        <f>IF($G$2,C84,D84)</f>
        <v>Bearbeiter</v>
      </c>
      <c r="J84" s="18"/>
      <c r="K84" s="982" t="str">
        <f>L84</f>
        <v>P. Pawar</v>
      </c>
      <c r="L84" s="135" t="s">
        <v>830</v>
      </c>
      <c r="M84" s="983" t="str">
        <f>$L$3</f>
        <v>Dr.P. Pawar</v>
      </c>
      <c r="N84" s="983"/>
      <c r="O84" s="135" t="str">
        <f>P$84</f>
        <v>Dr.P. Pawar</v>
      </c>
      <c r="P84" s="983" t="str">
        <f>$L$3</f>
        <v>Dr.P. Pawar</v>
      </c>
      <c r="Q84" s="983"/>
      <c r="R84" s="135" t="str">
        <f>S$84</f>
        <v>Dr.P. Pawar</v>
      </c>
      <c r="S84" s="983" t="str">
        <f>$L$3</f>
        <v>Dr.P. Pawar</v>
      </c>
      <c r="T84" s="805"/>
      <c r="V84" t="s">
        <v>33</v>
      </c>
    </row>
    <row r="85" spans="1:22" ht="6.75" customHeight="1" thickBot="1" x14ac:dyDescent="0.25">
      <c r="A85" s="26"/>
      <c r="B85" s="326"/>
      <c r="C85" s="327"/>
      <c r="D85" s="327"/>
      <c r="E85" s="27"/>
      <c r="F85" s="27"/>
      <c r="G85" s="32"/>
      <c r="H85" s="242"/>
      <c r="I85" s="351">
        <f t="shared" si="13"/>
        <v>0</v>
      </c>
      <c r="J85" s="27"/>
      <c r="K85" s="27"/>
      <c r="L85" s="274"/>
      <c r="M85" s="274"/>
      <c r="N85" s="274"/>
      <c r="O85" s="274"/>
      <c r="P85" s="87"/>
      <c r="Q85" s="87"/>
      <c r="R85" s="274"/>
      <c r="S85" s="87"/>
      <c r="T85" s="1148"/>
    </row>
    <row r="86" spans="1:22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L10 O10">
    <cfRule type="expression" dxfId="160" priority="65" stopIfTrue="1">
      <formula>VALUE(L12="Materialdatenbank")</formula>
    </cfRule>
  </conditionalFormatting>
  <conditionalFormatting sqref="O37 R37 L37">
    <cfRule type="cellIs" dxfId="159" priority="66" stopIfTrue="1" operator="notBetween">
      <formula>$E$37</formula>
      <formula>$F$37</formula>
    </cfRule>
  </conditionalFormatting>
  <conditionalFormatting sqref="L11 L20 O20 R20 O11 R11">
    <cfRule type="expression" dxfId="158" priority="70" stopIfTrue="1">
      <formula>K$11=0</formula>
    </cfRule>
  </conditionalFormatting>
  <conditionalFormatting sqref="L45">
    <cfRule type="cellIs" dxfId="157" priority="71" stopIfTrue="1" operator="lessThan">
      <formula>$E45</formula>
    </cfRule>
  </conditionalFormatting>
  <conditionalFormatting sqref="R38:R44 O38:O44 L38:L44">
    <cfRule type="cellIs" dxfId="156" priority="72" stopIfTrue="1" operator="greaterThan">
      <formula>M$37</formula>
    </cfRule>
  </conditionalFormatting>
  <conditionalFormatting sqref="O8:O9 R8:R9 L9">
    <cfRule type="cellIs" dxfId="155" priority="73" operator="equal">
      <formula>"?"</formula>
    </cfRule>
  </conditionalFormatting>
  <conditionalFormatting sqref="X4:X5">
    <cfRule type="cellIs" dxfId="154" priority="74" operator="equal">
      <formula>FALSE</formula>
    </cfRule>
  </conditionalFormatting>
  <conditionalFormatting sqref="L13 O13 R13">
    <cfRule type="cellIs" dxfId="153" priority="431" operator="notBetween">
      <formula>$E13</formula>
      <formula>$F13</formula>
    </cfRule>
  </conditionalFormatting>
  <conditionalFormatting sqref="L29">
    <cfRule type="expression" dxfId="152" priority="60" stopIfTrue="1">
      <formula>VALUE(#REF!="Materialdatenbank")</formula>
    </cfRule>
  </conditionalFormatting>
  <conditionalFormatting sqref="L30">
    <cfRule type="expression" dxfId="151" priority="59" stopIfTrue="1">
      <formula>VALUE(#REF!="Materialdatenbank")</formula>
    </cfRule>
  </conditionalFormatting>
  <conditionalFormatting sqref="L31">
    <cfRule type="expression" dxfId="150" priority="58" stopIfTrue="1">
      <formula>VALUE(#REF!="Materialdatenbank")</formula>
    </cfRule>
  </conditionalFormatting>
  <conditionalFormatting sqref="O29">
    <cfRule type="expression" dxfId="149" priority="57" stopIfTrue="1">
      <formula>VALUE(#REF!="Materialdatenbank")</formula>
    </cfRule>
  </conditionalFormatting>
  <conditionalFormatting sqref="O30">
    <cfRule type="expression" dxfId="148" priority="56" stopIfTrue="1">
      <formula>VALUE(#REF!="Materialdatenbank")</formula>
    </cfRule>
  </conditionalFormatting>
  <conditionalFormatting sqref="O31">
    <cfRule type="expression" dxfId="147" priority="55" stopIfTrue="1">
      <formula>VALUE(#REF!="Materialdatenbank")</formula>
    </cfRule>
  </conditionalFormatting>
  <conditionalFormatting sqref="R29">
    <cfRule type="expression" dxfId="146" priority="42" stopIfTrue="1">
      <formula>VALUE(#REF!="Materialdatenbank")</formula>
    </cfRule>
  </conditionalFormatting>
  <conditionalFormatting sqref="R30">
    <cfRule type="expression" dxfId="145" priority="41" stopIfTrue="1">
      <formula>VALUE(#REF!="Materialdatenbank")</formula>
    </cfRule>
  </conditionalFormatting>
  <conditionalFormatting sqref="R31">
    <cfRule type="expression" dxfId="144" priority="40" stopIfTrue="1">
      <formula>VALUE(#REF!="Materialdatenbank")</formula>
    </cfRule>
  </conditionalFormatting>
  <conditionalFormatting sqref="L26">
    <cfRule type="expression" dxfId="143" priority="23" stopIfTrue="1">
      <formula>VALUE(#REF!="Materialdatenbank")</formula>
    </cfRule>
  </conditionalFormatting>
  <conditionalFormatting sqref="O26">
    <cfRule type="expression" dxfId="142" priority="22" stopIfTrue="1">
      <formula>VALUE(#REF!="Materialdatenbank")</formula>
    </cfRule>
  </conditionalFormatting>
  <conditionalFormatting sqref="R26">
    <cfRule type="expression" dxfId="141" priority="21" stopIfTrue="1">
      <formula>VALUE(#REF!="Materialdatenbank")</formula>
    </cfRule>
  </conditionalFormatting>
  <conditionalFormatting sqref="L27">
    <cfRule type="expression" dxfId="140" priority="17" stopIfTrue="1">
      <formula>VALUE(#REF!="Materialdatenbank")</formula>
    </cfRule>
  </conditionalFormatting>
  <conditionalFormatting sqref="O27">
    <cfRule type="expression" dxfId="139" priority="16" stopIfTrue="1">
      <formula>VALUE(#REF!="Materialdatenbank")</formula>
    </cfRule>
  </conditionalFormatting>
  <conditionalFormatting sqref="R27">
    <cfRule type="expression" dxfId="138" priority="15" stopIfTrue="1">
      <formula>VALUE(#REF!="Materialdatenbank")</formula>
    </cfRule>
  </conditionalFormatting>
  <conditionalFormatting sqref="L28">
    <cfRule type="expression" dxfId="137" priority="11" stopIfTrue="1">
      <formula>VALUE(#REF!="Materialdatenbank")</formula>
    </cfRule>
  </conditionalFormatting>
  <conditionalFormatting sqref="O28">
    <cfRule type="expression" dxfId="136" priority="10" stopIfTrue="1">
      <formula>VALUE(#REF!="Materialdatenbank")</formula>
    </cfRule>
  </conditionalFormatting>
  <conditionalFormatting sqref="R28">
    <cfRule type="expression" dxfId="135" priority="9" stopIfTrue="1">
      <formula>VALUE(#REF!="Materialdatenbank")</formula>
    </cfRule>
  </conditionalFormatting>
  <conditionalFormatting sqref="L8">
    <cfRule type="cellIs" dxfId="134" priority="1" operator="equal">
      <formula>"?"</formula>
    </cfRule>
  </conditionalFormatting>
  <dataValidations count="27">
    <dataValidation type="whole" allowBlank="1" showInputMessage="1" showErrorMessage="1" sqref="L36 O36 R36" xr:uid="{00000000-0002-0000-0200-000000000000}">
      <formula1>2</formula1>
      <formula2>$F36</formula2>
    </dataValidation>
    <dataValidation type="list" allowBlank="1" showInputMessage="1" showErrorMessage="1" sqref="L47 R47 O47" xr:uid="{00000000-0002-0000-0200-000001000000}">
      <formula1>AW_Schichtmodel</formula1>
    </dataValidation>
    <dataValidation type="list" allowBlank="1" showInputMessage="1" showErrorMessage="1" sqref="L50 R50 O50" xr:uid="{00000000-0002-0000-0200-000002000000}">
      <formula1>AW_Größe</formula1>
    </dataValidation>
    <dataValidation type="list" allowBlank="1" showInputMessage="1" showErrorMessage="1" sqref="L46 O46 R46" xr:uid="{00000000-0002-0000-0200-000003000000}">
      <formula1>AW_Produktionsregion</formula1>
    </dataValidation>
    <dataValidation type="list" allowBlank="1" showInputMessage="1" showErrorMessage="1" sqref="L32 O32 R32" xr:uid="{00000000-0002-0000-0200-000004000000}">
      <formula1>AW_Prüfbescheinigung</formula1>
    </dataValidation>
    <dataValidation type="list" allowBlank="1" showInputMessage="1" showErrorMessage="1" sqref="R26:R31 O26:O31 L26:L31" xr:uid="{00000000-0002-0000-0200-000005000000}">
      <formula1>AW_JaNein</formula1>
    </dataValidation>
    <dataValidation type="list" operator="greaterThanOrEqual" allowBlank="1" showInputMessage="1" showErrorMessage="1" sqref="R22 L22 O22" xr:uid="{00000000-0002-0000-0200-000006000000}">
      <formula1>AW_Gusstechnik</formula1>
    </dataValidation>
    <dataValidation type="list" allowBlank="1" showInputMessage="1" showErrorMessage="1" promptTitle="Bitte Auswählen" sqref="R10 L10 O10" xr:uid="{00000000-0002-0000-0200-000007000000}">
      <formula1>AW_Materialtyp</formula1>
    </dataValidation>
    <dataValidation type="list" allowBlank="1" showInputMessage="1" showErrorMessage="1" sqref="R12 O12 L12" xr:uid="{00000000-0002-0000-0200-000008000000}">
      <formula1>AW_Preisquelle</formula1>
    </dataValidation>
    <dataValidation type="list" allowBlank="1" showInputMessage="1" showErrorMessage="1" sqref="L2" xr:uid="{00000000-0002-0000-0200-000009000000}">
      <formula1>AW_Sprachen</formula1>
    </dataValidation>
    <dataValidation type="list" allowBlank="1" showInputMessage="1" showErrorMessage="1" sqref="L33 O33 R33" xr:uid="{00000000-0002-0000-0200-00000A000000}">
      <formula1>AW_Wärmebehandlung</formula1>
    </dataValidation>
    <dataValidation type="decimal" allowBlank="1" showInputMessage="1" showErrorMessage="1" error="Wert außerhalb des zulässigen Bereichs_x000a_out of range" sqref="R14 O14 L14" xr:uid="{00000000-0002-0000-0200-00000B000000}">
      <formula1>$E14/1.2</formula1>
      <formula2>$F14*1.2</formula2>
    </dataValidation>
    <dataValidation type="decimal" allowBlank="1" showInputMessage="1" showErrorMessage="1" error="Wert außerhalb zulässiger Grenzen_x000a_out of range" sqref="R15 O15 L15" xr:uid="{00000000-0002-0000-0200-00000C000000}">
      <formula1>$E15/1.2</formula1>
      <formula2>$F15*1.2</formula2>
    </dataValidation>
    <dataValidation type="date" operator="lessThanOrEqual" allowBlank="1" showInputMessage="1" showErrorMessage="1" sqref="L4" xr:uid="{00000000-0002-0000-0200-00000E000000}">
      <formula1>G4</formula1>
    </dataValidation>
    <dataValidation type="list" allowBlank="1" showInputMessage="1" showErrorMessage="1" sqref="O21 R21 L21" xr:uid="{00000000-0002-0000-0200-00000F000000}">
      <formula1>AW_Bauteilkomplexität</formula1>
    </dataValidation>
    <dataValidation type="decimal" showErrorMessage="1" errorTitle="sehr große Abweichung" error="Untypischer  Materialwert_x000a_not allowed parameter range" sqref="L13 O13 R13" xr:uid="{00000000-0002-0000-02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O17 R17 L17" xr:uid="{00000000-0002-0000-0200-000011000000}">
      <formula1>$E$18</formula1>
      <formula2>1.2*$F$17</formula2>
    </dataValidation>
    <dataValidation type="decimal" allowBlank="1" showInputMessage="1" showErrorMessage="1" errorTitle="data not valid" error="Wert nicht sinnvoll_x000a_" sqref="O18 R18 L18" xr:uid="{00000000-0002-0000-0200-000012000000}">
      <formula1>0.8*$E$18</formula1>
      <formula2>MIN($F$18,L$17)</formula2>
    </dataValidation>
    <dataValidation type="list" allowBlank="1" showInputMessage="1" showErrorMessage="1" sqref="L34 O34 R34" xr:uid="{00000000-0002-0000-0200-000013000000}">
      <formula1>AW_Reparaturschweißen</formula1>
    </dataValidation>
    <dataValidation type="whole" allowBlank="1" showInputMessage="1" showErrorMessage="1" sqref="L48 O48 R48" xr:uid="{00000000-0002-0000-02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R19 O19" xr:uid="{00000000-0002-0000-0200-000015000000}">
      <formula1>$E$19</formula1>
      <formula2>MIN(K$19,$F$19)</formula2>
    </dataValidation>
    <dataValidation type="list" allowBlank="1" showInputMessage="1" sqref="X3" xr:uid="{00000000-0002-0000-0200-000016000000}">
      <formula1>$D$1:$IV$1</formula1>
    </dataValidation>
    <dataValidation type="decimal" allowBlank="1" showInputMessage="1" showErrorMessage="1" sqref="R16 O16" xr:uid="{00000000-0002-0000-02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2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200-000019000000}">
      <formula1>3</formula1>
      <formula2>28</formula2>
    </dataValidation>
    <dataValidation type="list" allowBlank="1" showInputMessage="1" showErrorMessage="1" sqref="L25 O25 R25" xr:uid="{00000000-0002-0000-0200-00001A000000}">
      <formula1>AW_Kernschiessen</formula1>
    </dataValidation>
    <dataValidation type="list" allowBlank="1" showInputMessage="1" showErrorMessage="1" sqref="R23 O23 L23" xr:uid="{3EDE01AB-DFBF-458F-B9BD-C46D0CC34D4E}">
      <formula1>AW_Automatisierungsgrad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4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L25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O25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R25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696E688-74C5-4139-90D1-CE8E9E69750E}">
          <x14:formula1>
            <xm:f>Auswahlfelder!$B$49:$B$50</xm:f>
          </x14:formula1>
          <xm:sqref>O24 R24</xm:sqref>
        </x14:dataValidation>
        <x14:dataValidation type="list" allowBlank="1" showInputMessage="1" showErrorMessage="1" xr:uid="{DF9B6406-F396-44B7-B92E-A34C65D8F8E3}">
          <x14:formula1>
            <xm:f>Auswahlfelder!B49:B50</xm:f>
          </x14:formula1>
          <xm:sqref>L24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8">
    <tabColor rgb="FF00CCFF"/>
    <pageSetUpPr fitToPage="1"/>
  </sheetPr>
  <dimension ref="A1:Y252"/>
  <sheetViews>
    <sheetView zoomScaleNormal="100" workbookViewId="0">
      <pane xSplit="6" ySplit="8" topLeftCell="G24" activePane="bottomRight" state="frozenSplit"/>
      <selection activeCell="L30" sqref="L30"/>
      <selection pane="topRight" activeCell="L30" sqref="L30"/>
      <selection pane="bottomLeft" activeCell="L30" sqref="L30"/>
      <selection pane="bottomRight" activeCell="H20" sqref="H20"/>
    </sheetView>
  </sheetViews>
  <sheetFormatPr baseColWidth="10" defaultColWidth="3" defaultRowHeight="14.25" x14ac:dyDescent="0.2"/>
  <cols>
    <col min="1" max="1" width="0.625" style="55" customWidth="1"/>
    <col min="2" max="3" width="2.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22.625" style="55" customWidth="1"/>
    <col min="9" max="9" width="1.25" style="55" customWidth="1"/>
    <col min="10" max="10" width="1" style="55" customWidth="1"/>
    <col min="11" max="11" width="22.25" style="55" customWidth="1"/>
    <col min="12" max="13" width="1.125" style="55" customWidth="1"/>
    <col min="14" max="14" width="22.625" style="55" customWidth="1"/>
    <col min="15" max="15" width="1.875" style="55" customWidth="1"/>
    <col min="16" max="16" width="4.7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726" t="b">
        <f ca="1">'Länder-DB'!$E$27</f>
        <v>1</v>
      </c>
      <c r="D1" s="212" t="b">
        <f>Deutsch</f>
        <v>1</v>
      </c>
      <c r="E1" s="623" t="s">
        <v>33</v>
      </c>
      <c r="F1" s="624"/>
      <c r="G1" s="66"/>
      <c r="H1" s="66"/>
      <c r="I1" s="66"/>
      <c r="J1" s="66"/>
      <c r="K1" s="266"/>
      <c r="L1" s="66"/>
      <c r="M1" s="281" t="str">
        <f>CONCATENATE(IF(Deutsch,"Parametrische Kalkulation ","Parametric Calculation "),'Quick Input'!$O$2)</f>
        <v>Parametrische Kalkulation Kokillenguss</v>
      </c>
      <c r="N1" s="266"/>
      <c r="O1" s="66"/>
      <c r="P1" s="66"/>
      <c r="Q1" s="66"/>
      <c r="R1" s="66"/>
      <c r="S1" s="66"/>
      <c r="T1" s="66"/>
      <c r="U1" s="66"/>
      <c r="V1" s="66"/>
      <c r="W1" s="1140" t="str">
        <f>CONCATENATE('Quick Input'!AA2,'Quick Input'!AA3," ",'Quick Input'!AA4)</f>
        <v>Version V4.0 28.02.2022</v>
      </c>
      <c r="X1" s="353"/>
      <c r="Y1" s="78"/>
    </row>
    <row r="2" spans="1:25" ht="6.75" customHeight="1" thickBot="1" x14ac:dyDescent="0.25">
      <c r="A2" s="55" t="e">
        <f>#REF!&lt;100</f>
        <v>#REF!</v>
      </c>
      <c r="D2" s="71"/>
      <c r="E2" s="625"/>
      <c r="F2" s="626"/>
      <c r="G2" s="67"/>
      <c r="H2" s="375" t="b">
        <f ca="1">OR(ISERROR(H129),H5="?",H5=0,H12=0,H16=0,H23=0)</f>
        <v>1</v>
      </c>
      <c r="I2" s="67"/>
      <c r="J2" s="67"/>
      <c r="K2" s="375" t="b">
        <f>OR(ISERROR(K129),K5="?",K5=0,K12=0,K16=0,K23=0)</f>
        <v>1</v>
      </c>
      <c r="L2" s="67"/>
      <c r="M2" s="67"/>
      <c r="N2" s="375" t="b">
        <f>OR(ISERROR(N129),N5="?",N5=0,N12=0,N16=0,N23=0)</f>
        <v>1</v>
      </c>
      <c r="O2" s="67"/>
      <c r="P2" s="67"/>
      <c r="Q2" s="67"/>
      <c r="R2" s="67"/>
      <c r="S2" s="67"/>
      <c r="T2" s="67"/>
      <c r="U2" s="67"/>
      <c r="V2" s="67"/>
      <c r="W2" s="1141"/>
      <c r="X2" s="69"/>
      <c r="Y2" s="78"/>
    </row>
    <row r="3" spans="1:25" ht="15.75" customHeight="1" x14ac:dyDescent="0.2">
      <c r="D3" s="71"/>
      <c r="E3" s="270" t="str">
        <f>'Quick Input'!I3</f>
        <v>Bearbeiter</v>
      </c>
      <c r="F3" s="271" t="str">
        <f>'Quick Input'!L3</f>
        <v>Dr.P. Pawar</v>
      </c>
      <c r="G3" s="67"/>
      <c r="H3" s="376" t="b">
        <f ca="1">H2</f>
        <v>1</v>
      </c>
      <c r="I3" s="67"/>
      <c r="J3" s="67"/>
      <c r="K3" s="872" t="b">
        <f>K2</f>
        <v>1</v>
      </c>
      <c r="L3" s="67"/>
      <c r="M3" s="67"/>
      <c r="N3" s="376" t="b">
        <f>N2</f>
        <v>1</v>
      </c>
      <c r="O3" s="67"/>
      <c r="P3" s="67"/>
      <c r="Q3" s="67"/>
      <c r="R3" s="67"/>
      <c r="S3" s="67"/>
      <c r="T3" s="67"/>
      <c r="U3" s="67"/>
      <c r="V3" s="67"/>
      <c r="W3" s="1141"/>
      <c r="X3" s="69"/>
      <c r="Y3" s="78"/>
    </row>
    <row r="4" spans="1:25" ht="6.75" customHeight="1" thickBot="1" x14ac:dyDescent="0.25">
      <c r="D4" s="374"/>
      <c r="E4" s="90"/>
      <c r="F4" s="90"/>
      <c r="G4" s="90"/>
      <c r="H4" s="377" t="b">
        <f ca="1">H3</f>
        <v>1</v>
      </c>
      <c r="I4" s="90"/>
      <c r="J4" s="90"/>
      <c r="K4" s="377" t="b">
        <f>K3</f>
        <v>1</v>
      </c>
      <c r="L4" s="90"/>
      <c r="M4" s="90"/>
      <c r="N4" s="377" t="b">
        <f>N3</f>
        <v>1</v>
      </c>
      <c r="O4" s="90"/>
      <c r="P4" s="90"/>
      <c r="Q4" s="90"/>
      <c r="R4" s="90"/>
      <c r="S4" s="90"/>
      <c r="T4" s="90"/>
      <c r="U4" s="90"/>
      <c r="V4" s="90"/>
      <c r="W4" s="1142">
        <f>W3</f>
        <v>0</v>
      </c>
      <c r="X4" s="355"/>
      <c r="Y4" s="78"/>
    </row>
    <row r="5" spans="1:25" ht="15.75" customHeight="1" thickBot="1" x14ac:dyDescent="0.25">
      <c r="D5" s="1234" t="str">
        <f>IF(Deutsch,"Artikel (Nr.  /  Bezeichnung)","part (no. / name)")</f>
        <v>Artikel (Nr.  /  Bezeichnung)</v>
      </c>
      <c r="E5" s="1235"/>
      <c r="F5" s="1236"/>
      <c r="G5" s="570"/>
      <c r="H5" s="728">
        <f>'Quick Input'!M$8</f>
        <v>58622</v>
      </c>
      <c r="I5" s="578" t="s">
        <v>284</v>
      </c>
      <c r="J5" s="578"/>
      <c r="K5" s="728">
        <f>'Quick Input'!P$8</f>
        <v>58622</v>
      </c>
      <c r="L5" s="578" t="s">
        <v>284</v>
      </c>
      <c r="M5" s="578"/>
      <c r="N5" s="728">
        <f>'Quick Input'!S$8</f>
        <v>58622</v>
      </c>
      <c r="O5" s="488" t="s">
        <v>284</v>
      </c>
      <c r="Y5" s="55" t="s">
        <v>33</v>
      </c>
    </row>
    <row r="6" spans="1:25" ht="15" thickBot="1" x14ac:dyDescent="0.25">
      <c r="D6" s="1237"/>
      <c r="E6" s="1238"/>
      <c r="F6" s="1239"/>
      <c r="G6" s="571"/>
      <c r="H6" s="68" t="str">
        <f>'Quick Input'!M$9</f>
        <v>Housing</v>
      </c>
      <c r="I6" s="579" t="s">
        <v>284</v>
      </c>
      <c r="J6" s="579"/>
      <c r="K6" s="70" t="str">
        <f>'Quick Input'!P9</f>
        <v>Housing</v>
      </c>
      <c r="L6" s="500" t="s">
        <v>703</v>
      </c>
      <c r="M6" s="78"/>
      <c r="N6" s="70" t="str">
        <f>'Quick Input'!S9</f>
        <v>Housing</v>
      </c>
      <c r="O6" s="1135" t="s">
        <v>703</v>
      </c>
      <c r="Y6" s="55" t="s">
        <v>33</v>
      </c>
    </row>
    <row r="7" spans="1:25" ht="15.75" customHeight="1" thickBot="1" x14ac:dyDescent="0.25">
      <c r="D7" s="1254" t="str">
        <f>'Quick Input'!$I$46</f>
        <v>Produktionsregion</v>
      </c>
      <c r="E7" s="1255"/>
      <c r="F7" s="1256"/>
      <c r="G7" s="571"/>
      <c r="H7" s="68" t="str">
        <f>VLOOKUP('Quick Input'!M$46,DB_Länder,IF(Deutsch,1,2),FALSE)</f>
        <v>Deutschland</v>
      </c>
      <c r="I7" s="579" t="s">
        <v>703</v>
      </c>
      <c r="J7" s="579"/>
      <c r="K7" s="68" t="str">
        <f>VLOOKUP('Quick Input'!P$46,DB_Länder,IF(Deutsch,1,2),FALSE)</f>
        <v>Polen</v>
      </c>
      <c r="L7" s="78" t="s">
        <v>284</v>
      </c>
      <c r="M7" s="78"/>
      <c r="N7" s="68" t="str">
        <f>VLOOKUP('Quick Input'!S$46,DB_Länder,IF(Deutsch,1,2),FALSE)</f>
        <v>Deutschland</v>
      </c>
      <c r="O7" s="1135" t="s">
        <v>284</v>
      </c>
      <c r="Y7" s="55" t="s">
        <v>33</v>
      </c>
    </row>
    <row r="8" spans="1:25" ht="16.5" customHeight="1" thickBot="1" x14ac:dyDescent="0.25">
      <c r="D8" s="1257" t="str">
        <f>'Quick Input'!$I$4</f>
        <v>Datum</v>
      </c>
      <c r="E8" s="1258"/>
      <c r="F8" s="1259"/>
      <c r="G8" s="575"/>
      <c r="H8" s="622">
        <f>'Quick Input'!M$35</f>
        <v>43531</v>
      </c>
      <c r="I8" s="585" t="s">
        <v>284</v>
      </c>
      <c r="J8" s="585"/>
      <c r="K8" s="622">
        <f>'Quick Input'!P$35</f>
        <v>43531</v>
      </c>
      <c r="L8" s="87" t="s">
        <v>284</v>
      </c>
      <c r="M8" s="87"/>
      <c r="N8" s="622">
        <f>'Quick Input'!S$35</f>
        <v>43531</v>
      </c>
      <c r="O8" s="1135" t="s">
        <v>284</v>
      </c>
      <c r="Y8" s="55" t="s">
        <v>33</v>
      </c>
    </row>
    <row r="9" spans="1:25" ht="14.25" customHeight="1" thickBot="1" x14ac:dyDescent="0.25">
      <c r="D9" s="1251" t="str">
        <f>IF(Deutsch,"Materialien","materials")</f>
        <v>Materialien</v>
      </c>
      <c r="E9" s="1252"/>
      <c r="F9" s="1253"/>
      <c r="G9" s="571"/>
      <c r="H9" s="621" t="str">
        <f>'Quick Input'!M$10</f>
        <v>EN AC-46100</v>
      </c>
      <c r="I9" s="579" t="s">
        <v>284</v>
      </c>
      <c r="J9" s="579"/>
      <c r="K9" s="621" t="str">
        <f>'Quick Input'!P$10</f>
        <v>EN AC-43100</v>
      </c>
      <c r="L9" s="500" t="s">
        <v>284</v>
      </c>
      <c r="M9" s="78"/>
      <c r="N9" s="1137" t="str">
        <f>'Quick Input'!S$10</f>
        <v>EN AC-43100</v>
      </c>
      <c r="O9" s="1138" t="s">
        <v>284</v>
      </c>
      <c r="Y9" s="55" t="s">
        <v>33</v>
      </c>
    </row>
    <row r="10" spans="1:25" ht="13.5" customHeight="1" thickBot="1" x14ac:dyDescent="0.25">
      <c r="D10" s="1251"/>
      <c r="E10" s="1252"/>
      <c r="F10" s="1253"/>
      <c r="G10" s="571"/>
      <c r="H10" s="621" t="str">
        <f>'Quick Input'!M$11</f>
        <v>Al Si10Cu2(Fe)</v>
      </c>
      <c r="I10" s="579" t="s">
        <v>703</v>
      </c>
      <c r="J10" s="579"/>
      <c r="K10" s="621" t="str">
        <f>'Quick Input'!P$11</f>
        <v>Al Si10Mg(b)</v>
      </c>
      <c r="L10" s="824" t="s">
        <v>703</v>
      </c>
      <c r="M10" s="78"/>
      <c r="N10" s="621" t="str">
        <f>'Quick Input'!S$11</f>
        <v>Al Si10Mg(b)</v>
      </c>
      <c r="O10" s="1135" t="s">
        <v>703</v>
      </c>
      <c r="Y10" s="55" t="s">
        <v>33</v>
      </c>
    </row>
    <row r="11" spans="1:25" ht="13.5" customHeight="1" thickBot="1" x14ac:dyDescent="0.25">
      <c r="D11" s="1243"/>
      <c r="E11" s="1244"/>
      <c r="F11" s="1245"/>
      <c r="G11" s="571"/>
      <c r="H11" s="621" t="str">
        <f>IFERROR(VLOOKUP(H$9,DB_Material,4,FALSE),"")</f>
        <v>LM2, L-2640</v>
      </c>
      <c r="I11" s="579" t="s">
        <v>284</v>
      </c>
      <c r="J11" s="579"/>
      <c r="K11" s="621" t="str">
        <f>IFERROR(VLOOKUP(K$9,DB_Material,4,FALSE),"")</f>
        <v>L239 (b)</v>
      </c>
      <c r="L11" s="78" t="s">
        <v>284</v>
      </c>
      <c r="M11" s="78"/>
      <c r="N11" s="621" t="str">
        <f>IFERROR(VLOOKUP(N$9,DB_Material,4,FALSE),"")</f>
        <v>L239 (b)</v>
      </c>
      <c r="O11" s="1135" t="s">
        <v>284</v>
      </c>
      <c r="Y11" s="55" t="s">
        <v>33</v>
      </c>
    </row>
    <row r="12" spans="1:25" ht="15" thickBot="1" x14ac:dyDescent="0.25">
      <c r="D12" s="76" t="str">
        <f>'Quick Input'!I13</f>
        <v>Al-Materialpreis (€/kg)</v>
      </c>
      <c r="E12" s="542"/>
      <c r="F12" s="484"/>
      <c r="G12" s="571"/>
      <c r="H12" s="827">
        <f>'Quick Input'!M$13</f>
        <v>2.0002526724975707</v>
      </c>
      <c r="I12" s="579" t="s">
        <v>284</v>
      </c>
      <c r="J12" s="579"/>
      <c r="K12" s="827">
        <f>'Quick Input'!P$13</f>
        <v>1.9670528580208975</v>
      </c>
      <c r="L12" s="78" t="s">
        <v>284</v>
      </c>
      <c r="M12" s="78"/>
      <c r="N12" s="827">
        <f>'Quick Input'!S$13</f>
        <v>1.9670528580208975</v>
      </c>
      <c r="O12" s="1135" t="s">
        <v>284</v>
      </c>
      <c r="Y12" s="55" t="s">
        <v>33</v>
      </c>
    </row>
    <row r="13" spans="1:25" ht="15" thickBot="1" x14ac:dyDescent="0.25">
      <c r="D13" s="76" t="str">
        <f>'Quick Input'!I12</f>
        <v>Quelle Materialpreis</v>
      </c>
      <c r="E13" s="73"/>
      <c r="F13" s="75"/>
      <c r="G13" s="571"/>
      <c r="H13" s="279" t="str">
        <f>IF('Quick Input'!M$12=Auswahlfelder!$D$13,'Material-DB'!$G$1,VLOOKUP(VLOOKUP('Quick Input'!M$12,Auswahlfelder!$D$12:$E$13,2,FALSE),Auswahlfelder!$A$12:$B$13,2,FALSE))</f>
        <v>manuell</v>
      </c>
      <c r="I13" s="579" t="s">
        <v>284</v>
      </c>
      <c r="J13" s="579"/>
      <c r="K13" s="279" t="str">
        <f>IF('Quick Input'!P$12=Auswahlfelder!$D$13,'Material-DB'!$G$1,VLOOKUP(VLOOKUP('Quick Input'!P$12,Auswahlfelder!$D$12:$E$13,2,FALSE),Auswahlfelder!$A$12:$B$13,2,FALSE))</f>
        <v>manuell</v>
      </c>
      <c r="L13" s="579" t="s">
        <v>284</v>
      </c>
      <c r="M13" s="579"/>
      <c r="N13" s="279" t="str">
        <f>IF('Quick Input'!S$12=Auswahlfelder!$D$13,'Material-DB'!$G$1,VLOOKUP(VLOOKUP('Quick Input'!S$12,Auswahlfelder!$D$12:$E$13,2,FALSE),Auswahlfelder!$A$12:$B$13,2,FALSE))</f>
        <v>manuell</v>
      </c>
      <c r="O13" s="1135" t="s">
        <v>284</v>
      </c>
      <c r="Y13" s="55" t="s">
        <v>33</v>
      </c>
    </row>
    <row r="14" spans="1:25" ht="15" thickBot="1" x14ac:dyDescent="0.25">
      <c r="D14" s="76" t="str">
        <f>'Quick Input'!I19</f>
        <v>Rohteilgewicht AL (kg)</v>
      </c>
      <c r="E14" s="73"/>
      <c r="F14" s="75"/>
      <c r="G14" s="571"/>
      <c r="H14" s="540">
        <f>'Quick Input'!M$19</f>
        <v>40</v>
      </c>
      <c r="I14" s="579" t="s">
        <v>284</v>
      </c>
      <c r="J14" s="579"/>
      <c r="K14" s="540">
        <f>'Quick Input'!P$19</f>
        <v>5</v>
      </c>
      <c r="L14" s="78" t="s">
        <v>284</v>
      </c>
      <c r="M14" s="78"/>
      <c r="N14" s="540">
        <f>'Quick Input'!S$19</f>
        <v>5</v>
      </c>
      <c r="O14" s="1135" t="s">
        <v>284</v>
      </c>
      <c r="T14" s="648"/>
      <c r="Y14" s="55" t="s">
        <v>33</v>
      </c>
    </row>
    <row r="15" spans="1:25" ht="15" thickBot="1" x14ac:dyDescent="0.25">
      <c r="A15" s="648" t="s">
        <v>33</v>
      </c>
      <c r="D15" s="76" t="str">
        <f>IF(Deutsch,"Materialkosten Rohteil","material cost raw part")</f>
        <v>Materialkosten Rohteil</v>
      </c>
      <c r="E15" s="73"/>
      <c r="F15" s="75"/>
      <c r="G15" s="571"/>
      <c r="H15" s="74">
        <f>H$14*H$12</f>
        <v>80.010106899902823</v>
      </c>
      <c r="I15" s="579" t="s">
        <v>284</v>
      </c>
      <c r="J15" s="579"/>
      <c r="K15" s="74">
        <f>K$14*K$12</f>
        <v>9.8352642901044867</v>
      </c>
      <c r="L15" s="78" t="s">
        <v>284</v>
      </c>
      <c r="M15" s="78"/>
      <c r="N15" s="74">
        <f>N$14*N$12</f>
        <v>9.8352642901044867</v>
      </c>
      <c r="O15" s="1135" t="s">
        <v>284</v>
      </c>
      <c r="Y15" s="55" t="s">
        <v>33</v>
      </c>
    </row>
    <row r="16" spans="1:25" ht="15" thickBot="1" x14ac:dyDescent="0.25">
      <c r="B16" s="55" t="s">
        <v>126</v>
      </c>
      <c r="D16" s="72" t="str">
        <f>'Quick Input'!I60</f>
        <v>Schmelzverlust in %</v>
      </c>
      <c r="E16" s="73"/>
      <c r="F16" s="75"/>
      <c r="G16" s="571"/>
      <c r="H16" s="119">
        <v>5.5500000000000001E-2</v>
      </c>
      <c r="I16" s="580"/>
      <c r="J16" s="580"/>
      <c r="K16" s="119">
        <v>5.5500000000000001E-2</v>
      </c>
      <c r="L16" s="825"/>
      <c r="M16" s="354"/>
      <c r="N16" s="119">
        <v>5.5500000000000001E-2</v>
      </c>
      <c r="O16" s="1135"/>
      <c r="Y16" s="55" t="s">
        <v>33</v>
      </c>
    </row>
    <row r="17" spans="1:25" ht="15" thickBot="1" x14ac:dyDescent="0.25">
      <c r="D17" s="76" t="str">
        <f>IF(Deutsch,"Kosten Schmelzverlust","cost for melting loss")</f>
        <v>Kosten Schmelzverlust</v>
      </c>
      <c r="E17" s="73"/>
      <c r="F17" s="75"/>
      <c r="G17" s="571"/>
      <c r="H17" s="74">
        <f ca="1">H$15*(1+Parametrikber!F$47)*H$16</f>
        <v>10.671366874761611</v>
      </c>
      <c r="I17" s="579" t="s">
        <v>284</v>
      </c>
      <c r="J17" s="579"/>
      <c r="K17" s="74">
        <f>K$15*(1+Parametrikber!I$47)*K$16</f>
        <v>1.3198251401937215</v>
      </c>
      <c r="L17" s="78" t="s">
        <v>284</v>
      </c>
      <c r="M17" s="78"/>
      <c r="N17" s="74">
        <f>N$15*(1+Parametrikber!L$47)*N$16</f>
        <v>1.865137261516342</v>
      </c>
      <c r="O17" s="1135" t="s">
        <v>284</v>
      </c>
      <c r="Y17" s="55" t="s">
        <v>33</v>
      </c>
    </row>
    <row r="18" spans="1:25" ht="15" thickBot="1" x14ac:dyDescent="0.25">
      <c r="A18" s="648" t="s">
        <v>33</v>
      </c>
      <c r="D18" s="874" t="str">
        <f>IF(Deutsch,"Materialkosten Aluminium (€/Stk.)","material cost aluminium (€/pc.)")</f>
        <v>Materialkosten Aluminium (€/Stk.)</v>
      </c>
      <c r="E18" s="73"/>
      <c r="F18" s="75"/>
      <c r="G18" s="571"/>
      <c r="H18" s="85">
        <f ca="1">H15+H17</f>
        <v>90.68147377466444</v>
      </c>
      <c r="I18" s="579" t="s">
        <v>284</v>
      </c>
      <c r="J18" s="579"/>
      <c r="K18" s="85">
        <f>K15+K17</f>
        <v>11.155089430298208</v>
      </c>
      <c r="L18" s="579" t="s">
        <v>284</v>
      </c>
      <c r="M18" s="579"/>
      <c r="N18" s="85">
        <f>N15+N17</f>
        <v>11.700401551620828</v>
      </c>
      <c r="O18" s="1135" t="s">
        <v>284</v>
      </c>
      <c r="Y18" s="55" t="s">
        <v>33</v>
      </c>
    </row>
    <row r="19" spans="1:25" ht="15" thickBot="1" x14ac:dyDescent="0.25">
      <c r="D19" s="76" t="str">
        <f>IF(Deutsch,"Material Schmelzebehandlung","cost for cleaning salt")</f>
        <v>Material Schmelzebehandlung</v>
      </c>
      <c r="E19" s="542"/>
      <c r="F19" s="75"/>
      <c r="G19" s="571"/>
      <c r="H19" s="74">
        <f ca="1">'Länder-DB'!$M$39*H$32/1000*(1+Parametrikber!F246)</f>
        <v>0.89065101406976199</v>
      </c>
      <c r="I19" s="579" t="s">
        <v>284</v>
      </c>
      <c r="J19" s="579"/>
      <c r="K19" s="74">
        <f>'Länder-DB'!$M$39*K$32/1000*(1+Parametrikber!I246)</f>
        <v>0.19300036607852153</v>
      </c>
      <c r="L19" s="500" t="s">
        <v>284</v>
      </c>
      <c r="M19" s="500"/>
      <c r="N19" s="74">
        <f>'Länder-DB'!$M$39*N$32/1000*(1+Parametrikber!L246)</f>
        <v>0.27274232267352416</v>
      </c>
      <c r="O19" s="1135" t="s">
        <v>284</v>
      </c>
      <c r="Y19" s="55" t="s">
        <v>33</v>
      </c>
    </row>
    <row r="20" spans="1:25" ht="15" thickBot="1" x14ac:dyDescent="0.25">
      <c r="D20" s="76" t="str">
        <f>IF(Deutsch,"Kernmaterialkosten ","core material cost per pc.")</f>
        <v xml:space="preserve">Kernmaterialkosten </v>
      </c>
      <c r="E20" s="542"/>
      <c r="F20" s="75"/>
      <c r="G20" s="571"/>
      <c r="H20" s="74">
        <f>H$65*Parametrikber!F$145</f>
        <v>23.314909</v>
      </c>
      <c r="I20" s="579"/>
      <c r="J20" s="579"/>
      <c r="K20" s="74" t="e">
        <f>K$65*Parametrikber!I$92</f>
        <v>#N/A</v>
      </c>
      <c r="L20" s="500"/>
      <c r="M20" s="500"/>
      <c r="N20" s="74" t="e">
        <f>N$65*Parametrikber!L$92</f>
        <v>#N/A</v>
      </c>
      <c r="O20" s="1135"/>
    </row>
    <row r="21" spans="1:25" ht="15" thickBot="1" x14ac:dyDescent="0.25">
      <c r="C21" s="78"/>
      <c r="D21" s="72" t="str">
        <f>IF(Deutsch,"Kühleisenkosten (per Stk.)","cooling plates cost (ea. pc.)")</f>
        <v>Kühleisenkosten (per Stk.)</v>
      </c>
      <c r="E21" s="73"/>
      <c r="F21" s="75"/>
      <c r="G21" s="571"/>
      <c r="H21" s="74">
        <f>Parametrikber!F$222</f>
        <v>0</v>
      </c>
      <c r="I21" s="579" t="s">
        <v>284</v>
      </c>
      <c r="J21" s="567"/>
      <c r="K21" s="74">
        <f>Parametrikber!I$222</f>
        <v>0</v>
      </c>
      <c r="L21" s="500" t="s">
        <v>284</v>
      </c>
      <c r="M21" s="166"/>
      <c r="N21" s="74">
        <f>Parametrikber!L$222</f>
        <v>0</v>
      </c>
      <c r="O21" s="1135" t="s">
        <v>284</v>
      </c>
      <c r="Y21" s="55" t="s">
        <v>33</v>
      </c>
    </row>
    <row r="22" spans="1:25" ht="15" thickBot="1" x14ac:dyDescent="0.25">
      <c r="D22" s="874" t="str">
        <f>IF(Deutsch,"Kosten Hilfsstoffe (€/Stk.)","cost sum auxiliaries (€/pc.)")</f>
        <v>Kosten Hilfsstoffe (€/Stk.)</v>
      </c>
      <c r="E22" s="73"/>
      <c r="F22" s="75"/>
      <c r="G22" s="571"/>
      <c r="H22" s="85" t="e">
        <f ca="1">#REF!+H$19+H$21</f>
        <v>#REF!</v>
      </c>
      <c r="I22" s="579" t="s">
        <v>284</v>
      </c>
      <c r="J22" s="579"/>
      <c r="K22" s="85" t="e">
        <f>#REF!+K$19+K$21</f>
        <v>#REF!</v>
      </c>
      <c r="L22" s="579" t="s">
        <v>284</v>
      </c>
      <c r="M22" s="579"/>
      <c r="N22" s="85" t="e">
        <f>#REF!+N$19+N$21</f>
        <v>#REF!</v>
      </c>
      <c r="O22" s="1135" t="s">
        <v>284</v>
      </c>
      <c r="Y22" s="55" t="s">
        <v>33</v>
      </c>
    </row>
    <row r="23" spans="1:25" ht="15" thickBot="1" x14ac:dyDescent="0.25">
      <c r="B23" s="55" t="s">
        <v>126</v>
      </c>
      <c r="D23" s="72" t="str">
        <f>'Quick Input'!I61</f>
        <v>Materialgemeinkostensatz</v>
      </c>
      <c r="E23" s="73"/>
      <c r="F23" s="75"/>
      <c r="G23" s="571"/>
      <c r="H23" s="119">
        <v>7.0000000000000007E-2</v>
      </c>
      <c r="I23" s="580"/>
      <c r="J23" s="580"/>
      <c r="K23" s="119">
        <v>7.0000000000000007E-2</v>
      </c>
      <c r="L23" s="354"/>
      <c r="M23" s="354"/>
      <c r="N23" s="119">
        <v>7.0000000000000007E-2</v>
      </c>
      <c r="O23" s="1135"/>
      <c r="Y23" s="55" t="s">
        <v>33</v>
      </c>
    </row>
    <row r="24" spans="1:25" ht="15" thickBot="1" x14ac:dyDescent="0.25">
      <c r="D24" s="76" t="str">
        <f>IF(Deutsch,"Materialgemeinkosten","material overhead")</f>
        <v>Materialgemeinkosten</v>
      </c>
      <c r="E24" s="73"/>
      <c r="F24" s="75"/>
      <c r="G24" s="571"/>
      <c r="H24" s="85" t="e">
        <f ca="1">(H$18+H$22)*H$23</f>
        <v>#REF!</v>
      </c>
      <c r="I24" s="579" t="s">
        <v>284</v>
      </c>
      <c r="J24" s="579"/>
      <c r="K24" s="85" t="e">
        <f>(K$18+K$22)*K$23</f>
        <v>#REF!</v>
      </c>
      <c r="L24" s="579" t="s">
        <v>284</v>
      </c>
      <c r="M24" s="579"/>
      <c r="N24" s="85" t="e">
        <f>(N$18+N$22)*N$23</f>
        <v>#REF!</v>
      </c>
      <c r="O24" s="1135" t="s">
        <v>284</v>
      </c>
      <c r="Y24" s="55" t="s">
        <v>33</v>
      </c>
    </row>
    <row r="25" spans="1:25" ht="15" thickBot="1" x14ac:dyDescent="0.25">
      <c r="D25" s="116" t="str">
        <f>IF(Deutsch,"Materialkosten gesamt","material cost total")</f>
        <v>Materialkosten gesamt</v>
      </c>
      <c r="E25" s="73"/>
      <c r="F25" s="75"/>
      <c r="G25" s="811"/>
      <c r="H25" s="77" t="e">
        <f ca="1">H$18+H$22+H$24</f>
        <v>#REF!</v>
      </c>
      <c r="I25" s="812" t="s">
        <v>284</v>
      </c>
      <c r="J25" s="813"/>
      <c r="K25" s="77" t="e">
        <f>K$18+K$22+K$24</f>
        <v>#REF!</v>
      </c>
      <c r="L25" s="812" t="s">
        <v>284</v>
      </c>
      <c r="M25" s="813"/>
      <c r="N25" s="77" t="e">
        <f>N$18+N$22+N$24</f>
        <v>#REF!</v>
      </c>
      <c r="O25" s="1135" t="s">
        <v>284</v>
      </c>
      <c r="Y25" s="55" t="s">
        <v>33</v>
      </c>
    </row>
    <row r="26" spans="1:25" ht="6" customHeight="1" thickBot="1" x14ac:dyDescent="0.25">
      <c r="C26" s="87"/>
      <c r="D26" s="88"/>
      <c r="E26" s="87"/>
      <c r="F26" s="89"/>
      <c r="G26" s="575"/>
      <c r="H26" s="807"/>
      <c r="I26" s="585" t="s">
        <v>284</v>
      </c>
      <c r="J26" s="585"/>
      <c r="K26" s="807"/>
      <c r="L26" s="87" t="s">
        <v>284</v>
      </c>
      <c r="M26" s="87"/>
      <c r="N26" s="807"/>
      <c r="O26" s="1139" t="s">
        <v>284</v>
      </c>
      <c r="Y26" s="55" t="s">
        <v>33</v>
      </c>
    </row>
    <row r="27" spans="1:25" ht="14.25" customHeight="1" thickBot="1" x14ac:dyDescent="0.25">
      <c r="D27" s="1240" t="str">
        <f>IF(Deutsch,"Prozess Schmelzen","melting process")</f>
        <v>Prozess Schmelzen</v>
      </c>
      <c r="E27" s="1246"/>
      <c r="F27" s="1247"/>
      <c r="G27" s="855"/>
      <c r="H27" s="856" t="str">
        <f>CONCATENATE(VLOOKUP(Parametrikber!F$111,DB_Ofen,11,FALSE),"-",IF(Deutsch,"Ofen","oven"))</f>
        <v>Schacht-Ofen</v>
      </c>
      <c r="I27" s="578" t="s">
        <v>284</v>
      </c>
      <c r="J27" s="578"/>
      <c r="K27" s="856" t="str">
        <f>CONCATENATE(VLOOKUP(Parametrikber!I$111,DB_Ofen,11,FALSE),"-",IF(Deutsch,"Ofen","oven"))</f>
        <v>Schacht-Ofen</v>
      </c>
      <c r="L27" s="266" t="s">
        <v>284</v>
      </c>
      <c r="M27" s="266"/>
      <c r="N27" s="856" t="str">
        <f>CONCATENATE(VLOOKUP(Parametrikber!L$111,DB_Ofen,11,FALSE),"-",IF(Deutsch,"Ofen","oven"))</f>
        <v>Schacht-Ofen</v>
      </c>
      <c r="O27" s="1136" t="s">
        <v>284</v>
      </c>
      <c r="Y27" s="55" t="s">
        <v>33</v>
      </c>
    </row>
    <row r="28" spans="1:25" ht="12.75" customHeight="1" thickBot="1" x14ac:dyDescent="0.25">
      <c r="D28" s="1248"/>
      <c r="E28" s="1249"/>
      <c r="F28" s="1250"/>
      <c r="G28" s="814"/>
      <c r="H28" s="537" t="str">
        <f>CONCATENATE(VLOOKUP(Parametrikber!F111,DB_Ofen,5,FALSE)," kg / ",VLOOKUP(Parametrikber!F$111,DB_Ofen,2,FALSE))</f>
        <v>3000 kg / Gas</v>
      </c>
      <c r="I28" s="579" t="s">
        <v>284</v>
      </c>
      <c r="J28" s="579"/>
      <c r="K28" s="537" t="str">
        <f>CONCATENATE(VLOOKUP(Parametrikber!I111,DB_Ofen,5,FALSE)," kg / ",VLOOKUP(Parametrikber!I$111,DB_Ofen,2,FALSE))</f>
        <v>3000 kg / Gas</v>
      </c>
      <c r="L28" s="579" t="s">
        <v>284</v>
      </c>
      <c r="M28" s="579"/>
      <c r="N28" s="537" t="str">
        <f>CONCATENATE(VLOOKUP(Parametrikber!L111,DB_Ofen,5,FALSE)," kg / ",VLOOKUP(Parametrikber!L$111,DB_Ofen,2,FALSE))</f>
        <v>3000 kg / Gas</v>
      </c>
      <c r="O28" s="1135" t="s">
        <v>284</v>
      </c>
      <c r="Y28" s="55" t="s">
        <v>33</v>
      </c>
    </row>
    <row r="29" spans="1:25" ht="14.25" customHeight="1" thickBot="1" x14ac:dyDescent="0.25">
      <c r="C29" s="78"/>
      <c r="D29" s="72" t="str">
        <f>IF(Deutsch,"Schmelzenergie","melting energy")</f>
        <v>Schmelzenergie</v>
      </c>
      <c r="E29" s="73"/>
      <c r="F29" s="75"/>
      <c r="G29" s="857">
        <f>Parametrikber!F$127</f>
        <v>1.7777777777777777</v>
      </c>
      <c r="H29" s="637" t="s">
        <v>109</v>
      </c>
      <c r="I29" s="354"/>
      <c r="J29" s="582"/>
      <c r="K29" s="637" t="s">
        <v>109</v>
      </c>
      <c r="L29" s="354"/>
      <c r="M29" s="582"/>
      <c r="N29" s="637" t="s">
        <v>109</v>
      </c>
      <c r="O29" s="1135"/>
      <c r="Y29" s="55" t="s">
        <v>33</v>
      </c>
    </row>
    <row r="30" spans="1:25" ht="14.25" customHeight="1" thickBot="1" x14ac:dyDescent="0.25">
      <c r="C30" s="78"/>
      <c r="D30" s="72" t="str">
        <f>CONCATENATE(IF(Deutsch,"Auswahl Schmelzleistung","selected melting rate")," (kg/h)")</f>
        <v>Auswahl Schmelzleistung (kg/h)</v>
      </c>
      <c r="E30" s="73"/>
      <c r="F30" s="75"/>
      <c r="G30" s="857"/>
      <c r="H30" s="121">
        <v>2000</v>
      </c>
      <c r="I30" s="78"/>
      <c r="J30" s="569"/>
      <c r="K30" s="121">
        <v>2000</v>
      </c>
      <c r="L30" s="78"/>
      <c r="M30" s="569"/>
      <c r="N30" s="121">
        <v>2000</v>
      </c>
      <c r="O30" s="1135"/>
    </row>
    <row r="31" spans="1:25" ht="15" customHeight="1" thickBot="1" x14ac:dyDescent="0.25">
      <c r="D31" s="72" t="str">
        <f>CONCATENATE(IF(Deutsch,"Schmelzleistung","melting rate")," (kg/h)")</f>
        <v>Schmelzleistung (kg/h)</v>
      </c>
      <c r="E31" s="73"/>
      <c r="F31" s="75"/>
      <c r="G31" s="814"/>
      <c r="H31" s="80">
        <f>VLOOKUP(Parametrikber!F$111,DB_Ofen,7,FALSE)</f>
        <v>2000</v>
      </c>
      <c r="I31" s="642" t="str">
        <f>IFERROR(VLOOKUP(H$29,Auswahlfelder!$D$71:$D$73,1,FALSE),VLOOKUP(H$29,Auswahlfelder!$C$71:$D$73,2,FALSE))</f>
        <v>Gas</v>
      </c>
      <c r="J31" s="579"/>
      <c r="K31" s="80">
        <f>VLOOKUP(Parametrikber!I$111,DB_Ofen,7,FALSE)</f>
        <v>2000</v>
      </c>
      <c r="L31" s="642" t="str">
        <f>IFERROR(VLOOKUP(K$29,Auswahlfelder!$D$71:$D$73,1,FALSE),VLOOKUP(K$29,Auswahlfelder!$C$71:$D$73,2,FALSE))</f>
        <v>Gas</v>
      </c>
      <c r="M31" s="579"/>
      <c r="N31" s="80">
        <f>VLOOKUP(Parametrikber!L$111,DB_Ofen,7,FALSE)</f>
        <v>2000</v>
      </c>
      <c r="O31" s="1135"/>
    </row>
    <row r="32" spans="1:25" ht="15" thickBot="1" x14ac:dyDescent="0.25">
      <c r="D32" s="72" t="str">
        <f>CONCATENATE('Quick Input'!I19,IF(Deutsch," (incl. Anguß)"," (with sprue)"))</f>
        <v>Rohteilgewicht AL (kg) (incl. Anguß)</v>
      </c>
      <c r="E32" s="73"/>
      <c r="F32" s="75"/>
      <c r="G32" s="814"/>
      <c r="H32" s="492">
        <f ca="1">Parametrikber!F$45/H$49*(1+H$16)</f>
        <v>101.46130550981351</v>
      </c>
      <c r="I32" s="579" t="s">
        <v>284</v>
      </c>
      <c r="J32" s="579"/>
      <c r="K32" s="492">
        <f>Parametrikber!I$45/K$49*(1+K$16)</f>
        <v>12.760439148590837</v>
      </c>
      <c r="L32" s="78" t="s">
        <v>284</v>
      </c>
      <c r="M32" s="78"/>
      <c r="N32" s="492">
        <f>Parametrikber!L$45/N$49*(1+N$16)</f>
        <v>18.032669483667604</v>
      </c>
      <c r="O32" s="1135" t="s">
        <v>284</v>
      </c>
    </row>
    <row r="33" spans="2:15" ht="15" thickBot="1" x14ac:dyDescent="0.25">
      <c r="D33" s="72" t="str">
        <f>CONCATENATE(IF(Deutsch,"Zykluszeit Ofen","cycle time melting")," (min)")</f>
        <v>Zykluszeit Ofen (min)</v>
      </c>
      <c r="E33" s="73"/>
      <c r="F33" s="75"/>
      <c r="G33" s="814"/>
      <c r="H33" s="114">
        <f>Parametrikber!F$114/H31*60+VLOOKUP(Parametrikber!F$111,DB_Ofen,14,FALSE)</f>
        <v>117</v>
      </c>
      <c r="I33" s="579" t="s">
        <v>284</v>
      </c>
      <c r="J33" s="579"/>
      <c r="K33" s="114">
        <f>Parametrikber!I$114/K31*60+VLOOKUP(Parametrikber!I$111,DB_Ofen,14,FALSE)</f>
        <v>117</v>
      </c>
      <c r="L33" s="78" t="s">
        <v>284</v>
      </c>
      <c r="M33" s="78"/>
      <c r="N33" s="114">
        <f>Parametrikber!L$114/N31*60+VLOOKUP(Parametrikber!L$111,DB_Ofen,14,FALSE)</f>
        <v>117</v>
      </c>
      <c r="O33" s="1135" t="s">
        <v>284</v>
      </c>
    </row>
    <row r="34" spans="2:15" ht="15" thickBot="1" x14ac:dyDescent="0.25">
      <c r="D34" s="72" t="str">
        <f>CONCATENATE(IF(Deutsch,"Stundensatz Ofen","rate oven")," (€/h)")</f>
        <v>Stundensatz Ofen (€/h)</v>
      </c>
      <c r="E34" s="73"/>
      <c r="F34" s="75"/>
      <c r="G34" s="814"/>
      <c r="H34" s="136">
        <f>Parametrikber!F$121</f>
        <v>12.513528138528136</v>
      </c>
      <c r="I34" s="579" t="s">
        <v>284</v>
      </c>
      <c r="J34" s="579"/>
      <c r="K34" s="136">
        <f>Parametrikber!I$121</f>
        <v>15.245912447257387</v>
      </c>
      <c r="L34" s="78" t="s">
        <v>284</v>
      </c>
      <c r="M34" s="78"/>
      <c r="N34" s="136">
        <f>Parametrikber!L$121</f>
        <v>22.671568627450977</v>
      </c>
      <c r="O34" s="1135" t="s">
        <v>284</v>
      </c>
    </row>
    <row r="35" spans="2:15" ht="15" thickBot="1" x14ac:dyDescent="0.25">
      <c r="D35" s="82" t="str">
        <f>IF(Deutsch,"Prozesskosten Ofen (€/Stk.)","process cost ovfen (€/pc.)")</f>
        <v>Prozesskosten Ofen (€/Stk.)</v>
      </c>
      <c r="E35" s="73"/>
      <c r="F35" s="75"/>
      <c r="G35" s="814"/>
      <c r="H35" s="85">
        <f ca="1">H$33/60*H$32/Parametrikber!F$114*H$34</f>
        <v>0.85372270960836538</v>
      </c>
      <c r="I35" s="579" t="s">
        <v>284</v>
      </c>
      <c r="J35" s="579"/>
      <c r="K35" s="85">
        <f>K$33/60*K$32/Parametrikber!I$114*K$34</f>
        <v>0.13081443075639462</v>
      </c>
      <c r="L35" s="579" t="s">
        <v>284</v>
      </c>
      <c r="M35" s="579"/>
      <c r="N35" s="85">
        <f>N$33/60*N$32/Parametrikber!L$114*N$34</f>
        <v>0.27490219389085052</v>
      </c>
      <c r="O35" s="1135" t="s">
        <v>284</v>
      </c>
    </row>
    <row r="36" spans="2:15" ht="15" thickBot="1" x14ac:dyDescent="0.25">
      <c r="D36" s="72" t="str">
        <f>IF(Deutsch,"Energieverbrauch (kWh/kg)","energy rate (kWh/kg)")</f>
        <v>Energieverbrauch (kWh/kg)</v>
      </c>
      <c r="E36" s="73"/>
      <c r="F36" s="75"/>
      <c r="G36" s="814"/>
      <c r="H36" s="80">
        <f>VLOOKUP(Parametrikber!F$111,DB_Ofen,12,FALSE)</f>
        <v>0.68700000000000006</v>
      </c>
      <c r="I36" s="579" t="s">
        <v>284</v>
      </c>
      <c r="J36" s="579"/>
      <c r="K36" s="80">
        <f>VLOOKUP(Parametrikber!I$111,DB_Ofen,12,FALSE)</f>
        <v>0.68700000000000006</v>
      </c>
      <c r="L36" s="579" t="s">
        <v>284</v>
      </c>
      <c r="M36" s="579"/>
      <c r="N36" s="80">
        <f>VLOOKUP(Parametrikber!L$111,DB_Ofen,12,FALSE)</f>
        <v>0.68700000000000006</v>
      </c>
      <c r="O36" s="1135" t="s">
        <v>284</v>
      </c>
    </row>
    <row r="37" spans="2:15" ht="15" thickBot="1" x14ac:dyDescent="0.25">
      <c r="D37" s="72" t="str">
        <f>IF(Deutsch,"Energiekosten (€/kWh ","energy price (€/kWh)")</f>
        <v xml:space="preserve">Energiekosten (€/kWh </v>
      </c>
      <c r="E37" s="73"/>
      <c r="F37" s="75"/>
      <c r="G37" s="814"/>
      <c r="H37" s="101">
        <f>Parametrikber!F$227</f>
        <v>5.2999999999999999E-2</v>
      </c>
      <c r="I37" s="579" t="s">
        <v>284</v>
      </c>
      <c r="J37" s="579"/>
      <c r="K37" s="101">
        <f>Parametrikber!I$227</f>
        <v>0.1237</v>
      </c>
      <c r="L37" s="579" t="s">
        <v>284</v>
      </c>
      <c r="M37" s="579"/>
      <c r="N37" s="101">
        <f>Parametrikber!L$227</f>
        <v>5.2999999999999999E-2</v>
      </c>
      <c r="O37" s="1135" t="s">
        <v>284</v>
      </c>
    </row>
    <row r="38" spans="2:15" ht="15" thickBot="1" x14ac:dyDescent="0.25">
      <c r="D38" s="72" t="str">
        <f>IF(Deutsch,"Energiekosten (€/Stk.)","energy cost (€/pc.)")</f>
        <v>Energiekosten (€/Stk.)</v>
      </c>
      <c r="E38" s="73"/>
      <c r="F38" s="75"/>
      <c r="G38" s="814"/>
      <c r="H38" s="85">
        <f ca="1">H$32*H$36*H$37</f>
        <v>3.6943075949178206</v>
      </c>
      <c r="I38" s="579" t="s">
        <v>284</v>
      </c>
      <c r="J38" s="579"/>
      <c r="K38" s="85">
        <f>K$32*K$36*K$37</f>
        <v>1.0844063636816319</v>
      </c>
      <c r="L38" s="78" t="s">
        <v>284</v>
      </c>
      <c r="M38" s="78"/>
      <c r="N38" s="85">
        <f>N$32*N$36*N$37</f>
        <v>0.65658752856982117</v>
      </c>
      <c r="O38" s="1135" t="s">
        <v>284</v>
      </c>
    </row>
    <row r="39" spans="2:15" ht="15" thickBot="1" x14ac:dyDescent="0.25">
      <c r="D39" s="72" t="str">
        <f>IF(Deutsch,"Bediener pro Ofen","operator per oven)")</f>
        <v>Bediener pro Ofen</v>
      </c>
      <c r="E39" s="73"/>
      <c r="F39" s="75"/>
      <c r="G39" s="814"/>
      <c r="H39" s="81">
        <f>Parametrikber!F$150</f>
        <v>0.7</v>
      </c>
      <c r="I39" s="579" t="s">
        <v>284</v>
      </c>
      <c r="J39" s="579"/>
      <c r="K39" s="81">
        <f>Parametrikber!I$150</f>
        <v>0.7</v>
      </c>
      <c r="L39" s="78" t="s">
        <v>284</v>
      </c>
      <c r="M39" s="78"/>
      <c r="N39" s="81">
        <f>Parametrikber!L$150</f>
        <v>0.7</v>
      </c>
      <c r="O39" s="1135" t="s">
        <v>284</v>
      </c>
    </row>
    <row r="40" spans="2:15" ht="15" thickBot="1" x14ac:dyDescent="0.25">
      <c r="D40" s="72" t="str">
        <f>CONCATENATE(IF(Deutsch,"Personalkosten Ofenbediener","personal cost operator")," (€/h)")</f>
        <v>Personalkosten Ofenbediener (€/h)</v>
      </c>
      <c r="E40" s="73"/>
      <c r="F40" s="75"/>
      <c r="G40" s="814"/>
      <c r="H40" s="136">
        <f>Parametrikber!F$21</f>
        <v>29.420724999999997</v>
      </c>
      <c r="I40" s="579" t="s">
        <v>284</v>
      </c>
      <c r="J40" s="579"/>
      <c r="K40" s="136">
        <f>Parametrikber!I$21</f>
        <v>7.4557889999999984</v>
      </c>
      <c r="L40" s="78" t="s">
        <v>284</v>
      </c>
      <c r="M40" s="78"/>
      <c r="N40" s="136">
        <f>Parametrikber!L$21</f>
        <v>29.420724999999997</v>
      </c>
      <c r="O40" s="1135" t="s">
        <v>284</v>
      </c>
    </row>
    <row r="41" spans="2:15" ht="15" thickBot="1" x14ac:dyDescent="0.25">
      <c r="D41" s="82" t="str">
        <f>IF(Deutsch,"Personalkosten (€/Stk.)","stuff cost (€/pc.)")</f>
        <v>Personalkosten (€/Stk.)</v>
      </c>
      <c r="E41" s="73"/>
      <c r="F41" s="75"/>
      <c r="G41" s="814"/>
      <c r="H41" s="85">
        <f ca="1">H$32*(1+H$16)/Parametrikber!F$114*H$33/60*H$39*H$40</f>
        <v>1.4830189752170744</v>
      </c>
      <c r="I41" s="579" t="s">
        <v>284</v>
      </c>
      <c r="J41" s="579"/>
      <c r="K41" s="85">
        <f>K$32*(1+K$16)/Parametrikber!I$114*K$33/60*K$39*K$40</f>
        <v>4.726635591325469E-2</v>
      </c>
      <c r="L41" s="78" t="s">
        <v>284</v>
      </c>
      <c r="M41" s="78"/>
      <c r="N41" s="85">
        <f>N$32*(1+N$16)/Parametrikber!L$114*N$33/60*N$39*N$40</f>
        <v>0.26357625583193711</v>
      </c>
      <c r="O41" s="1135" t="s">
        <v>284</v>
      </c>
    </row>
    <row r="42" spans="2:15" ht="15" thickBot="1" x14ac:dyDescent="0.25">
      <c r="D42" s="72" t="str">
        <f>IF(Deutsch,"Schmelze entgasen/reinigen (min)","cleaning time (min)")</f>
        <v>Schmelze entgasen/reinigen (min)</v>
      </c>
      <c r="E42" s="73"/>
      <c r="F42" s="75"/>
      <c r="G42" s="814"/>
      <c r="H42" s="81">
        <f>Parametrikber!F245</f>
        <v>14.8</v>
      </c>
      <c r="I42" s="579" t="s">
        <v>284</v>
      </c>
      <c r="J42" s="579"/>
      <c r="K42" s="81">
        <f>Parametrikber!I245</f>
        <v>25.4</v>
      </c>
      <c r="L42" s="78" t="s">
        <v>284</v>
      </c>
      <c r="M42" s="78"/>
      <c r="N42" s="81">
        <f>Parametrikber!L245</f>
        <v>25.4</v>
      </c>
      <c r="O42" s="1135" t="s">
        <v>284</v>
      </c>
    </row>
    <row r="43" spans="2:15" ht="15" thickBot="1" x14ac:dyDescent="0.25">
      <c r="D43" s="72" t="str">
        <f>CONCATENATE(IF(Deutsch,"Reinigungskosten","process cost cleaning")," (€/h)")</f>
        <v>Reinigungskosten (€/h)</v>
      </c>
      <c r="E43" s="73"/>
      <c r="F43" s="75"/>
      <c r="G43" s="814"/>
      <c r="H43" s="136">
        <f>Parametrikber!F242</f>
        <v>13.884145</v>
      </c>
      <c r="I43" s="579" t="s">
        <v>284</v>
      </c>
      <c r="J43" s="579"/>
      <c r="K43" s="136">
        <f>Parametrikber!I242</f>
        <v>9.4911577999999999</v>
      </c>
      <c r="L43" s="78" t="s">
        <v>284</v>
      </c>
      <c r="M43" s="78"/>
      <c r="N43" s="136">
        <f>Parametrikber!L242</f>
        <v>13.884145</v>
      </c>
      <c r="O43" s="1135" t="s">
        <v>284</v>
      </c>
    </row>
    <row r="44" spans="2:15" ht="15" thickBot="1" x14ac:dyDescent="0.25">
      <c r="D44" s="82" t="str">
        <f>IF(Deutsch,"Schmelzebehandlung (€/Stk.)","molten metal treatment (€/pc.)")</f>
        <v>Schmelzebehandlung (€/Stk.)</v>
      </c>
      <c r="E44" s="542"/>
      <c r="F44" s="75"/>
      <c r="G44" s="814"/>
      <c r="H44" s="85">
        <f ca="1">H$42/60*H$43*H$32/Parametrikber!F$114</f>
        <v>0.11982075556491803</v>
      </c>
      <c r="I44" s="579" t="s">
        <v>284</v>
      </c>
      <c r="J44" s="579"/>
      <c r="K44" s="85">
        <f>K$42/60*K$43*K$32/Parametrikber!I$114</f>
        <v>1.7679471698488283E-2</v>
      </c>
      <c r="L44" s="78" t="s">
        <v>284</v>
      </c>
      <c r="M44" s="78"/>
      <c r="N44" s="85">
        <f>N$42/60*N$43*N$32/Parametrikber!L$114</f>
        <v>3.6548001295099018E-2</v>
      </c>
      <c r="O44" s="1135" t="s">
        <v>284</v>
      </c>
    </row>
    <row r="45" spans="2:15" ht="15" thickBot="1" x14ac:dyDescent="0.25">
      <c r="B45" s="55" t="s">
        <v>126</v>
      </c>
      <c r="C45" s="78"/>
      <c r="D45" s="72" t="str">
        <f>IF(Deutsch,"Mehraufwand durch Ausschuß","additional melting rate scrap")</f>
        <v>Mehraufwand durch Ausschuß</v>
      </c>
      <c r="E45" s="73"/>
      <c r="F45" s="75"/>
      <c r="G45" s="571"/>
      <c r="H45" s="873">
        <f>H$68+H$90</f>
        <v>0.02</v>
      </c>
      <c r="I45" s="580"/>
      <c r="J45" s="580"/>
      <c r="K45" s="873">
        <f>K$68+K$90</f>
        <v>0.02</v>
      </c>
      <c r="L45" s="580"/>
      <c r="M45" s="580"/>
      <c r="N45" s="873">
        <f>N$68+N$90</f>
        <v>0.02</v>
      </c>
      <c r="O45" s="1135"/>
    </row>
    <row r="46" spans="2:15" ht="16.5" customHeight="1" thickBot="1" x14ac:dyDescent="0.25">
      <c r="D46" s="973" t="str">
        <f>IF(Deutsch,"Schmelzkosten pro Stück","melting cost per part")</f>
        <v>Schmelzkosten pro Stück</v>
      </c>
      <c r="E46" s="164"/>
      <c r="F46" s="165"/>
      <c r="G46" s="810"/>
      <c r="H46" s="974">
        <f ca="1">(H41+H35+H38+H44)*(1+H45)</f>
        <v>6.2738874360143422</v>
      </c>
      <c r="I46" s="975" t="s">
        <v>284</v>
      </c>
      <c r="J46" s="975"/>
      <c r="K46" s="974">
        <f>(K41+K35+K38+K44)*(1+K45)</f>
        <v>1.3057699544907651</v>
      </c>
      <c r="L46" s="976" t="s">
        <v>284</v>
      </c>
      <c r="M46" s="976"/>
      <c r="N46" s="974">
        <f>(N41+N35+N38+N44)*(1+N45)</f>
        <v>1.2562462591794619</v>
      </c>
      <c r="O46" s="1139" t="s">
        <v>284</v>
      </c>
    </row>
    <row r="47" spans="2:15" ht="24.75" thickBot="1" x14ac:dyDescent="0.25">
      <c r="D47" s="1248" t="str">
        <f>IF(Deutsch,"Prozess Kokillenguss","die casting process")</f>
        <v>Prozess Kokillenguss</v>
      </c>
      <c r="E47" s="1249"/>
      <c r="F47" s="1250"/>
      <c r="G47" s="571"/>
      <c r="H47" s="869" t="str">
        <f>CONCATENATE(INDEX(AW_Gusstechnik,VLOOKUP('Quick Input'!M$22,Auswahlfelder!$D$36:$E$38,2,FALSE))," / ",'Quick Input'!$I21," ",INDEX(AW_Komplexität,VLOOKUP('Quick Input'!M$21,Auswahlfelder!$D$16:$E$19,2,FALSE)))</f>
        <v>Niederdruck / Bauteilkomplexität schwierig</v>
      </c>
      <c r="I47" s="868" t="s">
        <v>284</v>
      </c>
      <c r="J47" s="868"/>
      <c r="K47" s="869" t="str">
        <f>CONCATENATE(INDEX(AW_Gusstechnik,VLOOKUP('Quick Input'!P$22,Auswahlfelder!$D$36:$E$38,2,FALSE))," / ",'Quick Input'!$I21," ",INDEX(AW_Komplexität,VLOOKUP('Quick Input'!P$21,Auswahlfelder!$D$16:$E$19,2,FALSE)))</f>
        <v>Niederdruck / Bauteilkomplexität schwierig</v>
      </c>
      <c r="L47" s="868" t="s">
        <v>284</v>
      </c>
      <c r="M47" s="868"/>
      <c r="N47" s="869" t="str">
        <f>CONCATENATE(INDEX(AW_Gusstechnik,VLOOKUP('Quick Input'!S$22,Auswahlfelder!$D$36:$E$38,2,FALSE))," / ",'Quick Input'!$I21," ",INDEX(AW_Komplexität,VLOOKUP('Quick Input'!S$21,Auswahlfelder!$D$16:$E$19,2,FALSE)))</f>
        <v>Schwerkaft / Bauteilkomplexität mäßig</v>
      </c>
      <c r="O47" s="1136" t="s">
        <v>284</v>
      </c>
    </row>
    <row r="48" spans="2:15" ht="13.5" customHeight="1" thickBot="1" x14ac:dyDescent="0.25">
      <c r="C48" s="78"/>
      <c r="D48" s="72" t="str">
        <f>IF(Deutsch,"Kavitäten berechnet","caculated cavities")</f>
        <v>Kavitäten berechnet</v>
      </c>
      <c r="E48" s="73"/>
      <c r="F48" s="75"/>
      <c r="G48" s="571">
        <f>Parametrikber!F83</f>
        <v>6</v>
      </c>
      <c r="H48" s="114">
        <f>IFERROR(Parametrikber!F$144,1)</f>
        <v>1</v>
      </c>
      <c r="I48" s="579" t="s">
        <v>284</v>
      </c>
      <c r="J48" s="579"/>
      <c r="K48" s="114">
        <f>IFERROR(Parametrikber!I$144,1)</f>
        <v>1</v>
      </c>
      <c r="L48" s="78" t="s">
        <v>284</v>
      </c>
      <c r="M48" s="78"/>
      <c r="N48" s="114">
        <f>IFERROR(Parametrikber!L$144,1)</f>
        <v>2</v>
      </c>
      <c r="O48" s="1135" t="s">
        <v>284</v>
      </c>
    </row>
    <row r="49" spans="2:15" ht="15" thickBot="1" x14ac:dyDescent="0.25">
      <c r="B49" s="55" t="s">
        <v>126</v>
      </c>
      <c r="C49" s="78"/>
      <c r="D49" s="72" t="str">
        <f>IF(Deutsch,"Kavitäten","cavities")</f>
        <v>Kavitäten</v>
      </c>
      <c r="E49" s="73"/>
      <c r="F49" s="75"/>
      <c r="G49" s="571"/>
      <c r="H49" s="121">
        <v>1</v>
      </c>
      <c r="I49" s="580"/>
      <c r="J49" s="580"/>
      <c r="K49" s="121">
        <v>1</v>
      </c>
      <c r="L49" s="354"/>
      <c r="M49" s="354"/>
      <c r="N49" s="121">
        <v>1</v>
      </c>
      <c r="O49" s="1135"/>
    </row>
    <row r="50" spans="2:15" ht="15" thickBot="1" x14ac:dyDescent="0.25">
      <c r="C50" s="78"/>
      <c r="D50" s="72" t="str">
        <f>IF(Deutsch,"Vorgeschlagene Maschine","caculated maschine")</f>
        <v>Vorgeschlagene Maschine</v>
      </c>
      <c r="E50" s="73"/>
      <c r="F50" s="75"/>
      <c r="G50" s="571">
        <f>Parametrikber!F$74</f>
        <v>3</v>
      </c>
      <c r="H50" s="114">
        <f>Parametrikber!F$52</f>
        <v>3</v>
      </c>
      <c r="I50" s="579" t="s">
        <v>284</v>
      </c>
      <c r="J50" s="579"/>
      <c r="K50" s="114">
        <f>Parametrikber!I$52</f>
        <v>3</v>
      </c>
      <c r="L50" s="579" t="s">
        <v>284</v>
      </c>
      <c r="M50" s="579"/>
      <c r="N50" s="114">
        <f>Parametrikber!L$52</f>
        <v>7</v>
      </c>
      <c r="O50" s="1135" t="s">
        <v>284</v>
      </c>
    </row>
    <row r="51" spans="2:15" ht="15" thickBot="1" x14ac:dyDescent="0.25">
      <c r="B51" s="55" t="s">
        <v>126</v>
      </c>
      <c r="C51" s="78"/>
      <c r="D51" s="72" t="str">
        <f>IF(Deutsch,"Maschine gewählt","maschine used")</f>
        <v>Maschine gewählt</v>
      </c>
      <c r="E51" s="73"/>
      <c r="F51" s="75"/>
      <c r="G51" s="572"/>
      <c r="H51" s="121">
        <v>9</v>
      </c>
      <c r="I51" s="581"/>
      <c r="J51" s="581"/>
      <c r="K51" s="121">
        <v>3</v>
      </c>
      <c r="L51" s="478"/>
      <c r="M51" s="478"/>
      <c r="N51" s="121">
        <v>3</v>
      </c>
      <c r="O51" s="1135"/>
    </row>
    <row r="52" spans="2:15" ht="15" thickBot="1" x14ac:dyDescent="0.25">
      <c r="C52" s="78"/>
      <c r="D52" s="72" t="str">
        <f>IF(Deutsch,"Maschinenstundensatz","machine rate")</f>
        <v>Maschinenstundensatz</v>
      </c>
      <c r="E52" s="73"/>
      <c r="F52" s="75"/>
      <c r="G52" s="571"/>
      <c r="H52" s="74" t="e">
        <f>Parametrikber!F$154</f>
        <v>#N/A</v>
      </c>
      <c r="I52" s="579" t="s">
        <v>284</v>
      </c>
      <c r="J52" s="579"/>
      <c r="K52" s="74">
        <f>Parametrikber!I$154</f>
        <v>555.26357928711673</v>
      </c>
      <c r="L52" s="78" t="s">
        <v>284</v>
      </c>
      <c r="M52" s="67"/>
      <c r="N52" s="74">
        <f>Parametrikber!L$154</f>
        <v>658.50996376811599</v>
      </c>
      <c r="O52" s="1135" t="s">
        <v>284</v>
      </c>
    </row>
    <row r="53" spans="2:15" ht="15" thickBot="1" x14ac:dyDescent="0.25">
      <c r="C53" s="78"/>
      <c r="D53" s="72" t="str">
        <f>IF(Deutsch,"Bediener pro Maschine","stuff per machine")</f>
        <v>Bediener pro Maschine</v>
      </c>
      <c r="E53" s="73"/>
      <c r="F53" s="75"/>
      <c r="G53" s="571"/>
      <c r="H53" s="262">
        <f>Parametrikber!F$152</f>
        <v>4</v>
      </c>
      <c r="I53" s="579" t="s">
        <v>284</v>
      </c>
      <c r="J53" s="579"/>
      <c r="K53" s="262">
        <f>Parametrikber!I$152</f>
        <v>4</v>
      </c>
      <c r="L53" s="78" t="s">
        <v>284</v>
      </c>
      <c r="M53" s="67"/>
      <c r="N53" s="262">
        <f>Parametrikber!L$152</f>
        <v>8</v>
      </c>
      <c r="O53" s="1135" t="s">
        <v>284</v>
      </c>
    </row>
    <row r="54" spans="2:15" ht="15" thickBot="1" x14ac:dyDescent="0.25">
      <c r="C54" s="78"/>
      <c r="D54" s="72" t="str">
        <f>CONCATENATE(IF(Deutsch,"Personalkosten Maschinenbediener","productions stuff rate")," (€/h)")</f>
        <v>Personalkosten Maschinenbediener (€/h)</v>
      </c>
      <c r="E54" s="73"/>
      <c r="F54" s="75"/>
      <c r="G54" s="571"/>
      <c r="H54" s="74">
        <f>Parametrikber!F$21</f>
        <v>29.420724999999997</v>
      </c>
      <c r="I54" s="579" t="s">
        <v>284</v>
      </c>
      <c r="J54" s="579"/>
      <c r="K54" s="74">
        <f>Parametrikber!I21</f>
        <v>7.4557889999999984</v>
      </c>
      <c r="L54" s="78" t="s">
        <v>284</v>
      </c>
      <c r="M54" s="67"/>
      <c r="N54" s="74">
        <f>Parametrikber!L21</f>
        <v>29.420724999999997</v>
      </c>
      <c r="O54" s="1135" t="s">
        <v>284</v>
      </c>
    </row>
    <row r="55" spans="2:15" ht="15" thickBot="1" x14ac:dyDescent="0.25">
      <c r="C55" s="78"/>
      <c r="D55" s="72" t="str">
        <f>IF(Deutsch,"Prozesskosten pro Stunde","process cost per h")</f>
        <v>Prozesskosten pro Stunde</v>
      </c>
      <c r="E55" s="73"/>
      <c r="F55" s="75"/>
      <c r="G55" s="571"/>
      <c r="H55" s="74" t="e">
        <f>H$52+H$53*H$54</f>
        <v>#N/A</v>
      </c>
      <c r="I55" s="579" t="s">
        <v>284</v>
      </c>
      <c r="J55" s="579"/>
      <c r="K55" s="74">
        <f>K$52+K$53*K$54</f>
        <v>585.08673528711677</v>
      </c>
      <c r="L55" s="579" t="s">
        <v>284</v>
      </c>
      <c r="M55" s="567"/>
      <c r="N55" s="74">
        <f t="shared" ref="N55" si="0">N$52+N$53*N$54</f>
        <v>893.87576376811603</v>
      </c>
      <c r="O55" s="1135" t="s">
        <v>284</v>
      </c>
    </row>
    <row r="56" spans="2:15" ht="14.25" customHeight="1" thickBot="1" x14ac:dyDescent="0.25">
      <c r="C56" s="78"/>
      <c r="D56" s="72" t="str">
        <f>'Quick Input'!$I$66</f>
        <v>Anteil Kühleisen Volumen</v>
      </c>
      <c r="E56" s="73"/>
      <c r="F56" s="75"/>
      <c r="G56" s="574">
        <f>Parametrikber!F$127</f>
        <v>1.7777777777777777</v>
      </c>
      <c r="H56" s="637" t="s">
        <v>261</v>
      </c>
      <c r="I56" s="478"/>
      <c r="J56" s="582"/>
      <c r="K56" s="637" t="s">
        <v>261</v>
      </c>
      <c r="L56" s="475"/>
      <c r="M56" s="476"/>
      <c r="N56" s="637" t="s">
        <v>261</v>
      </c>
      <c r="O56" s="1135"/>
    </row>
    <row r="57" spans="2:15" ht="15" thickBot="1" x14ac:dyDescent="0.25">
      <c r="C57" s="78"/>
      <c r="D57" s="72" t="str">
        <f>IF(Deutsch,"Zykluszeit in Sec","cycle time (s)")</f>
        <v>Zykluszeit in Sec</v>
      </c>
      <c r="E57" s="73"/>
      <c r="F57" s="75"/>
      <c r="G57" s="571"/>
      <c r="H57" s="140" t="e">
        <f>ROUND(Parametrikber!F$173,0)</f>
        <v>#N/A</v>
      </c>
      <c r="I57" s="642" t="str">
        <f>IFERROR(VLOOKUP(H$56,Auswahlfelder!$D$65:$D$68,1),VLOOKUP(H$56,Auswahlfelder!$C$65:$D$68,2,FALSE))</f>
        <v>ohne</v>
      </c>
      <c r="J57" s="567"/>
      <c r="K57" s="140">
        <f>ROUND(Parametrikber!I$173,0)</f>
        <v>5340017</v>
      </c>
      <c r="L57" s="642" t="str">
        <f>IFERROR(VLOOKUP(K$56,Auswahlfelder!$D$65:$D$68,1),VLOOKUP(K$56,Auswahlfelder!$C$65:$D$68,2,FALSE))</f>
        <v>ohne</v>
      </c>
      <c r="M57" s="67"/>
      <c r="N57" s="140">
        <f>ROUND(Parametrikber!L$173,0)</f>
        <v>5340016</v>
      </c>
      <c r="O57" s="1135"/>
    </row>
    <row r="58" spans="2:15" ht="15" thickBot="1" x14ac:dyDescent="0.25">
      <c r="C58" s="78"/>
      <c r="D58" s="82" t="str">
        <f>IF(Deutsch,"Prozesskosten pro Bauteil","process cost per part")</f>
        <v>Prozesskosten pro Bauteil</v>
      </c>
      <c r="E58" s="83"/>
      <c r="F58" s="84"/>
      <c r="G58" s="573">
        <f>H$49</f>
        <v>1</v>
      </c>
      <c r="H58" s="85" t="e">
        <f>H$55/3600*H$57/H$49</f>
        <v>#N/A</v>
      </c>
      <c r="I58" s="579" t="s">
        <v>284</v>
      </c>
      <c r="J58" s="568">
        <f>K$49</f>
        <v>1</v>
      </c>
      <c r="K58" s="85">
        <f>K$55/3600*K$57/K$49</f>
        <v>867881.4202521398</v>
      </c>
      <c r="L58" s="78" t="s">
        <v>284</v>
      </c>
      <c r="M58" s="544">
        <f>N$49</f>
        <v>1</v>
      </c>
      <c r="N58" s="85">
        <f>N$55/3600*N$57/N$49</f>
        <v>1325919.689037211</v>
      </c>
      <c r="O58" s="1135" t="s">
        <v>284</v>
      </c>
    </row>
    <row r="59" spans="2:15" ht="15" thickBot="1" x14ac:dyDescent="0.25">
      <c r="B59" s="55" t="s">
        <v>126</v>
      </c>
      <c r="C59" s="78"/>
      <c r="D59" s="72" t="str">
        <f>'Quick Input'!I67</f>
        <v>Fertigungslosgröße</v>
      </c>
      <c r="E59" s="73"/>
      <c r="F59" s="75"/>
      <c r="G59" s="571"/>
      <c r="H59" s="121">
        <v>100</v>
      </c>
      <c r="I59" s="580"/>
      <c r="J59" s="864"/>
      <c r="K59" s="121">
        <v>100</v>
      </c>
      <c r="L59" s="354"/>
      <c r="M59" s="288"/>
      <c r="N59" s="121">
        <v>100</v>
      </c>
      <c r="O59" s="1135"/>
    </row>
    <row r="60" spans="2:15" ht="15" thickBot="1" x14ac:dyDescent="0.25">
      <c r="C60" s="78"/>
      <c r="D60" s="72" t="str">
        <f>IF(Deutsch,"Rüstzeit Werkzeug / Maschine (min)","set up time tool/machine (min)")</f>
        <v>Rüstzeit Werkzeug / Maschine (min)</v>
      </c>
      <c r="E60" s="73"/>
      <c r="F60" s="75"/>
      <c r="G60" s="571"/>
      <c r="H60" s="114" t="e">
        <f ca="1">Parametrikber!F$122</f>
        <v>#N/A</v>
      </c>
      <c r="J60" s="567"/>
      <c r="K60" s="114" t="e">
        <f>Parametrikber!I$122</f>
        <v>#N/A</v>
      </c>
      <c r="M60" s="67"/>
      <c r="N60" s="114" t="e">
        <f>Parametrikber!L$122</f>
        <v>#N/A</v>
      </c>
      <c r="O60" s="1135"/>
    </row>
    <row r="61" spans="2:15" ht="15" thickBot="1" x14ac:dyDescent="0.25">
      <c r="C61" s="78"/>
      <c r="D61" s="72" t="str">
        <f>IF(Deutsch,"zusätzl. Einrichter pro Maschine ", "additional fitter per machine")</f>
        <v xml:space="preserve">zusätzl. Einrichter pro Maschine </v>
      </c>
      <c r="E61" s="73"/>
      <c r="F61" s="75"/>
      <c r="G61" s="571"/>
      <c r="H61" s="114">
        <f>Parametrikber!F$153</f>
        <v>0</v>
      </c>
      <c r="I61" s="579" t="s">
        <v>284</v>
      </c>
      <c r="J61" s="567"/>
      <c r="K61" s="114">
        <f>Parametrikber!I$153</f>
        <v>0</v>
      </c>
      <c r="L61" s="78" t="s">
        <v>284</v>
      </c>
      <c r="M61" s="67"/>
      <c r="N61" s="114">
        <f>Parametrikber!L$153</f>
        <v>1</v>
      </c>
      <c r="O61" s="1135" t="s">
        <v>284</v>
      </c>
    </row>
    <row r="62" spans="2:15" ht="15" thickBot="1" x14ac:dyDescent="0.25">
      <c r="C62" s="78"/>
      <c r="D62" s="72" t="str">
        <f>IF(Deutsch,"Personalkosten Einrichter","cost fitter (€(h)")</f>
        <v>Personalkosten Einrichter</v>
      </c>
      <c r="E62" s="73"/>
      <c r="F62" s="75"/>
      <c r="G62" s="571"/>
      <c r="H62" s="74">
        <f>Parametrikber!F$22</f>
        <v>33.535694999999997</v>
      </c>
      <c r="I62" s="579" t="s">
        <v>284</v>
      </c>
      <c r="J62" s="567"/>
      <c r="K62" s="74">
        <f>Parametrikber!I$22</f>
        <v>10.008107999999998</v>
      </c>
      <c r="L62" s="78" t="s">
        <v>284</v>
      </c>
      <c r="M62" s="67"/>
      <c r="N62" s="74">
        <f>Parametrikber!L$22</f>
        <v>33.535694999999997</v>
      </c>
      <c r="O62" s="1135" t="s">
        <v>284</v>
      </c>
    </row>
    <row r="63" spans="2:15" ht="15" thickBot="1" x14ac:dyDescent="0.25">
      <c r="C63" s="78"/>
      <c r="D63" s="72" t="str">
        <f>IF(Deutsch,"Rüstkosten pro Vorgang","set up cost")</f>
        <v>Rüstkosten pro Vorgang</v>
      </c>
      <c r="E63" s="73"/>
      <c r="F63" s="75"/>
      <c r="G63" s="571"/>
      <c r="H63" s="74" t="e">
        <f ca="1">H$60/60*(H$55+H$61*H$62)</f>
        <v>#N/A</v>
      </c>
      <c r="I63" s="579" t="s">
        <v>284</v>
      </c>
      <c r="J63" s="567"/>
      <c r="K63" s="74" t="e">
        <f>K$60/60*(K$55+K$61*K$62)</f>
        <v>#N/A</v>
      </c>
      <c r="L63" s="78" t="s">
        <v>284</v>
      </c>
      <c r="M63" s="67"/>
      <c r="N63" s="74" t="e">
        <f>N$60/60*(N$55+N$61*N$62)</f>
        <v>#N/A</v>
      </c>
      <c r="O63" s="1135" t="s">
        <v>284</v>
      </c>
    </row>
    <row r="64" spans="2:15" ht="15" thickBot="1" x14ac:dyDescent="0.25">
      <c r="C64" s="78"/>
      <c r="D64" s="82" t="str">
        <f>IF(Deutsch,"Rüstkosten pro Bauteil","set up cost per part")</f>
        <v>Rüstkosten pro Bauteil</v>
      </c>
      <c r="E64" s="83"/>
      <c r="F64" s="84"/>
      <c r="G64" s="571"/>
      <c r="H64" s="85" t="e">
        <f ca="1">H$63/ROUNDUP(H$59,0)</f>
        <v>#N/A</v>
      </c>
      <c r="I64" s="579" t="s">
        <v>284</v>
      </c>
      <c r="J64" s="567"/>
      <c r="K64" s="85" t="e">
        <f>K$63/ROUNDUP(K$59,0)</f>
        <v>#N/A</v>
      </c>
      <c r="L64" s="579" t="s">
        <v>284</v>
      </c>
      <c r="M64" s="567"/>
      <c r="N64" s="85" t="e">
        <f>N$63/ROUNDUP(N$59,0)</f>
        <v>#N/A</v>
      </c>
      <c r="O64" s="1135" t="s">
        <v>284</v>
      </c>
    </row>
    <row r="65" spans="2:15" ht="14.25" customHeight="1" thickBot="1" x14ac:dyDescent="0.25">
      <c r="C65" s="78"/>
      <c r="D65" s="72" t="str">
        <f>IF(Deutsch,"Kernvolumen (ltr)","core volume (ltr)")</f>
        <v>Kernvolumen (ltr)</v>
      </c>
      <c r="E65" s="73"/>
      <c r="F65" s="75"/>
      <c r="G65" s="572"/>
      <c r="H65" s="859">
        <v>20</v>
      </c>
      <c r="I65" s="865"/>
      <c r="J65" s="899"/>
      <c r="K65" s="859">
        <v>0</v>
      </c>
      <c r="L65" s="900"/>
      <c r="M65" s="901"/>
      <c r="N65" s="859">
        <v>0</v>
      </c>
      <c r="O65" s="1135"/>
    </row>
    <row r="66" spans="2:15" ht="15" customHeight="1" thickBot="1" x14ac:dyDescent="0.25">
      <c r="D66" s="72" t="str">
        <f>IF(Deutsch,"Sandkerne (€/ltr)","cores €/ltr.")</f>
        <v>Sandkerne (€/ltr)</v>
      </c>
      <c r="E66" s="456"/>
      <c r="F66" s="75"/>
      <c r="G66" s="574">
        <f>Parametrikber!F$127</f>
        <v>1.7777777777777777</v>
      </c>
      <c r="H66" s="74">
        <f>Parametrikber!F$130</f>
        <v>0.25774596669241484</v>
      </c>
      <c r="I66" s="569">
        <f>Parametrikber!F$128</f>
        <v>21.185185185185187</v>
      </c>
      <c r="J66" s="569">
        <f>Parametrikber!I$127</f>
        <v>0.22172949002217293</v>
      </c>
      <c r="K66" s="74">
        <f>Parametrikber!I$130</f>
        <v>0.21115500376222723</v>
      </c>
      <c r="L66" s="469">
        <f>Parametrikber!I128</f>
        <v>30.552254249815224</v>
      </c>
      <c r="M66" s="469">
        <f>Parametrikber!L127</f>
        <v>0.22172949002217293</v>
      </c>
      <c r="N66" s="74">
        <f>Parametrikber!L$130</f>
        <v>0.25</v>
      </c>
      <c r="O66" s="1135"/>
    </row>
    <row r="67" spans="2:15" ht="15" customHeight="1" thickBot="1" x14ac:dyDescent="0.25">
      <c r="D67" s="82" t="str">
        <f>IF(Deutsch,"Kernkosten pro Bauteil","core cost per part")</f>
        <v>Kernkosten pro Bauteil</v>
      </c>
      <c r="E67" s="456"/>
      <c r="F67" s="75"/>
      <c r="G67" s="574"/>
      <c r="H67" s="85">
        <f>H$65*H$66</f>
        <v>5.154919333848297</v>
      </c>
      <c r="I67" s="569"/>
      <c r="J67" s="569"/>
      <c r="K67" s="85">
        <f>K$65*K$66</f>
        <v>0</v>
      </c>
      <c r="L67" s="569"/>
      <c r="M67" s="569"/>
      <c r="N67" s="85">
        <f t="shared" ref="N67" si="1">N$65*N$66</f>
        <v>0</v>
      </c>
      <c r="O67" s="1135"/>
    </row>
    <row r="68" spans="2:15" ht="15" thickBot="1" x14ac:dyDescent="0.25">
      <c r="B68" s="55" t="s">
        <v>126</v>
      </c>
      <c r="C68" s="78"/>
      <c r="D68" s="236" t="str">
        <f>'Quick Input'!I69</f>
        <v>Fertigungsausschuss 1</v>
      </c>
      <c r="E68" s="73"/>
      <c r="F68" s="75"/>
      <c r="G68" s="571"/>
      <c r="H68" s="119">
        <v>0</v>
      </c>
      <c r="I68" s="580"/>
      <c r="J68" s="580"/>
      <c r="K68" s="119">
        <v>0</v>
      </c>
      <c r="L68" s="354"/>
      <c r="M68" s="354"/>
      <c r="N68" s="119">
        <v>0</v>
      </c>
      <c r="O68" s="1135"/>
    </row>
    <row r="69" spans="2:15" ht="15" thickBot="1" x14ac:dyDescent="0.25">
      <c r="C69" s="78"/>
      <c r="D69" s="236" t="str">
        <f>CONCATENATE(D68,IF(Deutsch," (€/Stk.)"," (€/pc.)"))</f>
        <v>Fertigungsausschuss 1 (€/Stk.)</v>
      </c>
      <c r="E69" s="73"/>
      <c r="F69" s="75"/>
      <c r="G69" s="571"/>
      <c r="H69" s="74" t="e">
        <f t="shared" ref="H69" si="2">H$68*H$58</f>
        <v>#N/A</v>
      </c>
      <c r="I69" s="579" t="s">
        <v>284</v>
      </c>
      <c r="J69" s="579"/>
      <c r="K69" s="74">
        <f t="shared" ref="K69" si="3">K$68*K$58</f>
        <v>0</v>
      </c>
      <c r="L69" s="579" t="s">
        <v>284</v>
      </c>
      <c r="M69" s="579"/>
      <c r="N69" s="74">
        <f t="shared" ref="N69" si="4">N$68*N$58</f>
        <v>0</v>
      </c>
      <c r="O69" s="1135" t="s">
        <v>284</v>
      </c>
    </row>
    <row r="70" spans="2:15" ht="15" thickBot="1" x14ac:dyDescent="0.25">
      <c r="C70" s="78"/>
      <c r="D70" s="116" t="str">
        <f>IF(Deutsch,"Formkosten gesamt pro Stück","forming cost total per part")</f>
        <v>Formkosten gesamt pro Stück</v>
      </c>
      <c r="E70" s="94"/>
      <c r="F70" s="89"/>
      <c r="G70" s="575"/>
      <c r="H70" s="808" t="e">
        <f ca="1">H$58+H$64+H$67+H$69</f>
        <v>#N/A</v>
      </c>
      <c r="I70" s="585" t="s">
        <v>284</v>
      </c>
      <c r="J70" s="809"/>
      <c r="K70" s="808" t="e">
        <f>K$58+K$64+K$67+K$69</f>
        <v>#N/A</v>
      </c>
      <c r="L70" s="585" t="s">
        <v>284</v>
      </c>
      <c r="M70" s="809"/>
      <c r="N70" s="808" t="e">
        <f t="shared" ref="N70" si="5">N$58+N$64+N$67+N$69</f>
        <v>#N/A</v>
      </c>
      <c r="O70" s="1139" t="s">
        <v>284</v>
      </c>
    </row>
    <row r="71" spans="2:15" ht="33" customHeight="1" thickBot="1" x14ac:dyDescent="0.25">
      <c r="D71" s="1260" t="str">
        <f>IF(Deutsch,"Nachbehandlung","after care")</f>
        <v>Nachbehandlung</v>
      </c>
      <c r="E71" s="1261"/>
      <c r="F71" s="1262"/>
      <c r="G71" s="571"/>
      <c r="H71" s="863" t="str">
        <f>CONCATENATE(IF('Quick Input'!M$26=Auswahlfelder!$D$23,Auswahlfelder!$B$76,""),IF('Quick Input'!M$27=Auswahlfelder!$D$23,CONCATENATE(" ",Auswahlfelder!$B$77),""),IF('Quick Input'!M$28=Auswahlfelder!$D$23,CONCATENATE(" ",Auswahlfelder!$B$78),""))</f>
        <v>Sandstrahlen Gleitschleifen</v>
      </c>
      <c r="I71" s="579" t="s">
        <v>284</v>
      </c>
      <c r="J71" s="579"/>
      <c r="K71" s="863" t="str">
        <f>CONCATENATE(IF('Quick Input'!P$26=Auswahlfelder!$D$23,Auswahlfelder!$B$76,""),IF('Quick Input'!P$27=Auswahlfelder!$D$23,CONCATENATE(" ",Auswahlfelder!$B$77),""),IF('Quick Input'!P$28=Auswahlfelder!$D$23,CONCATENATE(" ",Auswahlfelder!$B$78),""))</f>
        <v>Sandstrahlen Gleitschleifen</v>
      </c>
      <c r="L71" s="579" t="s">
        <v>284</v>
      </c>
      <c r="M71" s="579"/>
      <c r="N71" s="863" t="str">
        <f>CONCATENATE(IF('Quick Input'!S$26=Auswahlfelder!$D$23,Auswahlfelder!$B$76,""),IF('Quick Input'!S$27=Auswahlfelder!$D$23,CONCATENATE(" ",Auswahlfelder!$B$77),""),IF('Quick Input'!S$28=Auswahlfelder!$D$23,CONCATENATE(" ",Auswahlfelder!$B$78),""))</f>
        <v>Sandstrahlen Gleitschleifen</v>
      </c>
      <c r="O71" s="1136" t="s">
        <v>284</v>
      </c>
    </row>
    <row r="72" spans="2:15" ht="15" thickBot="1" x14ac:dyDescent="0.25">
      <c r="C72" s="78"/>
      <c r="D72" s="72" t="str">
        <f>IF(Deutsch,"Auspacken/Entkernen (min/Stk.)","unpacking (min/pc.)")</f>
        <v>Auspacken/Entkernen (min/Stk.)</v>
      </c>
      <c r="E72" s="73"/>
      <c r="F72" s="75"/>
      <c r="G72" s="571"/>
      <c r="H72" s="859">
        <v>0</v>
      </c>
      <c r="I72" s="865"/>
      <c r="J72" s="865"/>
      <c r="K72" s="859">
        <v>0</v>
      </c>
      <c r="L72" s="866"/>
      <c r="M72" s="866"/>
      <c r="N72" s="859">
        <v>0</v>
      </c>
      <c r="O72" s="1135"/>
    </row>
    <row r="73" spans="2:15" ht="15" thickBot="1" x14ac:dyDescent="0.25">
      <c r="C73" s="78"/>
      <c r="D73" s="72" t="str">
        <f>IF(Deutsch,"Anschnitt trennen (min/Stk.)","sprue cutting (min/pc.)")</f>
        <v>Anschnitt trennen (min/Stk.)</v>
      </c>
      <c r="E73" s="73"/>
      <c r="F73" s="75"/>
      <c r="G73" s="571"/>
      <c r="H73" s="1147">
        <v>60</v>
      </c>
      <c r="I73" s="865"/>
      <c r="J73" s="865"/>
      <c r="K73" s="859">
        <v>5</v>
      </c>
      <c r="L73" s="866"/>
      <c r="M73" s="866"/>
      <c r="N73" s="859">
        <v>5</v>
      </c>
      <c r="O73" s="1135"/>
    </row>
    <row r="74" spans="2:15" ht="15" thickBot="1" x14ac:dyDescent="0.25">
      <c r="C74" s="78"/>
      <c r="D74" s="72" t="str">
        <f>IF(Deutsch,"Personalkosten Hilfsarbeiter (€/h)","unpacking and cutting cost (€/pc.)")</f>
        <v>Personalkosten Hilfsarbeiter (€/h)</v>
      </c>
      <c r="E74" s="73"/>
      <c r="F74" s="75"/>
      <c r="G74" s="571"/>
      <c r="H74" s="74">
        <f>Parametrikber!F$20</f>
        <v>24.820870000000003</v>
      </c>
      <c r="I74" s="579" t="s">
        <v>284</v>
      </c>
      <c r="J74" s="579"/>
      <c r="K74" s="74">
        <f>Parametrikber!I$20</f>
        <v>5.4818280000000001</v>
      </c>
      <c r="L74" s="78" t="s">
        <v>284</v>
      </c>
      <c r="M74" s="78"/>
      <c r="N74" s="74">
        <f>Parametrikber!L$20</f>
        <v>24.820870000000003</v>
      </c>
      <c r="O74" s="1135" t="s">
        <v>284</v>
      </c>
    </row>
    <row r="75" spans="2:15" ht="15" thickBot="1" x14ac:dyDescent="0.25">
      <c r="C75" s="78"/>
      <c r="D75" s="72" t="str">
        <f>IF(Deutsch,"Auspacken und Trennen (€/Stk.)","handlingtime surfaces (sec)")</f>
        <v>Auspacken und Trennen (€/Stk.)</v>
      </c>
      <c r="E75" s="73"/>
      <c r="F75" s="75"/>
      <c r="G75" s="571"/>
      <c r="H75" s="85">
        <f>(H72+H73)/60*H74</f>
        <v>24.820870000000003</v>
      </c>
      <c r="I75" s="579" t="s">
        <v>284</v>
      </c>
      <c r="J75" s="579"/>
      <c r="K75" s="85">
        <f>(K72+K73)/60*K74</f>
        <v>0.45681899999999998</v>
      </c>
      <c r="L75" s="579" t="s">
        <v>284</v>
      </c>
      <c r="M75" s="579"/>
      <c r="N75" s="85">
        <f t="shared" ref="N75" si="6">(N72+N73)/60*N74</f>
        <v>2.0684058333333333</v>
      </c>
      <c r="O75" s="1135" t="s">
        <v>284</v>
      </c>
    </row>
    <row r="76" spans="2:15" ht="15" thickBot="1" x14ac:dyDescent="0.25">
      <c r="C76" s="78"/>
      <c r="D76" s="1152" t="str">
        <f>IF(Deutsch,"Prozesszeit Strahlen (sec)","process time sand blasting (sec)")</f>
        <v>Prozesszeit Strahlen (sec)</v>
      </c>
      <c r="E76" s="1153"/>
      <c r="F76" s="1151"/>
      <c r="G76" s="571"/>
      <c r="H76" s="1163">
        <v>0</v>
      </c>
      <c r="I76" s="579" t="s">
        <v>284</v>
      </c>
      <c r="J76" s="579"/>
      <c r="K76" s="1163">
        <v>0</v>
      </c>
      <c r="L76" s="579" t="s">
        <v>284</v>
      </c>
      <c r="M76" s="579"/>
      <c r="N76" s="1163">
        <v>0</v>
      </c>
      <c r="O76" s="1135" t="s">
        <v>284</v>
      </c>
    </row>
    <row r="77" spans="2:15" ht="15" thickBot="1" x14ac:dyDescent="0.25">
      <c r="C77" s="78"/>
      <c r="D77" s="1152" t="str">
        <f>IF(Deutsch,"Strahlkosten (€/Std.)","blasting costs (€/h)")</f>
        <v>Strahlkosten (€/Std.)</v>
      </c>
      <c r="E77" s="1153"/>
      <c r="F77" s="1151"/>
      <c r="G77" s="571"/>
      <c r="H77" s="74">
        <f>IF(H76&lt;&gt;0,H78/H76*3600,0)</f>
        <v>0</v>
      </c>
      <c r="I77" s="579"/>
      <c r="J77" s="579"/>
      <c r="K77" s="74">
        <f>IF(K76&lt;&gt;0,K78/K76*3600,0)</f>
        <v>0</v>
      </c>
      <c r="L77" s="579"/>
      <c r="M77" s="579"/>
      <c r="N77" s="74">
        <f>IF(N76&lt;&gt;0,N78/N76*3600,0)</f>
        <v>0</v>
      </c>
      <c r="O77" s="1135"/>
    </row>
    <row r="78" spans="2:15" ht="15" thickBot="1" x14ac:dyDescent="0.25">
      <c r="C78" s="78"/>
      <c r="D78" s="1152" t="str">
        <f>IF(Deutsch,"Strahlkosten (€/Stk.)","blasting costs (€/Stk.)")</f>
        <v>Strahlkosten (€/Stk.)</v>
      </c>
      <c r="E78" s="1153"/>
      <c r="F78" s="1151"/>
      <c r="G78" s="571"/>
      <c r="H78" s="85">
        <f>IF('Quick Input'!L26="ja",(H$76/3600*H$74)+'Maschinen-DB'!E72*(1+'Maschinen-DB'!F72)/'Länder-DB'!I27/Parametrikber!F163/3600*H76+'Maschinen-DB'!G72/3600*H76*VLOOKUP('Quick Input'!M$46,DB_Länder,7,FALSE) + 'Maschinen-DB'!H72*VLOOKUP('Quick Input'!M$46,DB_Länder,8,FALSE)*12/Parametrikber!F163/3600*H76,0)</f>
        <v>0</v>
      </c>
      <c r="I78" s="579"/>
      <c r="J78" s="579"/>
      <c r="K78" s="85">
        <f>IF('Quick Input'!O26="ja",(K$76/3600*K$74)+'Maschinen-DB'!E72*(1+'Maschinen-DB'!F72)/'Länder-DB'!I27/Parametrikber!I163/3600*K76+'Maschinen-DB'!G72/3600*K76*VLOOKUP('Quick Input'!P$46,DB_Länder,7,FALSE) + 'Maschinen-DB'!H72*VLOOKUP('Quick Input'!P$46,DB_Länder,8,FALSE)*12/Parametrikber!I163/3600*K76,0)</f>
        <v>0</v>
      </c>
      <c r="L78" s="579"/>
      <c r="M78" s="579"/>
      <c r="N78" s="85">
        <f>IF('Quick Input'!R26="ja",(N$76/3600*N$74)+'Maschinen-DB'!E72*(1+'Maschinen-DB'!F72)/'Länder-DB'!I27/Parametrikber!L163/3600*N76+'Maschinen-DB'!G72/3600*N76*VLOOKUP('Quick Input'!S$46,DB_Länder,7,FALSE) + 'Maschinen-DB'!H72*VLOOKUP('Quick Input'!S$46,DB_Länder,8,FALSE)*12/Parametrikber!L163/3600*N76,0)</f>
        <v>0</v>
      </c>
      <c r="O78" s="1135"/>
    </row>
    <row r="79" spans="2:15" ht="15" thickBot="1" x14ac:dyDescent="0.25">
      <c r="C79" s="78"/>
      <c r="D79" s="1152" t="str">
        <f>IF(Deutsch,"Prozesszeit Gleitschleifen (sec)","process time Slide grinding (sec)")</f>
        <v>Prozesszeit Gleitschleifen (sec)</v>
      </c>
      <c r="E79" s="1153"/>
      <c r="F79" s="1151"/>
      <c r="G79" s="571"/>
      <c r="H79" s="1163">
        <v>0</v>
      </c>
      <c r="I79" s="579"/>
      <c r="J79" s="579"/>
      <c r="K79" s="1163">
        <v>0</v>
      </c>
      <c r="L79" s="579"/>
      <c r="M79" s="579"/>
      <c r="N79" s="1163">
        <v>0</v>
      </c>
      <c r="O79" s="1135"/>
    </row>
    <row r="80" spans="2:15" ht="15" thickBot="1" x14ac:dyDescent="0.25">
      <c r="C80" s="78"/>
      <c r="D80" s="1152" t="str">
        <f>IF(Deutsch,"Kosten Gleitschleifen (€/Std.)","costs Slide grinding (€/h)")</f>
        <v>Kosten Gleitschleifen (€/Std.)</v>
      </c>
      <c r="E80" s="1153"/>
      <c r="F80" s="1151"/>
      <c r="G80" s="571"/>
      <c r="H80" s="74">
        <f>IF(H79&lt;&gt;0,H81/H79*3600,0)</f>
        <v>0</v>
      </c>
      <c r="I80" s="579"/>
      <c r="J80" s="579"/>
      <c r="K80" s="74">
        <f>IF(K79&lt;&gt;0,K81/K79*3600,0)</f>
        <v>0</v>
      </c>
      <c r="L80" s="579"/>
      <c r="M80" s="579"/>
      <c r="N80" s="74">
        <f>IF(N79&lt;&gt;0,N81/N79*3600,0)</f>
        <v>0</v>
      </c>
      <c r="O80" s="1135"/>
    </row>
    <row r="81" spans="2:23" ht="15" thickBot="1" x14ac:dyDescent="0.25">
      <c r="C81" s="78"/>
      <c r="D81" s="1152" t="str">
        <f>IF(Deutsch,"Kosten Gleitschleifen (€/Stk.)","costs Slide grinding (€/Stk.)")</f>
        <v>Kosten Gleitschleifen (€/Stk.)</v>
      </c>
      <c r="E81" s="1153"/>
      <c r="F81" s="1151"/>
      <c r="G81" s="571"/>
      <c r="H81" s="85">
        <f>IF('Quick Input'!L27="ja",(H$79/3600*H$74)+'Maschinen-DB'!E73*(1+'Maschinen-DB'!F73)/'Länder-DB'!I27/Parametrikber!F163/3600*H79+'Maschinen-DB'!G73/3600*H79*VLOOKUP('Quick Input'!M$46,DB_Länder,7,FALSE) + 'Maschinen-DB'!H73*VLOOKUP('Quick Input'!M$46,DB_Länder,8,FALSE)*12/Parametrikber!F163/3600*H79,0)</f>
        <v>0</v>
      </c>
      <c r="I81" s="642"/>
      <c r="J81" s="642"/>
      <c r="K81" s="85">
        <f>IF('Quick Input'!L27="ja",(K$79/3600*K$74)+'Maschinen-DB'!E73*(1+'Maschinen-DB'!F73)/'Länder-DB'!I27/Parametrikber!I163/3600*K79+'Maschinen-DB'!G73/3600*K79*VLOOKUP('Quick Input'!P$46,DB_Länder,7,FALSE) + 'Maschinen-DB'!H73*VLOOKUP('Quick Input'!P$46,DB_Länder,8,FALSE)*12/Parametrikber!F163/3600*K79,0)</f>
        <v>0</v>
      </c>
      <c r="L81" s="642"/>
      <c r="M81" s="642"/>
      <c r="N81" s="85">
        <f>IF('Quick Input'!R27="ja",(N$79/3600*N$74)+'Maschinen-DB'!E73*(1+'Maschinen-DB'!F73)/'Länder-DB'!I27/Parametrikber!F163/3600*N79+'Maschinen-DB'!G73/3600*N79*VLOOKUP('Quick Input'!S$46,DB_Länder,7,FALSE) + 'Maschinen-DB'!H73*VLOOKUP('Quick Input'!S$46,DB_Länder,8,FALSE)*12/Parametrikber!F163/3600*N79,0)</f>
        <v>0</v>
      </c>
      <c r="O81" s="1135"/>
    </row>
    <row r="82" spans="2:23" ht="15" thickBot="1" x14ac:dyDescent="0.25">
      <c r="C82" s="78"/>
      <c r="D82" s="72" t="str">
        <f>IF(Deutsch,"Prozesszeit Feinputzen (sec)","process time fine grinding (sec)")</f>
        <v>Prozesszeit Feinputzen (sec)</v>
      </c>
      <c r="E82" s="73"/>
      <c r="F82" s="75"/>
      <c r="G82" s="571"/>
      <c r="H82" s="140">
        <f>Parametrikber!F$265</f>
        <v>0</v>
      </c>
      <c r="I82" s="579" t="s">
        <v>284</v>
      </c>
      <c r="J82" s="579"/>
      <c r="K82" s="140">
        <f>Parametrikber!I$265</f>
        <v>0</v>
      </c>
      <c r="L82" s="579" t="s">
        <v>284</v>
      </c>
      <c r="M82" s="579"/>
      <c r="N82" s="140">
        <f>Parametrikber!L$265</f>
        <v>0</v>
      </c>
      <c r="O82" s="1135" t="s">
        <v>284</v>
      </c>
    </row>
    <row r="83" spans="2:23" ht="15" thickBot="1" x14ac:dyDescent="0.25">
      <c r="C83" s="78"/>
      <c r="D83" s="1152" t="str">
        <f>IF(Deutsch,"Kosten Feinputzen (€/Std.)"," costs fine grinding (€/h)")</f>
        <v>Kosten Feinputzen (€/Std.)</v>
      </c>
      <c r="E83" s="1153"/>
      <c r="F83" s="1151"/>
      <c r="G83" s="571"/>
      <c r="H83" s="1146">
        <f>IF(H82&gt;0,H84/H82*3600,0)</f>
        <v>0</v>
      </c>
      <c r="I83" s="579"/>
      <c r="J83" s="579"/>
      <c r="K83" s="1146">
        <f>IF(K82&gt;0,K84/K82*3600,0)</f>
        <v>0</v>
      </c>
      <c r="L83" s="579"/>
      <c r="M83" s="579"/>
      <c r="N83" s="1146">
        <f>IF(N82&gt;0,N84/N82*3600,0)</f>
        <v>0</v>
      </c>
      <c r="O83" s="1135"/>
    </row>
    <row r="84" spans="2:23" ht="15" thickBot="1" x14ac:dyDescent="0.25">
      <c r="C84" s="78"/>
      <c r="D84" s="1152" t="str">
        <f>IF(Deutsch,"Kosten Feinputzen (€/Stk.)"," costs fine grinding (€/pc.)")</f>
        <v>Kosten Feinputzen (€/Stk.)</v>
      </c>
      <c r="E84" s="1153"/>
      <c r="F84" s="1151"/>
      <c r="G84" s="571"/>
      <c r="H84" s="1146">
        <f>'Maschinen-DB'!E75*(1+'Maschinen-DB'!F75)/'Länder-DB'!I27/Parametrikber!F163/3600*H82+'Maschinen-DB'!G75/3600*H82*VLOOKUP('Quick Input'!M$46,DB_Länder,7,FALSE)
+'Maschinen-DB'!H75*VLOOKUP('Quick Input'!M$46,DB_Länder,8,FALSE)*12/Parametrikber!F163/3600*H82</f>
        <v>0</v>
      </c>
      <c r="I84" s="579"/>
      <c r="J84" s="579"/>
      <c r="K84" s="1146">
        <f>'Maschinen-DB'!E75*(1+'Maschinen-DB'!F75)/'Länder-DB'!I27/Parametrikber!I163/3600*K82+'Maschinen-DB'!G75/3600*K82*VLOOKUP('Quick Input'!P$46,DB_Länder,7,FALSE)
+'Maschinen-DB'!H75*VLOOKUP('Quick Input'!P$46,DB_Länder,8,FALSE)*12/Parametrikber!I163/3600*K82</f>
        <v>0</v>
      </c>
      <c r="L84" s="579"/>
      <c r="M84" s="579"/>
      <c r="N84" s="1146">
        <f>'Maschinen-DB'!E75*(1+'Maschinen-DB'!F75)/'Länder-DB'!I27/Parametrikber!L163/3600*N82+'Maschinen-DB'!G75/3600*N82*VLOOKUP('Quick Input'!S$46,DB_Länder,7,FALSE)
+'Maschinen-DB'!H75*VLOOKUP('Quick Input'!S$46,DB_Länder,8,FALSE)*12/Parametrikber!L163/3600*N82</f>
        <v>0</v>
      </c>
      <c r="O84" s="1135"/>
    </row>
    <row r="85" spans="2:23" ht="15" thickBot="1" x14ac:dyDescent="0.25">
      <c r="C85" s="78"/>
      <c r="D85" s="82" t="str">
        <f>IF(Deutsch,"Oberflächenkosten (€/Stk.)","surfaces cost (€/pc.)")</f>
        <v>Oberflächenkosten (€/Stk.)</v>
      </c>
      <c r="E85" s="73"/>
      <c r="F85" s="75"/>
      <c r="G85" s="571"/>
      <c r="H85" s="85">
        <f>H$78+H$81+H84+(H$82/3600*H$74)</f>
        <v>0</v>
      </c>
      <c r="I85" s="579" t="s">
        <v>284</v>
      </c>
      <c r="J85" s="579"/>
      <c r="K85" s="85">
        <f>K$78+K$81+(K$82/3600*K$74)</f>
        <v>0</v>
      </c>
      <c r="L85" s="579" t="s">
        <v>284</v>
      </c>
      <c r="M85" s="579"/>
      <c r="N85" s="85">
        <f>N$78+N$81+(N$82/3600*N$74)</f>
        <v>0</v>
      </c>
      <c r="O85" s="1135" t="s">
        <v>284</v>
      </c>
      <c r="T85" s="1157"/>
    </row>
    <row r="86" spans="2:23" ht="15" thickBot="1" x14ac:dyDescent="0.25">
      <c r="C86" s="78"/>
      <c r="D86" s="72" t="str">
        <f>IF(Deutsch,"Sandaufbereitung (€/t)","sand regeneration (€/to)")</f>
        <v>Sandaufbereitung (€/t)</v>
      </c>
      <c r="E86" s="73"/>
      <c r="F86" s="75"/>
      <c r="G86" s="571"/>
      <c r="H86" s="74">
        <f>Parametrikber!F$135</f>
        <v>1.4142135623730949</v>
      </c>
      <c r="I86" s="579" t="s">
        <v>284</v>
      </c>
      <c r="J86" s="579"/>
      <c r="K86" s="74">
        <f>Parametrikber!I$135</f>
        <v>1.2477080261564104</v>
      </c>
      <c r="L86" s="78" t="s">
        <v>284</v>
      </c>
      <c r="M86" s="78"/>
      <c r="N86" s="74">
        <f>Parametrikber!L$135</f>
        <v>1.4142135623730949</v>
      </c>
      <c r="O86" s="1135" t="s">
        <v>284</v>
      </c>
      <c r="W86" s="648"/>
    </row>
    <row r="87" spans="2:23" ht="15" thickBot="1" x14ac:dyDescent="0.25">
      <c r="C87" s="78"/>
      <c r="D87" s="82" t="str">
        <f>IF(Deutsch,"Sandaufbereitung (€/Stk.)","sand regeneration (€/pc.)")</f>
        <v>Sandaufbereitung (€/Stk.)</v>
      </c>
      <c r="E87" s="73"/>
      <c r="F87" s="75"/>
      <c r="G87" s="571"/>
      <c r="H87" s="85" t="e">
        <f ca="1">H$86*Parametrikber!F$88/1000</f>
        <v>#N/A</v>
      </c>
      <c r="I87" s="579" t="s">
        <v>284</v>
      </c>
      <c r="J87" s="579"/>
      <c r="K87" s="85">
        <f>K$86*Parametrikber!I$88/1000</f>
        <v>-1.4406878392562758E-3</v>
      </c>
      <c r="L87" s="78" t="s">
        <v>284</v>
      </c>
      <c r="M87" s="78"/>
      <c r="N87" s="85">
        <f>N$86*Parametrikber!L$88/1000</f>
        <v>-3.2247133565977181E-3</v>
      </c>
      <c r="O87" s="1135" t="s">
        <v>284</v>
      </c>
    </row>
    <row r="88" spans="2:23" ht="15" thickBot="1" x14ac:dyDescent="0.25">
      <c r="C88" s="78"/>
      <c r="D88" s="1152" t="str">
        <f>CONCATENATE(IF(Deutsch,'Quick Input'!C72,'Quick Input'!D72)," (€/kg)")</f>
        <v>Wärmebehandlung (€/kg)</v>
      </c>
      <c r="E88" s="1154"/>
      <c r="F88" s="1155"/>
      <c r="G88" s="571"/>
      <c r="H88" s="74">
        <f>VLOOKUP('Quick Input'!L33,Auswahlfelder!B41:F46,5,FALSE)</f>
        <v>0.7</v>
      </c>
      <c r="I88" s="580"/>
      <c r="J88" s="580"/>
      <c r="K88" s="74">
        <f>VLOOKUP('Quick Input'!O33,Auswahlfelder!B41:F46,5,FALSE)</f>
        <v>0.4</v>
      </c>
      <c r="L88" s="354"/>
      <c r="M88" s="354"/>
      <c r="N88" s="74">
        <f>VLOOKUP('Quick Input'!R33,Auswahlfelder!B41:F46,5,FALSE)</f>
        <v>0.5</v>
      </c>
      <c r="O88" s="1135"/>
    </row>
    <row r="89" spans="2:23" ht="15" thickBot="1" x14ac:dyDescent="0.25">
      <c r="C89" s="78"/>
      <c r="D89" s="82" t="str">
        <f>IF(Deutsch,"Wärmebehandlung (€/Stk.)","heat treatment (€/pc.")</f>
        <v>Wärmebehandlung (€/Stk.)</v>
      </c>
      <c r="E89" s="73"/>
      <c r="F89" s="75"/>
      <c r="G89" s="571"/>
      <c r="H89" s="85">
        <f>H$88*H$14</f>
        <v>28</v>
      </c>
      <c r="I89" s="579"/>
      <c r="J89" s="579"/>
      <c r="K89" s="85">
        <f>K$88*K$14</f>
        <v>2</v>
      </c>
      <c r="L89" s="78"/>
      <c r="M89" s="78"/>
      <c r="N89" s="85">
        <f>N$88*N$14</f>
        <v>2.5</v>
      </c>
      <c r="O89" s="1135"/>
    </row>
    <row r="90" spans="2:23" ht="15" thickBot="1" x14ac:dyDescent="0.25">
      <c r="B90" s="55" t="s">
        <v>126</v>
      </c>
      <c r="C90" s="78"/>
      <c r="D90" s="236" t="str">
        <f>'Quick Input'!I73</f>
        <v>Fertigungsausschuss 2</v>
      </c>
      <c r="E90" s="73"/>
      <c r="F90" s="75"/>
      <c r="G90" s="571"/>
      <c r="H90" s="119">
        <v>0.02</v>
      </c>
      <c r="I90" s="580"/>
      <c r="J90" s="580"/>
      <c r="K90" s="119">
        <v>0.02</v>
      </c>
      <c r="L90" s="354"/>
      <c r="M90" s="354"/>
      <c r="N90" s="119">
        <v>0.02</v>
      </c>
      <c r="O90" s="1135"/>
    </row>
    <row r="91" spans="2:23" ht="15" thickBot="1" x14ac:dyDescent="0.25">
      <c r="C91" s="78"/>
      <c r="D91" s="116" t="str">
        <f>IF(Deutsch,"Prozesskosten pro Stück","process cost per part")</f>
        <v>Prozesskosten pro Stück</v>
      </c>
      <c r="E91" s="73"/>
      <c r="F91" s="75"/>
      <c r="G91" s="810"/>
      <c r="H91" s="808" t="e">
        <f ca="1">(1+H90)*(H75+H85+H$87+H$89)</f>
        <v>#N/A</v>
      </c>
      <c r="I91" s="585" t="s">
        <v>284</v>
      </c>
      <c r="J91" s="585"/>
      <c r="K91" s="808">
        <f>(1+K90)*(K75+K85+K$87+K$89)</f>
        <v>2.5044858784039583</v>
      </c>
      <c r="L91" s="585" t="s">
        <v>284</v>
      </c>
      <c r="M91" s="585"/>
      <c r="N91" s="808">
        <f>(1+N90)*(N75+N85+N$87+N$89)</f>
        <v>4.6564847423762696</v>
      </c>
      <c r="O91" s="1139" t="s">
        <v>284</v>
      </c>
    </row>
    <row r="92" spans="2:23" ht="28.5" customHeight="1" thickBot="1" x14ac:dyDescent="0.25">
      <c r="C92" s="78"/>
      <c r="D92" s="1260" t="str">
        <f>IF(Deutsch,"Prüfen","testing")</f>
        <v>Prüfen</v>
      </c>
      <c r="E92" s="1261"/>
      <c r="F92" s="1262"/>
      <c r="G92" s="571"/>
      <c r="H92" s="867" t="str">
        <f>Parametrikber!F$275</f>
        <v>US PT Röntgen prüfen</v>
      </c>
      <c r="I92" s="868" t="s">
        <v>284</v>
      </c>
      <c r="J92" s="868"/>
      <c r="K92" s="867" t="str">
        <f>Parametrikber!I$275</f>
        <v>US PT Röntgen prüfen</v>
      </c>
      <c r="L92" s="868" t="s">
        <v>284</v>
      </c>
      <c r="M92" s="868"/>
      <c r="N92" s="867" t="str">
        <f>Parametrikber!L$275</f>
        <v>US PT Röntgen prüfen</v>
      </c>
      <c r="O92" s="1136" t="s">
        <v>284</v>
      </c>
      <c r="T92" s="1156"/>
    </row>
    <row r="93" spans="2:23" ht="15" thickBot="1" x14ac:dyDescent="0.25">
      <c r="B93" s="55" t="s">
        <v>126</v>
      </c>
      <c r="C93" s="78"/>
      <c r="D93" s="72" t="str">
        <f>'Quick Input'!I74</f>
        <v>VT Prüfzeit/Teil (sec)</v>
      </c>
      <c r="E93" s="73"/>
      <c r="F93" s="75"/>
      <c r="G93" s="571"/>
      <c r="H93" s="121">
        <v>400</v>
      </c>
      <c r="I93" s="580"/>
      <c r="J93" s="580"/>
      <c r="K93" s="121">
        <v>300</v>
      </c>
      <c r="L93" s="354"/>
      <c r="M93" s="354"/>
      <c r="N93" s="121">
        <v>300</v>
      </c>
      <c r="O93" s="1135"/>
    </row>
    <row r="94" spans="2:23" ht="15" thickBot="1" x14ac:dyDescent="0.25">
      <c r="C94" s="78"/>
      <c r="D94" s="1152" t="str">
        <f>IF(Deutsch,"VT Prüfung (€/Std.)","vt testing (€/h)")</f>
        <v>VT Prüfung (€/Std.)</v>
      </c>
      <c r="E94" s="1151"/>
      <c r="F94" s="1151"/>
      <c r="G94" s="571"/>
      <c r="H94" s="1145">
        <f>IF(H93&lt;&gt;0,H95/H93*3600,0)</f>
        <v>1.21171875</v>
      </c>
      <c r="I94" s="579"/>
      <c r="J94" s="579"/>
      <c r="K94" s="1145">
        <f>IF(K93&lt;&gt;0,K95/K93*3600,0)</f>
        <v>1.0840625000000002</v>
      </c>
      <c r="L94" s="579"/>
      <c r="M94" s="579"/>
      <c r="N94" s="1145">
        <f>IF(N93&lt;&gt;0,N95/N93*3600,0)</f>
        <v>1.2117187500000002</v>
      </c>
      <c r="O94" s="1135"/>
    </row>
    <row r="95" spans="2:23" ht="15" thickBot="1" x14ac:dyDescent="0.25">
      <c r="C95" s="78"/>
      <c r="D95" s="1152" t="str">
        <f>IF(Deutsch,"VT Prüfung (€/Stk.)","vt testing (€/pc.)")</f>
        <v>VT Prüfung (€/Stk.)</v>
      </c>
      <c r="E95" s="1153"/>
      <c r="F95" s="1151"/>
      <c r="G95" s="571"/>
      <c r="H95" s="1145">
        <f>'Maschinen-DB'!E74*(1+'Maschinen-DB'!F74)/'Länder-DB'!I27/Parametrikber!F163/3600*H93+'Maschinen-DB'!G74/3600*H93*VLOOKUP('Quick Input'!M$46,DB_Länder,7,FALSE) + 'Maschinen-DB'!H74*VLOOKUP('Quick Input'!M$46,DB_Länder,8,FALSE)*12/Parametrikber!F163/3600*H93</f>
        <v>0.13463541666666667</v>
      </c>
      <c r="I95" s="580"/>
      <c r="J95" s="580"/>
      <c r="K95" s="1145">
        <f>'Maschinen-DB'!E74*(1+'Maschinen-DB'!F74)/'Länder-DB'!I27/Parametrikber!I163/3600*K93+'Maschinen-DB'!G74/3600*K93*VLOOKUP('Quick Input'!P$46,DB_Länder,7,FALSE) + 'Maschinen-DB'!H74*VLOOKUP('Quick Input'!P$46,DB_Länder,8,FALSE)*12/Parametrikber!I163/3600*K93</f>
        <v>9.0338541666666675E-2</v>
      </c>
      <c r="L95" s="354"/>
      <c r="M95" s="354"/>
      <c r="N95" s="1145">
        <f>'Maschinen-DB'!E74*(1+'Maschinen-DB'!F74)/'Länder-DB'!I27/Parametrikber!L163/3600*N93+'Maschinen-DB'!G74/3600*N93*VLOOKUP('Quick Input'!S$46,DB_Länder,7,FALSE)
+ 'Maschinen-DB'!H74*VLOOKUP('Quick Input'!S$46,DB_Länder,8,FALSE)*12/Parametrikber!L163/3600*N93</f>
        <v>0.10097656250000002</v>
      </c>
      <c r="O95" s="1135"/>
      <c r="T95" s="1157"/>
    </row>
    <row r="96" spans="2:23" ht="15" thickBot="1" x14ac:dyDescent="0.25">
      <c r="C96" s="78"/>
      <c r="D96" s="72" t="str">
        <f>IF(Deutsch,"Personalkosten Prüfer","personal cost testing")</f>
        <v>Personalkosten Prüfer</v>
      </c>
      <c r="E96" s="73"/>
      <c r="F96" s="75"/>
      <c r="G96" s="571"/>
      <c r="H96" s="74">
        <f>Parametrikber!F$22</f>
        <v>33.535694999999997</v>
      </c>
      <c r="I96" s="579" t="s">
        <v>284</v>
      </c>
      <c r="J96" s="579"/>
      <c r="K96" s="74">
        <f>Parametrikber!I$22</f>
        <v>10.008107999999998</v>
      </c>
      <c r="L96" s="78" t="s">
        <v>284</v>
      </c>
      <c r="M96" s="78"/>
      <c r="N96" s="74">
        <f>Parametrikber!L$22</f>
        <v>33.535694999999997</v>
      </c>
      <c r="O96" s="1135" t="s">
        <v>284</v>
      </c>
    </row>
    <row r="97" spans="3:15" ht="15" thickBot="1" x14ac:dyDescent="0.25">
      <c r="C97" s="78"/>
      <c r="D97" s="1152" t="str">
        <f>IF(Deutsch,"Ultraschall Prüfzeit (sec)","ultrasonic testing time (sec)")</f>
        <v>Ultraschall Prüfzeit (sec)</v>
      </c>
      <c r="E97" s="1151"/>
      <c r="F97" s="1151"/>
      <c r="G97" s="571"/>
      <c r="H97" s="1163">
        <v>500</v>
      </c>
      <c r="I97" s="579"/>
      <c r="J97" s="579"/>
      <c r="K97" s="1163">
        <v>400</v>
      </c>
      <c r="L97" s="78"/>
      <c r="M97" s="78"/>
      <c r="N97" s="1163">
        <v>400</v>
      </c>
      <c r="O97" s="1135"/>
    </row>
    <row r="98" spans="3:15" ht="15" thickBot="1" x14ac:dyDescent="0.25">
      <c r="C98" s="78"/>
      <c r="D98" s="1152" t="str">
        <f>IF(Deutsch,"Ultraschall Prüfung (€/Std.)","ultrasonic testing (€/h)")</f>
        <v>Ultraschall Prüfung (€/Std.)</v>
      </c>
      <c r="E98" s="1151"/>
      <c r="F98" s="1151"/>
      <c r="G98" s="571"/>
      <c r="H98" s="1145">
        <f>IF(H97&lt;&gt;0,H99/H97*3600,0)</f>
        <v>3.0054687499999999</v>
      </c>
      <c r="I98" s="579"/>
      <c r="J98" s="579"/>
      <c r="K98" s="1145">
        <f>IF(K97&lt;&gt;0,K99/K97*3600,0)</f>
        <v>2.7778125</v>
      </c>
      <c r="L98" s="579"/>
      <c r="M98" s="579"/>
      <c r="N98" s="1145">
        <f>IF(N97&lt;&gt;0,N99/N97*3600,0)</f>
        <v>3.0054687499999999</v>
      </c>
      <c r="O98" s="1135"/>
    </row>
    <row r="99" spans="3:15" ht="15" thickBot="1" x14ac:dyDescent="0.25">
      <c r="C99" s="78"/>
      <c r="D99" s="1152" t="str">
        <f>IF(Deutsch,"Ultraschall Prüfung (€/Stk.)","ultrasonic testing (€/pc.)")</f>
        <v>Ultraschall Prüfung (€/Stk.)</v>
      </c>
      <c r="E99" s="1151"/>
      <c r="F99" s="1151"/>
      <c r="G99" s="571"/>
      <c r="H99" s="1145">
        <f>IF('Quick Input'!L29="ja",'Maschinen-DB'!E66*(1+'Maschinen-DB'!F66)/'Länder-DB'!I27/Parametrikber!F163/3600*H97+'Maschinen-DB'!G66/3600*H97*VLOOKUP('Quick Input'!M$46,DB_Länder,7,FALSE) + 'Maschinen-DB'!H66*VLOOKUP('Quick Input'!M$46,DB_Länder,8,FALSE)*12/Parametrikber!F163/3600*H97,0)</f>
        <v>0.41742621527777779</v>
      </c>
      <c r="I99" s="580"/>
      <c r="J99" s="580"/>
      <c r="K99" s="1145">
        <f>IF('Quick Input'!O29="ja",'Maschinen-DB'!E66*(1+'Maschinen-DB'!F66)/'Länder-DB'!I27/Parametrikber!I163/3600*K97+'Maschinen-DB'!G66/3600*K97*VLOOKUP('Quick Input'!P$46,DB_Länder,7,FALSE) + 'Maschinen-DB'!H66*VLOOKUP('Quick Input'!P$46,DB_Länder,8,FALSE)*12/Parametrikber!I163/3600*K97,0)</f>
        <v>0.30864583333333334</v>
      </c>
      <c r="L99" s="354"/>
      <c r="M99" s="354"/>
      <c r="N99" s="1145">
        <f>IF('Quick Input'!R29="ja",'Maschinen-DB'!E66*(1+'Maschinen-DB'!F66)/'Länder-DB'!I27/Parametrikber!L163/3600*N97+'Maschinen-DB'!G66/3600*N97*VLOOKUP('Quick Input'!S$46,DB_Länder,7,FALSE) + 'Maschinen-DB'!H66*VLOOKUP('Quick Input'!S$46,DB_Länder,8,FALSE)*12/Parametrikber!L163/3600*N97,0)</f>
        <v>0.33394097222222224</v>
      </c>
      <c r="O99" s="1135"/>
    </row>
    <row r="100" spans="3:15" ht="15" thickBot="1" x14ac:dyDescent="0.25">
      <c r="C100" s="78"/>
      <c r="D100" s="1152" t="str">
        <f>IF(Deutsch,"Farbeindring (Anlage)","PT (system)")</f>
        <v>Farbeindring (Anlage)</v>
      </c>
      <c r="E100" s="1151"/>
      <c r="F100" s="1151"/>
      <c r="G100" s="571"/>
      <c r="H100" s="342" t="s">
        <v>942</v>
      </c>
      <c r="I100" s="580"/>
      <c r="J100" s="580"/>
      <c r="K100" s="342" t="s">
        <v>942</v>
      </c>
      <c r="L100" s="354"/>
      <c r="M100" s="354"/>
      <c r="N100" s="342" t="s">
        <v>942</v>
      </c>
      <c r="O100" s="1135"/>
    </row>
    <row r="101" spans="3:15" ht="15" thickBot="1" x14ac:dyDescent="0.25">
      <c r="C101" s="78"/>
      <c r="D101" s="1152" t="str">
        <f>IF(Deutsch,"Farbeindring Prüfzeit (sec)","PT testing time (sec)")</f>
        <v>Farbeindring Prüfzeit (sec)</v>
      </c>
      <c r="E101" s="1151"/>
      <c r="F101" s="1151"/>
      <c r="G101" s="571"/>
      <c r="H101" s="1163">
        <v>600</v>
      </c>
      <c r="I101" s="580"/>
      <c r="J101" s="580"/>
      <c r="K101" s="1163">
        <v>600</v>
      </c>
      <c r="L101" s="354"/>
      <c r="M101" s="354"/>
      <c r="N101" s="1163">
        <v>400</v>
      </c>
      <c r="O101" s="1135"/>
    </row>
    <row r="102" spans="3:15" ht="15" thickBot="1" x14ac:dyDescent="0.25">
      <c r="C102" s="78"/>
      <c r="D102" s="1152" t="str">
        <f>IF(Deutsch,"Farbeindring Prüfung (€/Std.)","PT testing (€/h)")</f>
        <v>Farbeindring Prüfung (€/Std.)</v>
      </c>
      <c r="E102" s="1151"/>
      <c r="F102" s="1151"/>
      <c r="G102" s="571"/>
      <c r="H102" s="1145">
        <f>IF(H101&lt;&gt;0,H103/H101*3600,0)</f>
        <v>2.2249479166666664</v>
      </c>
      <c r="I102" s="580"/>
      <c r="J102" s="580"/>
      <c r="K102" s="1145">
        <f>IF(K101&lt;&gt;0,K103/K101*3600,0)</f>
        <v>2.0766666666666667</v>
      </c>
      <c r="L102" s="354"/>
      <c r="M102" s="354"/>
      <c r="N102" s="1145">
        <f>IF(N101&lt;&gt;0,N103/N101*3600,0)</f>
        <v>2.2249479166666664</v>
      </c>
      <c r="O102" s="1135"/>
    </row>
    <row r="103" spans="3:15" ht="15" thickBot="1" x14ac:dyDescent="0.25">
      <c r="C103" s="78"/>
      <c r="D103" s="1152" t="str">
        <f>IF(Deutsch,"Farbeindring Prüfung (€/Stk.)","PT testing (€/pc.)")</f>
        <v>Farbeindring Prüfung (€/Stk.)</v>
      </c>
      <c r="E103" s="1151"/>
      <c r="F103" s="1151"/>
      <c r="G103" s="571"/>
      <c r="H103" s="1145">
        <f>IF('Quick Input'!L30="ja",VLOOKUP(Refkalkulation!H100,'Maschinen-DB'!B67:H69,4,FALSE)*(1+VLOOKUP(Refkalkulation!H100,'Maschinen-DB'!B67:H69,5,FALSE))/'Länder-DB'!I27/Parametrikber!F163/3600*H101+VLOOKUP(Refkalkulation!H100,'Maschinen-DB'!B67:H69,6,FALSE)/3600*H101*VLOOKUP('Quick Input'!M$46,DB_Länder,7,FALSE) + VLOOKUP(Refkalkulation!H100,'Maschinen-DB'!B67:H69,7,FALSE)*VLOOKUP('Quick Input'!M$46,DB_Länder,8,FALSE)*12/Parametrikber!F163/3600*H101,0)</f>
        <v>0.37082465277777776</v>
      </c>
      <c r="I103" s="580"/>
      <c r="J103" s="580"/>
      <c r="K103" s="1145">
        <f>IF('Quick Input'!O30="ja",VLOOKUP(Refkalkulation!K100,'Maschinen-DB'!B67:K69,4,FALSE)*(1+VLOOKUP(Refkalkulation!K100,'Maschinen-DB'!B67:K69,5,FALSE))/'Länder-DB'!I27/Parametrikber!I163/3600*K101+VLOOKUP(Refkalkulation!K100,'Maschinen-DB'!B67:K69,6,FALSE)/3600*K101*VLOOKUP('Quick Input'!P$46,DB_Länder,7,FALSE) + VLOOKUP(Refkalkulation!K100,'Maschinen-DB'!B67:K69,7,FALSE)*VLOOKUP('Quick Input'!P$46,DB_Länder,8,FALSE)*12/Parametrikber!I163/3600*K101,0)</f>
        <v>0.34611111111111109</v>
      </c>
      <c r="L103" s="354"/>
      <c r="M103" s="354"/>
      <c r="N103" s="1145">
        <f>IF('Quick Input'!R30="ja",VLOOKUP(Refkalkulation!N100,'Maschinen-DB'!B67:N69,4,FALSE)*(1+VLOOKUP(Refkalkulation!N100,'Maschinen-DB'!B67:N69,5,FALSE))/'Länder-DB'!I27/Parametrikber!L163/3600*N101+VLOOKUP(Refkalkulation!N100,'Maschinen-DB'!B67:N69,6,FALSE)/3600*N101*VLOOKUP('Quick Input'!S$46,DB_Länder,7,FALSE) + VLOOKUP(Refkalkulation!N100,'Maschinen-DB'!B67:N69,7,FALSE)*VLOOKUP('Quick Input'!S$46,DB_Länder,8,FALSE)*12/Parametrikber!L163/3600*N101,0)</f>
        <v>0.24721643518518516</v>
      </c>
      <c r="O103" s="1135"/>
    </row>
    <row r="104" spans="3:15" ht="15" thickBot="1" x14ac:dyDescent="0.25">
      <c r="C104" s="78"/>
      <c r="D104" s="1152" t="str">
        <f>IF(Deutsch,"Röntgen Prüfzeit (sec)","X-ray testing time (sec)")</f>
        <v>Röntgen Prüfzeit (sec)</v>
      </c>
      <c r="E104" s="1151"/>
      <c r="F104" s="1151"/>
      <c r="G104" s="571"/>
      <c r="H104" s="1163">
        <v>1000</v>
      </c>
      <c r="I104" s="580"/>
      <c r="J104" s="580"/>
      <c r="K104" s="1163">
        <v>1000</v>
      </c>
      <c r="L104" s="354"/>
      <c r="M104" s="354"/>
      <c r="N104" s="1163">
        <v>600</v>
      </c>
      <c r="O104" s="1135"/>
    </row>
    <row r="105" spans="3:15" ht="15" thickBot="1" x14ac:dyDescent="0.25">
      <c r="C105" s="78"/>
      <c r="D105" s="1152" t="str">
        <f>IF(Deutsch,"Röntgen Prüfung (€/Std.)","X-ray testing (€/h)")</f>
        <v>Röntgen Prüfung (€/Std.)</v>
      </c>
      <c r="E105" s="1151"/>
      <c r="F105" s="1151"/>
      <c r="G105" s="571"/>
      <c r="H105" s="1145">
        <f>IF(H104&lt;&gt;0,H106/H104*3600,0)</f>
        <v>6.6088541666666671</v>
      </c>
      <c r="I105" s="580"/>
      <c r="J105" s="580"/>
      <c r="K105" s="1145">
        <f>IF(K104&lt;&gt;0,K106/K104*3600,0)</f>
        <v>6.3429166666666683</v>
      </c>
      <c r="L105" s="354"/>
      <c r="M105" s="354"/>
      <c r="N105" s="1145">
        <f>IF(N104&lt;&gt;0,N106/N104*3600,0)</f>
        <v>6.6088541666666689</v>
      </c>
      <c r="O105" s="1135"/>
    </row>
    <row r="106" spans="3:15" ht="15" thickBot="1" x14ac:dyDescent="0.25">
      <c r="C106" s="78"/>
      <c r="D106" s="1152" t="str">
        <f>IF(Deutsch,"Röntgen Prüfung (€/Stk.)","X-ray testing (€/pc.)")</f>
        <v>Röntgen Prüfung (€/Stk.)</v>
      </c>
      <c r="E106" s="1151"/>
      <c r="F106" s="1151"/>
      <c r="G106" s="571"/>
      <c r="H106" s="1145">
        <f>IF('Quick Input'!L31="ja",'Maschinen-DB'!E63*(1+'Maschinen-DB'!F63)/'Länder-DB'!I27/Parametrikber!F163/3600*H104+'Maschinen-DB'!G63/3600*H104*VLOOKUP('Quick Input'!M$46,DB_Länder,7,FALSE) + 'Maschinen-DB'!H63*VLOOKUP('Quick Input'!M$46,DB_Länder,8,FALSE)*12/Parametrikber!F163/3600*H104,0)</f>
        <v>1.8357928240740744</v>
      </c>
      <c r="I106" s="580"/>
      <c r="J106" s="580"/>
      <c r="K106" s="1145">
        <f>IF('Quick Input'!O31="ja",'Maschinen-DB'!E63*(1+'Maschinen-DB'!F63)/'Länder-DB'!I27/Parametrikber!F163/3600*K104+'Maschinen-DB'!G63/3600*K104*VLOOKUP('Quick Input'!P$46,DB_Länder,7,FALSE) + 'Maschinen-DB'!H63*VLOOKUP('Quick Input'!P$46,DB_Länder,8,FALSE)*12/Parametrikber!F163/3600*K104,0)</f>
        <v>1.7619212962962969</v>
      </c>
      <c r="L106" s="354"/>
      <c r="M106" s="354"/>
      <c r="N106" s="1145">
        <f>IF('Quick Input'!R31="ja",'Maschinen-DB'!E63*(1+'Maschinen-DB'!F63)/'Länder-DB'!I27/Parametrikber!F163/3600*N104+'Maschinen-DB'!G63/3600*N104*VLOOKUP('Quick Input'!S$46,DB_Länder,7,FALSE) + 'Maschinen-DB'!H63*VLOOKUP('Quick Input'!S$46,DB_Länder,8,FALSE)*12/Parametrikber!F163/3600*N104,0)</f>
        <v>1.1014756944444448</v>
      </c>
      <c r="O106" s="1135"/>
    </row>
    <row r="107" spans="3:15" ht="15" thickBot="1" x14ac:dyDescent="0.25">
      <c r="C107" s="78"/>
      <c r="D107" s="72" t="str">
        <f>IF(Deutsch,Auswahlfelder!$B$59,Auswahlfelder!$D$59)</f>
        <v>Reparaturschweißen</v>
      </c>
      <c r="E107" s="73"/>
      <c r="F107" s="75"/>
      <c r="G107" s="571"/>
      <c r="H107" s="80" t="str">
        <f>'Quick Input'!L$34</f>
        <v>ohne</v>
      </c>
      <c r="I107" s="579"/>
      <c r="J107" s="579"/>
      <c r="K107" s="80" t="str">
        <f>'Quick Input'!O$34</f>
        <v>ohne</v>
      </c>
      <c r="L107" s="78"/>
      <c r="M107" s="78"/>
      <c r="N107" s="80" t="str">
        <f>'Quick Input'!R$34</f>
        <v>ohne</v>
      </c>
      <c r="O107" s="1135"/>
    </row>
    <row r="108" spans="3:15" ht="15" thickBot="1" x14ac:dyDescent="0.25">
      <c r="C108" s="78"/>
      <c r="D108" s="72" t="str">
        <f>IF(Deutsch,"Reparaturanteil (%)","repair proportion (%)")</f>
        <v>Reparaturanteil (%)</v>
      </c>
      <c r="E108" s="73"/>
      <c r="F108" s="75"/>
      <c r="G108" s="571"/>
      <c r="H108" s="513">
        <v>0</v>
      </c>
      <c r="I108" s="580"/>
      <c r="J108" s="580"/>
      <c r="K108" s="513">
        <v>0</v>
      </c>
      <c r="L108" s="354"/>
      <c r="M108" s="354"/>
      <c r="N108" s="513">
        <v>0</v>
      </c>
      <c r="O108" s="1135"/>
    </row>
    <row r="109" spans="3:15" ht="15" thickBot="1" x14ac:dyDescent="0.25">
      <c r="C109" s="78"/>
      <c r="D109" s="72" t="str">
        <f>'Quick Input'!$I$78</f>
        <v>Anteil Nachprüfung</v>
      </c>
      <c r="E109" s="73"/>
      <c r="F109" s="75"/>
      <c r="G109" s="571"/>
      <c r="H109" s="647">
        <v>0.5</v>
      </c>
      <c r="I109" s="580"/>
      <c r="J109" s="580"/>
      <c r="K109" s="647">
        <v>0.5</v>
      </c>
      <c r="L109" s="354"/>
      <c r="M109" s="354"/>
      <c r="N109" s="647">
        <v>0.5</v>
      </c>
      <c r="O109" s="1135"/>
    </row>
    <row r="110" spans="3:15" ht="15" thickBot="1" x14ac:dyDescent="0.25">
      <c r="C110" s="78"/>
      <c r="D110" s="72" t="str">
        <f>IF(Deutsch,"Kosten je Reparatur (€)","cost per repair (€)")</f>
        <v>Kosten je Reparatur (€)</v>
      </c>
      <c r="E110" s="73"/>
      <c r="F110" s="75"/>
      <c r="G110" s="571"/>
      <c r="H110" s="85">
        <f>IF('Quick Input'!M$34=Auswahlfelder!$D$60,0,Parametrikber!F$204)</f>
        <v>0</v>
      </c>
      <c r="I110" s="579"/>
      <c r="J110" s="579"/>
      <c r="K110" s="85">
        <f>IF('Quick Input'!P$34=Auswahlfelder!$D$60,0,Parametrikber!I$204)</f>
        <v>0</v>
      </c>
      <c r="L110" s="78"/>
      <c r="M110" s="78"/>
      <c r="N110" s="85">
        <f>IF('Quick Input'!S$34=Auswahlfelder!$D$60,0,Parametrikber!L$204)</f>
        <v>0</v>
      </c>
      <c r="O110" s="1135"/>
    </row>
    <row r="111" spans="3:15" ht="15" thickBot="1" x14ac:dyDescent="0.25">
      <c r="C111" s="78"/>
      <c r="D111" s="116" t="str">
        <f>IF(Deutsch,"Prüfkosten pro Stück","testing cost per part")</f>
        <v>Prüfkosten pro Stück</v>
      </c>
      <c r="E111" s="73"/>
      <c r="F111" s="75"/>
      <c r="G111" s="810"/>
      <c r="H111" s="808">
        <f>H$93/3600*H$96+(H$99+H$103+H$106)*(1+H$109*H$108)+H$108*H$110</f>
        <v>6.3502320254629634</v>
      </c>
      <c r="I111" s="585" t="s">
        <v>284</v>
      </c>
      <c r="J111" s="585"/>
      <c r="K111" s="808">
        <f>K$93/3600*K$96+(K$99+K$103+K$106)*(1+K$109*K$108)+K$108*K$110</f>
        <v>3.2506872407407412</v>
      </c>
      <c r="L111" s="585" t="s">
        <v>284</v>
      </c>
      <c r="M111" s="585"/>
      <c r="N111" s="808">
        <f>N$93/3600*N$96+(N$99+N$103+N$106)*(1+N$109*N$108)+N$108*N$110</f>
        <v>4.4772743518518521</v>
      </c>
      <c r="O111" s="1139" t="s">
        <v>284</v>
      </c>
    </row>
    <row r="112" spans="3:15" ht="11.25" customHeight="1" thickBot="1" x14ac:dyDescent="0.25">
      <c r="C112" s="78"/>
      <c r="D112" s="1240" t="str">
        <f>IF(Deutsch,"Fertigungsnebenkosten","production cost")</f>
        <v>Fertigungsnebenkosten</v>
      </c>
      <c r="E112" s="1241"/>
      <c r="F112" s="1242"/>
      <c r="G112" s="571"/>
      <c r="H112" s="79"/>
      <c r="I112" s="579" t="s">
        <v>284</v>
      </c>
      <c r="J112" s="579"/>
      <c r="K112" s="79"/>
      <c r="L112" s="78" t="s">
        <v>284</v>
      </c>
      <c r="M112" s="78"/>
      <c r="N112" s="79"/>
      <c r="O112" s="1136" t="s">
        <v>284</v>
      </c>
    </row>
    <row r="113" spans="2:15" ht="14.25" customHeight="1" thickBot="1" x14ac:dyDescent="0.25">
      <c r="C113" s="78"/>
      <c r="D113" s="1243"/>
      <c r="E113" s="1244"/>
      <c r="F113" s="1245"/>
      <c r="G113" s="571"/>
      <c r="H113" s="883" t="e">
        <f ca="1">H$46+H$70+H91+H$111</f>
        <v>#N/A</v>
      </c>
      <c r="I113" s="579" t="s">
        <v>284</v>
      </c>
      <c r="J113" s="579"/>
      <c r="K113" s="883" t="e">
        <f>K$46+K$70+K91+K$111</f>
        <v>#N/A</v>
      </c>
      <c r="L113" s="579" t="s">
        <v>284</v>
      </c>
      <c r="M113" s="579"/>
      <c r="N113" s="883" t="e">
        <f>N$46+N$70+N91+N$111</f>
        <v>#N/A</v>
      </c>
      <c r="O113" s="1135" t="s">
        <v>284</v>
      </c>
    </row>
    <row r="114" spans="2:15" ht="15" thickBot="1" x14ac:dyDescent="0.25">
      <c r="C114" s="78"/>
      <c r="D114" s="72" t="str">
        <f>CONCATENATE(IF(Deutsch,'Quick Input'!C32,'Quick Input'!D32)," (per lot)")</f>
        <v>Materialprüfzertifikat (per lot)</v>
      </c>
      <c r="E114" s="73"/>
      <c r="F114" s="75"/>
      <c r="G114" s="571"/>
      <c r="H114" s="74">
        <f>Parametrikber!F$209</f>
        <v>0</v>
      </c>
      <c r="I114" s="579" t="s">
        <v>284</v>
      </c>
      <c r="J114" s="579"/>
      <c r="K114" s="74">
        <f>Parametrikber!I$209</f>
        <v>0</v>
      </c>
      <c r="L114" s="579" t="s">
        <v>284</v>
      </c>
      <c r="M114" s="579"/>
      <c r="N114" s="74">
        <f>Parametrikber!L$209</f>
        <v>0</v>
      </c>
      <c r="O114" s="1135" t="s">
        <v>284</v>
      </c>
    </row>
    <row r="115" spans="2:15" ht="14.25" customHeight="1" thickBot="1" x14ac:dyDescent="0.25">
      <c r="B115" s="55" t="s">
        <v>126</v>
      </c>
      <c r="C115" s="78"/>
      <c r="D115" s="236" t="str">
        <f>'Quick Input'!I80</f>
        <v>Fertigungsgemeinkosten</v>
      </c>
      <c r="E115" s="73"/>
      <c r="F115" s="75"/>
      <c r="G115" s="571"/>
      <c r="H115" s="119">
        <v>0.1</v>
      </c>
      <c r="I115" s="580"/>
      <c r="J115" s="580"/>
      <c r="K115" s="119">
        <v>0.1</v>
      </c>
      <c r="L115" s="354"/>
      <c r="M115" s="354"/>
      <c r="N115" s="119">
        <v>0.1</v>
      </c>
      <c r="O115" s="1135"/>
    </row>
    <row r="116" spans="2:15" ht="15" thickBot="1" x14ac:dyDescent="0.25">
      <c r="C116" s="78"/>
      <c r="D116" s="236" t="str">
        <f>IF(Deutsch,'Quick Input'!C80,'Quick Input'!D80)</f>
        <v>Fertigungsgemeinkosten</v>
      </c>
      <c r="E116" s="73"/>
      <c r="F116" s="75"/>
      <c r="G116" s="571"/>
      <c r="H116" s="74" t="e">
        <f ca="1">H$115*H$113</f>
        <v>#N/A</v>
      </c>
      <c r="I116" s="579" t="s">
        <v>284</v>
      </c>
      <c r="J116" s="579"/>
      <c r="K116" s="74" t="e">
        <f>K$115*K$113</f>
        <v>#N/A</v>
      </c>
      <c r="L116" s="78" t="s">
        <v>284</v>
      </c>
      <c r="M116" s="78"/>
      <c r="N116" s="74" t="e">
        <f>N$115*N$113</f>
        <v>#N/A</v>
      </c>
      <c r="O116" s="1135" t="s">
        <v>284</v>
      </c>
    </row>
    <row r="117" spans="2:15" ht="15" customHeight="1" thickBot="1" x14ac:dyDescent="0.25">
      <c r="C117" s="78"/>
      <c r="D117" s="116" t="str">
        <f>IF(Deutsch,"Fertigungskosten gesamt","manufacturing cost total")</f>
        <v>Fertigungskosten gesamt</v>
      </c>
      <c r="E117" s="73"/>
      <c r="F117" s="75"/>
      <c r="G117" s="571"/>
      <c r="H117" s="113" t="e">
        <f ca="1">H$113+H$114/H$59+H$116</f>
        <v>#N/A</v>
      </c>
      <c r="I117" s="579" t="s">
        <v>284</v>
      </c>
      <c r="J117" s="579"/>
      <c r="K117" s="113" t="e">
        <f>K$113+K$114/K$59+K$116</f>
        <v>#N/A</v>
      </c>
      <c r="L117" s="579" t="s">
        <v>284</v>
      </c>
      <c r="M117" s="579"/>
      <c r="N117" s="113" t="e">
        <f>N$113+N$114/N$59+N$116</f>
        <v>#N/A</v>
      </c>
      <c r="O117" s="1135" t="s">
        <v>284</v>
      </c>
    </row>
    <row r="118" spans="2:15" ht="4.5" customHeight="1" thickBot="1" x14ac:dyDescent="0.25">
      <c r="C118" s="87"/>
      <c r="D118" s="88"/>
      <c r="E118" s="87"/>
      <c r="F118" s="89"/>
      <c r="G118" s="571"/>
      <c r="H118" s="91"/>
      <c r="I118" s="579" t="s">
        <v>284</v>
      </c>
      <c r="J118" s="579"/>
      <c r="K118" s="91"/>
      <c r="L118" s="78" t="s">
        <v>284</v>
      </c>
      <c r="M118" s="78"/>
      <c r="N118" s="91"/>
      <c r="O118" s="1139" t="s">
        <v>284</v>
      </c>
    </row>
    <row r="119" spans="2:15" ht="7.5" customHeight="1" thickBot="1" x14ac:dyDescent="0.25">
      <c r="D119" s="1240" t="str">
        <f>IF(Deutsch,"Gemeinkosten &amp; Gewinn","common cost &amp; profit")</f>
        <v>Gemeinkosten &amp; Gewinn</v>
      </c>
      <c r="E119" s="1241"/>
      <c r="F119" s="1242"/>
      <c r="G119" s="571"/>
      <c r="H119" s="79"/>
      <c r="I119" s="579" t="s">
        <v>284</v>
      </c>
      <c r="J119" s="579"/>
      <c r="K119" s="79"/>
      <c r="L119" s="78" t="s">
        <v>284</v>
      </c>
      <c r="M119" s="78"/>
      <c r="N119" s="79"/>
      <c r="O119" s="1136" t="s">
        <v>284</v>
      </c>
    </row>
    <row r="120" spans="2:15" ht="15" thickBot="1" x14ac:dyDescent="0.25">
      <c r="D120" s="1243"/>
      <c r="E120" s="1244"/>
      <c r="F120" s="1245"/>
      <c r="G120" s="571"/>
      <c r="H120" s="74" t="e">
        <f ca="1">H$25+H$117</f>
        <v>#REF!</v>
      </c>
      <c r="I120" s="579" t="s">
        <v>284</v>
      </c>
      <c r="J120" s="579"/>
      <c r="K120" s="85" t="e">
        <f>K$25+K$117</f>
        <v>#REF!</v>
      </c>
      <c r="L120" s="579" t="s">
        <v>284</v>
      </c>
      <c r="M120" s="579"/>
      <c r="N120" s="85" t="e">
        <f>N$25+N$117</f>
        <v>#REF!</v>
      </c>
      <c r="O120" s="1135" t="s">
        <v>284</v>
      </c>
    </row>
    <row r="121" spans="2:15" ht="15" thickBot="1" x14ac:dyDescent="0.25">
      <c r="B121" s="55" t="s">
        <v>126</v>
      </c>
      <c r="D121" s="72" t="str">
        <f>IF(Deutsch,"Vertriebs- und Verw.-gemeinkostensatz","administration cost rate")</f>
        <v>Vertriebs- und Verw.-gemeinkostensatz</v>
      </c>
      <c r="E121" s="67"/>
      <c r="F121" s="75"/>
      <c r="G121" s="571"/>
      <c r="H121" s="119">
        <v>0.12</v>
      </c>
      <c r="I121" s="580"/>
      <c r="J121" s="580"/>
      <c r="K121" s="119">
        <v>0.12</v>
      </c>
      <c r="L121" s="354"/>
      <c r="M121" s="354"/>
      <c r="N121" s="119">
        <v>0.12</v>
      </c>
      <c r="O121" s="1135"/>
    </row>
    <row r="122" spans="2:15" ht="15" thickBot="1" x14ac:dyDescent="0.25">
      <c r="D122" s="72" t="str">
        <f>IF(Deutsch,"Vertriebs- und Verw.-gemeinkosten","administration costs")</f>
        <v>Vertriebs- und Verw.-gemeinkosten</v>
      </c>
      <c r="E122" s="67"/>
      <c r="F122" s="75"/>
      <c r="G122" s="571"/>
      <c r="H122" s="74" t="e">
        <f ca="1">H$120*H121</f>
        <v>#REF!</v>
      </c>
      <c r="I122" s="579" t="s">
        <v>284</v>
      </c>
      <c r="J122" s="579"/>
      <c r="K122" s="74" t="e">
        <f>K$120*K121</f>
        <v>#REF!</v>
      </c>
      <c r="L122" s="579" t="s">
        <v>284</v>
      </c>
      <c r="M122" s="579"/>
      <c r="N122" s="74" t="e">
        <f t="shared" ref="N122" si="7">N$120*N121</f>
        <v>#REF!</v>
      </c>
      <c r="O122" s="1135" t="s">
        <v>284</v>
      </c>
    </row>
    <row r="123" spans="2:15" ht="15" thickBot="1" x14ac:dyDescent="0.25">
      <c r="D123" s="72" t="str">
        <f>CONCATENATE(IF(Deutsch,"F&amp;E- Kosten (","design and development cost ("),'Länder-DB'!I35*100,"%)")</f>
        <v>F&amp;E- Kosten (8%)</v>
      </c>
      <c r="E123" s="67"/>
      <c r="F123" s="75"/>
      <c r="G123" s="571"/>
      <c r="H123" s="74" t="e">
        <f ca="1">H$117*'Länder-DB'!$I$35</f>
        <v>#N/A</v>
      </c>
      <c r="I123" s="579" t="s">
        <v>284</v>
      </c>
      <c r="J123" s="579"/>
      <c r="K123" s="74" t="e">
        <f>K$117*'Länder-DB'!$I$35</f>
        <v>#N/A</v>
      </c>
      <c r="L123" s="78" t="s">
        <v>284</v>
      </c>
      <c r="M123" s="78"/>
      <c r="N123" s="74" t="e">
        <f>N$117*'Länder-DB'!$I$35</f>
        <v>#N/A</v>
      </c>
      <c r="O123" s="1135" t="s">
        <v>284</v>
      </c>
    </row>
    <row r="124" spans="2:15" ht="15" thickBot="1" x14ac:dyDescent="0.25">
      <c r="D124" s="82" t="str">
        <f>IF(Deutsch,"Gesamtgemeinkosten","administration cost total")</f>
        <v>Gesamtgemeinkosten</v>
      </c>
      <c r="E124" s="67"/>
      <c r="F124" s="75"/>
      <c r="G124" s="571"/>
      <c r="H124" s="986" t="e">
        <f ca="1">H$122+H$123</f>
        <v>#REF!</v>
      </c>
      <c r="I124" s="579" t="s">
        <v>284</v>
      </c>
      <c r="J124" s="579"/>
      <c r="K124" s="986" t="e">
        <f>K$122+K$123</f>
        <v>#REF!</v>
      </c>
      <c r="L124" s="579" t="s">
        <v>284</v>
      </c>
      <c r="M124" s="579"/>
      <c r="N124" s="986" t="e">
        <f t="shared" ref="N124" si="8">N$122+N$123</f>
        <v>#REF!</v>
      </c>
      <c r="O124" s="1135" t="s">
        <v>284</v>
      </c>
    </row>
    <row r="125" spans="2:15" ht="15" thickBot="1" x14ac:dyDescent="0.25">
      <c r="B125" s="55" t="s">
        <v>126</v>
      </c>
      <c r="D125" s="72" t="str">
        <f>'Quick Input'!I82</f>
        <v>Gewinn auf Material</v>
      </c>
      <c r="E125" s="67"/>
      <c r="F125" s="75"/>
      <c r="G125" s="571"/>
      <c r="H125" s="119">
        <v>0</v>
      </c>
      <c r="I125" s="580"/>
      <c r="J125" s="580"/>
      <c r="K125" s="119">
        <v>0</v>
      </c>
      <c r="L125" s="580"/>
      <c r="M125" s="580"/>
      <c r="N125" s="119">
        <v>0</v>
      </c>
      <c r="O125" s="1135"/>
    </row>
    <row r="126" spans="2:15" ht="15" thickBot="1" x14ac:dyDescent="0.25">
      <c r="B126" s="55" t="s">
        <v>126</v>
      </c>
      <c r="D126" s="72" t="str">
        <f>'Quick Input'!I83</f>
        <v>Gewinn auf Wertschöpfung</v>
      </c>
      <c r="E126" s="67"/>
      <c r="F126" s="75"/>
      <c r="G126" s="571"/>
      <c r="H126" s="119">
        <v>0</v>
      </c>
      <c r="I126" s="580"/>
      <c r="J126" s="580"/>
      <c r="K126" s="119">
        <v>0</v>
      </c>
      <c r="L126" s="580"/>
      <c r="M126" s="580"/>
      <c r="N126" s="119">
        <v>0</v>
      </c>
      <c r="O126" s="1135"/>
    </row>
    <row r="127" spans="2:15" ht="15" thickBot="1" x14ac:dyDescent="0.25">
      <c r="D127" s="82" t="str">
        <f>IF(Deutsch,"Gesamtgewinn","profit total")</f>
        <v>Gesamtgewinn</v>
      </c>
      <c r="E127" s="67"/>
      <c r="F127" s="75"/>
      <c r="G127" s="571"/>
      <c r="H127" s="985" t="e">
        <f ca="1">H$125*H$25+H$126*H$113</f>
        <v>#REF!</v>
      </c>
      <c r="I127" s="579" t="s">
        <v>284</v>
      </c>
      <c r="J127" s="579"/>
      <c r="K127" s="985" t="e">
        <f>K$125*K$25+K$126*K$113</f>
        <v>#REF!</v>
      </c>
      <c r="L127" s="579" t="s">
        <v>284</v>
      </c>
      <c r="M127" s="579"/>
      <c r="N127" s="985" t="e">
        <f>N$125*N$25+N$126*N$113</f>
        <v>#REF!</v>
      </c>
      <c r="O127" s="1135" t="s">
        <v>284</v>
      </c>
    </row>
    <row r="128" spans="2:15" ht="6" customHeight="1" thickBot="1" x14ac:dyDescent="0.25">
      <c r="D128" s="72"/>
      <c r="E128" s="67"/>
      <c r="F128" s="75"/>
      <c r="G128" s="571"/>
      <c r="H128" s="86"/>
      <c r="I128" s="579" t="s">
        <v>284</v>
      </c>
      <c r="J128" s="579"/>
      <c r="K128" s="86"/>
      <c r="L128" s="78" t="s">
        <v>284</v>
      </c>
      <c r="M128" s="78"/>
      <c r="N128" s="86"/>
      <c r="O128" s="1135" t="s">
        <v>284</v>
      </c>
    </row>
    <row r="129" spans="2:15" ht="15" thickBot="1" x14ac:dyDescent="0.25">
      <c r="D129" s="731" t="str">
        <f>IF(Deutsch,"Bauteilpreis gesamt","part cost total")</f>
        <v>Bauteilpreis gesamt</v>
      </c>
      <c r="E129" s="67"/>
      <c r="F129" s="75"/>
      <c r="G129" s="571"/>
      <c r="H129" s="987" t="e">
        <f ca="1">H$120+H$124+H$127</f>
        <v>#REF!</v>
      </c>
      <c r="I129" s="579" t="s">
        <v>284</v>
      </c>
      <c r="J129" s="579"/>
      <c r="K129" s="987" t="e">
        <f>K$120+K$124+K$127</f>
        <v>#REF!</v>
      </c>
      <c r="L129" s="579" t="s">
        <v>284</v>
      </c>
      <c r="M129" s="579"/>
      <c r="N129" s="987" t="e">
        <f>N$120+N$124+N$127</f>
        <v>#REF!</v>
      </c>
      <c r="O129" s="1135" t="s">
        <v>284</v>
      </c>
    </row>
    <row r="130" spans="2:15" ht="6" customHeight="1" thickBot="1" x14ac:dyDescent="0.25">
      <c r="D130" s="82"/>
      <c r="E130" s="67"/>
      <c r="F130" s="75"/>
      <c r="G130" s="571"/>
      <c r="H130" s="92"/>
      <c r="I130" s="579" t="s">
        <v>284</v>
      </c>
      <c r="J130" s="579"/>
      <c r="K130" s="92"/>
      <c r="L130" s="78" t="s">
        <v>284</v>
      </c>
      <c r="M130" s="78"/>
      <c r="N130" s="92"/>
      <c r="O130" s="1139" t="s">
        <v>284</v>
      </c>
    </row>
    <row r="131" spans="2:15" ht="14.25" customHeight="1" thickBot="1" x14ac:dyDescent="0.25">
      <c r="D131" s="1240" t="str">
        <f>IF(Deutsch,"Potenziabschätzung","estimation potential")</f>
        <v>Potenziabschätzung</v>
      </c>
      <c r="E131" s="1241"/>
      <c r="F131" s="1242"/>
      <c r="G131" s="571"/>
      <c r="H131" s="280" t="e">
        <f>IF(H49=Parametrikber!F139,IF(H50=#REF!,TRUE,FALSE),FALSE)</f>
        <v>#REF!</v>
      </c>
      <c r="I131" s="579" t="s">
        <v>284</v>
      </c>
      <c r="J131" s="579"/>
      <c r="K131" s="280" t="e">
        <f>IF(K49=Parametrikber!I139,IF(K50=#REF!,TRUE,FALSE),FALSE)</f>
        <v>#REF!</v>
      </c>
      <c r="L131" s="78" t="s">
        <v>284</v>
      </c>
      <c r="M131" s="356"/>
      <c r="N131" s="280" t="e">
        <f>IF(N49=Parametrikber!L139,IF(N50=#REF!,TRUE,FALSE),FALSE)</f>
        <v>#REF!</v>
      </c>
      <c r="O131" s="1136" t="s">
        <v>284</v>
      </c>
    </row>
    <row r="132" spans="2:15" ht="15" thickBot="1" x14ac:dyDescent="0.25">
      <c r="D132" s="1243"/>
      <c r="E132" s="1244"/>
      <c r="F132" s="1245"/>
      <c r="G132" s="571"/>
      <c r="H132" s="143"/>
      <c r="I132" s="579" t="s">
        <v>284</v>
      </c>
      <c r="J132" s="583"/>
      <c r="K132" s="143"/>
      <c r="L132" s="78" t="s">
        <v>284</v>
      </c>
      <c r="M132" s="144"/>
      <c r="N132" s="143"/>
      <c r="O132" s="1135" t="s">
        <v>284</v>
      </c>
    </row>
    <row r="133" spans="2:15" ht="15" thickBot="1" x14ac:dyDescent="0.25">
      <c r="B133" s="55" t="s">
        <v>126</v>
      </c>
      <c r="D133" s="72" t="str">
        <f>'Quick Input'!I52</f>
        <v>Zielpreis Bauteil</v>
      </c>
      <c r="E133" s="73"/>
      <c r="F133" s="75"/>
      <c r="G133" s="571"/>
      <c r="H133" s="85">
        <f>AVERAGE('Quick Input'!M$53:M$57)</f>
        <v>55</v>
      </c>
      <c r="I133" s="579" t="s">
        <v>284</v>
      </c>
      <c r="J133" s="583"/>
      <c r="K133" s="85">
        <f>AVERAGE('Quick Input'!P53:P57)</f>
        <v>55</v>
      </c>
      <c r="L133" s="78" t="s">
        <v>284</v>
      </c>
      <c r="M133" s="357"/>
      <c r="N133" s="85">
        <f>AVERAGE('Quick Input'!S53:S57)</f>
        <v>55</v>
      </c>
      <c r="O133" s="1135" t="s">
        <v>284</v>
      </c>
    </row>
    <row r="134" spans="2:15" ht="15" thickBot="1" x14ac:dyDescent="0.25">
      <c r="D134" s="72" t="str">
        <f>IF(Deutsch,"Potenzial pro Bauteil","earning per part")</f>
        <v>Potenzial pro Bauteil</v>
      </c>
      <c r="E134" s="73"/>
      <c r="F134" s="75"/>
      <c r="G134" s="571"/>
      <c r="H134" s="85" t="e">
        <f ca="1">H$133-H$129</f>
        <v>#REF!</v>
      </c>
      <c r="I134" s="579" t="s">
        <v>284</v>
      </c>
      <c r="J134" s="579"/>
      <c r="K134" s="85" t="e">
        <f>K133-K129</f>
        <v>#REF!</v>
      </c>
      <c r="L134" s="78" t="s">
        <v>284</v>
      </c>
      <c r="M134" s="78"/>
      <c r="N134" s="85" t="e">
        <f>N133-N129</f>
        <v>#REF!</v>
      </c>
      <c r="O134" s="1135" t="s">
        <v>284</v>
      </c>
    </row>
    <row r="135" spans="2:15" ht="15" thickBot="1" x14ac:dyDescent="0.25">
      <c r="D135" s="72" t="str">
        <f>IF(Deutsch,"Potenzial über Lebenszyklus","earnig per live time")</f>
        <v>Potenzial über Lebenszyklus</v>
      </c>
      <c r="E135" s="73"/>
      <c r="F135" s="75"/>
      <c r="G135" s="571"/>
      <c r="H135" s="93" t="e">
        <f ca="1">IF(H$134&gt;0,H$134*'Quick Input'!M$45,0)</f>
        <v>#REF!</v>
      </c>
      <c r="I135" s="579" t="s">
        <v>284</v>
      </c>
      <c r="J135" s="579"/>
      <c r="K135" s="93" t="e">
        <f>IF(K134&gt;0,K134*'Quick Input'!P45,0)</f>
        <v>#REF!</v>
      </c>
      <c r="L135" s="78" t="s">
        <v>284</v>
      </c>
      <c r="M135" s="78"/>
      <c r="N135" s="93" t="e">
        <f>IF(N134&gt;0,N134*'Quick Input'!S45,0)</f>
        <v>#REF!</v>
      </c>
      <c r="O135" s="1135" t="s">
        <v>284</v>
      </c>
    </row>
    <row r="136" spans="2:15" ht="15" thickBot="1" x14ac:dyDescent="0.25">
      <c r="D136" s="72" t="str">
        <f>IF(Deutsch,"Anzahl notwendiger Gieß-WKZ","tool sets")</f>
        <v>Anzahl notwendiger Gieß-WKZ</v>
      </c>
      <c r="E136" s="73"/>
      <c r="F136" s="75"/>
      <c r="G136" s="571"/>
      <c r="H136" s="140" t="str">
        <f>CONCATENATE(Parametrikber!F$282," x ",Parametrikber!F$281)</f>
        <v>2 x Alu</v>
      </c>
      <c r="I136" s="579" t="s">
        <v>284</v>
      </c>
      <c r="J136" s="579"/>
      <c r="K136" s="140" t="str">
        <f>CONCATENATE(Parametrikber!I$282," x ",Parametrikber!I$281)</f>
        <v>2 x Alu</v>
      </c>
      <c r="L136" s="78" t="s">
        <v>284</v>
      </c>
      <c r="M136" s="78"/>
      <c r="N136" s="140" t="str">
        <f>CONCATENATE(Parametrikber!L$282," x ",Parametrikber!L$281)</f>
        <v>2 x Alu</v>
      </c>
      <c r="O136" s="1135" t="s">
        <v>284</v>
      </c>
    </row>
    <row r="137" spans="2:15" ht="15" thickBot="1" x14ac:dyDescent="0.25">
      <c r="D137" s="72" t="str">
        <f>IF(Deutsch,"Werkzeuginvest geschätzt","tool invest - calculated")</f>
        <v>Werkzeuginvest geschätzt</v>
      </c>
      <c r="E137" s="73"/>
      <c r="F137" s="75"/>
      <c r="G137" s="571"/>
      <c r="H137" s="93">
        <f>Parametrikber!F$286</f>
        <v>11700</v>
      </c>
      <c r="I137" s="579" t="s">
        <v>284</v>
      </c>
      <c r="J137" s="579"/>
      <c r="K137" s="93">
        <f>Parametrikber!I$286</f>
        <v>9800</v>
      </c>
      <c r="L137" s="579" t="s">
        <v>284</v>
      </c>
      <c r="M137" s="579"/>
      <c r="N137" s="93">
        <f>Parametrikber!L$286</f>
        <v>10100</v>
      </c>
      <c r="O137" s="1135" t="s">
        <v>284</v>
      </c>
    </row>
    <row r="138" spans="2:15" ht="15" thickBot="1" x14ac:dyDescent="0.25">
      <c r="D138" s="72" t="str">
        <f>IF(Deutsch,"Kernkasteninvest geschätzt","tool invest - calculated")</f>
        <v>Kernkasteninvest geschätzt</v>
      </c>
      <c r="E138" s="73"/>
      <c r="F138" s="75"/>
      <c r="G138" s="571"/>
      <c r="H138" s="93">
        <f>Parametrikber!F$291</f>
        <v>2500</v>
      </c>
      <c r="I138" s="579" t="s">
        <v>284</v>
      </c>
      <c r="J138" s="579"/>
      <c r="K138" s="93">
        <f>Parametrikber!I$291</f>
        <v>1100</v>
      </c>
      <c r="L138" s="579" t="s">
        <v>284</v>
      </c>
      <c r="M138" s="579"/>
      <c r="N138" s="93">
        <f>Parametrikber!L$291</f>
        <v>1200</v>
      </c>
      <c r="O138" s="1135" t="s">
        <v>284</v>
      </c>
    </row>
    <row r="139" spans="2:15" ht="15" thickBot="1" x14ac:dyDescent="0.25">
      <c r="D139" s="730" t="str">
        <f>IF(Deutsch,"Modellkosten Angebot","tool invest - supplier")</f>
        <v>Modellkosten Angebot</v>
      </c>
      <c r="E139" s="94"/>
      <c r="F139" s="89"/>
      <c r="G139" s="575"/>
      <c r="H139" s="358">
        <f>'Quick Input'!M58+'Quick Input'!M59</f>
        <v>10500</v>
      </c>
      <c r="I139" s="584" t="s">
        <v>284</v>
      </c>
      <c r="J139" s="585"/>
      <c r="K139" s="358">
        <f>'Quick Input'!P58+'Quick Input'!P59</f>
        <v>6000</v>
      </c>
      <c r="L139" s="584" t="s">
        <v>284</v>
      </c>
      <c r="M139" s="585"/>
      <c r="N139" s="358">
        <f>'Quick Input'!S58+'Quick Input'!S59</f>
        <v>8050</v>
      </c>
      <c r="O139" s="1139" t="s">
        <v>284</v>
      </c>
    </row>
    <row r="140" spans="2:15" ht="9" customHeight="1" thickBot="1" x14ac:dyDescent="0.25">
      <c r="G140" s="271"/>
    </row>
    <row r="141" spans="2:15" ht="11.25" customHeight="1" x14ac:dyDescent="0.2">
      <c r="D141" s="1228" t="str">
        <f>IF(Deutsch,"Empfehlungen / Info"," suggestion, infos")</f>
        <v>Empfehlungen / Info</v>
      </c>
      <c r="E141" s="1229"/>
      <c r="F141" s="1230"/>
      <c r="G141" s="190"/>
    </row>
    <row r="142" spans="2:15" ht="9.75" customHeight="1" thickBot="1" x14ac:dyDescent="0.25">
      <c r="D142" s="1231"/>
      <c r="E142" s="1232"/>
      <c r="F142" s="1233"/>
      <c r="G142" s="190"/>
      <c r="O142" s="87"/>
    </row>
    <row r="143" spans="2:15" ht="26.25" customHeight="1" thickBot="1" x14ac:dyDescent="0.25">
      <c r="B143" s="55" t="s">
        <v>126</v>
      </c>
      <c r="D143" s="548" t="str">
        <f>IF(Deutsch,"Parameter","parameter")</f>
        <v>Parameter</v>
      </c>
      <c r="E143" s="545"/>
      <c r="F143" s="546"/>
      <c r="G143" s="576"/>
      <c r="H143" s="634" t="str">
        <f>VLOOKUP(1,Parametrikber!E$298:$X$314,IF(Deutsch,19,20),FALSE)</f>
        <v>Empfehlung Giesstechnik</v>
      </c>
      <c r="I143" s="266" t="s">
        <v>284</v>
      </c>
      <c r="J143" s="547"/>
      <c r="K143" s="634" t="str">
        <f>VLOOKUP(1,Parametrikber!H$298:$X$314,IF(Deutsch,16,17),FALSE)</f>
        <v>Empfehlung Giesstechnik</v>
      </c>
      <c r="L143" s="266" t="s">
        <v>284</v>
      </c>
      <c r="M143" s="547"/>
      <c r="N143" s="634" t="str">
        <f>VLOOKUP(1,Parametrikber!K$298:$X$314,IF(Deutsch,13,14),FALSE)</f>
        <v>Empfehlung Giesstechnik</v>
      </c>
      <c r="O143" s="1136" t="s">
        <v>284</v>
      </c>
    </row>
    <row r="144" spans="2:15" ht="15" thickBot="1" x14ac:dyDescent="0.25">
      <c r="D144" s="142"/>
      <c r="E144" s="94"/>
      <c r="F144" s="89"/>
      <c r="G144" s="577"/>
      <c r="H144" s="651" t="e">
        <f>VLOOKUP(2,Parametrikber!E$298:$X$315,2,FALSE)</f>
        <v>#N/A</v>
      </c>
      <c r="I144" s="87" t="s">
        <v>284</v>
      </c>
      <c r="J144" s="87"/>
      <c r="K144" s="635" t="e">
        <f>VLOOKUP(2,Parametrikber!H$298:$X$315,2,FALSE)</f>
        <v>#N/A</v>
      </c>
      <c r="L144" s="87" t="s">
        <v>284</v>
      </c>
      <c r="M144" s="87"/>
      <c r="N144" s="635" t="e">
        <f>VLOOKUP(2,Parametrikber!K$298:$X$315,2,FALSE)</f>
        <v>#N/A</v>
      </c>
      <c r="O144" s="1139" t="s">
        <v>284</v>
      </c>
    </row>
    <row r="145" spans="4:15" ht="25.5" customHeight="1" thickBot="1" x14ac:dyDescent="0.25">
      <c r="D145" s="548" t="str">
        <f>IF(Deutsch,"Parameter","parameter")</f>
        <v>Parameter</v>
      </c>
      <c r="E145" s="545"/>
      <c r="F145" s="546"/>
      <c r="G145" s="576"/>
      <c r="H145" s="634" t="str">
        <f ca="1">VLOOKUP(3,Parametrikber!E$298:$X$314,IF(Deutsch,19,20),FALSE)</f>
        <v>Anzahl Modelle &gt;1</v>
      </c>
      <c r="I145" s="266" t="s">
        <v>284</v>
      </c>
      <c r="J145" s="547"/>
      <c r="K145" s="634" t="str">
        <f>VLOOKUP(3,Parametrikber!H$298:$X$314,IF(Deutsch,16,17),FALSE)</f>
        <v>Anzahl Modelle &gt;1</v>
      </c>
      <c r="L145" s="266" t="s">
        <v>284</v>
      </c>
      <c r="M145" s="547"/>
      <c r="N145" s="634" t="str">
        <f>VLOOKUP(3,Parametrikber!K$298:$X$314,IF(Deutsch,13,14),FALSE)</f>
        <v>Anzahl Modelle &gt;1</v>
      </c>
      <c r="O145" s="1136" t="s">
        <v>284</v>
      </c>
    </row>
    <row r="146" spans="4:15" ht="15" thickBot="1" x14ac:dyDescent="0.25">
      <c r="D146" s="142"/>
      <c r="E146" s="94"/>
      <c r="F146" s="89"/>
      <c r="G146" s="577"/>
      <c r="H146" s="650" t="str">
        <f ca="1">VLOOKUP(4,Parametrikber!E$298:$X$315,2,FALSE)</f>
        <v>2 WKZ aus Alu</v>
      </c>
      <c r="I146" s="87" t="s">
        <v>284</v>
      </c>
      <c r="J146" s="87"/>
      <c r="K146" s="650" t="str">
        <f>VLOOKUP(4,Parametrikber!H$298:$X$315,2,FALSE)</f>
        <v>2 WKZ aus Alu</v>
      </c>
      <c r="L146" s="87" t="s">
        <v>284</v>
      </c>
      <c r="M146" s="87"/>
      <c r="N146" s="650" t="str">
        <f>VLOOKUP(4,Parametrikber!K$298:$X$315,2,FALSE)</f>
        <v>2 WKZ aus Alu</v>
      </c>
      <c r="O146" s="1139" t="s">
        <v>284</v>
      </c>
    </row>
    <row r="147" spans="4:15" ht="26.25" customHeight="1" thickBot="1" x14ac:dyDescent="0.25">
      <c r="D147" s="548" t="str">
        <f>IF(Deutsch,"Parameter","parameter")</f>
        <v>Parameter</v>
      </c>
      <c r="E147" s="545"/>
      <c r="F147" s="546"/>
      <c r="G147" s="576"/>
      <c r="H147" s="634" t="str">
        <f ca="1">VLOOKUP(5,Parametrikber!E$298:$X$314,IF(Deutsch,19,20),FALSE)</f>
        <v xml:space="preserve"> </v>
      </c>
      <c r="I147" s="266" t="s">
        <v>284</v>
      </c>
      <c r="J147" s="547"/>
      <c r="K147" s="634" t="str">
        <f>VLOOKUP(5,Parametrikber!H$298:$X$314,IF(Deutsch,16,17),FALSE)</f>
        <v xml:space="preserve"> </v>
      </c>
      <c r="L147" s="266" t="s">
        <v>284</v>
      </c>
      <c r="M147" s="547"/>
      <c r="N147" s="634" t="str">
        <f>VLOOKUP(5,Parametrikber!K$298:$X$314,IF(Deutsch,13,14),FALSE)</f>
        <v xml:space="preserve"> </v>
      </c>
      <c r="O147" s="1136" t="s">
        <v>284</v>
      </c>
    </row>
    <row r="148" spans="4:15" ht="15" thickBot="1" x14ac:dyDescent="0.25">
      <c r="D148" s="142"/>
      <c r="E148" s="94"/>
      <c r="F148" s="89"/>
      <c r="G148" s="577"/>
      <c r="H148" s="635" t="str">
        <f ca="1">VLOOKUP(6,Parametrikber!E$298:$X$315,2,FALSE)</f>
        <v xml:space="preserve"> </v>
      </c>
      <c r="I148" s="87" t="s">
        <v>284</v>
      </c>
      <c r="J148" s="87"/>
      <c r="K148" s="635" t="str">
        <f>VLOOKUP(6,Parametrikber!H$298:$X$315,2,FALSE)</f>
        <v xml:space="preserve"> </v>
      </c>
      <c r="L148" s="87" t="s">
        <v>284</v>
      </c>
      <c r="M148" s="87"/>
      <c r="N148" s="635" t="str">
        <f>VLOOKUP(6,Parametrikber!K$298:$X$315,2,FALSE)</f>
        <v xml:space="preserve"> </v>
      </c>
      <c r="O148" s="1139" t="s">
        <v>284</v>
      </c>
    </row>
    <row r="149" spans="4:15" x14ac:dyDescent="0.2">
      <c r="G149" s="67"/>
    </row>
    <row r="150" spans="4:15" x14ac:dyDescent="0.2">
      <c r="G150" s="67"/>
    </row>
    <row r="151" spans="4:15" x14ac:dyDescent="0.2">
      <c r="G151" s="67"/>
    </row>
    <row r="152" spans="4:15" x14ac:dyDescent="0.2">
      <c r="G152" s="67"/>
    </row>
    <row r="153" spans="4:15" x14ac:dyDescent="0.2">
      <c r="G153" s="67"/>
    </row>
    <row r="154" spans="4:15" x14ac:dyDescent="0.2">
      <c r="G154" s="67"/>
    </row>
    <row r="155" spans="4:15" x14ac:dyDescent="0.2">
      <c r="G155" s="67"/>
    </row>
    <row r="156" spans="4:15" x14ac:dyDescent="0.2">
      <c r="G156" s="67"/>
    </row>
    <row r="157" spans="4:15" x14ac:dyDescent="0.2">
      <c r="G157" s="67"/>
    </row>
    <row r="158" spans="4:15" x14ac:dyDescent="0.2">
      <c r="G158" s="67"/>
    </row>
    <row r="159" spans="4:15" x14ac:dyDescent="0.2">
      <c r="G159" s="67"/>
    </row>
    <row r="160" spans="4:15" x14ac:dyDescent="0.2">
      <c r="G160" s="67"/>
    </row>
    <row r="161" spans="7:7" x14ac:dyDescent="0.2">
      <c r="G161" s="67"/>
    </row>
    <row r="162" spans="7:7" x14ac:dyDescent="0.2">
      <c r="G162" s="67"/>
    </row>
    <row r="163" spans="7:7" x14ac:dyDescent="0.2">
      <c r="G163" s="67"/>
    </row>
    <row r="164" spans="7:7" x14ac:dyDescent="0.2">
      <c r="G164" s="67"/>
    </row>
    <row r="165" spans="7:7" x14ac:dyDescent="0.2">
      <c r="G165" s="67"/>
    </row>
    <row r="166" spans="7:7" x14ac:dyDescent="0.2">
      <c r="G166" s="67"/>
    </row>
    <row r="167" spans="7:7" x14ac:dyDescent="0.2">
      <c r="G167" s="67"/>
    </row>
    <row r="168" spans="7:7" x14ac:dyDescent="0.2">
      <c r="G168" s="67"/>
    </row>
    <row r="169" spans="7:7" x14ac:dyDescent="0.2">
      <c r="G169" s="67"/>
    </row>
    <row r="170" spans="7:7" x14ac:dyDescent="0.2">
      <c r="G170" s="67"/>
    </row>
    <row r="171" spans="7:7" x14ac:dyDescent="0.2">
      <c r="G171" s="67"/>
    </row>
    <row r="172" spans="7:7" x14ac:dyDescent="0.2">
      <c r="G172" s="67"/>
    </row>
    <row r="173" spans="7:7" x14ac:dyDescent="0.2">
      <c r="G173" s="67"/>
    </row>
    <row r="174" spans="7:7" x14ac:dyDescent="0.2">
      <c r="G174" s="67"/>
    </row>
    <row r="175" spans="7:7" x14ac:dyDescent="0.2">
      <c r="G175" s="67"/>
    </row>
    <row r="176" spans="7:7" x14ac:dyDescent="0.2">
      <c r="G176" s="67"/>
    </row>
    <row r="177" spans="7:7" x14ac:dyDescent="0.2">
      <c r="G177" s="67"/>
    </row>
    <row r="178" spans="7:7" x14ac:dyDescent="0.2">
      <c r="G178" s="67"/>
    </row>
    <row r="179" spans="7:7" x14ac:dyDescent="0.2">
      <c r="G179" s="67"/>
    </row>
    <row r="180" spans="7:7" x14ac:dyDescent="0.2">
      <c r="G180" s="67"/>
    </row>
    <row r="181" spans="7:7" x14ac:dyDescent="0.2">
      <c r="G181" s="67"/>
    </row>
    <row r="182" spans="7:7" x14ac:dyDescent="0.2">
      <c r="G182" s="67"/>
    </row>
    <row r="183" spans="7:7" x14ac:dyDescent="0.2">
      <c r="G183" s="67"/>
    </row>
    <row r="184" spans="7:7" x14ac:dyDescent="0.2">
      <c r="G184" s="67"/>
    </row>
    <row r="185" spans="7:7" x14ac:dyDescent="0.2">
      <c r="G185" s="67"/>
    </row>
    <row r="186" spans="7:7" x14ac:dyDescent="0.2">
      <c r="G186" s="67"/>
    </row>
    <row r="187" spans="7:7" x14ac:dyDescent="0.2">
      <c r="G187" s="67"/>
    </row>
    <row r="188" spans="7:7" x14ac:dyDescent="0.2">
      <c r="G188" s="67"/>
    </row>
    <row r="189" spans="7:7" x14ac:dyDescent="0.2">
      <c r="G189" s="67"/>
    </row>
    <row r="190" spans="7:7" x14ac:dyDescent="0.2">
      <c r="G190" s="67"/>
    </row>
    <row r="191" spans="7:7" x14ac:dyDescent="0.2">
      <c r="G191" s="67"/>
    </row>
    <row r="192" spans="7:7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  <row r="241" spans="7:7" x14ac:dyDescent="0.2">
      <c r="G241" s="67"/>
    </row>
    <row r="242" spans="7:7" x14ac:dyDescent="0.2">
      <c r="G242" s="67"/>
    </row>
    <row r="243" spans="7:7" x14ac:dyDescent="0.2">
      <c r="G243" s="67"/>
    </row>
    <row r="244" spans="7:7" x14ac:dyDescent="0.2">
      <c r="G244" s="67"/>
    </row>
    <row r="245" spans="7:7" x14ac:dyDescent="0.2">
      <c r="G245" s="67"/>
    </row>
    <row r="246" spans="7:7" x14ac:dyDescent="0.2">
      <c r="G246" s="67"/>
    </row>
    <row r="247" spans="7:7" x14ac:dyDescent="0.2">
      <c r="G247" s="67"/>
    </row>
    <row r="248" spans="7:7" x14ac:dyDescent="0.2">
      <c r="G248" s="67"/>
    </row>
    <row r="249" spans="7:7" x14ac:dyDescent="0.2">
      <c r="G249" s="67"/>
    </row>
    <row r="250" spans="7:7" x14ac:dyDescent="0.2">
      <c r="G250" s="67"/>
    </row>
    <row r="251" spans="7:7" x14ac:dyDescent="0.2">
      <c r="G251" s="67"/>
    </row>
    <row r="252" spans="7:7" x14ac:dyDescent="0.2">
      <c r="G252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41:F142"/>
    <mergeCell ref="D5:F6"/>
    <mergeCell ref="D131:F132"/>
    <mergeCell ref="D27:F28"/>
    <mergeCell ref="D119:F120"/>
    <mergeCell ref="D9:F11"/>
    <mergeCell ref="D7:F7"/>
    <mergeCell ref="D8:F8"/>
    <mergeCell ref="D47:F47"/>
    <mergeCell ref="D112:F113"/>
    <mergeCell ref="D71:F71"/>
    <mergeCell ref="D92:F92"/>
  </mergeCells>
  <phoneticPr fontId="4" type="noConversion"/>
  <conditionalFormatting sqref="N130 K130 H15 H63 H130 K15 N15 H122 K122 N122 H46 K18 N18">
    <cfRule type="expression" dxfId="129" priority="500" stopIfTrue="1">
      <formula>VALUE(H16="Materialdatenbank")</formula>
    </cfRule>
  </conditionalFormatting>
  <conditionalFormatting sqref="H128 K128 N128 K52 N52 H52">
    <cfRule type="expression" dxfId="128" priority="501" stopIfTrue="1">
      <formula>VALUE(H54="Materialdatenbank")</formula>
    </cfRule>
  </conditionalFormatting>
  <conditionalFormatting sqref="N58 K58">
    <cfRule type="expression" dxfId="127" priority="503" stopIfTrue="1">
      <formula>VALUE(K126="Materialdatenbank")</formula>
    </cfRule>
  </conditionalFormatting>
  <conditionalFormatting sqref="H33">
    <cfRule type="expression" dxfId="126" priority="505" stopIfTrue="1">
      <formula>VALUE(H32="Materialdatenbank")</formula>
    </cfRule>
  </conditionalFormatting>
  <conditionalFormatting sqref="H54 K54 N54">
    <cfRule type="expression" dxfId="125" priority="506" stopIfTrue="1">
      <formula>VALUE(#REF!="Materialdatenbank")</formula>
    </cfRule>
  </conditionalFormatting>
  <conditionalFormatting sqref="H58">
    <cfRule type="expression" dxfId="124" priority="507" stopIfTrue="1">
      <formula>VALUE(H126="Materialdatenbank")</formula>
    </cfRule>
  </conditionalFormatting>
  <conditionalFormatting sqref="K74 N74 H74">
    <cfRule type="expression" dxfId="123" priority="508" stopIfTrue="1">
      <formula>VALUE(H64="Materialdatenbank")</formula>
    </cfRule>
  </conditionalFormatting>
  <conditionalFormatting sqref="H129 H96 H32 N96 K129 N129 H89 H114 K89 K114 N88:N89 N114 K96 H99:H100 K99:K100 N99:N100">
    <cfRule type="expression" dxfId="122" priority="509" stopIfTrue="1">
      <formula>VALUE(#REF!="Materialdatenbank")</formula>
    </cfRule>
  </conditionalFormatting>
  <conditionalFormatting sqref="H132:H135 K132:K135 N132:N135 H137 H55 H24 H66 K14 N14 K66 N66 H9:H12 K9:K12 N9:N12 K24 N24 K55 N55 K139 H139 K137 N137 N139 H14">
    <cfRule type="expression" dxfId="121" priority="510" stopIfTrue="1">
      <formula>VALUE(#REF!="Materialdatenbank")</formula>
    </cfRule>
  </conditionalFormatting>
  <conditionalFormatting sqref="H120 K120 N120">
    <cfRule type="expression" dxfId="120" priority="512" stopIfTrue="1">
      <formula>VALUE(#REF!="Materialdatenbank")</formula>
    </cfRule>
  </conditionalFormatting>
  <conditionalFormatting sqref="H41">
    <cfRule type="expression" dxfId="119" priority="513" stopIfTrue="1">
      <formula>VALUE(#REF!="Materialdatenbank")</formula>
    </cfRule>
  </conditionalFormatting>
  <conditionalFormatting sqref="H36">
    <cfRule type="expression" dxfId="118" priority="514" stopIfTrue="1">
      <formula>VALUE(#REF!="Materialdatenbank")</formula>
    </cfRule>
  </conditionalFormatting>
  <conditionalFormatting sqref="K2:K4 N2:N4 W4 H2:H4">
    <cfRule type="cellIs" dxfId="117" priority="515" operator="equal">
      <formula>FALSE</formula>
    </cfRule>
  </conditionalFormatting>
  <conditionalFormatting sqref="H17">
    <cfRule type="expression" dxfId="116" priority="516" stopIfTrue="1">
      <formula>VALUE(H23="Materialdatenbank")</formula>
    </cfRule>
  </conditionalFormatting>
  <conditionalFormatting sqref="H19:H20">
    <cfRule type="expression" dxfId="115" priority="495" stopIfTrue="1">
      <formula>VALUE(H24="Materialdatenbank")</formula>
    </cfRule>
  </conditionalFormatting>
  <conditionalFormatting sqref="K17">
    <cfRule type="expression" dxfId="114" priority="468" stopIfTrue="1">
      <formula>VALUE(K23="Materialdatenbank")</formula>
    </cfRule>
  </conditionalFormatting>
  <conditionalFormatting sqref="H110 H108 K110 K108 N110 N108">
    <cfRule type="expression" dxfId="113" priority="479" stopIfTrue="1">
      <formula>VALUE(#REF!="Materialdatenbank")</formula>
    </cfRule>
  </conditionalFormatting>
  <conditionalFormatting sqref="H35">
    <cfRule type="expression" dxfId="112" priority="517" stopIfTrue="1">
      <formula>VALUE(#REF!="Materialdatenbank")</formula>
    </cfRule>
  </conditionalFormatting>
  <conditionalFormatting sqref="H39">
    <cfRule type="expression" dxfId="111" priority="523" stopIfTrue="1">
      <formula>VALUE(H33="Materialdatenbank")</formula>
    </cfRule>
  </conditionalFormatting>
  <conditionalFormatting sqref="N17">
    <cfRule type="expression" dxfId="110" priority="467" stopIfTrue="1">
      <formula>VALUE(N23="Materialdatenbank")</formula>
    </cfRule>
  </conditionalFormatting>
  <conditionalFormatting sqref="H38 K38">
    <cfRule type="expression" dxfId="109" priority="452" stopIfTrue="1">
      <formula>VALUE(H46="Materialdatenbank")</formula>
    </cfRule>
  </conditionalFormatting>
  <conditionalFormatting sqref="K39">
    <cfRule type="expression" dxfId="108" priority="458" stopIfTrue="1">
      <formula>VALUE(K33="Materialdatenbank")</formula>
    </cfRule>
  </conditionalFormatting>
  <conditionalFormatting sqref="N39">
    <cfRule type="expression" dxfId="107" priority="450" stopIfTrue="1">
      <formula>VALUE(N33="Materialdatenbank")</formula>
    </cfRule>
  </conditionalFormatting>
  <conditionalFormatting sqref="K41">
    <cfRule type="expression" dxfId="106" priority="408" stopIfTrue="1">
      <formula>VALUE(#REF!="Materialdatenbank")</formula>
    </cfRule>
  </conditionalFormatting>
  <conditionalFormatting sqref="N41">
    <cfRule type="expression" dxfId="105" priority="407" stopIfTrue="1">
      <formula>VALUE(#REF!="Materialdatenbank")</formula>
    </cfRule>
  </conditionalFormatting>
  <conditionalFormatting sqref="K63">
    <cfRule type="expression" dxfId="104" priority="400" stopIfTrue="1">
      <formula>VALUE(K64="Materialdatenbank")</formula>
    </cfRule>
  </conditionalFormatting>
  <conditionalFormatting sqref="N63">
    <cfRule type="expression" dxfId="103" priority="398" stopIfTrue="1">
      <formula>VALUE(N64="Materialdatenbank")</formula>
    </cfRule>
  </conditionalFormatting>
  <conditionalFormatting sqref="K144">
    <cfRule type="expression" dxfId="102" priority="282" stopIfTrue="1">
      <formula>K144=" "</formula>
    </cfRule>
  </conditionalFormatting>
  <conditionalFormatting sqref="K143">
    <cfRule type="expression" dxfId="101" priority="281" stopIfTrue="1">
      <formula>K143=" "</formula>
    </cfRule>
  </conditionalFormatting>
  <conditionalFormatting sqref="N143">
    <cfRule type="expression" dxfId="100" priority="268" stopIfTrue="1">
      <formula>N143=" "</formula>
    </cfRule>
  </conditionalFormatting>
  <conditionalFormatting sqref="K148">
    <cfRule type="expression" dxfId="99" priority="277" stopIfTrue="1">
      <formula>K148=" "</formula>
    </cfRule>
  </conditionalFormatting>
  <conditionalFormatting sqref="N146">
    <cfRule type="expression" dxfId="98" priority="267" stopIfTrue="1">
      <formula>N146=" "</formula>
    </cfRule>
  </conditionalFormatting>
  <conditionalFormatting sqref="H144">
    <cfRule type="expression" dxfId="97" priority="275" stopIfTrue="1">
      <formula>H144=" "</formula>
    </cfRule>
  </conditionalFormatting>
  <conditionalFormatting sqref="H143">
    <cfRule type="expression" dxfId="96" priority="274" stopIfTrue="1">
      <formula>H143=" "</formula>
    </cfRule>
  </conditionalFormatting>
  <conditionalFormatting sqref="H148">
    <cfRule type="expression" dxfId="95" priority="271" stopIfTrue="1">
      <formula>H148=" "</formula>
    </cfRule>
  </conditionalFormatting>
  <conditionalFormatting sqref="N144">
    <cfRule type="expression" dxfId="94" priority="269" stopIfTrue="1">
      <formula>N144=" "</formula>
    </cfRule>
  </conditionalFormatting>
  <conditionalFormatting sqref="N148">
    <cfRule type="expression" dxfId="93" priority="265" stopIfTrue="1">
      <formula>N148=" "</formula>
    </cfRule>
  </conditionalFormatting>
  <conditionalFormatting sqref="H21">
    <cfRule type="expression" dxfId="92" priority="245" stopIfTrue="1">
      <formula>VALUE(H129="Materialdatenbank")</formula>
    </cfRule>
  </conditionalFormatting>
  <conditionalFormatting sqref="K21">
    <cfRule type="expression" dxfId="91" priority="234" stopIfTrue="1">
      <formula>VALUE(K129="Materialdatenbank")</formula>
    </cfRule>
  </conditionalFormatting>
  <conditionalFormatting sqref="N21">
    <cfRule type="expression" dxfId="90" priority="233" stopIfTrue="1">
      <formula>VALUE(N129="Materialdatenbank")</formula>
    </cfRule>
  </conditionalFormatting>
  <conditionalFormatting sqref="H145">
    <cfRule type="expression" dxfId="89" priority="228" stopIfTrue="1">
      <formula>H145=" "</formula>
    </cfRule>
  </conditionalFormatting>
  <conditionalFormatting sqref="H147">
    <cfRule type="expression" dxfId="88" priority="227" stopIfTrue="1">
      <formula>H147=" "</formula>
    </cfRule>
  </conditionalFormatting>
  <conditionalFormatting sqref="K145">
    <cfRule type="expression" dxfId="87" priority="226" stopIfTrue="1">
      <formula>K145=" "</formula>
    </cfRule>
  </conditionalFormatting>
  <conditionalFormatting sqref="K147">
    <cfRule type="expression" dxfId="86" priority="225" stopIfTrue="1">
      <formula>K147=" "</formula>
    </cfRule>
  </conditionalFormatting>
  <conditionalFormatting sqref="N145">
    <cfRule type="expression" dxfId="85" priority="224" stopIfTrue="1">
      <formula>N145=" "</formula>
    </cfRule>
  </conditionalFormatting>
  <conditionalFormatting sqref="N147">
    <cfRule type="expression" dxfId="84" priority="223" stopIfTrue="1">
      <formula>N147=" "</formula>
    </cfRule>
  </conditionalFormatting>
  <conditionalFormatting sqref="H109 K109 N109">
    <cfRule type="expression" dxfId="83" priority="216" stopIfTrue="1">
      <formula>VALUE(#REF!="Materialdatenbank")</formula>
    </cfRule>
  </conditionalFormatting>
  <conditionalFormatting sqref="H146">
    <cfRule type="expression" dxfId="82" priority="208" stopIfTrue="1">
      <formula>H146=" "</formula>
    </cfRule>
  </conditionalFormatting>
  <conditionalFormatting sqref="K146">
    <cfRule type="expression" dxfId="81" priority="206" stopIfTrue="1">
      <formula>K146=" "</formula>
    </cfRule>
  </conditionalFormatting>
  <conditionalFormatting sqref="H103 K103">
    <cfRule type="expression" dxfId="80" priority="200" stopIfTrue="1">
      <formula>VALUE(#REF!="Materialdatenbank")</formula>
    </cfRule>
  </conditionalFormatting>
  <conditionalFormatting sqref="H106 K106 N106">
    <cfRule type="expression" dxfId="79" priority="199" stopIfTrue="1">
      <formula>VALUE(#REF!="Materialdatenbank")</formula>
    </cfRule>
  </conditionalFormatting>
  <conditionalFormatting sqref="K32">
    <cfRule type="expression" dxfId="78" priority="194" stopIfTrue="1">
      <formula>VALUE(#REF!="Materialdatenbank")</formula>
    </cfRule>
  </conditionalFormatting>
  <conditionalFormatting sqref="N32">
    <cfRule type="expression" dxfId="77" priority="192" stopIfTrue="1">
      <formula>VALUE(#REF!="Materialdatenbank")</formula>
    </cfRule>
  </conditionalFormatting>
  <conditionalFormatting sqref="K36 N36">
    <cfRule type="expression" dxfId="76" priority="184" stopIfTrue="1">
      <formula>VALUE(#REF!="Materialdatenbank")</formula>
    </cfRule>
  </conditionalFormatting>
  <conditionalFormatting sqref="K33">
    <cfRule type="expression" dxfId="75" priority="181" stopIfTrue="1">
      <formula>VALUE(K32="Materialdatenbank")</formula>
    </cfRule>
  </conditionalFormatting>
  <conditionalFormatting sqref="N33">
    <cfRule type="expression" dxfId="74" priority="180" stopIfTrue="1">
      <formula>VALUE(N32="Materialdatenbank")</formula>
    </cfRule>
  </conditionalFormatting>
  <conditionalFormatting sqref="H44">
    <cfRule type="expression" dxfId="73" priority="175" stopIfTrue="1">
      <formula>VALUE(#REF!="Materialdatenbank")</formula>
    </cfRule>
  </conditionalFormatting>
  <conditionalFormatting sqref="H42">
    <cfRule type="expression" dxfId="72" priority="176" stopIfTrue="1">
      <formula>VALUE(H36="Materialdatenbank")</formula>
    </cfRule>
  </conditionalFormatting>
  <conditionalFormatting sqref="K42">
    <cfRule type="expression" dxfId="71" priority="154" stopIfTrue="1">
      <formula>VALUE(K36="Materialdatenbank")</formula>
    </cfRule>
  </conditionalFormatting>
  <conditionalFormatting sqref="N42">
    <cfRule type="expression" dxfId="70" priority="153" stopIfTrue="1">
      <formula>VALUE(N36="Materialdatenbank")</formula>
    </cfRule>
  </conditionalFormatting>
  <conditionalFormatting sqref="K19">
    <cfRule type="expression" dxfId="69" priority="139" stopIfTrue="1">
      <formula>VALUE(K24="Materialdatenbank")</formula>
    </cfRule>
  </conditionalFormatting>
  <conditionalFormatting sqref="N19">
    <cfRule type="expression" dxfId="68" priority="138" stopIfTrue="1">
      <formula>VALUE(N24="Materialdatenbank")</formula>
    </cfRule>
  </conditionalFormatting>
  <conditionalFormatting sqref="K113 H113 N113">
    <cfRule type="expression" dxfId="67" priority="126" stopIfTrue="1">
      <formula>VALUE(H116="Materialdatenbank")</formula>
    </cfRule>
  </conditionalFormatting>
  <conditionalFormatting sqref="H25 K25 N25">
    <cfRule type="expression" dxfId="66" priority="525" stopIfTrue="1">
      <formula>VALUE(#REF!="Materialdatenbank")</formula>
    </cfRule>
  </conditionalFormatting>
  <conditionalFormatting sqref="H18">
    <cfRule type="expression" dxfId="65" priority="123" stopIfTrue="1">
      <formula>VALUE(H19="Materialdatenbank")</formula>
    </cfRule>
  </conditionalFormatting>
  <conditionalFormatting sqref="H22">
    <cfRule type="expression" dxfId="64" priority="122" stopIfTrue="1">
      <formula>VALUE(H26="Materialdatenbank")</formula>
    </cfRule>
  </conditionalFormatting>
  <conditionalFormatting sqref="K22 N22">
    <cfRule type="expression" dxfId="63" priority="106" stopIfTrue="1">
      <formula>VALUE(K26="Materialdatenbank")</formula>
    </cfRule>
  </conditionalFormatting>
  <conditionalFormatting sqref="K44">
    <cfRule type="expression" dxfId="62" priority="105" stopIfTrue="1">
      <formula>VALUE(#REF!="Materialdatenbank")</formula>
    </cfRule>
  </conditionalFormatting>
  <conditionalFormatting sqref="N44">
    <cfRule type="expression" dxfId="61" priority="104" stopIfTrue="1">
      <formula>VALUE(#REF!="Materialdatenbank")</formula>
    </cfRule>
  </conditionalFormatting>
  <conditionalFormatting sqref="K35 N35">
    <cfRule type="expression" dxfId="60" priority="101" stopIfTrue="1">
      <formula>VALUE(#REF!="Materialdatenbank")</formula>
    </cfRule>
  </conditionalFormatting>
  <conditionalFormatting sqref="N38">
    <cfRule type="expression" dxfId="59" priority="100" stopIfTrue="1">
      <formula>VALUE(N46="Materialdatenbank")</formula>
    </cfRule>
  </conditionalFormatting>
  <conditionalFormatting sqref="K91 N91 H91">
    <cfRule type="expression" dxfId="58" priority="532" stopIfTrue="1">
      <formula>VALUE(H63="Materialdatenbank")</formula>
    </cfRule>
  </conditionalFormatting>
  <conditionalFormatting sqref="H62 K62 N62">
    <cfRule type="expression" dxfId="57" priority="544" stopIfTrue="1">
      <formula>VALUE(#REF!="Materialdatenbank")</formula>
    </cfRule>
  </conditionalFormatting>
  <conditionalFormatting sqref="H87 K87 N87">
    <cfRule type="expression" dxfId="56" priority="546" stopIfTrue="1">
      <formula>VALUE(H61="Materialdatenbank")</formula>
    </cfRule>
  </conditionalFormatting>
  <conditionalFormatting sqref="K64 N64 H64 N67">
    <cfRule type="expression" dxfId="55" priority="94" stopIfTrue="1">
      <formula>VALUE(H130="Materialdatenbank")</formula>
    </cfRule>
  </conditionalFormatting>
  <conditionalFormatting sqref="H123 K123 N123">
    <cfRule type="expression" dxfId="54" priority="548" stopIfTrue="1">
      <formula>VALUE(#REF!="Materialdatenbank")</formula>
    </cfRule>
  </conditionalFormatting>
  <conditionalFormatting sqref="N124">
    <cfRule type="expression" dxfId="53" priority="571" stopIfTrue="1">
      <formula>VALUE(N111="Materialdatenbank")</formula>
    </cfRule>
  </conditionalFormatting>
  <conditionalFormatting sqref="K116 N116 H116">
    <cfRule type="expression" dxfId="52" priority="572" stopIfTrue="1">
      <formula>VALUE(H68="Materialdatenbank")</formula>
    </cfRule>
  </conditionalFormatting>
  <conditionalFormatting sqref="K46">
    <cfRule type="expression" dxfId="51" priority="86" stopIfTrue="1">
      <formula>VALUE(K47="Materialdatenbank")</formula>
    </cfRule>
  </conditionalFormatting>
  <conditionalFormatting sqref="N46">
    <cfRule type="expression" dxfId="50" priority="85" stopIfTrue="1">
      <formula>VALUE(N47="Materialdatenbank")</formula>
    </cfRule>
  </conditionalFormatting>
  <conditionalFormatting sqref="H70">
    <cfRule type="expression" dxfId="49" priority="77" stopIfTrue="1">
      <formula>VALUE(H66="Materialdatenbank")</formula>
    </cfRule>
  </conditionalFormatting>
  <conditionalFormatting sqref="H124">
    <cfRule type="expression" dxfId="48" priority="74" stopIfTrue="1">
      <formula>VALUE(H111="Materialdatenbank")</formula>
    </cfRule>
  </conditionalFormatting>
  <conditionalFormatting sqref="H127">
    <cfRule type="expression" dxfId="47" priority="73" stopIfTrue="1">
      <formula>VALUE(H114="Materialdatenbank")</formula>
    </cfRule>
  </conditionalFormatting>
  <conditionalFormatting sqref="K124">
    <cfRule type="expression" dxfId="46" priority="71" stopIfTrue="1">
      <formula>VALUE(K111="Materialdatenbank")</formula>
    </cfRule>
  </conditionalFormatting>
  <conditionalFormatting sqref="N69 K69 H69">
    <cfRule type="expression" dxfId="45" priority="577" stopIfTrue="1">
      <formula>VALUE(#REF!="Materialdatenbank")</formula>
    </cfRule>
  </conditionalFormatting>
  <conditionalFormatting sqref="H117">
    <cfRule type="expression" dxfId="44" priority="69" stopIfTrue="1">
      <formula>VALUE(H120="Materialdatenbank")</formula>
    </cfRule>
  </conditionalFormatting>
  <conditionalFormatting sqref="K117 N117">
    <cfRule type="expression" dxfId="43" priority="68" stopIfTrue="1">
      <formula>VALUE(K120="Materialdatenbank")</formula>
    </cfRule>
  </conditionalFormatting>
  <conditionalFormatting sqref="H86 K86 N86">
    <cfRule type="expression" dxfId="42" priority="601" stopIfTrue="1">
      <formula>VALUE(H62="Materialdatenbank")</formula>
    </cfRule>
  </conditionalFormatting>
  <conditionalFormatting sqref="H111 K111 N111">
    <cfRule type="expression" dxfId="41" priority="606" stopIfTrue="1">
      <formula>VALUE(H74="Materialdatenbank")</formula>
    </cfRule>
  </conditionalFormatting>
  <conditionalFormatting sqref="H75 N75">
    <cfRule type="expression" dxfId="40" priority="67" stopIfTrue="1">
      <formula>VALUE(H58="Materialdatenbank")</formula>
    </cfRule>
  </conditionalFormatting>
  <conditionalFormatting sqref="K75">
    <cfRule type="expression" dxfId="39" priority="66" stopIfTrue="1">
      <formula>VALUE(K58="Materialdatenbank")</formula>
    </cfRule>
  </conditionalFormatting>
  <conditionalFormatting sqref="H85 N85">
    <cfRule type="expression" dxfId="38" priority="63" stopIfTrue="1">
      <formula>VALUE(H62="Materialdatenbank")</formula>
    </cfRule>
  </conditionalFormatting>
  <conditionalFormatting sqref="K85">
    <cfRule type="expression" dxfId="37" priority="55" stopIfTrue="1">
      <formula>VALUE(K62="Materialdatenbank")</formula>
    </cfRule>
  </conditionalFormatting>
  <conditionalFormatting sqref="H67">
    <cfRule type="expression" dxfId="36" priority="53" stopIfTrue="1">
      <formula>VALUE(H133="Materialdatenbank")</formula>
    </cfRule>
  </conditionalFormatting>
  <conditionalFormatting sqref="K67">
    <cfRule type="expression" dxfId="35" priority="52" stopIfTrue="1">
      <formula>VALUE(K133="Materialdatenbank")</formula>
    </cfRule>
  </conditionalFormatting>
  <conditionalFormatting sqref="K70 N70">
    <cfRule type="expression" dxfId="34" priority="51" stopIfTrue="1">
      <formula>VALUE(K66="Materialdatenbank")</formula>
    </cfRule>
  </conditionalFormatting>
  <conditionalFormatting sqref="K127 N127">
    <cfRule type="expression" dxfId="33" priority="50" stopIfTrue="1">
      <formula>VALUE(K114="Materialdatenbank")</formula>
    </cfRule>
  </conditionalFormatting>
  <conditionalFormatting sqref="H138 K138 N138">
    <cfRule type="expression" dxfId="32" priority="49" stopIfTrue="1">
      <formula>VALUE(#REF!="Materialdatenbank")</formula>
    </cfRule>
  </conditionalFormatting>
  <conditionalFormatting sqref="H78">
    <cfRule type="expression" dxfId="31" priority="48" stopIfTrue="1">
      <formula>VALUE(H60="Materialdatenbank")</formula>
    </cfRule>
  </conditionalFormatting>
  <conditionalFormatting sqref="K78">
    <cfRule type="expression" dxfId="30" priority="47" stopIfTrue="1">
      <formula>VALUE(K60="Materialdatenbank")</formula>
    </cfRule>
  </conditionalFormatting>
  <conditionalFormatting sqref="N78">
    <cfRule type="expression" dxfId="29" priority="46" stopIfTrue="1">
      <formula>VALUE(N60="Materialdatenbank")</formula>
    </cfRule>
  </conditionalFormatting>
  <conditionalFormatting sqref="H81">
    <cfRule type="expression" dxfId="28" priority="45" stopIfTrue="1">
      <formula>VALUE(H62="Materialdatenbank")</formula>
    </cfRule>
  </conditionalFormatting>
  <conditionalFormatting sqref="K81">
    <cfRule type="expression" dxfId="27" priority="44" stopIfTrue="1">
      <formula>VALUE(K62="Materialdatenbank")</formula>
    </cfRule>
  </conditionalFormatting>
  <conditionalFormatting sqref="N81">
    <cfRule type="expression" dxfId="26" priority="43" stopIfTrue="1">
      <formula>VALUE(N62="Materialdatenbank")</formula>
    </cfRule>
  </conditionalFormatting>
  <conditionalFormatting sqref="H95">
    <cfRule type="expression" dxfId="25" priority="42" stopIfTrue="1">
      <formula>VALUE(#REF!="Materialdatenbank")</formula>
    </cfRule>
  </conditionalFormatting>
  <conditionalFormatting sqref="K95">
    <cfRule type="expression" dxfId="24" priority="41" stopIfTrue="1">
      <formula>VALUE(#REF!="Materialdatenbank")</formula>
    </cfRule>
  </conditionalFormatting>
  <conditionalFormatting sqref="H88">
    <cfRule type="expression" dxfId="23" priority="39" stopIfTrue="1">
      <formula>VALUE(H62="Materialdatenbank")</formula>
    </cfRule>
  </conditionalFormatting>
  <conditionalFormatting sqref="K88">
    <cfRule type="expression" dxfId="22" priority="38" stopIfTrue="1">
      <formula>VALUE(K62="Materialdatenbank")</formula>
    </cfRule>
  </conditionalFormatting>
  <conditionalFormatting sqref="H98 K98 N98">
    <cfRule type="expression" dxfId="21" priority="37" stopIfTrue="1">
      <formula>VALUE(#REF!="Materialdatenbank")</formula>
    </cfRule>
  </conditionalFormatting>
  <conditionalFormatting sqref="N103">
    <cfRule type="expression" dxfId="20" priority="36" stopIfTrue="1">
      <formula>VALUE(#REF!="Materialdatenbank")</formula>
    </cfRule>
  </conditionalFormatting>
  <conditionalFormatting sqref="H102">
    <cfRule type="expression" dxfId="19" priority="35" stopIfTrue="1">
      <formula>VALUE(#REF!="Materialdatenbank")</formula>
    </cfRule>
  </conditionalFormatting>
  <conditionalFormatting sqref="H105">
    <cfRule type="expression" dxfId="18" priority="30" stopIfTrue="1">
      <formula>VALUE(#REF!="Materialdatenbank")</formula>
    </cfRule>
  </conditionalFormatting>
  <conditionalFormatting sqref="H77">
    <cfRule type="expression" dxfId="17" priority="25" stopIfTrue="1">
      <formula>VALUE(H59="Materialdatenbank")</formula>
    </cfRule>
  </conditionalFormatting>
  <conditionalFormatting sqref="H80">
    <cfRule type="expression" dxfId="16" priority="22" stopIfTrue="1">
      <formula>VALUE(H61="Materialdatenbank")</formula>
    </cfRule>
  </conditionalFormatting>
  <conditionalFormatting sqref="H94 K94 N94">
    <cfRule type="expression" dxfId="15" priority="16" stopIfTrue="1">
      <formula>VALUE(#REF!="Materialdatenbank")</formula>
    </cfRule>
  </conditionalFormatting>
  <conditionalFormatting sqref="K77">
    <cfRule type="expression" dxfId="14" priority="15" stopIfTrue="1">
      <formula>VALUE(K59="Materialdatenbank")</formula>
    </cfRule>
  </conditionalFormatting>
  <conditionalFormatting sqref="N77">
    <cfRule type="expression" dxfId="13" priority="13" stopIfTrue="1">
      <formula>VALUE(N59="Materialdatenbank")</formula>
    </cfRule>
  </conditionalFormatting>
  <conditionalFormatting sqref="K80">
    <cfRule type="expression" dxfId="12" priority="10" stopIfTrue="1">
      <formula>VALUE(K61="Materialdatenbank")</formula>
    </cfRule>
  </conditionalFormatting>
  <conditionalFormatting sqref="N80">
    <cfRule type="expression" dxfId="11" priority="9" stopIfTrue="1">
      <formula>VALUE(N61="Materialdatenbank")</formula>
    </cfRule>
  </conditionalFormatting>
  <conditionalFormatting sqref="N95">
    <cfRule type="expression" dxfId="10" priority="8" stopIfTrue="1">
      <formula>VALUE(#REF!="Materialdatenbank")</formula>
    </cfRule>
  </conditionalFormatting>
  <conditionalFormatting sqref="K102">
    <cfRule type="expression" dxfId="9" priority="7" stopIfTrue="1">
      <formula>VALUE(#REF!="Materialdatenbank")</formula>
    </cfRule>
  </conditionalFormatting>
  <conditionalFormatting sqref="N102">
    <cfRule type="expression" dxfId="8" priority="6" stopIfTrue="1">
      <formula>VALUE(#REF!="Materialdatenbank")</formula>
    </cfRule>
  </conditionalFormatting>
  <conditionalFormatting sqref="K105">
    <cfRule type="expression" dxfId="7" priority="5" stopIfTrue="1">
      <formula>VALUE(#REF!="Materialdatenbank")</formula>
    </cfRule>
  </conditionalFormatting>
  <conditionalFormatting sqref="N105">
    <cfRule type="expression" dxfId="6" priority="4" stopIfTrue="1">
      <formula>VALUE(#REF!="Materialdatenbank")</formula>
    </cfRule>
  </conditionalFormatting>
  <conditionalFormatting sqref="K20">
    <cfRule type="expression" dxfId="5" priority="3" stopIfTrue="1">
      <formula>VALUE(K25="Materialdatenbank")</formula>
    </cfRule>
  </conditionalFormatting>
  <conditionalFormatting sqref="N20">
    <cfRule type="expression" dxfId="4" priority="1" stopIfTrue="1">
      <formula>VALUE(N25="Materialdatenbank")</formula>
    </cfRule>
  </conditionalFormatting>
  <dataValidations count="9">
    <dataValidation type="whole" allowBlank="1" showInputMessage="1" showErrorMessage="1" sqref="K49 H49 N49" xr:uid="{00000000-0002-0000-03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5 K65 N65" xr:uid="{00000000-0002-0000-0300-000001000000}">
      <formula1>G66</formula1>
      <formula2>I66</formula2>
    </dataValidation>
    <dataValidation type="whole" showInputMessage="1" showErrorMessage="1" errorTitle="Missmatch" error="Maschine paßt nicht zu Formverfahren_x000a_wrong machine for this process " sqref="K51 H51 N51" xr:uid="{00000000-0002-0000-0300-000002000000}">
      <formula1>G50</formula1>
      <formula2>I50</formula2>
    </dataValidation>
    <dataValidation type="decimal" allowBlank="1" showInputMessage="1" showErrorMessage="1" errorTitle="invalid" error="Eingabe außerhalb sinnvoller Werte_x000a_data not typical" sqref="H16 K16 N16" xr:uid="{00000000-0002-0000-03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6 K56 N56" xr:uid="{00000000-0002-0000-0300-000004000000}">
      <formula1>AW_Kühleisen</formula1>
    </dataValidation>
    <dataValidation type="decimal" allowBlank="1" showInputMessage="1" showErrorMessage="1" sqref="K108 N108 H108" xr:uid="{00000000-0002-0000-0300-000005000000}">
      <formula1>0</formula1>
      <formula2>1</formula2>
    </dataValidation>
    <dataValidation type="decimal" allowBlank="1" showInputMessage="1" showErrorMessage="1" sqref="H109 K109 N109" xr:uid="{00000000-0002-0000-0300-000006000000}">
      <formula1>0</formula1>
      <formula2>2</formula2>
    </dataValidation>
    <dataValidation type="whole" allowBlank="1" showInputMessage="1" showErrorMessage="1" sqref="H59" xr:uid="{00000000-0002-0000-03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H29 K29 N29" xr:uid="{00000000-0002-0000-0300-000008000000}">
      <formula1>AW_Energieart</formula1>
    </dataValidation>
  </dataValidations>
  <pageMargins left="0.62" right="0.22" top="0.48" bottom="0.46" header="0.39" footer="0.28999999999999998"/>
  <pageSetup paperSize="9" scale="38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ignoredErrors>
    <ignoredError sqref="H104:N104 I99:J99 H107:N109 I106:J106 H112:N112 H110:M111 H130:N130 H113:M129 I95:J95 I103:J103 H101:J101 I100:J100 L95:M95 L103:M103 H96:M97 L100:M101 L99:M99 L106:M106" unlockedFormula="1"/>
    <ignoredError sqref="N90:N93 H133:N139 N143:N148 N8:N16 N85:N87 N21:N49 N19 N51 N52:N75" evalError="1"/>
    <ignoredError sqref="N110:N111 N113:N129 H131:N132 N101 N96:N97" evalError="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342900</xdr:colOff>
                    <xdr:row>1</xdr:row>
                    <xdr:rowOff>66675</xdr:rowOff>
                  </from>
                  <to>
                    <xdr:col>7</xdr:col>
                    <xdr:colOff>1381125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1343025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323850</xdr:colOff>
                    <xdr:row>1</xdr:row>
                    <xdr:rowOff>76200</xdr:rowOff>
                  </from>
                  <to>
                    <xdr:col>13</xdr:col>
                    <xdr:colOff>1371600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9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314325</xdr:colOff>
                    <xdr:row>1</xdr:row>
                    <xdr:rowOff>76200</xdr:rowOff>
                  </from>
                  <to>
                    <xdr:col>13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0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1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352425</xdr:colOff>
                    <xdr:row>1</xdr:row>
                    <xdr:rowOff>66675</xdr:rowOff>
                  </from>
                  <to>
                    <xdr:col>7</xdr:col>
                    <xdr:colOff>1419225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9000000}">
          <x14:formula1>
            <xm:f>'Maschinen-DB'!$B$67:$B$68</xm:f>
          </x14:formula1>
          <xm:sqref>N100 H100 K100</xm:sqref>
        </x14:dataValidation>
        <x14:dataValidation type="list" showInputMessage="1" showErrorMessage="1" errorTitle="unmöglich / impossible" error="Auswahl nicht möglich_x000a_rate not possible" xr:uid="{00000000-0002-0000-0300-00000A000000}">
          <x14:formula1>
            <xm:f>Parametrikber!F$238:F$241</xm:f>
          </x14:formula1>
          <xm:sqref>H30 N30 K30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ColWidth="11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5"/>
      <c r="C2" s="216"/>
      <c r="D2" s="216"/>
      <c r="E2" s="216"/>
      <c r="F2" s="216"/>
      <c r="G2" s="216"/>
      <c r="H2" s="216"/>
      <c r="I2" s="217"/>
      <c r="K2" s="383" t="b">
        <f>OR(D21="?",D21="",D7="")</f>
        <v>0</v>
      </c>
    </row>
    <row r="3" spans="1:11" ht="18.75" thickBot="1" x14ac:dyDescent="0.3">
      <c r="B3" s="218"/>
      <c r="C3" s="219" t="s">
        <v>397</v>
      </c>
      <c r="D3" s="220"/>
      <c r="E3" s="220"/>
      <c r="F3" s="220"/>
      <c r="G3" s="220"/>
      <c r="H3" s="220"/>
      <c r="I3" s="221"/>
      <c r="K3" s="384" t="b">
        <f>K2</f>
        <v>0</v>
      </c>
    </row>
    <row r="4" spans="1:11" ht="15" thickBot="1" x14ac:dyDescent="0.25">
      <c r="A4" s="222"/>
      <c r="B4" s="223"/>
      <c r="C4" s="224"/>
      <c r="D4" s="224"/>
      <c r="E4" s="224"/>
      <c r="F4" s="224"/>
      <c r="G4" s="224"/>
      <c r="H4" s="224"/>
      <c r="I4" s="225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88"/>
      <c r="D6" s="288"/>
      <c r="E6" s="387"/>
      <c r="F6" s="388"/>
      <c r="G6" s="288"/>
      <c r="H6" s="288"/>
      <c r="I6" s="11"/>
    </row>
    <row r="7" spans="1:11" ht="15" x14ac:dyDescent="0.25">
      <c r="B7" s="9"/>
      <c r="C7" s="413" t="s">
        <v>190</v>
      </c>
      <c r="D7" s="414" t="str">
        <f>CONCATENATE('Quick Input'!U3,"_",'Quick Input'!U4)</f>
        <v>MGG_DI MC</v>
      </c>
      <c r="E7" s="387"/>
      <c r="F7" s="388"/>
      <c r="G7" s="391" t="s">
        <v>191</v>
      </c>
      <c r="H7" s="392">
        <f>'Quick Input'!L4</f>
        <v>43993</v>
      </c>
      <c r="I7" s="11"/>
    </row>
    <row r="8" spans="1:11" ht="15" x14ac:dyDescent="0.25">
      <c r="B8" s="9"/>
      <c r="C8" s="389" t="s">
        <v>192</v>
      </c>
      <c r="D8" s="393"/>
      <c r="E8" s="387"/>
      <c r="F8" s="388"/>
      <c r="G8" s="288"/>
      <c r="H8" s="288"/>
      <c r="I8" s="11"/>
    </row>
    <row r="9" spans="1:11" ht="15" x14ac:dyDescent="0.25">
      <c r="B9" s="9"/>
      <c r="C9" s="389"/>
      <c r="D9" s="394"/>
      <c r="E9" s="387"/>
      <c r="F9" s="388"/>
      <c r="G9" s="288"/>
      <c r="H9" s="288"/>
      <c r="I9" s="11"/>
    </row>
    <row r="10" spans="1:11" ht="15" x14ac:dyDescent="0.25">
      <c r="B10" s="9"/>
      <c r="C10" s="389" t="s">
        <v>193</v>
      </c>
      <c r="D10" s="390"/>
      <c r="E10" s="387"/>
      <c r="F10" s="388"/>
      <c r="G10" s="288"/>
      <c r="H10" s="288"/>
      <c r="I10" s="11"/>
    </row>
    <row r="11" spans="1:11" ht="15" x14ac:dyDescent="0.25">
      <c r="B11" s="9"/>
      <c r="C11" s="395"/>
      <c r="D11" s="396"/>
      <c r="E11" s="387"/>
      <c r="F11" s="388"/>
      <c r="G11" s="288"/>
      <c r="H11" s="288"/>
      <c r="I11" s="11"/>
    </row>
    <row r="12" spans="1:11" ht="15" x14ac:dyDescent="0.25">
      <c r="B12" s="9"/>
      <c r="C12" s="389" t="s">
        <v>194</v>
      </c>
      <c r="D12" s="820" t="str">
        <f>'Quick Input'!U5</f>
        <v>JM_PUC AL</v>
      </c>
      <c r="E12" s="387"/>
      <c r="F12" s="388"/>
      <c r="G12" s="288"/>
      <c r="H12" s="288"/>
      <c r="I12" s="11"/>
    </row>
    <row r="13" spans="1:11" ht="15" x14ac:dyDescent="0.25">
      <c r="B13" s="9"/>
      <c r="C13" s="389" t="s">
        <v>195</v>
      </c>
      <c r="D13" s="390"/>
      <c r="E13" s="387"/>
      <c r="F13" s="388"/>
      <c r="G13" s="288"/>
      <c r="H13" s="288"/>
      <c r="I13" s="11"/>
    </row>
    <row r="14" spans="1:11" ht="15" x14ac:dyDescent="0.25">
      <c r="B14" s="9"/>
      <c r="C14" s="389" t="s">
        <v>196</v>
      </c>
      <c r="D14" s="390"/>
      <c r="E14" s="387"/>
      <c r="F14" s="388"/>
      <c r="G14" s="288"/>
      <c r="H14" s="288"/>
      <c r="I14" s="11"/>
    </row>
    <row r="15" spans="1:11" ht="15" thickBot="1" x14ac:dyDescent="0.25">
      <c r="B15" s="12"/>
      <c r="C15" s="397"/>
      <c r="D15" s="398"/>
      <c r="E15" s="399"/>
      <c r="F15" s="400"/>
      <c r="G15" s="398"/>
      <c r="H15" s="398"/>
      <c r="I15" s="126"/>
      <c r="K15" s="222"/>
    </row>
    <row r="16" spans="1:11" x14ac:dyDescent="0.2">
      <c r="B16" s="6"/>
      <c r="C16" s="401"/>
      <c r="D16" s="401"/>
      <c r="E16" s="402"/>
      <c r="F16" s="401"/>
      <c r="G16" s="401"/>
      <c r="H16" s="401"/>
      <c r="I16" s="8"/>
    </row>
    <row r="17" spans="2:9" ht="15" x14ac:dyDescent="0.25">
      <c r="B17" s="9"/>
      <c r="C17" s="403" t="s">
        <v>197</v>
      </c>
      <c r="D17" s="354"/>
      <c r="E17" s="387"/>
      <c r="F17" s="288"/>
      <c r="G17" s="389" t="s">
        <v>198</v>
      </c>
      <c r="H17" s="354"/>
      <c r="I17" s="11"/>
    </row>
    <row r="18" spans="2:9" x14ac:dyDescent="0.2">
      <c r="B18" s="9"/>
      <c r="C18" s="288"/>
      <c r="D18" s="288"/>
      <c r="E18" s="387"/>
      <c r="F18" s="288"/>
      <c r="G18" s="288"/>
      <c r="H18" s="288"/>
      <c r="I18" s="11"/>
    </row>
    <row r="19" spans="2:9" x14ac:dyDescent="0.2">
      <c r="B19" s="9"/>
      <c r="C19" s="404" t="s">
        <v>199</v>
      </c>
      <c r="D19" s="390" t="str">
        <f>CONCATENATE("Siemens ",'Quick Input'!U2)</f>
        <v>Siemens Erlangen</v>
      </c>
      <c r="E19" s="387"/>
      <c r="F19" s="288"/>
      <c r="G19" s="404" t="s">
        <v>200</v>
      </c>
      <c r="H19" s="405"/>
      <c r="I19" s="11"/>
    </row>
    <row r="20" spans="2:9" x14ac:dyDescent="0.2">
      <c r="B20" s="9"/>
      <c r="C20" s="404" t="s">
        <v>201</v>
      </c>
      <c r="D20" s="390" t="str">
        <f>Refkalkulation!H6</f>
        <v>Housing</v>
      </c>
      <c r="E20" s="387"/>
      <c r="F20" s="288"/>
      <c r="G20" s="404" t="s">
        <v>202</v>
      </c>
      <c r="H20" s="405"/>
      <c r="I20" s="11"/>
    </row>
    <row r="21" spans="2:9" x14ac:dyDescent="0.2">
      <c r="B21" s="9"/>
      <c r="C21" s="73" t="s">
        <v>203</v>
      </c>
      <c r="D21" s="506">
        <f>Refkalkulation!H5</f>
        <v>58622</v>
      </c>
      <c r="E21" s="387"/>
      <c r="F21" s="288"/>
      <c r="G21" s="404" t="s">
        <v>273</v>
      </c>
      <c r="H21" s="405"/>
      <c r="I21" s="11"/>
    </row>
    <row r="22" spans="2:9" x14ac:dyDescent="0.2">
      <c r="B22" s="9"/>
      <c r="C22" s="73" t="s">
        <v>344</v>
      </c>
      <c r="D22" s="443" t="str">
        <f>Refkalkulation!H11</f>
        <v>LM2, L-2640</v>
      </c>
      <c r="E22" s="387"/>
      <c r="F22" s="288"/>
      <c r="G22" s="404" t="s">
        <v>204</v>
      </c>
      <c r="H22" s="405"/>
      <c r="I22" s="11"/>
    </row>
    <row r="23" spans="2:9" x14ac:dyDescent="0.2">
      <c r="B23" s="9"/>
      <c r="C23" s="73" t="s">
        <v>345</v>
      </c>
      <c r="D23" s="443"/>
      <c r="E23" s="387"/>
      <c r="F23" s="288"/>
      <c r="G23" s="288"/>
      <c r="H23" s="288"/>
      <c r="I23" s="11"/>
    </row>
    <row r="24" spans="2:9" x14ac:dyDescent="0.2">
      <c r="B24" s="9"/>
      <c r="C24" s="73" t="s">
        <v>352</v>
      </c>
      <c r="D24" s="468">
        <f>'Quick Input'!M37</f>
        <v>5000</v>
      </c>
      <c r="E24" s="387"/>
      <c r="F24" s="388"/>
      <c r="G24" s="288"/>
      <c r="H24" s="288"/>
      <c r="I24" s="11"/>
    </row>
    <row r="25" spans="2:9" ht="15" thickBot="1" x14ac:dyDescent="0.25">
      <c r="B25" s="12"/>
      <c r="C25" s="398"/>
      <c r="D25" s="398"/>
      <c r="E25" s="399"/>
      <c r="F25" s="398"/>
      <c r="G25" s="398"/>
      <c r="H25" s="398"/>
      <c r="I25" s="126"/>
    </row>
    <row r="26" spans="2:9" x14ac:dyDescent="0.2">
      <c r="B26" s="6"/>
      <c r="C26" s="401"/>
      <c r="D26" s="401"/>
      <c r="E26" s="402"/>
      <c r="F26" s="406"/>
      <c r="G26" s="401"/>
      <c r="H26" s="401"/>
      <c r="I26" s="8"/>
    </row>
    <row r="27" spans="2:9" ht="15" x14ac:dyDescent="0.25">
      <c r="B27" s="9"/>
      <c r="C27" s="403" t="s">
        <v>205</v>
      </c>
      <c r="D27" s="354"/>
      <c r="E27" s="387"/>
      <c r="F27" s="388"/>
      <c r="G27" s="403" t="s">
        <v>206</v>
      </c>
      <c r="H27" s="354"/>
      <c r="I27" s="11"/>
    </row>
    <row r="28" spans="2:9" x14ac:dyDescent="0.2">
      <c r="B28" s="9"/>
      <c r="D28" s="288"/>
      <c r="E28" s="387"/>
      <c r="F28" s="388"/>
      <c r="G28" s="288"/>
      <c r="H28" s="288"/>
      <c r="I28" s="11"/>
    </row>
    <row r="29" spans="2:9" x14ac:dyDescent="0.2">
      <c r="B29" s="9"/>
      <c r="C29" s="404" t="s">
        <v>501</v>
      </c>
      <c r="D29" s="405"/>
      <c r="E29" s="387"/>
      <c r="F29" s="388"/>
      <c r="G29" s="404" t="s">
        <v>274</v>
      </c>
      <c r="H29" s="405">
        <f>'Quick Input'!J22</f>
        <v>0</v>
      </c>
      <c r="I29" s="11"/>
    </row>
    <row r="30" spans="2:9" x14ac:dyDescent="0.2">
      <c r="B30" s="9"/>
      <c r="C30" s="404" t="s">
        <v>208</v>
      </c>
      <c r="D30" s="407"/>
      <c r="E30" s="387"/>
      <c r="F30" s="388"/>
      <c r="G30" s="404" t="s">
        <v>502</v>
      </c>
      <c r="H30" s="405"/>
      <c r="I30" s="11"/>
    </row>
    <row r="31" spans="2:9" x14ac:dyDescent="0.2">
      <c r="B31" s="9"/>
      <c r="C31" s="404" t="s">
        <v>613</v>
      </c>
      <c r="D31" s="407"/>
      <c r="E31" s="387"/>
      <c r="F31" s="388"/>
      <c r="G31" s="404" t="s">
        <v>502</v>
      </c>
      <c r="H31" s="405"/>
      <c r="I31" s="11"/>
    </row>
    <row r="32" spans="2:9" x14ac:dyDescent="0.2">
      <c r="B32" s="9"/>
      <c r="C32" s="404" t="s">
        <v>398</v>
      </c>
      <c r="D32" s="408"/>
      <c r="E32" s="387"/>
      <c r="F32" s="388"/>
      <c r="G32" s="404" t="s">
        <v>351</v>
      </c>
      <c r="H32" s="405"/>
      <c r="I32" s="11"/>
    </row>
    <row r="33" spans="2:9" x14ac:dyDescent="0.2">
      <c r="B33" s="9"/>
      <c r="C33" s="404" t="s">
        <v>614</v>
      </c>
      <c r="D33" s="405"/>
      <c r="E33" s="387"/>
      <c r="F33" s="388"/>
      <c r="G33" s="404" t="s">
        <v>351</v>
      </c>
      <c r="H33" s="405"/>
      <c r="I33" s="11"/>
    </row>
    <row r="34" spans="2:9" ht="15" thickBot="1" x14ac:dyDescent="0.25">
      <c r="B34" s="12"/>
      <c r="C34" s="398"/>
      <c r="D34" s="398"/>
      <c r="E34" s="399"/>
      <c r="F34" s="400"/>
      <c r="G34" s="398"/>
      <c r="H34" s="398"/>
      <c r="I34" s="126"/>
    </row>
    <row r="35" spans="2:9" x14ac:dyDescent="0.2">
      <c r="B35" s="6"/>
      <c r="C35" s="401"/>
      <c r="D35" s="401"/>
      <c r="E35" s="401"/>
      <c r="F35" s="406"/>
      <c r="G35" s="401"/>
      <c r="H35" s="401"/>
      <c r="I35" s="8"/>
    </row>
    <row r="36" spans="2:9" ht="15" x14ac:dyDescent="0.25">
      <c r="B36" s="9"/>
      <c r="C36" s="403" t="s">
        <v>272</v>
      </c>
      <c r="D36" s="354"/>
      <c r="E36" s="288"/>
      <c r="F36" s="388"/>
      <c r="G36" s="403" t="s">
        <v>209</v>
      </c>
      <c r="H36" s="354"/>
      <c r="I36" s="11"/>
    </row>
    <row r="37" spans="2:9" x14ac:dyDescent="0.2">
      <c r="B37" s="9"/>
      <c r="C37" s="288"/>
      <c r="D37" s="288"/>
      <c r="E37" s="288"/>
      <c r="F37" s="388"/>
      <c r="G37" s="288"/>
      <c r="H37" s="288"/>
      <c r="I37" s="11"/>
    </row>
    <row r="38" spans="2:9" x14ac:dyDescent="0.2">
      <c r="B38" s="9"/>
      <c r="C38" s="404" t="s">
        <v>504</v>
      </c>
      <c r="D38" s="390"/>
      <c r="E38" s="288"/>
      <c r="F38" s="388"/>
      <c r="G38" s="409" t="s">
        <v>615</v>
      </c>
      <c r="H38" s="410"/>
      <c r="I38" s="11"/>
    </row>
    <row r="39" spans="2:9" x14ac:dyDescent="0.2">
      <c r="B39" s="9"/>
      <c r="C39" s="404" t="s">
        <v>503</v>
      </c>
      <c r="D39" s="390"/>
      <c r="E39" s="288"/>
      <c r="F39" s="388"/>
      <c r="G39" s="409" t="s">
        <v>616</v>
      </c>
      <c r="H39" s="410"/>
      <c r="I39" s="11"/>
    </row>
    <row r="40" spans="2:9" x14ac:dyDescent="0.2">
      <c r="B40" s="9"/>
      <c r="C40" s="404" t="s">
        <v>505</v>
      </c>
      <c r="D40" s="390"/>
      <c r="E40" s="288"/>
      <c r="F40" s="388"/>
      <c r="G40" s="409" t="s">
        <v>617</v>
      </c>
      <c r="H40" s="410"/>
      <c r="I40" s="11"/>
    </row>
    <row r="41" spans="2:9" x14ac:dyDescent="0.2">
      <c r="B41" s="9"/>
      <c r="C41" s="404" t="s">
        <v>210</v>
      </c>
      <c r="D41" s="390"/>
      <c r="E41" s="288"/>
      <c r="F41" s="388"/>
      <c r="G41" s="409" t="s">
        <v>618</v>
      </c>
      <c r="H41" s="410"/>
      <c r="I41" s="11"/>
    </row>
    <row r="42" spans="2:9" x14ac:dyDescent="0.2">
      <c r="B42" s="9"/>
      <c r="C42" s="404"/>
      <c r="D42" s="288"/>
      <c r="E42" s="288"/>
      <c r="F42" s="388"/>
      <c r="G42" s="409"/>
      <c r="H42" s="410"/>
      <c r="I42" s="11"/>
    </row>
    <row r="43" spans="2:9" ht="15" thickBot="1" x14ac:dyDescent="0.25">
      <c r="B43" s="12"/>
      <c r="C43" s="398"/>
      <c r="D43" s="398"/>
      <c r="E43" s="398"/>
      <c r="F43" s="388"/>
      <c r="G43" s="409"/>
      <c r="H43" s="410"/>
      <c r="I43" s="11"/>
    </row>
    <row r="44" spans="2:9" x14ac:dyDescent="0.2">
      <c r="B44" s="6"/>
      <c r="C44" s="401"/>
      <c r="D44" s="401"/>
      <c r="E44" s="402"/>
      <c r="F44" s="388"/>
      <c r="G44" s="409"/>
      <c r="H44" s="410"/>
      <c r="I44" s="11"/>
    </row>
    <row r="45" spans="2:9" ht="15" x14ac:dyDescent="0.25">
      <c r="B45" s="9"/>
      <c r="C45" s="403" t="s">
        <v>211</v>
      </c>
      <c r="D45" s="354"/>
      <c r="E45" s="387"/>
      <c r="F45" s="388"/>
      <c r="G45" s="409"/>
      <c r="H45" s="410"/>
      <c r="I45" s="11"/>
    </row>
    <row r="46" spans="2:9" x14ac:dyDescent="0.2">
      <c r="B46" s="9"/>
      <c r="C46" s="288"/>
      <c r="D46" s="288"/>
      <c r="E46" s="387"/>
      <c r="F46" s="388"/>
      <c r="G46" s="409"/>
      <c r="H46" s="410"/>
      <c r="I46" s="11"/>
    </row>
    <row r="47" spans="2:9" x14ac:dyDescent="0.2">
      <c r="B47" s="9"/>
      <c r="C47" s="404" t="s">
        <v>276</v>
      </c>
      <c r="D47" s="405"/>
      <c r="E47" s="387"/>
      <c r="F47" s="388"/>
      <c r="G47" s="288"/>
      <c r="H47" s="411"/>
      <c r="I47" s="11"/>
    </row>
    <row r="48" spans="2:9" x14ac:dyDescent="0.2">
      <c r="B48" s="9"/>
      <c r="C48" s="404" t="s">
        <v>275</v>
      </c>
      <c r="D48" s="405"/>
      <c r="E48" s="387"/>
      <c r="F48" s="388"/>
      <c r="G48" s="409" t="s">
        <v>619</v>
      </c>
      <c r="H48" s="412">
        <f>SUM(H38:H46)</f>
        <v>0</v>
      </c>
      <c r="I48" s="11"/>
    </row>
    <row r="49" spans="1:11" x14ac:dyDescent="0.2">
      <c r="B49" s="9"/>
      <c r="C49" s="404" t="s">
        <v>277</v>
      </c>
      <c r="D49" s="405"/>
      <c r="E49" s="387"/>
      <c r="F49" s="388"/>
      <c r="G49" s="288"/>
      <c r="H49" s="288"/>
      <c r="I49" s="11"/>
    </row>
    <row r="50" spans="1:11" x14ac:dyDescent="0.2">
      <c r="B50" s="9"/>
      <c r="C50" s="288"/>
      <c r="D50" s="288"/>
      <c r="E50" s="387"/>
      <c r="F50" s="388"/>
      <c r="G50" s="288"/>
      <c r="H50" s="288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89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212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213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214</v>
      </c>
      <c r="H101" s="26"/>
      <c r="I101" s="26"/>
      <c r="J101" s="26"/>
    </row>
    <row r="102" spans="1:10" x14ac:dyDescent="0.2">
      <c r="A102" t="s">
        <v>207</v>
      </c>
      <c r="C102" t="s">
        <v>207</v>
      </c>
      <c r="D102" t="s">
        <v>207</v>
      </c>
      <c r="H102" s="26"/>
      <c r="I102" s="26"/>
      <c r="J102" s="26"/>
    </row>
    <row r="103" spans="1:10" x14ac:dyDescent="0.2">
      <c r="A103" t="s">
        <v>215</v>
      </c>
      <c r="C103" t="s">
        <v>216</v>
      </c>
      <c r="D103" s="26" t="s">
        <v>217</v>
      </c>
      <c r="H103" s="26"/>
      <c r="I103" s="26"/>
      <c r="J103" s="26"/>
    </row>
    <row r="104" spans="1:10" x14ac:dyDescent="0.2">
      <c r="A104" t="s">
        <v>218</v>
      </c>
      <c r="B104" s="1"/>
      <c r="C104" t="s">
        <v>219</v>
      </c>
      <c r="D104" s="26" t="s">
        <v>220</v>
      </c>
      <c r="H104" s="26"/>
      <c r="I104" s="26"/>
      <c r="J104" s="26"/>
    </row>
    <row r="105" spans="1:10" x14ac:dyDescent="0.2">
      <c r="A105" t="s">
        <v>221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222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223</v>
      </c>
      <c r="B107" s="1"/>
      <c r="C107" t="s">
        <v>224</v>
      </c>
    </row>
    <row r="108" spans="1:10" x14ac:dyDescent="0.2">
      <c r="C108" t="s">
        <v>225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>
    <tabColor theme="0"/>
  </sheetPr>
  <dimension ref="A1:L87"/>
  <sheetViews>
    <sheetView topLeftCell="A31" zoomScale="75" workbookViewId="0">
      <selection activeCell="D41" sqref="D41"/>
    </sheetView>
  </sheetViews>
  <sheetFormatPr baseColWidth="10" defaultColWidth="11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5.1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157</v>
      </c>
      <c r="G2" s="35" t="s">
        <v>2</v>
      </c>
      <c r="H2" s="440">
        <v>1</v>
      </c>
      <c r="I2" s="1171"/>
      <c r="J2" s="1172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676">
        <v>1</v>
      </c>
      <c r="G3" s="1125" t="str">
        <f t="shared" ref="G3:G15" si="0">IF(Deutsch,I3,H3)</f>
        <v>Deutschland</v>
      </c>
      <c r="H3" s="1173" t="str">
        <f>'[3]Länder-DB'!B2</f>
        <v>Germany</v>
      </c>
      <c r="I3" s="1174" t="str">
        <f>'[3]Länder-DB'!A2</f>
        <v>Deutschland</v>
      </c>
      <c r="J3" s="1175">
        <f t="shared" ref="J3:J15" si="1">F3</f>
        <v>1</v>
      </c>
      <c r="L3" s="503"/>
    </row>
    <row r="4" spans="1:12" ht="15" thickBot="1" x14ac:dyDescent="0.25">
      <c r="B4" s="46"/>
      <c r="C4" s="32"/>
      <c r="D4" s="32"/>
      <c r="F4" s="677">
        <v>2</v>
      </c>
      <c r="G4" s="1125" t="str">
        <f t="shared" si="0"/>
        <v>Frankreich</v>
      </c>
      <c r="H4" s="1173" t="str">
        <f>'[3]Länder-DB'!B3</f>
        <v>France</v>
      </c>
      <c r="I4" s="1173" t="str">
        <f>'[3]Länder-DB'!A3</f>
        <v>Frankreich</v>
      </c>
      <c r="J4" s="1175">
        <f t="shared" si="1"/>
        <v>2</v>
      </c>
    </row>
    <row r="5" spans="1:12" ht="15" thickBot="1" x14ac:dyDescent="0.25">
      <c r="F5" s="677">
        <v>3</v>
      </c>
      <c r="G5" s="1125" t="str">
        <f t="shared" si="0"/>
        <v>Italien</v>
      </c>
      <c r="H5" s="1173" t="str">
        <f>'[3]Länder-DB'!B4</f>
        <v>Italy</v>
      </c>
      <c r="I5" s="1173" t="str">
        <f>'[3]Länder-DB'!A4</f>
        <v>Italien</v>
      </c>
      <c r="J5" s="1175">
        <f t="shared" si="1"/>
        <v>3</v>
      </c>
    </row>
    <row r="6" spans="1:12" ht="15" thickBot="1" x14ac:dyDescent="0.25">
      <c r="B6" s="35" t="s">
        <v>4</v>
      </c>
      <c r="C6" s="440">
        <v>2</v>
      </c>
      <c r="D6" s="37" t="str">
        <f>'Quick Input'!D47</f>
        <v>shift model</v>
      </c>
      <c r="E6" s="28"/>
      <c r="F6" s="677">
        <v>4</v>
      </c>
      <c r="G6" s="1125" t="str">
        <f t="shared" si="0"/>
        <v>Tschechien</v>
      </c>
      <c r="H6" s="1173" t="str">
        <f>'[3]Länder-DB'!B5</f>
        <v>Czech Republic</v>
      </c>
      <c r="I6" s="1173" t="str">
        <f>'[3]Länder-DB'!A5</f>
        <v>Tschechien</v>
      </c>
      <c r="J6" s="1175">
        <f t="shared" si="1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674">
        <f>A7</f>
        <v>1</v>
      </c>
      <c r="F7" s="677">
        <v>5</v>
      </c>
      <c r="G7" s="1125" t="str">
        <f t="shared" si="0"/>
        <v>Polen</v>
      </c>
      <c r="H7" s="1173" t="str">
        <f>'[3]Länder-DB'!B6</f>
        <v>Poland</v>
      </c>
      <c r="I7" s="1173" t="str">
        <f>'[3]Länder-DB'!A6</f>
        <v>Polen</v>
      </c>
      <c r="J7" s="1175">
        <f t="shared" si="1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674">
        <f>A8</f>
        <v>2</v>
      </c>
      <c r="F8" s="677">
        <v>6</v>
      </c>
      <c r="G8" s="1125" t="str">
        <f t="shared" si="0"/>
        <v>Bulgarien</v>
      </c>
      <c r="H8" s="1173" t="str">
        <f>'[3]Länder-DB'!B7</f>
        <v>Bulgaria</v>
      </c>
      <c r="I8" s="1173" t="str">
        <f>'[3]Länder-DB'!A7</f>
        <v>Bulgarien</v>
      </c>
      <c r="J8" s="1175">
        <f t="shared" si="1"/>
        <v>6</v>
      </c>
    </row>
    <row r="9" spans="1:12" ht="15" thickBot="1" x14ac:dyDescent="0.25">
      <c r="A9" s="673">
        <v>3</v>
      </c>
      <c r="B9" s="415" t="str">
        <f>IF(C$2,D9,C9)</f>
        <v>3-Schicht</v>
      </c>
      <c r="C9" s="32" t="s">
        <v>63</v>
      </c>
      <c r="D9" s="32" t="s">
        <v>21</v>
      </c>
      <c r="E9" s="675">
        <v>3</v>
      </c>
      <c r="F9" s="677">
        <v>7</v>
      </c>
      <c r="G9" s="1125" t="str">
        <f t="shared" si="0"/>
        <v>Rumänien</v>
      </c>
      <c r="H9" s="1173" t="str">
        <f>'[3]Länder-DB'!B8</f>
        <v>Romania</v>
      </c>
      <c r="I9" s="1173" t="str">
        <f>'[3]Länder-DB'!A8</f>
        <v>Rumänien</v>
      </c>
      <c r="J9" s="1175">
        <f t="shared" si="1"/>
        <v>7</v>
      </c>
    </row>
    <row r="10" spans="1:12" ht="15" thickBot="1" x14ac:dyDescent="0.25">
      <c r="F10" s="677">
        <v>8</v>
      </c>
      <c r="G10" s="1125" t="str">
        <f t="shared" si="0"/>
        <v>Türkei</v>
      </c>
      <c r="H10" s="1173" t="str">
        <f>'[3]Länder-DB'!B9</f>
        <v>Turkey</v>
      </c>
      <c r="I10" s="1173" t="str">
        <f>'[3]Länder-DB'!A9</f>
        <v>Türkei</v>
      </c>
      <c r="J10" s="1175">
        <f t="shared" si="1"/>
        <v>8</v>
      </c>
    </row>
    <row r="11" spans="1:12" ht="15" thickBot="1" x14ac:dyDescent="0.25">
      <c r="B11" s="35" t="s">
        <v>537</v>
      </c>
      <c r="C11" s="37"/>
      <c r="D11" s="37" t="str">
        <f>'Quick Input'!D12</f>
        <v>pricing source</v>
      </c>
      <c r="E11" s="141"/>
      <c r="F11" s="677">
        <v>9</v>
      </c>
      <c r="G11" s="1125" t="str">
        <f t="shared" si="0"/>
        <v>Indien</v>
      </c>
      <c r="H11" s="1173" t="str">
        <f>'[3]Länder-DB'!B10</f>
        <v>India</v>
      </c>
      <c r="I11" s="1173" t="str">
        <f>'[3]Länder-DB'!A10</f>
        <v>Indien</v>
      </c>
      <c r="J11" s="1175">
        <f t="shared" si="1"/>
        <v>9</v>
      </c>
    </row>
    <row r="12" spans="1:12" x14ac:dyDescent="0.2">
      <c r="A12" s="141">
        <v>1</v>
      </c>
      <c r="B12" s="509" t="str">
        <f>IF(C$2,D12,C12)</f>
        <v>manuell</v>
      </c>
      <c r="C12" s="5" t="s">
        <v>176</v>
      </c>
      <c r="D12" s="5" t="s">
        <v>77</v>
      </c>
      <c r="E12" s="61">
        <f t="shared" ref="E12:E68" si="2">A12</f>
        <v>1</v>
      </c>
      <c r="F12" s="677">
        <v>10</v>
      </c>
      <c r="G12" s="1125" t="str">
        <f t="shared" si="0"/>
        <v>China</v>
      </c>
      <c r="H12" s="1173" t="str">
        <f>'[3]Länder-DB'!B11</f>
        <v>China</v>
      </c>
      <c r="I12" s="1173" t="str">
        <f>'[3]Länder-DB'!A11</f>
        <v>China</v>
      </c>
      <c r="J12" s="1175">
        <f t="shared" si="1"/>
        <v>10</v>
      </c>
    </row>
    <row r="13" spans="1:12" ht="15.75" thickBot="1" x14ac:dyDescent="0.3">
      <c r="A13" s="673">
        <v>2</v>
      </c>
      <c r="B13" s="536" t="str">
        <f>IF(C$2,D13,C13)</f>
        <v>Materialdatenbank</v>
      </c>
      <c r="C13" s="32" t="s">
        <v>64</v>
      </c>
      <c r="D13" s="32" t="s">
        <v>6</v>
      </c>
      <c r="E13" s="62">
        <f t="shared" si="2"/>
        <v>2</v>
      </c>
      <c r="F13" s="677">
        <v>11</v>
      </c>
      <c r="G13" s="1125" t="str">
        <f t="shared" si="0"/>
        <v>USA - Illinois</v>
      </c>
      <c r="H13" s="1173" t="str">
        <f>'[3]Länder-DB'!B12</f>
        <v>USA - Illinois</v>
      </c>
      <c r="I13" s="1173" t="str">
        <f>'[3]Länder-DB'!A12</f>
        <v>USA - Illinois</v>
      </c>
      <c r="J13" s="1175">
        <f t="shared" si="1"/>
        <v>11</v>
      </c>
    </row>
    <row r="14" spans="1:12" ht="15" thickBot="1" x14ac:dyDescent="0.25">
      <c r="F14" s="677">
        <v>12</v>
      </c>
      <c r="G14" s="1125" t="str">
        <f t="shared" si="0"/>
        <v>Spanien</v>
      </c>
      <c r="H14" s="1173" t="str">
        <f>'[3]Länder-DB'!B13</f>
        <v>Spain</v>
      </c>
      <c r="I14" s="1173" t="str">
        <f>'[3]Länder-DB'!A13</f>
        <v>Spanien</v>
      </c>
      <c r="J14" s="1175">
        <f t="shared" si="1"/>
        <v>12</v>
      </c>
    </row>
    <row r="15" spans="1:12" ht="15" thickBot="1" x14ac:dyDescent="0.25">
      <c r="B15" s="35" t="s">
        <v>26</v>
      </c>
      <c r="C15" s="440">
        <v>2</v>
      </c>
      <c r="D15" s="37" t="str">
        <f>'Quick Input'!D21</f>
        <v>part complexity</v>
      </c>
      <c r="E15" s="37"/>
      <c r="F15" s="678">
        <v>13</v>
      </c>
      <c r="G15" s="1176" t="str">
        <f t="shared" si="0"/>
        <v>Mexiko</v>
      </c>
      <c r="H15" s="1177" t="str">
        <f>'[3]Länder-DB'!B14</f>
        <v>Mexico</v>
      </c>
      <c r="I15" s="1177" t="str">
        <f>'[3]Länder-DB'!A14</f>
        <v>Mexiko</v>
      </c>
      <c r="J15" s="1178">
        <f t="shared" si="1"/>
        <v>13</v>
      </c>
    </row>
    <row r="16" spans="1:12" x14ac:dyDescent="0.2">
      <c r="A16" s="141">
        <v>1</v>
      </c>
      <c r="B16" s="60" t="str">
        <f>IF(C$2,D16,C16)</f>
        <v>einfach</v>
      </c>
      <c r="C16" s="485" t="s">
        <v>401</v>
      </c>
      <c r="D16" s="485" t="s">
        <v>399</v>
      </c>
      <c r="E16" s="31">
        <f t="shared" si="2"/>
        <v>1</v>
      </c>
    </row>
    <row r="17" spans="1:7" ht="15" x14ac:dyDescent="0.25">
      <c r="A17" s="146">
        <v>2</v>
      </c>
      <c r="B17" s="59" t="str">
        <f>IF(C$2,D17,C17)</f>
        <v>mäßig</v>
      </c>
      <c r="C17" s="485" t="s">
        <v>404</v>
      </c>
      <c r="D17" s="485" t="s">
        <v>400</v>
      </c>
      <c r="E17" s="31">
        <f t="shared" si="2"/>
        <v>2</v>
      </c>
      <c r="G17" s="503"/>
    </row>
    <row r="18" spans="1:7" x14ac:dyDescent="0.2">
      <c r="A18" s="146">
        <v>3</v>
      </c>
      <c r="B18" s="45" t="str">
        <f>IF(C$2,D18,C18)</f>
        <v>schwierig</v>
      </c>
      <c r="C18" s="485" t="s">
        <v>406</v>
      </c>
      <c r="D18" s="485" t="s">
        <v>403</v>
      </c>
      <c r="E18" s="31">
        <f t="shared" si="2"/>
        <v>3</v>
      </c>
    </row>
    <row r="19" spans="1:7" ht="15" thickBot="1" x14ac:dyDescent="0.25">
      <c r="A19" s="673">
        <v>4</v>
      </c>
      <c r="B19" s="46" t="str">
        <f>IF(C$2,D19,C19)</f>
        <v>komplex</v>
      </c>
      <c r="C19" s="486" t="s">
        <v>405</v>
      </c>
      <c r="D19" s="486" t="s">
        <v>402</v>
      </c>
      <c r="E19" s="44">
        <f t="shared" si="2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2"/>
        <v>1</v>
      </c>
      <c r="G22" s="503"/>
    </row>
    <row r="23" spans="1:7" ht="15" thickBot="1" x14ac:dyDescent="0.25">
      <c r="A23" s="673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2"/>
        <v>2</v>
      </c>
    </row>
    <row r="24" spans="1:7" ht="6" customHeight="1" thickBot="1" x14ac:dyDescent="0.25"/>
    <row r="25" spans="1:7" ht="15" thickBot="1" x14ac:dyDescent="0.25">
      <c r="B25" s="35" t="s">
        <v>228</v>
      </c>
      <c r="C25" s="440">
        <v>2</v>
      </c>
      <c r="D25" s="37" t="str">
        <f>'Quick Input'!D50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485" t="s">
        <v>774</v>
      </c>
      <c r="D26" s="5" t="s">
        <v>117</v>
      </c>
      <c r="E26" s="31">
        <f t="shared" si="2"/>
        <v>1</v>
      </c>
      <c r="G26" s="503"/>
    </row>
    <row r="27" spans="1:7" ht="15" x14ac:dyDescent="0.25">
      <c r="A27" s="146">
        <v>2</v>
      </c>
      <c r="B27" s="59" t="str">
        <f>IF(C$2,D27,C27)</f>
        <v>mittel</v>
      </c>
      <c r="C27" s="5" t="s">
        <v>120</v>
      </c>
      <c r="D27" s="5" t="s">
        <v>27</v>
      </c>
      <c r="E27" s="31">
        <f t="shared" si="2"/>
        <v>2</v>
      </c>
    </row>
    <row r="28" spans="1:7" ht="15" thickBot="1" x14ac:dyDescent="0.25">
      <c r="A28" s="673">
        <v>3</v>
      </c>
      <c r="B28" s="46" t="str">
        <f>IF(C$2,D28,C28)</f>
        <v>groß</v>
      </c>
      <c r="C28" s="32" t="s">
        <v>119</v>
      </c>
      <c r="D28" s="32" t="s">
        <v>118</v>
      </c>
      <c r="E28" s="44">
        <f t="shared" si="2"/>
        <v>3</v>
      </c>
    </row>
    <row r="29" spans="1:7" ht="7.5" customHeight="1" thickBot="1" x14ac:dyDescent="0.25"/>
    <row r="30" spans="1:7" ht="15" thickBot="1" x14ac:dyDescent="0.25">
      <c r="B30" s="35" t="s">
        <v>421</v>
      </c>
      <c r="C30" s="440">
        <v>1</v>
      </c>
      <c r="D30" s="37" t="str">
        <f>'Quick Input'!D32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260</v>
      </c>
      <c r="D31" s="5" t="s">
        <v>261</v>
      </c>
      <c r="E31" s="61">
        <f t="shared" si="2"/>
        <v>1</v>
      </c>
    </row>
    <row r="32" spans="1:7" x14ac:dyDescent="0.2">
      <c r="A32" s="146">
        <v>2</v>
      </c>
      <c r="B32" s="45" t="str">
        <f>IF(C$2,D32,C32)</f>
        <v>Werkszeugnis 2.2</v>
      </c>
      <c r="C32" s="485" t="s">
        <v>408</v>
      </c>
      <c r="D32" s="485" t="s">
        <v>410</v>
      </c>
      <c r="E32" s="31">
        <f t="shared" si="2"/>
        <v>2</v>
      </c>
    </row>
    <row r="33" spans="1:7" ht="15" thickBot="1" x14ac:dyDescent="0.25">
      <c r="A33" s="673">
        <v>3</v>
      </c>
      <c r="B33" s="46" t="str">
        <f>IF(C$2,D33,C33)</f>
        <v>Abnahmeprüfzeugnis 3.1</v>
      </c>
      <c r="C33" s="487" t="s">
        <v>409</v>
      </c>
      <c r="D33" s="486" t="s">
        <v>407</v>
      </c>
      <c r="E33" s="62">
        <f t="shared" si="2"/>
        <v>3</v>
      </c>
    </row>
    <row r="34" spans="1:7" ht="7.5" customHeight="1" thickBot="1" x14ac:dyDescent="0.25"/>
    <row r="35" spans="1:7" ht="15" thickBot="1" x14ac:dyDescent="0.25">
      <c r="B35" s="35" t="s">
        <v>266</v>
      </c>
      <c r="C35" s="440">
        <v>3</v>
      </c>
      <c r="D35" s="37" t="str">
        <f>'Quick Input'!D22</f>
        <v>casting technique</v>
      </c>
      <c r="E35" s="141"/>
    </row>
    <row r="36" spans="1:7" x14ac:dyDescent="0.2">
      <c r="A36" s="141">
        <v>1</v>
      </c>
      <c r="B36" s="509" t="str">
        <f>IF(C$2,D36,C36)</f>
        <v>Niederdruck</v>
      </c>
      <c r="C36" s="1165" t="s">
        <v>953</v>
      </c>
      <c r="D36" s="5" t="s">
        <v>956</v>
      </c>
      <c r="E36" s="61">
        <f t="shared" si="2"/>
        <v>1</v>
      </c>
      <c r="G36" s="503"/>
    </row>
    <row r="37" spans="1:7" x14ac:dyDescent="0.2">
      <c r="A37" s="146">
        <v>2</v>
      </c>
      <c r="B37" s="60" t="str">
        <f>IF(C$2,D37,C37)</f>
        <v>Kippgiessen</v>
      </c>
      <c r="C37" s="1166" t="s">
        <v>954</v>
      </c>
      <c r="D37" s="5" t="s">
        <v>957</v>
      </c>
      <c r="E37" s="31">
        <f t="shared" si="2"/>
        <v>2</v>
      </c>
    </row>
    <row r="38" spans="1:7" ht="15.75" thickBot="1" x14ac:dyDescent="0.3">
      <c r="A38" s="673">
        <v>3</v>
      </c>
      <c r="B38" s="536" t="str">
        <f>IF(C$2,D38,C38)</f>
        <v>Schwerkaft</v>
      </c>
      <c r="C38" s="1167" t="s">
        <v>955</v>
      </c>
      <c r="D38" s="32" t="s">
        <v>958</v>
      </c>
      <c r="E38" s="62">
        <f t="shared" si="2"/>
        <v>3</v>
      </c>
    </row>
    <row r="39" spans="1:7" ht="6" customHeight="1" thickBot="1" x14ac:dyDescent="0.25"/>
    <row r="40" spans="1:7" ht="15" thickBot="1" x14ac:dyDescent="0.25">
      <c r="B40" s="35" t="s">
        <v>292</v>
      </c>
      <c r="C40" s="440">
        <v>1</v>
      </c>
      <c r="D40" s="37" t="s">
        <v>296</v>
      </c>
      <c r="E40" s="141"/>
      <c r="F40" s="1161" t="s">
        <v>950</v>
      </c>
    </row>
    <row r="41" spans="1:7" ht="15" x14ac:dyDescent="0.25">
      <c r="A41" s="141">
        <v>1</v>
      </c>
      <c r="B41" s="59" t="str">
        <f t="shared" ref="B41:B46" si="3">IF(C$2,D41,C41)</f>
        <v>ohne (F)</v>
      </c>
      <c r="C41" s="485" t="s">
        <v>525</v>
      </c>
      <c r="D41" s="485" t="s">
        <v>524</v>
      </c>
      <c r="E41" s="61">
        <f t="shared" si="2"/>
        <v>1</v>
      </c>
      <c r="F41" s="1162">
        <v>0</v>
      </c>
      <c r="G41" s="503"/>
    </row>
    <row r="42" spans="1:7" x14ac:dyDescent="0.2">
      <c r="A42" s="146">
        <v>2</v>
      </c>
      <c r="B42" s="45" t="str">
        <f t="shared" si="3"/>
        <v>T5</v>
      </c>
      <c r="C42" s="485" t="s">
        <v>523</v>
      </c>
      <c r="D42" s="485" t="s">
        <v>523</v>
      </c>
      <c r="E42" s="31">
        <f t="shared" si="2"/>
        <v>2</v>
      </c>
      <c r="F42" s="1162">
        <v>0.5</v>
      </c>
    </row>
    <row r="43" spans="1:7" x14ac:dyDescent="0.2">
      <c r="A43" s="146">
        <v>3</v>
      </c>
      <c r="B43" s="45" t="str">
        <f t="shared" si="3"/>
        <v>T4</v>
      </c>
      <c r="C43" s="485" t="s">
        <v>293</v>
      </c>
      <c r="D43" s="485" t="s">
        <v>293</v>
      </c>
      <c r="E43" s="31">
        <f t="shared" si="2"/>
        <v>3</v>
      </c>
      <c r="F43" s="1162">
        <v>0.4</v>
      </c>
    </row>
    <row r="44" spans="1:7" x14ac:dyDescent="0.2">
      <c r="A44" s="146">
        <v>4</v>
      </c>
      <c r="B44" s="45" t="str">
        <f t="shared" si="3"/>
        <v>T6</v>
      </c>
      <c r="C44" s="474" t="s">
        <v>295</v>
      </c>
      <c r="D44" s="5" t="s">
        <v>295</v>
      </c>
      <c r="E44" s="31">
        <f t="shared" si="2"/>
        <v>4</v>
      </c>
      <c r="F44" s="1162">
        <v>0.6</v>
      </c>
    </row>
    <row r="45" spans="1:7" x14ac:dyDescent="0.2">
      <c r="A45" s="146">
        <v>5</v>
      </c>
      <c r="B45" s="45" t="str">
        <f t="shared" si="3"/>
        <v>T64</v>
      </c>
      <c r="C45" s="5" t="s">
        <v>294</v>
      </c>
      <c r="D45" s="5" t="s">
        <v>294</v>
      </c>
      <c r="E45" s="31">
        <f t="shared" si="2"/>
        <v>5</v>
      </c>
      <c r="F45" s="1162">
        <v>0.64</v>
      </c>
    </row>
    <row r="46" spans="1:7" ht="15" thickBot="1" x14ac:dyDescent="0.25">
      <c r="A46" s="673">
        <v>6</v>
      </c>
      <c r="B46" s="46" t="str">
        <f t="shared" si="3"/>
        <v>T7</v>
      </c>
      <c r="C46" s="486" t="s">
        <v>522</v>
      </c>
      <c r="D46" s="486" t="s">
        <v>522</v>
      </c>
      <c r="E46" s="62">
        <f t="shared" si="2"/>
        <v>6</v>
      </c>
      <c r="F46" s="1162">
        <v>0.7</v>
      </c>
    </row>
    <row r="47" spans="1:7" ht="6" customHeight="1" thickBot="1" x14ac:dyDescent="0.25"/>
    <row r="48" spans="1:7" ht="15" thickBot="1" x14ac:dyDescent="0.25">
      <c r="B48" s="35" t="s">
        <v>347</v>
      </c>
      <c r="C48" s="440">
        <v>1</v>
      </c>
      <c r="D48" s="488" t="s">
        <v>369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260</v>
      </c>
      <c r="D49" s="5" t="s">
        <v>261</v>
      </c>
      <c r="E49" s="61">
        <f t="shared" si="2"/>
        <v>1</v>
      </c>
      <c r="G49" s="503"/>
    </row>
    <row r="50" spans="1:7" x14ac:dyDescent="0.2">
      <c r="A50" s="146">
        <v>2</v>
      </c>
      <c r="B50" s="45" t="str">
        <f>IF(C$2,D50,C50)</f>
        <v>Kernschießen</v>
      </c>
      <c r="C50" s="485" t="s">
        <v>371</v>
      </c>
      <c r="D50" s="485" t="s">
        <v>368</v>
      </c>
      <c r="E50" s="31">
        <f t="shared" si="2"/>
        <v>2</v>
      </c>
    </row>
    <row r="51" spans="1:7" ht="15" thickBot="1" x14ac:dyDescent="0.25">
      <c r="A51" s="673">
        <v>3</v>
      </c>
      <c r="B51" s="46"/>
      <c r="C51" s="486"/>
      <c r="D51" s="486"/>
      <c r="E51" s="62">
        <f t="shared" si="2"/>
        <v>3</v>
      </c>
    </row>
    <row r="52" spans="1:7" ht="6" customHeight="1" thickBot="1" x14ac:dyDescent="0.25"/>
    <row r="53" spans="1:7" ht="15" thickBot="1" x14ac:dyDescent="0.25">
      <c r="B53" s="35" t="s">
        <v>712</v>
      </c>
      <c r="C53" s="440">
        <v>1</v>
      </c>
      <c r="D53" s="488" t="s">
        <v>713</v>
      </c>
      <c r="E53" s="141"/>
      <c r="G53" s="503"/>
    </row>
    <row r="54" spans="1:7" ht="15" x14ac:dyDescent="0.25">
      <c r="A54" s="141">
        <v>1</v>
      </c>
      <c r="B54" s="59" t="str">
        <f>IF(C$2,D54,C54)</f>
        <v>Cold Box</v>
      </c>
      <c r="C54" s="485" t="s">
        <v>717</v>
      </c>
      <c r="D54" s="485" t="s">
        <v>716</v>
      </c>
      <c r="E54" s="61">
        <f t="shared" ref="E54:E57" si="4">A54</f>
        <v>1</v>
      </c>
      <c r="G54" s="503"/>
    </row>
    <row r="55" spans="1:7" x14ac:dyDescent="0.2">
      <c r="A55" s="146">
        <v>2</v>
      </c>
      <c r="B55" s="640" t="str">
        <f>IF(C$2,D55,C55)</f>
        <v>Hot Box</v>
      </c>
      <c r="C55" s="638" t="s">
        <v>715</v>
      </c>
      <c r="D55" s="638" t="s">
        <v>714</v>
      </c>
      <c r="E55" s="31">
        <f t="shared" si="4"/>
        <v>2</v>
      </c>
    </row>
    <row r="56" spans="1:7" x14ac:dyDescent="0.2">
      <c r="A56" s="146">
        <v>3</v>
      </c>
      <c r="B56" s="640" t="str">
        <f>IF(C$2,D56,C56)</f>
        <v>Co2-Kerne</v>
      </c>
      <c r="C56" s="638" t="s">
        <v>722</v>
      </c>
      <c r="D56" s="638" t="s">
        <v>721</v>
      </c>
      <c r="E56" s="31">
        <f t="shared" si="4"/>
        <v>3</v>
      </c>
    </row>
    <row r="57" spans="1:7" ht="15" thickBot="1" x14ac:dyDescent="0.25">
      <c r="A57" s="673">
        <v>4</v>
      </c>
      <c r="B57" s="641" t="str">
        <f>IF(C$2,D57,C57)</f>
        <v>BeachBox</v>
      </c>
      <c r="C57" s="639" t="s">
        <v>718</v>
      </c>
      <c r="D57" s="639" t="s">
        <v>718</v>
      </c>
      <c r="E57" s="62">
        <f t="shared" si="4"/>
        <v>4</v>
      </c>
    </row>
    <row r="58" spans="1:7" ht="6" customHeight="1" thickBot="1" x14ac:dyDescent="0.25"/>
    <row r="59" spans="1:7" ht="15" thickBot="1" x14ac:dyDescent="0.25">
      <c r="B59" s="35" t="s">
        <v>416</v>
      </c>
      <c r="C59" s="440">
        <v>1</v>
      </c>
      <c r="D59" s="488" t="s">
        <v>417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485" t="s">
        <v>260</v>
      </c>
      <c r="D60" s="485" t="s">
        <v>261</v>
      </c>
      <c r="E60" s="31">
        <f t="shared" si="2"/>
        <v>1</v>
      </c>
      <c r="G60" s="503"/>
    </row>
    <row r="61" spans="1:7" x14ac:dyDescent="0.2">
      <c r="A61" s="146">
        <v>2</v>
      </c>
      <c r="B61" s="509" t="str">
        <f>IF(C$2,D61,C61)</f>
        <v>MIG/WIG</v>
      </c>
      <c r="C61" s="485" t="str">
        <f>D61</f>
        <v>MIG/WIG</v>
      </c>
      <c r="D61" s="485" t="s">
        <v>418</v>
      </c>
      <c r="E61" s="31">
        <f t="shared" si="2"/>
        <v>2</v>
      </c>
    </row>
    <row r="62" spans="1:7" ht="15" thickBot="1" x14ac:dyDescent="0.25">
      <c r="A62" s="673">
        <v>3</v>
      </c>
      <c r="B62" s="46" t="str">
        <f>IF(C$2,D62,C62)</f>
        <v>AGL</v>
      </c>
      <c r="C62" s="486" t="str">
        <f>D62</f>
        <v>AGL</v>
      </c>
      <c r="D62" s="486" t="s">
        <v>419</v>
      </c>
      <c r="E62" s="44">
        <f t="shared" si="2"/>
        <v>3</v>
      </c>
    </row>
    <row r="63" spans="1:7" ht="6" customHeight="1" thickBot="1" x14ac:dyDescent="0.25"/>
    <row r="64" spans="1:7" ht="15" thickBot="1" x14ac:dyDescent="0.25">
      <c r="B64" s="35" t="s">
        <v>516</v>
      </c>
      <c r="C64" s="440">
        <v>1</v>
      </c>
      <c r="D64" s="488" t="s">
        <v>517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260</v>
      </c>
      <c r="D65" s="5" t="s">
        <v>261</v>
      </c>
      <c r="E65" s="61">
        <f t="shared" si="2"/>
        <v>1</v>
      </c>
      <c r="G65" s="503"/>
    </row>
    <row r="66" spans="1:7" x14ac:dyDescent="0.2">
      <c r="A66" s="146">
        <v>2</v>
      </c>
      <c r="B66" s="640">
        <f>IF(C$2,D66,C66)</f>
        <v>0.05</v>
      </c>
      <c r="C66" s="638">
        <v>0.05</v>
      </c>
      <c r="D66" s="638">
        <v>0.05</v>
      </c>
      <c r="E66" s="31">
        <f t="shared" si="2"/>
        <v>2</v>
      </c>
    </row>
    <row r="67" spans="1:7" x14ac:dyDescent="0.2">
      <c r="A67" s="146">
        <v>3</v>
      </c>
      <c r="B67" s="640">
        <f>IF(C$2,D67,C67)</f>
        <v>0.1</v>
      </c>
      <c r="C67" s="638">
        <v>0.1</v>
      </c>
      <c r="D67" s="638">
        <v>0.1</v>
      </c>
      <c r="E67" s="31">
        <f t="shared" si="2"/>
        <v>3</v>
      </c>
    </row>
    <row r="68" spans="1:7" ht="15" thickBot="1" x14ac:dyDescent="0.25">
      <c r="A68" s="673">
        <v>4</v>
      </c>
      <c r="B68" s="641">
        <f>IF(C$2,D68,C68)</f>
        <v>0.15</v>
      </c>
      <c r="C68" s="639">
        <v>0.15</v>
      </c>
      <c r="D68" s="639">
        <v>0.15</v>
      </c>
      <c r="E68" s="62">
        <f t="shared" si="2"/>
        <v>4</v>
      </c>
    </row>
    <row r="69" spans="1:7" ht="7.5" customHeight="1" thickBot="1" x14ac:dyDescent="0.25"/>
    <row r="70" spans="1:7" ht="15" thickBot="1" x14ac:dyDescent="0.25">
      <c r="B70" s="35" t="s">
        <v>764</v>
      </c>
      <c r="C70" s="440">
        <v>2</v>
      </c>
      <c r="D70" s="488" t="s">
        <v>763</v>
      </c>
      <c r="E70" s="37"/>
      <c r="G70" s="503"/>
    </row>
    <row r="71" spans="1:7" x14ac:dyDescent="0.2">
      <c r="A71" s="141">
        <v>1</v>
      </c>
      <c r="B71" s="60" t="str">
        <f>IF(C$2,D71,C71)</f>
        <v>Gas</v>
      </c>
      <c r="C71" s="485" t="s">
        <v>759</v>
      </c>
      <c r="D71" s="485" t="s">
        <v>109</v>
      </c>
      <c r="E71" s="31">
        <f>A71</f>
        <v>1</v>
      </c>
      <c r="G71" s="503"/>
    </row>
    <row r="72" spans="1:7" ht="15" x14ac:dyDescent="0.25">
      <c r="A72" s="146">
        <v>2</v>
      </c>
      <c r="B72" s="59" t="str">
        <f>IF(C$2,D72,C72)</f>
        <v>Strom</v>
      </c>
      <c r="C72" s="485" t="s">
        <v>760</v>
      </c>
      <c r="D72" s="485" t="s">
        <v>106</v>
      </c>
      <c r="E72" s="31">
        <f>A72</f>
        <v>2</v>
      </c>
    </row>
    <row r="73" spans="1:7" ht="15" thickBot="1" x14ac:dyDescent="0.25">
      <c r="A73" s="673">
        <v>3</v>
      </c>
      <c r="B73" s="46" t="str">
        <f>IF(C$2,D73,C73)</f>
        <v>Heizöl</v>
      </c>
      <c r="C73" s="486" t="s">
        <v>762</v>
      </c>
      <c r="D73" s="486" t="s">
        <v>761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Input'!D26</f>
        <v>surface sand blasting</v>
      </c>
      <c r="E75" s="37"/>
      <c r="G75" s="503"/>
    </row>
    <row r="76" spans="1:7" x14ac:dyDescent="0.2">
      <c r="B76" s="60" t="str">
        <f>IF(C$2,C76,D76)</f>
        <v>Sandstrahlen</v>
      </c>
      <c r="C76" s="485" t="s">
        <v>370</v>
      </c>
      <c r="D76" s="485" t="s">
        <v>777</v>
      </c>
      <c r="E76" s="41"/>
    </row>
    <row r="77" spans="1:7" ht="15" x14ac:dyDescent="0.25">
      <c r="B77" s="59" t="str">
        <f>IF(C$2,C77,D77)</f>
        <v>Gleitschleifen</v>
      </c>
      <c r="C77" s="485" t="s">
        <v>667</v>
      </c>
      <c r="D77" s="485" t="s">
        <v>668</v>
      </c>
      <c r="E77" s="41"/>
    </row>
    <row r="78" spans="1:7" ht="15" thickBot="1" x14ac:dyDescent="0.25">
      <c r="B78" s="46" t="str">
        <f>IF(C$2,C78,D78)</f>
        <v>Feinputzen</v>
      </c>
      <c r="C78" s="486" t="s">
        <v>669</v>
      </c>
      <c r="D78" s="486" t="s">
        <v>670</v>
      </c>
      <c r="E78" s="984"/>
    </row>
    <row r="79" spans="1:7" ht="6.75" customHeight="1" thickBot="1" x14ac:dyDescent="0.25"/>
    <row r="80" spans="1:7" ht="15" thickBot="1" x14ac:dyDescent="0.25">
      <c r="B80" s="35" t="s">
        <v>3</v>
      </c>
      <c r="C80" s="440">
        <v>6</v>
      </c>
      <c r="D80" s="37" t="s">
        <v>961</v>
      </c>
      <c r="E80" s="141"/>
    </row>
    <row r="81" spans="1:5" x14ac:dyDescent="0.2">
      <c r="A81" s="124">
        <v>1</v>
      </c>
      <c r="B81" s="45" t="str">
        <f t="shared" ref="B81:B87" si="5">IF(Deutsch,D81,C81)</f>
        <v>Handbedienung</v>
      </c>
      <c r="C81" s="1165" t="s">
        <v>176</v>
      </c>
      <c r="D81" s="1168" t="s">
        <v>962</v>
      </c>
      <c r="E81" s="61">
        <f t="shared" ref="E81:E87" si="6">A81</f>
        <v>1</v>
      </c>
    </row>
    <row r="82" spans="1:5" x14ac:dyDescent="0.2">
      <c r="A82" s="3">
        <v>2</v>
      </c>
      <c r="B82" s="45" t="str">
        <f t="shared" si="5"/>
        <v>Dosiergerät</v>
      </c>
      <c r="C82" s="1166" t="s">
        <v>963</v>
      </c>
      <c r="D82" t="s">
        <v>964</v>
      </c>
      <c r="E82" s="61">
        <f t="shared" si="6"/>
        <v>2</v>
      </c>
    </row>
    <row r="83" spans="1:5" x14ac:dyDescent="0.2">
      <c r="A83" s="3">
        <v>3</v>
      </c>
      <c r="B83" s="509" t="str">
        <f t="shared" si="5"/>
        <v>Entnahmegerät</v>
      </c>
      <c r="C83" s="1166" t="s">
        <v>965</v>
      </c>
      <c r="D83" t="s">
        <v>966</v>
      </c>
      <c r="E83" s="61">
        <f t="shared" si="6"/>
        <v>3</v>
      </c>
    </row>
    <row r="84" spans="1:5" x14ac:dyDescent="0.2">
      <c r="A84" s="3">
        <v>4</v>
      </c>
      <c r="B84" s="509" t="str">
        <f t="shared" si="5"/>
        <v>Fertigungszelle mit Stanze</v>
      </c>
      <c r="C84" s="1166" t="s">
        <v>967</v>
      </c>
      <c r="D84" t="s">
        <v>968</v>
      </c>
      <c r="E84" s="61">
        <f t="shared" si="6"/>
        <v>4</v>
      </c>
    </row>
    <row r="85" spans="1:5" x14ac:dyDescent="0.2">
      <c r="A85" s="3">
        <v>5</v>
      </c>
      <c r="B85" s="509" t="str">
        <f t="shared" si="5"/>
        <v>Fertigungszelle mit Entgratung</v>
      </c>
      <c r="C85" s="1166" t="s">
        <v>969</v>
      </c>
      <c r="D85" t="s">
        <v>970</v>
      </c>
      <c r="E85" s="61">
        <f t="shared" si="6"/>
        <v>5</v>
      </c>
    </row>
    <row r="86" spans="1:5" x14ac:dyDescent="0.2">
      <c r="A86" s="3">
        <v>6</v>
      </c>
      <c r="B86" s="509" t="str">
        <f t="shared" si="5"/>
        <v>Roboterzelle mit Prüfstation</v>
      </c>
      <c r="C86" s="1166" t="s">
        <v>971</v>
      </c>
      <c r="D86" t="s">
        <v>972</v>
      </c>
      <c r="E86" s="61">
        <f t="shared" si="6"/>
        <v>6</v>
      </c>
    </row>
    <row r="87" spans="1:5" ht="15" thickBot="1" x14ac:dyDescent="0.25">
      <c r="A87" s="242">
        <v>7</v>
      </c>
      <c r="B87" s="1169" t="str">
        <f t="shared" si="5"/>
        <v>Roboterzelle mit Verpackung</v>
      </c>
      <c r="C87" s="1170" t="s">
        <v>973</v>
      </c>
      <c r="D87" s="27" t="s">
        <v>974</v>
      </c>
      <c r="E87" s="62">
        <f t="shared" si="6"/>
        <v>7</v>
      </c>
    </row>
  </sheetData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9">
    <dataValidation type="list" allowBlank="1" showInputMessage="1" showErrorMessage="1" sqref="C64 C53" xr:uid="{00000000-0002-0000-0500-000000000000}">
      <formula1>E54:E57</formula1>
    </dataValidation>
    <dataValidation type="list" showInputMessage="1" showErrorMessage="1" sqref="C6" xr:uid="{00000000-0002-0000-0500-000001000000}">
      <formula1>$E$7:$E$9</formula1>
    </dataValidation>
    <dataValidation type="list" allowBlank="1" showInputMessage="1" showErrorMessage="1" sqref="C70 C59 C48 C35 C30 C25" xr:uid="{00000000-0002-0000-0500-000002000000}">
      <formula1>E26:E28</formula1>
    </dataValidation>
    <dataValidation type="list" showInputMessage="1" showErrorMessage="1" sqref="C15" xr:uid="{00000000-0002-0000-0500-000003000000}">
      <formula1>E16:E19</formula1>
    </dataValidation>
    <dataValidation type="list" allowBlank="1" showInputMessage="1" showErrorMessage="1" sqref="C40" xr:uid="{00000000-0002-0000-0500-000004000000}">
      <formula1>E41:E46</formula1>
    </dataValidation>
    <dataValidation type="list" allowBlank="1" showInputMessage="1" showErrorMessage="1" sqref="I2" xr:uid="{28210F4D-EA15-42C6-B695-BF849B14297A}">
      <formula1>K3:K9</formula1>
    </dataValidation>
    <dataValidation type="list" allowBlank="1" showInputMessage="1" showErrorMessage="1" sqref="C80" xr:uid="{ECF80512-A791-4ADB-8215-CC2249DFA9DD}">
      <formula1>$E$41:$E$47</formula1>
    </dataValidation>
    <dataValidation type="list" allowBlank="1" showInputMessage="1" showErrorMessage="1" sqref="D81:D84" xr:uid="{2BB7C13E-AEAF-4815-88A0-1E3E2C7B41A2}">
      <formula1>$E$41:$E$46</formula1>
    </dataValidation>
    <dataValidation type="list" allowBlank="1" showInputMessage="1" showErrorMessage="1" sqref="H2" xr:uid="{E3993329-12DC-4806-AE68-EE52DAE5FCA8}">
      <formula1>J3:J15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tabColor theme="5" tint="0.59999389629810485"/>
  </sheetPr>
  <dimension ref="A1:P55"/>
  <sheetViews>
    <sheetView topLeftCell="A20" zoomScale="115" zoomScaleNormal="115" workbookViewId="0">
      <selection activeCell="M29" sqref="M29"/>
    </sheetView>
  </sheetViews>
  <sheetFormatPr baseColWidth="10" defaultColWidth="11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14" t="s">
        <v>2</v>
      </c>
      <c r="B1" s="56" t="s">
        <v>57</v>
      </c>
      <c r="C1" s="56" t="s">
        <v>10</v>
      </c>
      <c r="D1" s="56" t="s">
        <v>164</v>
      </c>
      <c r="E1" s="56" t="s">
        <v>11</v>
      </c>
      <c r="F1" s="57" t="s">
        <v>12</v>
      </c>
      <c r="G1" s="56" t="s">
        <v>239</v>
      </c>
      <c r="H1" s="56" t="s">
        <v>291</v>
      </c>
      <c r="I1" s="56" t="s">
        <v>240</v>
      </c>
      <c r="J1" s="65" t="s">
        <v>288</v>
      </c>
      <c r="K1" s="65" t="s">
        <v>287</v>
      </c>
      <c r="L1" s="65" t="s">
        <v>286</v>
      </c>
      <c r="M1" s="512" t="s">
        <v>420</v>
      </c>
      <c r="N1" s="65" t="s">
        <v>289</v>
      </c>
      <c r="O1" s="65" t="s">
        <v>290</v>
      </c>
    </row>
    <row r="2" spans="1:15" ht="15" x14ac:dyDescent="0.25">
      <c r="A2" s="692" t="s">
        <v>14</v>
      </c>
      <c r="B2" s="693" t="s">
        <v>67</v>
      </c>
      <c r="C2" s="988">
        <v>18.940000000000001</v>
      </c>
      <c r="D2" s="989">
        <v>22.45</v>
      </c>
      <c r="E2" s="989">
        <v>25.59</v>
      </c>
      <c r="F2" s="990">
        <v>3.2300000000000002E-2</v>
      </c>
      <c r="G2" s="1101">
        <v>7.0000000000000007E-2</v>
      </c>
      <c r="H2" s="989">
        <v>6.5</v>
      </c>
      <c r="I2" s="1101">
        <v>5.2999999999999999E-2</v>
      </c>
      <c r="J2" s="679">
        <v>0</v>
      </c>
      <c r="K2" s="679">
        <v>0</v>
      </c>
      <c r="L2" s="679">
        <v>0</v>
      </c>
      <c r="M2" s="680">
        <v>0</v>
      </c>
      <c r="N2" s="1000">
        <v>0.621</v>
      </c>
      <c r="O2" s="1001">
        <v>0.71899999999999997</v>
      </c>
    </row>
    <row r="3" spans="1:15" x14ac:dyDescent="0.2">
      <c r="A3" s="694" t="s">
        <v>15</v>
      </c>
      <c r="B3" s="695" t="s">
        <v>547</v>
      </c>
      <c r="C3" s="988">
        <v>13.61</v>
      </c>
      <c r="D3" s="991">
        <v>16.489999999999998</v>
      </c>
      <c r="E3" s="991">
        <v>17.350000000000001</v>
      </c>
      <c r="F3" s="992">
        <v>3.2000000000000001E-2</v>
      </c>
      <c r="G3" s="1102">
        <v>7.0000000000000007E-2</v>
      </c>
      <c r="H3" s="991">
        <v>6.7</v>
      </c>
      <c r="I3" s="1102">
        <v>0.05</v>
      </c>
      <c r="J3" s="681">
        <v>0</v>
      </c>
      <c r="K3" s="681">
        <v>-5.0000000000000001E-3</v>
      </c>
      <c r="L3" s="681">
        <v>0</v>
      </c>
      <c r="M3" s="682">
        <v>0</v>
      </c>
      <c r="N3" s="1002">
        <v>1.0464</v>
      </c>
      <c r="O3" s="1003">
        <v>1.1064000000000001</v>
      </c>
    </row>
    <row r="4" spans="1:15" x14ac:dyDescent="0.2">
      <c r="A4" s="694" t="s">
        <v>13</v>
      </c>
      <c r="B4" s="695" t="s">
        <v>548</v>
      </c>
      <c r="C4" s="988">
        <v>11.84</v>
      </c>
      <c r="D4" s="988">
        <v>12.63</v>
      </c>
      <c r="E4" s="988">
        <v>15.72</v>
      </c>
      <c r="F4" s="993">
        <v>3.5299999999999998E-2</v>
      </c>
      <c r="G4" s="1103">
        <v>0.09</v>
      </c>
      <c r="H4" s="988">
        <v>5.18</v>
      </c>
      <c r="I4" s="1103">
        <v>8.5999999999999993E-2</v>
      </c>
      <c r="J4" s="681">
        <v>0</v>
      </c>
      <c r="K4" s="681">
        <v>-5.0000000000000001E-3</v>
      </c>
      <c r="L4" s="681">
        <v>0</v>
      </c>
      <c r="M4" s="682">
        <v>0</v>
      </c>
      <c r="N4" s="1002">
        <v>1.2688999999999999</v>
      </c>
      <c r="O4" s="1003">
        <v>1.2688999999999999</v>
      </c>
    </row>
    <row r="5" spans="1:15" x14ac:dyDescent="0.2">
      <c r="A5" s="694" t="s">
        <v>16</v>
      </c>
      <c r="B5" s="695" t="s">
        <v>549</v>
      </c>
      <c r="C5" s="988">
        <v>4.21</v>
      </c>
      <c r="D5" s="988">
        <v>5.63</v>
      </c>
      <c r="E5" s="988">
        <v>6.36</v>
      </c>
      <c r="F5" s="993">
        <v>3.8100000000000002E-2</v>
      </c>
      <c r="G5" s="1103">
        <v>7.0000000000000007E-2</v>
      </c>
      <c r="H5" s="988">
        <v>4.51</v>
      </c>
      <c r="I5" s="1103">
        <v>7.8299999999999995E-2</v>
      </c>
      <c r="J5" s="681">
        <v>0</v>
      </c>
      <c r="K5" s="681">
        <v>-1.4999999999999999E-2</v>
      </c>
      <c r="L5" s="681">
        <v>5.0000000000000001E-3</v>
      </c>
      <c r="M5" s="682">
        <v>1</v>
      </c>
      <c r="N5" s="1002">
        <v>0.70379999999999998</v>
      </c>
      <c r="O5" s="1003">
        <v>0.73709999999999998</v>
      </c>
    </row>
    <row r="6" spans="1:15" x14ac:dyDescent="0.2">
      <c r="A6" s="694" t="s">
        <v>17</v>
      </c>
      <c r="B6" s="695" t="s">
        <v>550</v>
      </c>
      <c r="C6" s="988">
        <v>4.3600000000000003</v>
      </c>
      <c r="D6" s="988">
        <v>5.93</v>
      </c>
      <c r="E6" s="988">
        <v>7.96</v>
      </c>
      <c r="F6" s="993">
        <v>5.2299999999999999E-2</v>
      </c>
      <c r="G6" s="1103">
        <v>0.06</v>
      </c>
      <c r="H6" s="988">
        <v>4.7300000000000004</v>
      </c>
      <c r="I6" s="1103">
        <v>0.1237</v>
      </c>
      <c r="J6" s="681">
        <v>-5.0000000000000001E-3</v>
      </c>
      <c r="K6" s="681">
        <v>-0.01</v>
      </c>
      <c r="L6" s="681">
        <v>0.01</v>
      </c>
      <c r="M6" s="682">
        <v>1</v>
      </c>
      <c r="N6" s="1002">
        <v>0.51459999999999995</v>
      </c>
      <c r="O6" s="1003">
        <v>0.59799999999999998</v>
      </c>
    </row>
    <row r="7" spans="1:15" x14ac:dyDescent="0.2">
      <c r="A7" s="694" t="s">
        <v>551</v>
      </c>
      <c r="B7" s="695" t="s">
        <v>552</v>
      </c>
      <c r="C7" s="988">
        <v>3.19</v>
      </c>
      <c r="D7" s="988">
        <v>3.79</v>
      </c>
      <c r="E7" s="994">
        <v>4.55</v>
      </c>
      <c r="F7" s="995">
        <v>5.3699999999999998E-2</v>
      </c>
      <c r="G7" s="1104">
        <v>0.09</v>
      </c>
      <c r="H7" s="994">
        <v>3.76</v>
      </c>
      <c r="I7" s="1104">
        <v>4.2000000000000003E-2</v>
      </c>
      <c r="J7" s="681">
        <v>-0.01</v>
      </c>
      <c r="K7" s="681">
        <v>-0.02</v>
      </c>
      <c r="L7" s="681">
        <v>1.4999999999999999E-2</v>
      </c>
      <c r="M7" s="683">
        <v>1</v>
      </c>
      <c r="N7" s="1002">
        <v>0.56679999999999997</v>
      </c>
      <c r="O7" s="1003">
        <v>0.56679999999999997</v>
      </c>
    </row>
    <row r="8" spans="1:15" ht="15" thickBot="1" x14ac:dyDescent="0.25">
      <c r="A8" s="696" t="s">
        <v>18</v>
      </c>
      <c r="B8" s="697" t="s">
        <v>553</v>
      </c>
      <c r="C8" s="996">
        <v>2.27</v>
      </c>
      <c r="D8" s="996">
        <v>3.35</v>
      </c>
      <c r="E8" s="996">
        <v>5.32</v>
      </c>
      <c r="F8" s="997">
        <v>5.5199999999999999E-2</v>
      </c>
      <c r="G8" s="1105">
        <v>7.0000000000000007E-2</v>
      </c>
      <c r="H8" s="996">
        <v>3.79</v>
      </c>
      <c r="I8" s="1105">
        <v>4.2000000000000003E-2</v>
      </c>
      <c r="J8" s="684">
        <v>-0.01</v>
      </c>
      <c r="K8" s="684">
        <v>-0.02</v>
      </c>
      <c r="L8" s="684">
        <v>1.4999999999999999E-2</v>
      </c>
      <c r="M8" s="685">
        <v>1</v>
      </c>
      <c r="N8" s="1004">
        <v>0.62380000000000002</v>
      </c>
      <c r="O8" s="1005">
        <v>0.65959999999999996</v>
      </c>
    </row>
    <row r="9" spans="1:15" x14ac:dyDescent="0.2">
      <c r="A9" s="698" t="s">
        <v>554</v>
      </c>
      <c r="B9" s="699" t="s">
        <v>555</v>
      </c>
      <c r="C9" s="991">
        <v>2.96</v>
      </c>
      <c r="D9" s="988">
        <v>3.89</v>
      </c>
      <c r="E9" s="994">
        <v>4.22</v>
      </c>
      <c r="F9" s="995">
        <v>0.111</v>
      </c>
      <c r="G9" s="1104">
        <v>0.04</v>
      </c>
      <c r="H9" s="994">
        <v>2.37</v>
      </c>
      <c r="I9" s="1104">
        <v>0.04</v>
      </c>
      <c r="J9" s="681">
        <v>-0.01</v>
      </c>
      <c r="K9" s="681">
        <v>-0.02</v>
      </c>
      <c r="L9" s="681">
        <v>0.03</v>
      </c>
      <c r="M9" s="683">
        <v>1</v>
      </c>
      <c r="N9" s="1002">
        <v>0.78649999999999998</v>
      </c>
      <c r="O9" s="1003">
        <v>0.78649999999999998</v>
      </c>
    </row>
    <row r="10" spans="1:15" x14ac:dyDescent="0.2">
      <c r="A10" s="700" t="s">
        <v>9</v>
      </c>
      <c r="B10" s="701" t="s">
        <v>78</v>
      </c>
      <c r="C10" s="988">
        <v>0.7</v>
      </c>
      <c r="D10" s="988">
        <v>1.1399999999999999</v>
      </c>
      <c r="E10" s="988">
        <v>1.29</v>
      </c>
      <c r="F10" s="993">
        <v>8.9700000000000002E-2</v>
      </c>
      <c r="G10" s="1103">
        <v>9.7000000000000003E-2</v>
      </c>
      <c r="H10" s="988">
        <v>4.58</v>
      </c>
      <c r="I10" s="1103">
        <v>3.5000000000000003E-2</v>
      </c>
      <c r="J10" s="686">
        <v>-0.01</v>
      </c>
      <c r="K10" s="686">
        <v>-0.02</v>
      </c>
      <c r="L10" s="686">
        <v>0.03</v>
      </c>
      <c r="M10" s="687">
        <v>2</v>
      </c>
      <c r="N10" s="1006">
        <v>0.57620000000000005</v>
      </c>
      <c r="O10" s="1007">
        <v>0.57620000000000005</v>
      </c>
    </row>
    <row r="11" spans="1:15" x14ac:dyDescent="0.2">
      <c r="A11" s="700" t="s">
        <v>8</v>
      </c>
      <c r="B11" s="701" t="s">
        <v>8</v>
      </c>
      <c r="C11" s="988">
        <v>3.52</v>
      </c>
      <c r="D11" s="988">
        <v>4.4400000000000004</v>
      </c>
      <c r="E11" s="988">
        <v>4.8899999999999997</v>
      </c>
      <c r="F11" s="993">
        <v>7.22E-2</v>
      </c>
      <c r="G11" s="1103">
        <v>7.0000000000000007E-2</v>
      </c>
      <c r="H11" s="988">
        <v>3.7</v>
      </c>
      <c r="I11" s="1103">
        <v>3.2000000000000001E-2</v>
      </c>
      <c r="J11" s="686">
        <v>-0.01</v>
      </c>
      <c r="K11" s="686">
        <v>-0.02</v>
      </c>
      <c r="L11" s="686">
        <v>0.03</v>
      </c>
      <c r="M11" s="687">
        <v>2</v>
      </c>
      <c r="N11" s="1006">
        <v>0.89190000000000003</v>
      </c>
      <c r="O11" s="1007">
        <v>0.89190000000000003</v>
      </c>
    </row>
    <row r="12" spans="1:15" ht="15" thickBot="1" x14ac:dyDescent="0.25">
      <c r="A12" s="702" t="s">
        <v>876</v>
      </c>
      <c r="B12" s="703" t="s">
        <v>876</v>
      </c>
      <c r="C12" s="996">
        <v>15.16</v>
      </c>
      <c r="D12" s="996">
        <v>22.15</v>
      </c>
      <c r="E12" s="998">
        <v>27.42</v>
      </c>
      <c r="F12" s="999">
        <v>4.99E-2</v>
      </c>
      <c r="G12" s="1106">
        <v>0.06</v>
      </c>
      <c r="H12" s="998">
        <v>3.94</v>
      </c>
      <c r="I12" s="1106">
        <v>0.03</v>
      </c>
      <c r="J12" s="688">
        <v>-0.01</v>
      </c>
      <c r="K12" s="688">
        <v>-0.02</v>
      </c>
      <c r="L12" s="688">
        <v>2.5000000000000001E-2</v>
      </c>
      <c r="M12" s="689">
        <v>2</v>
      </c>
      <c r="N12" s="1004">
        <v>0.3826</v>
      </c>
      <c r="O12" s="1005">
        <v>0.40350000000000003</v>
      </c>
    </row>
    <row r="13" spans="1:15" x14ac:dyDescent="0.2">
      <c r="A13" s="698" t="s">
        <v>590</v>
      </c>
      <c r="B13" s="704" t="s">
        <v>591</v>
      </c>
      <c r="C13" s="988">
        <v>10.96</v>
      </c>
      <c r="D13" s="988">
        <v>12.74</v>
      </c>
      <c r="E13" s="988">
        <v>15.8</v>
      </c>
      <c r="F13" s="993">
        <v>3.1699999999999999E-2</v>
      </c>
      <c r="G13" s="1103">
        <v>0.09</v>
      </c>
      <c r="H13" s="988">
        <v>4.01</v>
      </c>
      <c r="I13" s="1103">
        <v>0.14829999999999999</v>
      </c>
      <c r="J13" s="686">
        <v>0</v>
      </c>
      <c r="K13" s="686">
        <v>-5.0000000000000001E-3</v>
      </c>
      <c r="L13" s="686">
        <v>0</v>
      </c>
      <c r="M13" s="687">
        <v>0</v>
      </c>
      <c r="N13" s="1006">
        <v>0.89459999999999995</v>
      </c>
      <c r="O13" s="1007">
        <v>0.96130000000000004</v>
      </c>
    </row>
    <row r="14" spans="1:15" ht="15" thickBot="1" x14ac:dyDescent="0.25">
      <c r="A14" s="702" t="s">
        <v>24</v>
      </c>
      <c r="B14" s="703" t="s">
        <v>79</v>
      </c>
      <c r="C14" s="996">
        <v>1.4</v>
      </c>
      <c r="D14" s="996">
        <v>2.0099999999999998</v>
      </c>
      <c r="E14" s="996">
        <v>3.05</v>
      </c>
      <c r="F14" s="997">
        <v>0.1004</v>
      </c>
      <c r="G14" s="1105">
        <v>0.04</v>
      </c>
      <c r="H14" s="996">
        <v>3.48</v>
      </c>
      <c r="I14" s="1105">
        <v>3.5000000000000003E-2</v>
      </c>
      <c r="J14" s="690">
        <v>-0.01</v>
      </c>
      <c r="K14" s="690">
        <v>-0.02</v>
      </c>
      <c r="L14" s="690">
        <v>0.03</v>
      </c>
      <c r="M14" s="691">
        <v>2</v>
      </c>
      <c r="N14" s="1008">
        <v>0.66600000000000004</v>
      </c>
      <c r="O14" s="1009">
        <v>0.66600000000000004</v>
      </c>
    </row>
    <row r="15" spans="1:15" x14ac:dyDescent="0.2">
      <c r="A15" s="671" t="s">
        <v>546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65" t="s">
        <v>238</v>
      </c>
      <c r="B16" s="55"/>
      <c r="C16" s="316"/>
      <c r="G16" s="55"/>
    </row>
    <row r="17" spans="1:15" ht="15" thickBot="1" x14ac:dyDescent="0.25">
      <c r="B17" s="738" t="s">
        <v>644</v>
      </c>
      <c r="C17" s="55"/>
      <c r="G17" s="55"/>
    </row>
    <row r="18" spans="1:15" x14ac:dyDescent="0.2">
      <c r="A18" s="167" t="s">
        <v>641</v>
      </c>
      <c r="B18" s="167" t="s">
        <v>642</v>
      </c>
      <c r="C18" s="55"/>
      <c r="D18" s="347" t="s">
        <v>285</v>
      </c>
      <c r="E18" s="263"/>
      <c r="F18" s="264"/>
      <c r="G18" s="55"/>
      <c r="H18" s="308" t="s">
        <v>98</v>
      </c>
      <c r="I18" s="315"/>
      <c r="J18" s="767">
        <v>42309</v>
      </c>
      <c r="K18" s="768"/>
      <c r="L18" s="482" t="s">
        <v>540</v>
      </c>
      <c r="M18" s="315"/>
      <c r="N18" s="767">
        <v>42309</v>
      </c>
      <c r="O18" s="768"/>
    </row>
    <row r="19" spans="1:15" ht="15" thickBot="1" x14ac:dyDescent="0.25">
      <c r="A19" s="735" t="s">
        <v>652</v>
      </c>
      <c r="B19" s="167" t="s">
        <v>643</v>
      </c>
      <c r="C19" s="55"/>
      <c r="D19" s="665" t="s">
        <v>280</v>
      </c>
      <c r="E19" s="666"/>
      <c r="F19" s="667"/>
      <c r="G19" s="55"/>
      <c r="H19" s="311" t="s">
        <v>115</v>
      </c>
      <c r="I19" s="417">
        <v>7.0000000000000007E-2</v>
      </c>
      <c r="J19" s="765">
        <v>7.0000000000000007E-2</v>
      </c>
      <c r="K19" s="769"/>
      <c r="L19" s="655" t="s">
        <v>115</v>
      </c>
      <c r="M19" s="748">
        <v>0.32</v>
      </c>
      <c r="N19" s="773">
        <v>0.3</v>
      </c>
      <c r="O19" s="747"/>
    </row>
    <row r="20" spans="1:15" x14ac:dyDescent="0.2">
      <c r="A20" s="441"/>
      <c r="B20" s="797"/>
      <c r="C20" s="55"/>
      <c r="D20" s="672" t="s">
        <v>283</v>
      </c>
      <c r="E20" s="672"/>
      <c r="F20" s="672"/>
      <c r="G20" s="55"/>
      <c r="H20" s="308" t="s">
        <v>127</v>
      </c>
      <c r="I20" s="315"/>
      <c r="J20" s="767">
        <v>42309</v>
      </c>
      <c r="K20" s="768"/>
      <c r="L20" s="482" t="s">
        <v>621</v>
      </c>
      <c r="M20" s="416"/>
      <c r="N20" s="767">
        <v>42309</v>
      </c>
      <c r="O20" s="768"/>
    </row>
    <row r="21" spans="1:15" ht="15" thickBot="1" x14ac:dyDescent="0.25">
      <c r="A21" s="441"/>
      <c r="B21" s="797"/>
      <c r="C21" s="55"/>
      <c r="D21" s="668" t="s">
        <v>282</v>
      </c>
      <c r="E21" s="669"/>
      <c r="F21" s="670"/>
      <c r="G21" s="55"/>
      <c r="H21" s="311" t="s">
        <v>115</v>
      </c>
      <c r="I21" s="348">
        <v>0.16</v>
      </c>
      <c r="J21" s="766">
        <v>0.16</v>
      </c>
      <c r="K21" s="769"/>
      <c r="L21" s="655" t="s">
        <v>115</v>
      </c>
      <c r="M21" s="417">
        <v>5.5E-2</v>
      </c>
      <c r="N21" s="765">
        <v>5.5E-2</v>
      </c>
      <c r="O21" s="747"/>
    </row>
    <row r="22" spans="1:15" x14ac:dyDescent="0.2">
      <c r="A22" s="441"/>
      <c r="B22" s="797"/>
      <c r="C22" s="55"/>
      <c r="D22" s="662" t="s">
        <v>281</v>
      </c>
      <c r="E22" s="663"/>
      <c r="F22" s="664"/>
      <c r="G22" s="55"/>
      <c r="H22" s="308" t="s">
        <v>231</v>
      </c>
      <c r="I22" s="315"/>
      <c r="J22" s="767">
        <v>42309</v>
      </c>
      <c r="K22" s="768"/>
      <c r="L22" s="1179" t="s">
        <v>978</v>
      </c>
      <c r="M22" s="1180"/>
      <c r="N22" s="1181">
        <v>42125</v>
      </c>
      <c r="O22" s="771"/>
    </row>
    <row r="23" spans="1:15" ht="15" thickBot="1" x14ac:dyDescent="0.25">
      <c r="A23" s="441"/>
      <c r="B23" s="797"/>
      <c r="C23" s="55"/>
      <c r="D23" s="55"/>
      <c r="E23" s="55"/>
      <c r="F23" s="55"/>
      <c r="G23" s="55"/>
      <c r="H23" s="311" t="s">
        <v>115</v>
      </c>
      <c r="I23" s="417">
        <v>0.08</v>
      </c>
      <c r="J23" s="765">
        <v>0.08</v>
      </c>
      <c r="K23" s="769"/>
      <c r="L23" s="1182" t="s">
        <v>122</v>
      </c>
      <c r="M23" s="1183">
        <f>IFERROR(VLOOKUP("Kernsalz",$A$20:$B$51,2,FALSE),N23)</f>
        <v>125</v>
      </c>
      <c r="N23" s="465">
        <v>125</v>
      </c>
      <c r="O23" s="769"/>
    </row>
    <row r="24" spans="1:15" x14ac:dyDescent="0.2">
      <c r="A24" s="441"/>
      <c r="B24" s="797"/>
      <c r="C24" s="55"/>
      <c r="D24" s="385" t="s">
        <v>242</v>
      </c>
      <c r="E24" s="763">
        <v>42935</v>
      </c>
      <c r="F24" s="657"/>
      <c r="G24" s="55"/>
      <c r="H24" s="308" t="s">
        <v>235</v>
      </c>
      <c r="I24" s="315"/>
      <c r="J24" s="767">
        <v>42309</v>
      </c>
      <c r="K24" s="768"/>
      <c r="L24" s="482" t="s">
        <v>357</v>
      </c>
      <c r="M24" s="783" t="s">
        <v>639</v>
      </c>
      <c r="N24" s="787">
        <v>43983</v>
      </c>
      <c r="O24" s="786">
        <v>41579</v>
      </c>
    </row>
    <row r="25" spans="1:15" ht="15" thickBot="1" x14ac:dyDescent="0.25">
      <c r="A25" s="441"/>
      <c r="B25" s="797"/>
      <c r="C25" s="55"/>
      <c r="D25" s="661" t="s">
        <v>545</v>
      </c>
      <c r="E25" s="350">
        <v>43999</v>
      </c>
      <c r="F25" s="724" t="s">
        <v>584</v>
      </c>
      <c r="G25" s="55"/>
      <c r="H25" s="655" t="s">
        <v>623</v>
      </c>
      <c r="I25" s="417">
        <v>0</v>
      </c>
      <c r="J25" s="765">
        <v>0</v>
      </c>
      <c r="K25" s="769"/>
      <c r="L25" s="655" t="s">
        <v>623</v>
      </c>
      <c r="M25" s="788">
        <f>IFERROR(VLOOKUP(#REF!,#REF!,3,FALSE),N25)</f>
        <v>40.1</v>
      </c>
      <c r="N25" s="790">
        <v>40.1</v>
      </c>
      <c r="O25" s="784">
        <v>48</v>
      </c>
    </row>
    <row r="26" spans="1:15" x14ac:dyDescent="0.2">
      <c r="A26" s="441"/>
      <c r="B26" s="797"/>
      <c r="C26" s="55"/>
      <c r="D26" s="660" t="s">
        <v>585</v>
      </c>
      <c r="E26" s="350">
        <v>43999</v>
      </c>
      <c r="F26" s="658"/>
      <c r="G26" s="55"/>
      <c r="H26" s="308" t="s">
        <v>236</v>
      </c>
      <c r="I26" s="315"/>
      <c r="J26" s="767">
        <v>42309</v>
      </c>
      <c r="K26" s="768"/>
      <c r="L26" s="482" t="s">
        <v>626</v>
      </c>
      <c r="M26" s="783" t="s">
        <v>639</v>
      </c>
      <c r="N26" s="767">
        <v>43983</v>
      </c>
      <c r="O26" s="768">
        <v>40909</v>
      </c>
    </row>
    <row r="27" spans="1:15" ht="15" thickBot="1" x14ac:dyDescent="0.25">
      <c r="A27" s="441"/>
      <c r="B27" s="797"/>
      <c r="C27" s="55"/>
      <c r="D27" s="313"/>
      <c r="E27" s="727" t="b">
        <f ca="1">(TODAY()-E24)&gt;35</f>
        <v>1</v>
      </c>
      <c r="F27" s="658"/>
      <c r="G27" s="55"/>
      <c r="H27" s="311" t="s">
        <v>115</v>
      </c>
      <c r="I27" s="749">
        <v>10</v>
      </c>
      <c r="J27" s="774">
        <v>10</v>
      </c>
      <c r="K27" s="769"/>
      <c r="L27" s="655" t="s">
        <v>623</v>
      </c>
      <c r="M27" s="789">
        <f>IFERROR(VLOOKUP(#REF!,#REF!,3,FALSE),N27)</f>
        <v>250</v>
      </c>
      <c r="N27" s="791">
        <v>250</v>
      </c>
      <c r="O27" s="785">
        <v>230</v>
      </c>
    </row>
    <row r="28" spans="1:15" ht="15" thickBot="1" x14ac:dyDescent="0.25">
      <c r="A28" s="441"/>
      <c r="B28" s="797"/>
      <c r="C28" s="55"/>
      <c r="D28" s="386" t="s">
        <v>243</v>
      </c>
      <c r="E28" s="725" t="b">
        <f ca="1">(TODAY()-E25)&gt;450</f>
        <v>1</v>
      </c>
      <c r="F28" s="659"/>
      <c r="G28" s="55"/>
      <c r="H28" s="482" t="s">
        <v>645</v>
      </c>
      <c r="I28" s="315"/>
      <c r="J28" s="767">
        <v>42309</v>
      </c>
      <c r="K28" s="771"/>
      <c r="L28" s="482" t="s">
        <v>358</v>
      </c>
      <c r="M28" s="783" t="s">
        <v>639</v>
      </c>
      <c r="N28" s="767">
        <v>43983</v>
      </c>
      <c r="O28" s="768">
        <v>40787</v>
      </c>
    </row>
    <row r="29" spans="1:15" ht="15" thickBot="1" x14ac:dyDescent="0.25">
      <c r="A29" s="441"/>
      <c r="B29" s="797"/>
      <c r="C29" s="55"/>
      <c r="D29" s="169"/>
      <c r="E29" s="55"/>
      <c r="F29" s="55"/>
      <c r="G29" s="55"/>
      <c r="H29" s="655" t="s">
        <v>646</v>
      </c>
      <c r="I29" s="348">
        <v>0.1</v>
      </c>
      <c r="J29" s="766">
        <v>0.1</v>
      </c>
      <c r="K29" s="769"/>
      <c r="L29" s="311" t="s">
        <v>122</v>
      </c>
      <c r="M29" s="789">
        <f>IFERROR(VLOOKUP(#REF!,#REF!,3,FALSE),N29)</f>
        <v>3110</v>
      </c>
      <c r="N29" s="791">
        <v>3110</v>
      </c>
      <c r="O29" s="785">
        <v>2400</v>
      </c>
    </row>
    <row r="30" spans="1:15" x14ac:dyDescent="0.2">
      <c r="A30" s="441"/>
      <c r="B30" s="797"/>
      <c r="C30" s="55"/>
      <c r="D30" s="782"/>
      <c r="E30" s="780"/>
      <c r="F30" s="781"/>
      <c r="G30" s="55"/>
      <c r="H30" s="482" t="s">
        <v>610</v>
      </c>
      <c r="I30" s="315"/>
      <c r="J30" s="767">
        <v>42309</v>
      </c>
      <c r="K30" s="768"/>
      <c r="L30" s="482" t="str">
        <f>IF(Deutsch,"Logistikaufschlag LME /t","LME logistik add on /mt")</f>
        <v>Logistikaufschlag LME /t</v>
      </c>
      <c r="M30" s="315"/>
      <c r="N30" s="767">
        <v>42309</v>
      </c>
      <c r="O30" s="768"/>
    </row>
    <row r="31" spans="1:15" ht="15" thickBot="1" x14ac:dyDescent="0.25">
      <c r="A31" s="441"/>
      <c r="B31" s="797"/>
      <c r="C31" s="55"/>
      <c r="D31" s="55"/>
      <c r="E31" s="55"/>
      <c r="F31" s="55"/>
      <c r="G31" s="55"/>
      <c r="H31" s="311" t="s">
        <v>115</v>
      </c>
      <c r="I31" s="348">
        <v>0.8</v>
      </c>
      <c r="J31" s="764">
        <v>0.8</v>
      </c>
      <c r="K31" s="747"/>
      <c r="L31" s="655" t="s">
        <v>623</v>
      </c>
      <c r="M31" s="754">
        <v>55</v>
      </c>
      <c r="N31" s="777">
        <v>55</v>
      </c>
      <c r="O31" s="769"/>
    </row>
    <row r="32" spans="1:15" x14ac:dyDescent="0.2">
      <c r="A32" s="441"/>
      <c r="B32" s="797"/>
      <c r="C32" s="55"/>
      <c r="D32" s="55"/>
      <c r="E32" s="55"/>
      <c r="F32" s="55"/>
      <c r="G32" s="55"/>
      <c r="H32" s="482" t="s">
        <v>651</v>
      </c>
      <c r="I32" s="315"/>
      <c r="J32" s="767">
        <v>42309</v>
      </c>
      <c r="K32" s="771"/>
      <c r="L32" s="482" t="s">
        <v>640</v>
      </c>
      <c r="M32" s="315"/>
      <c r="N32" s="309"/>
      <c r="O32" s="310"/>
    </row>
    <row r="33" spans="1:16" ht="15" thickBot="1" x14ac:dyDescent="0.25">
      <c r="A33" s="441"/>
      <c r="B33" s="797"/>
      <c r="C33" s="55"/>
      <c r="D33" s="55"/>
      <c r="E33" s="55"/>
      <c r="F33" s="55"/>
      <c r="G33" s="55"/>
      <c r="H33" s="655" t="s">
        <v>115</v>
      </c>
      <c r="I33" s="348">
        <v>0.12</v>
      </c>
      <c r="J33" s="766">
        <v>0.12</v>
      </c>
      <c r="K33" s="769"/>
      <c r="L33" s="655" t="s">
        <v>623</v>
      </c>
      <c r="M33" s="505">
        <v>0.95</v>
      </c>
      <c r="N33" s="713" t="s">
        <v>606</v>
      </c>
      <c r="O33" s="312"/>
    </row>
    <row r="34" spans="1:16" x14ac:dyDescent="0.2">
      <c r="A34" s="441"/>
      <c r="B34" s="797"/>
      <c r="C34" s="55"/>
      <c r="D34" s="55"/>
      <c r="E34" s="55"/>
      <c r="F34" s="55"/>
      <c r="G34" s="55"/>
      <c r="H34" s="482" t="s">
        <v>647</v>
      </c>
      <c r="I34" s="315"/>
      <c r="J34" s="767">
        <v>43983</v>
      </c>
      <c r="K34" s="771"/>
      <c r="L34" s="482" t="s">
        <v>655</v>
      </c>
      <c r="M34" s="315"/>
      <c r="N34" s="309"/>
      <c r="O34" s="771"/>
    </row>
    <row r="35" spans="1:16" ht="15" thickBot="1" x14ac:dyDescent="0.25">
      <c r="A35" s="441"/>
      <c r="B35" s="797"/>
      <c r="C35" s="55"/>
      <c r="D35" s="55"/>
      <c r="E35" s="55"/>
      <c r="F35" s="55"/>
      <c r="G35" s="55"/>
      <c r="H35" s="655" t="s">
        <v>623</v>
      </c>
      <c r="I35" s="417">
        <v>0.08</v>
      </c>
      <c r="J35" s="765">
        <v>0.06</v>
      </c>
      <c r="K35" s="769"/>
      <c r="L35" s="655" t="s">
        <v>115</v>
      </c>
      <c r="M35" s="505">
        <v>0.26</v>
      </c>
      <c r="N35" s="713" t="s">
        <v>607</v>
      </c>
      <c r="O35" s="769"/>
    </row>
    <row r="36" spans="1:16" x14ac:dyDescent="0.2">
      <c r="A36" s="441"/>
      <c r="B36" s="797"/>
      <c r="F36" s="55"/>
      <c r="H36" s="308" t="s">
        <v>279</v>
      </c>
      <c r="I36" s="315"/>
      <c r="J36" s="767">
        <v>42309</v>
      </c>
      <c r="K36" s="768"/>
      <c r="L36" s="482" t="s">
        <v>648</v>
      </c>
      <c r="M36" s="315"/>
      <c r="N36" s="309"/>
      <c r="O36" s="310"/>
    </row>
    <row r="37" spans="1:16" ht="15" thickBot="1" x14ac:dyDescent="0.25">
      <c r="A37" s="441"/>
      <c r="B37" s="797"/>
      <c r="F37" s="55"/>
      <c r="H37" s="655" t="s">
        <v>623</v>
      </c>
      <c r="I37" s="417">
        <v>0.03</v>
      </c>
      <c r="J37" s="765">
        <v>0.03</v>
      </c>
      <c r="K37" s="769"/>
      <c r="L37" s="655" t="s">
        <v>623</v>
      </c>
      <c r="M37" s="505">
        <v>0.4</v>
      </c>
      <c r="N37" s="713"/>
      <c r="O37" s="312"/>
    </row>
    <row r="38" spans="1:16" x14ac:dyDescent="0.2">
      <c r="A38" s="441"/>
      <c r="B38" s="797"/>
      <c r="F38" s="55"/>
      <c r="H38" s="482" t="s">
        <v>573</v>
      </c>
      <c r="I38" s="315" t="s">
        <v>574</v>
      </c>
      <c r="J38" s="767">
        <v>42309</v>
      </c>
      <c r="K38" s="768"/>
      <c r="L38" s="482" t="s">
        <v>649</v>
      </c>
      <c r="M38" s="315"/>
      <c r="N38" s="767">
        <v>42309</v>
      </c>
      <c r="O38" s="771"/>
    </row>
    <row r="39" spans="1:16" ht="15" thickBot="1" x14ac:dyDescent="0.25">
      <c r="A39" s="849" t="s">
        <v>761</v>
      </c>
      <c r="B39" s="797">
        <v>433</v>
      </c>
      <c r="F39" s="55"/>
      <c r="H39" s="655" t="s">
        <v>122</v>
      </c>
      <c r="I39" s="465">
        <v>4</v>
      </c>
      <c r="J39" s="778">
        <v>4</v>
      </c>
      <c r="K39" s="769"/>
      <c r="L39" s="311" t="s">
        <v>122</v>
      </c>
      <c r="M39" s="505">
        <v>11.9</v>
      </c>
      <c r="N39" s="778">
        <v>9</v>
      </c>
      <c r="O39" s="769"/>
    </row>
    <row r="40" spans="1:16" x14ac:dyDescent="0.2">
      <c r="A40" s="441" t="s">
        <v>538</v>
      </c>
      <c r="B40" s="797">
        <v>250</v>
      </c>
      <c r="F40" s="55"/>
      <c r="H40" s="482" t="s">
        <v>573</v>
      </c>
      <c r="I40" s="315" t="s">
        <v>575</v>
      </c>
      <c r="J40" s="767">
        <v>42309</v>
      </c>
      <c r="K40" s="768"/>
      <c r="L40" s="482" t="s">
        <v>665</v>
      </c>
      <c r="M40" s="315"/>
      <c r="N40" s="309"/>
      <c r="O40" s="768">
        <v>42644</v>
      </c>
      <c r="P40" s="55"/>
    </row>
    <row r="41" spans="1:16" ht="15" thickBot="1" x14ac:dyDescent="0.25">
      <c r="A41" s="441" t="s">
        <v>654</v>
      </c>
      <c r="B41" s="797">
        <v>3110</v>
      </c>
      <c r="H41" s="655" t="s">
        <v>484</v>
      </c>
      <c r="I41" s="465">
        <v>6</v>
      </c>
      <c r="J41" s="778">
        <v>6</v>
      </c>
      <c r="K41" s="769"/>
      <c r="L41" s="655" t="s">
        <v>623</v>
      </c>
      <c r="M41" s="815">
        <v>8</v>
      </c>
      <c r="N41" s="713"/>
      <c r="O41" s="816">
        <v>6</v>
      </c>
      <c r="P41" s="55"/>
    </row>
    <row r="42" spans="1:16" x14ac:dyDescent="0.2">
      <c r="A42" s="441" t="s">
        <v>653</v>
      </c>
      <c r="B42" s="797">
        <v>40.1</v>
      </c>
      <c r="H42" s="482" t="s">
        <v>573</v>
      </c>
      <c r="I42" s="315" t="s">
        <v>576</v>
      </c>
      <c r="J42" s="767">
        <v>42309</v>
      </c>
      <c r="K42" s="768"/>
      <c r="L42" s="482" t="s">
        <v>663</v>
      </c>
      <c r="M42" s="315"/>
      <c r="N42" s="309"/>
      <c r="O42" s="768">
        <v>42644</v>
      </c>
      <c r="P42" s="55"/>
    </row>
    <row r="43" spans="1:16" ht="15" thickBot="1" x14ac:dyDescent="0.25">
      <c r="A43" s="441" t="s">
        <v>605</v>
      </c>
      <c r="B43" s="797">
        <v>1375.93</v>
      </c>
      <c r="H43" s="655" t="s">
        <v>122</v>
      </c>
      <c r="I43" s="465">
        <v>9</v>
      </c>
      <c r="J43" s="778">
        <v>9</v>
      </c>
      <c r="K43" s="769"/>
      <c r="L43" s="655" t="s">
        <v>115</v>
      </c>
      <c r="M43" s="817">
        <v>20</v>
      </c>
      <c r="N43" s="713"/>
      <c r="O43" s="818">
        <v>15</v>
      </c>
      <c r="P43" s="55"/>
    </row>
    <row r="44" spans="1:16" x14ac:dyDescent="0.2">
      <c r="A44" s="441" t="s">
        <v>604</v>
      </c>
      <c r="B44" s="797">
        <v>1654.31</v>
      </c>
      <c r="H44" s="482" t="s">
        <v>611</v>
      </c>
      <c r="I44" s="315"/>
      <c r="J44" s="767">
        <v>42309</v>
      </c>
      <c r="K44" s="771"/>
      <c r="L44" s="482" t="s">
        <v>666</v>
      </c>
      <c r="M44" s="315"/>
      <c r="N44" s="309"/>
      <c r="O44" s="768">
        <v>42644</v>
      </c>
      <c r="P44" s="55"/>
    </row>
    <row r="45" spans="1:16" ht="15" thickBot="1" x14ac:dyDescent="0.25">
      <c r="A45" s="441" t="s">
        <v>602</v>
      </c>
      <c r="B45" s="797">
        <v>7682</v>
      </c>
      <c r="H45" s="655" t="s">
        <v>625</v>
      </c>
      <c r="I45" s="417">
        <v>0.02</v>
      </c>
      <c r="J45" s="765">
        <v>0.02</v>
      </c>
      <c r="K45" s="769"/>
      <c r="L45" s="655" t="s">
        <v>623</v>
      </c>
      <c r="M45" s="817">
        <v>12</v>
      </c>
      <c r="N45" s="713"/>
      <c r="O45" s="819">
        <v>12</v>
      </c>
      <c r="P45" s="55"/>
    </row>
    <row r="46" spans="1:16" x14ac:dyDescent="0.2">
      <c r="A46" s="441" t="s">
        <v>593</v>
      </c>
      <c r="B46" s="797">
        <v>6852</v>
      </c>
      <c r="H46" s="482" t="s">
        <v>543</v>
      </c>
      <c r="I46" s="315"/>
      <c r="J46" s="309"/>
      <c r="K46" s="310"/>
      <c r="L46" s="482" t="s">
        <v>822</v>
      </c>
      <c r="M46" s="315"/>
      <c r="N46" s="767">
        <v>42309</v>
      </c>
      <c r="O46" s="771"/>
    </row>
    <row r="47" spans="1:16" ht="15" thickBot="1" x14ac:dyDescent="0.25">
      <c r="A47" s="441" t="s">
        <v>603</v>
      </c>
      <c r="B47" s="797">
        <v>4163</v>
      </c>
      <c r="H47" s="655" t="s">
        <v>115</v>
      </c>
      <c r="I47" s="348">
        <v>0.4</v>
      </c>
      <c r="J47" s="750"/>
      <c r="K47" s="312"/>
      <c r="L47" s="311" t="s">
        <v>122</v>
      </c>
      <c r="M47" s="505">
        <v>0.25</v>
      </c>
      <c r="N47" s="777">
        <v>0.35</v>
      </c>
      <c r="O47" s="769"/>
    </row>
    <row r="48" spans="1:16" x14ac:dyDescent="0.2">
      <c r="A48" s="441" t="s">
        <v>592</v>
      </c>
      <c r="B48" s="797">
        <v>1759.34</v>
      </c>
      <c r="H48" s="308" t="s">
        <v>237</v>
      </c>
      <c r="I48" s="315"/>
      <c r="J48" s="767">
        <v>42309</v>
      </c>
      <c r="K48" s="768"/>
      <c r="L48" s="482" t="s">
        <v>624</v>
      </c>
      <c r="M48" s="315"/>
      <c r="N48" s="767">
        <v>42309</v>
      </c>
      <c r="O48" s="771"/>
    </row>
    <row r="49" spans="1:15" ht="15" thickBot="1" x14ac:dyDescent="0.25">
      <c r="A49" s="441" t="s">
        <v>594</v>
      </c>
      <c r="B49" s="797">
        <v>1650</v>
      </c>
      <c r="H49" s="655" t="s">
        <v>115</v>
      </c>
      <c r="I49" s="348">
        <v>0.05</v>
      </c>
      <c r="J49" s="766">
        <v>0.05</v>
      </c>
      <c r="K49" s="769"/>
      <c r="L49" s="655" t="s">
        <v>115</v>
      </c>
      <c r="M49" s="505">
        <v>2</v>
      </c>
      <c r="N49" s="777">
        <v>1.75</v>
      </c>
      <c r="O49" s="776"/>
    </row>
    <row r="50" spans="1:15" x14ac:dyDescent="0.2">
      <c r="A50" s="441" t="s">
        <v>595</v>
      </c>
      <c r="B50" s="797">
        <v>5544.29</v>
      </c>
      <c r="L50" s="482" t="s">
        <v>622</v>
      </c>
      <c r="M50" s="315"/>
      <c r="N50" s="767">
        <v>42309</v>
      </c>
      <c r="O50" s="768"/>
    </row>
    <row r="51" spans="1:15" ht="15" thickBot="1" x14ac:dyDescent="0.25">
      <c r="A51" s="441" t="s">
        <v>597</v>
      </c>
      <c r="B51" s="797">
        <v>1458.75</v>
      </c>
      <c r="L51" s="655" t="s">
        <v>115</v>
      </c>
      <c r="M51" s="349">
        <v>40</v>
      </c>
      <c r="N51" s="774">
        <v>25</v>
      </c>
      <c r="O51" s="775"/>
    </row>
    <row r="52" spans="1:15" x14ac:dyDescent="0.2">
      <c r="L52" s="482" t="s">
        <v>650</v>
      </c>
      <c r="M52" s="315"/>
      <c r="N52" s="767">
        <v>42309</v>
      </c>
      <c r="O52" s="771"/>
    </row>
    <row r="53" spans="1:15" ht="15" thickBot="1" x14ac:dyDescent="0.25">
      <c r="L53" s="655" t="s">
        <v>115</v>
      </c>
      <c r="M53" s="779">
        <v>3.08</v>
      </c>
      <c r="N53" s="777">
        <v>1.1000000000000001</v>
      </c>
      <c r="O53" s="776"/>
    </row>
    <row r="54" spans="1:15" x14ac:dyDescent="0.2">
      <c r="L54" s="482" t="s">
        <v>394</v>
      </c>
      <c r="M54" s="480" t="str">
        <f>IF('Quick Input'!$G$2,"Holz H1","wood H1")</f>
        <v>Holz H1</v>
      </c>
      <c r="N54" s="480" t="str">
        <f>IF('Quick Input'!$G$2,"Kunstst.","plastic")</f>
        <v>Kunstst.</v>
      </c>
      <c r="O54" s="772" t="str">
        <f>IF('Quick Input'!$G$2,"Alu","AL")</f>
        <v>Alu</v>
      </c>
    </row>
    <row r="55" spans="1:15" ht="15" thickBot="1" x14ac:dyDescent="0.25">
      <c r="L55" s="311" t="s">
        <v>122</v>
      </c>
      <c r="M55" s="349">
        <v>1000</v>
      </c>
      <c r="N55" s="770">
        <v>10000</v>
      </c>
      <c r="O55" s="481">
        <v>25000</v>
      </c>
    </row>
  </sheetData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" priority="3">
      <formula>#REF!</formula>
    </cfRule>
  </conditionalFormatting>
  <conditionalFormatting sqref="E2:H14">
    <cfRule type="expression" dxfId="1" priority="1">
      <formula>$E$28</formula>
    </cfRule>
  </conditionalFormatting>
  <dataValidations count="3">
    <dataValidation type="decimal" showErrorMessage="1" errorTitle="not allowed" sqref="M41" xr:uid="{00000000-0002-0000-0600-000000000000}">
      <formula1>4</formula1>
      <formula2>15</formula2>
    </dataValidation>
    <dataValidation type="decimal" showErrorMessage="1" errorTitle="not allowed" sqref="M45" xr:uid="{00000000-0002-0000-0600-000001000000}">
      <formula1>0</formula1>
      <formula2>60</formula2>
    </dataValidation>
    <dataValidation type="decimal" showErrorMessage="1" errorTitle="not allowed" sqref="M43" xr:uid="{00000000-0002-0000-06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1">
    <tabColor theme="5" tint="0.59999389629810485"/>
  </sheetPr>
  <dimension ref="A1:U39"/>
  <sheetViews>
    <sheetView topLeftCell="A2"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746" t="str">
        <f>IF(Deutsch,"Vorbelegung:","pre selection")</f>
        <v>Vorbelegung:</v>
      </c>
      <c r="B1" s="47" t="s">
        <v>303</v>
      </c>
      <c r="D1" s="795" t="s">
        <v>656</v>
      </c>
      <c r="F1" s="828"/>
      <c r="G1" s="829" t="str">
        <f>IFERROR(CONCATENATE(IF(Deutsch,"Daten aus ","data base "),RIGHT(MAX(I2:Q2),2),".",LEFT(MAX(I2:Q2),4)),IF(Deutsch,"älter","old data"))</f>
        <v>Daten aus 0.0</v>
      </c>
      <c r="H1" s="755" t="s">
        <v>608</v>
      </c>
      <c r="I1" s="794">
        <f>(IFERROR(VLOOKUP(I$3,#REF!,4,FALSE),VLOOKUP(I$3,'Länder-DB'!$A$20:$B$51,2,FALSE))+'Länder-DB'!$M$31)/1000</f>
        <v>1.43093</v>
      </c>
      <c r="J1" s="757">
        <f>(IFERROR(VLOOKUP(J$3,#REF!,4,FALSE),VLOOKUP(J3,'Länder-DB'!$A$20:$B$51,2,FALSE))+'Länder-DB'!$M$31)/1000+'Länder-DB'!$M$33</f>
        <v>7.8570000000000002</v>
      </c>
      <c r="K1" s="757">
        <f>(IFERROR(VLOOKUP(K$3,#REF!,4,FALSE),VLOOKUP(K3,'Länder-DB'!$A$20:$B$51,2,FALSE))+'Länder-DB'!$M$31)/1000+'Länder-DB'!$M$33</f>
        <v>5.1680000000000001</v>
      </c>
      <c r="L1" s="757">
        <f>(IFERROR(VLOOKUP(L$3,#REF!,4,FALSE),VLOOKUP(L3,'Länder-DB'!$A$20:$B$51,2,FALSE))+'Länder-DB'!$M$31)/1000+'Länder-DB'!$M$33</f>
        <v>2.7643399999999998</v>
      </c>
      <c r="M1" s="757">
        <f>(IFERROR(VLOOKUP(M$3,#REF!,4,FALSE),VLOOKUP(M3,'Länder-DB'!$A$20:$B$51,2,FALSE)))/1000+'Länder-DB'!$M$33</f>
        <v>2.4087499999999999</v>
      </c>
      <c r="N1" s="758">
        <f>(IFERROR(VLOOKUP(N$3,#REF!,4,FALSE),VLOOKUP(N3,'Länder-DB'!$A$20:$B$51,2,FALSE))+'Länder-DB'!$M$31)/1000+'Länder-DB'!$M$33</f>
        <v>8.6869999999999994</v>
      </c>
      <c r="O1" s="757">
        <f>(IFERROR(VLOOKUP(O$3,#REF!,4,FALSE),VLOOKUP(O3,'Länder-DB'!$A$20:$B$51,2,FALSE)))/1000+'Länder-DB'!$M$33</f>
        <v>2.5999999999999996</v>
      </c>
      <c r="P1" s="757">
        <f>(IFERROR(VLOOKUP(P$3,#REF!,4,FALSE),VLOOKUP(P3,'Länder-DB'!$A$20:$B$51,2,FALSE))+'Länder-DB'!$M$31)/1000+'Länder-DB'!$M$33</f>
        <v>2.6593099999999996</v>
      </c>
      <c r="Q1" s="759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735" t="s">
        <v>630</v>
      </c>
      <c r="D2" s="735" t="s">
        <v>638</v>
      </c>
      <c r="E2" s="735" t="s">
        <v>633</v>
      </c>
      <c r="F2" s="735" t="s">
        <v>635</v>
      </c>
      <c r="G2" s="735" t="s">
        <v>636</v>
      </c>
      <c r="H2" s="756" t="s">
        <v>637</v>
      </c>
      <c r="I2" s="760" t="str">
        <f>IFERROR(VLOOKUP(I$3,#REF!,3,FALSE),IF(Deutsch,"älter","old data"))</f>
        <v>älter</v>
      </c>
      <c r="J2" s="761" t="str">
        <f>IFERROR(VLOOKUP(J$3,#REF!,3,FALSE),IF(Deutsch,"älter","old data"))</f>
        <v>älter</v>
      </c>
      <c r="K2" s="761" t="str">
        <f>IFERROR(VLOOKUP(K$3,#REF!,3,FALSE),IF(Deutsch,"älter","old data"))</f>
        <v>älter</v>
      </c>
      <c r="L2" s="761" t="str">
        <f>IFERROR(VLOOKUP(L$3,#REF!,3,FALSE),IF(Deutsch,"älter","old data"))</f>
        <v>älter</v>
      </c>
      <c r="M2" s="761" t="str">
        <f>IFERROR(VLOOKUP(M$3,#REF!,3,FALSE),IF(Deutsch,"älter","old data"))</f>
        <v>älter</v>
      </c>
      <c r="N2" s="761" t="str">
        <f>IFERROR(VLOOKUP(N$3,#REF!,3,FALSE),IF(Deutsch,"älter","old data"))</f>
        <v>älter</v>
      </c>
      <c r="O2" s="761" t="str">
        <f>IFERROR(VLOOKUP(O$3,#REF!,3,FALSE),IF(Deutsch,"älter","old data"))</f>
        <v>älter</v>
      </c>
      <c r="P2" s="761" t="str">
        <f>IFERROR(VLOOKUP(P$3,#REF!,3,FALSE),IF(Deutsch,"älter","old data"))</f>
        <v>älter</v>
      </c>
      <c r="Q2" s="762" t="str">
        <f>IFERROR(VLOOKUP(Q$3,#REF!,3,FALSE),IF(Deutsch,"älter","old data"))</f>
        <v>älter</v>
      </c>
      <c r="R2" s="752" t="s">
        <v>631</v>
      </c>
      <c r="S2" s="735" t="s">
        <v>657</v>
      </c>
      <c r="T2" s="735" t="s">
        <v>671</v>
      </c>
      <c r="U2" s="442" t="s">
        <v>292</v>
      </c>
    </row>
    <row r="3" spans="1:21" ht="45" customHeight="1" x14ac:dyDescent="0.2">
      <c r="A3" s="167" t="s">
        <v>31</v>
      </c>
      <c r="B3" s="167" t="s">
        <v>35</v>
      </c>
      <c r="C3" s="735" t="s">
        <v>629</v>
      </c>
      <c r="D3" s="167" t="s">
        <v>609</v>
      </c>
      <c r="E3" s="735" t="s">
        <v>634</v>
      </c>
      <c r="F3" s="735" t="s">
        <v>627</v>
      </c>
      <c r="G3" s="167" t="s">
        <v>296</v>
      </c>
      <c r="H3" s="735" t="s">
        <v>628</v>
      </c>
      <c r="I3" s="753" t="s">
        <v>605</v>
      </c>
      <c r="J3" s="753" t="s">
        <v>593</v>
      </c>
      <c r="K3" s="753" t="s">
        <v>603</v>
      </c>
      <c r="L3" s="753" t="s">
        <v>592</v>
      </c>
      <c r="M3" s="753" t="s">
        <v>597</v>
      </c>
      <c r="N3" s="753" t="s">
        <v>602</v>
      </c>
      <c r="O3" s="753" t="s">
        <v>594</v>
      </c>
      <c r="P3" s="753" t="s">
        <v>604</v>
      </c>
      <c r="Q3" s="753" t="s">
        <v>595</v>
      </c>
      <c r="R3" s="735" t="s">
        <v>596</v>
      </c>
      <c r="S3" s="735" t="s">
        <v>632</v>
      </c>
      <c r="T3" s="735" t="s">
        <v>671</v>
      </c>
      <c r="U3" s="442" t="s">
        <v>296</v>
      </c>
    </row>
    <row r="4" spans="1:21" x14ac:dyDescent="0.2">
      <c r="A4" s="739" t="s">
        <v>324</v>
      </c>
      <c r="B4" s="740" t="s">
        <v>672</v>
      </c>
      <c r="C4" s="64">
        <f>ROUND('Länder-DB'!$M$35*1.1%/(0.1%+$R4)+'Länder-DB'!$M$37+I4*I$1+J4*J$1+K4*K$1+L4*L$1+M4*M$1+N4*N$1+O4*O$1+P4*P$1+Q4*Q$1+S4,2)</f>
        <v>2.41</v>
      </c>
      <c r="D4" s="741" t="s">
        <v>705</v>
      </c>
      <c r="E4" s="742">
        <v>2.75</v>
      </c>
      <c r="F4" s="739"/>
      <c r="G4" s="739"/>
      <c r="H4" s="739"/>
      <c r="I4" s="736">
        <f>1-SUM(J4:Q4)</f>
        <v>0.94799999999999995</v>
      </c>
      <c r="J4" s="745">
        <v>4.7E-2</v>
      </c>
      <c r="K4" s="745"/>
      <c r="L4" s="745">
        <v>2.5000000000000001E-3</v>
      </c>
      <c r="M4" s="745"/>
      <c r="N4" s="745"/>
      <c r="O4" s="745"/>
      <c r="P4" s="745"/>
      <c r="Q4" s="745">
        <v>2.5000000000000001E-3</v>
      </c>
      <c r="R4" s="745">
        <v>0.01</v>
      </c>
      <c r="S4" s="742">
        <v>0</v>
      </c>
      <c r="T4" s="739"/>
      <c r="U4" s="744"/>
    </row>
    <row r="5" spans="1:21" x14ac:dyDescent="0.2">
      <c r="A5" s="739" t="s">
        <v>325</v>
      </c>
      <c r="B5" s="740" t="s">
        <v>673</v>
      </c>
      <c r="C5" s="64">
        <f>ROUND('Länder-DB'!$M$35*1.1%/(0.1%+$R5)+'Länder-DB'!$M$37+I5*I$1+J5*J$1+K5*K$1+L5*L$1+M5*M$1+N5*N$1+O5*O$1+P5*P$1+Q5*Q$1+S5,2)</f>
        <v>2.4500000000000002</v>
      </c>
      <c r="D5" s="741" t="s">
        <v>706</v>
      </c>
      <c r="E5" s="742">
        <v>2.75</v>
      </c>
      <c r="F5" s="739"/>
      <c r="G5" s="739"/>
      <c r="H5" s="739"/>
      <c r="I5" s="736">
        <f t="shared" ref="I5:I37" si="0">1-SUM(J5:Q5)</f>
        <v>0.94950000000000001</v>
      </c>
      <c r="J5" s="745">
        <v>4.8000000000000001E-2</v>
      </c>
      <c r="K5" s="745"/>
      <c r="L5" s="745"/>
      <c r="M5" s="745"/>
      <c r="N5" s="745"/>
      <c r="O5" s="745"/>
      <c r="P5" s="745"/>
      <c r="Q5" s="745">
        <v>2.5000000000000001E-3</v>
      </c>
      <c r="R5" s="745">
        <v>8.5000000000000006E-3</v>
      </c>
      <c r="S5" s="742">
        <v>0</v>
      </c>
      <c r="T5" s="739"/>
      <c r="U5" s="744"/>
    </row>
    <row r="6" spans="1:21" x14ac:dyDescent="0.2">
      <c r="A6" s="739" t="s">
        <v>317</v>
      </c>
      <c r="B6" s="740" t="s">
        <v>674</v>
      </c>
      <c r="C6" s="64">
        <f>ROUND('Länder-DB'!$M$35*1.1%/(0.1%+$R6)+'Länder-DB'!$M$37+I6*I$1+J6*J$1+K6*K$1+L6*L$1+M6*M$1+N6*N$1+O6*O$1+P6*P$1+Q6*Q$1+S6,2)</f>
        <v>2.27</v>
      </c>
      <c r="D6" s="739" t="s">
        <v>316</v>
      </c>
      <c r="E6" s="742">
        <v>2.75</v>
      </c>
      <c r="F6" s="739"/>
      <c r="G6" s="739" t="s">
        <v>295</v>
      </c>
      <c r="H6" s="739"/>
      <c r="I6" s="736">
        <f t="shared" si="0"/>
        <v>0.96830000000000005</v>
      </c>
      <c r="J6" s="745"/>
      <c r="K6" s="745"/>
      <c r="L6" s="745">
        <v>5.4999999999999997E-3</v>
      </c>
      <c r="M6" s="745">
        <v>4.0000000000000001E-3</v>
      </c>
      <c r="N6" s="745"/>
      <c r="O6" s="745">
        <v>2.1000000000000001E-2</v>
      </c>
      <c r="P6" s="745"/>
      <c r="Q6" s="745">
        <v>1.1999999999999999E-3</v>
      </c>
      <c r="R6" s="745">
        <v>9.4999999999999998E-3</v>
      </c>
      <c r="S6" s="742">
        <v>0.12</v>
      </c>
      <c r="T6" s="739"/>
      <c r="U6" s="744"/>
    </row>
    <row r="7" spans="1:21" x14ac:dyDescent="0.2">
      <c r="A7" s="739" t="s">
        <v>315</v>
      </c>
      <c r="B7" s="740" t="s">
        <v>675</v>
      </c>
      <c r="C7" s="64">
        <f>ROUND('Länder-DB'!$M$35*1.1%/(0.1%+$R7)+'Länder-DB'!$M$37+I7*I$1+J7*J$1+K7*K$1+L7*L$1+M7*M$1+N7*N$1+O7*O$1+P7*P$1+Q7*Q$1+S7,2)</f>
        <v>2.46</v>
      </c>
      <c r="D7" s="739" t="s">
        <v>314</v>
      </c>
      <c r="E7" s="742">
        <v>2.74</v>
      </c>
      <c r="F7" s="739"/>
      <c r="G7" s="739" t="s">
        <v>321</v>
      </c>
      <c r="H7" s="739"/>
      <c r="I7" s="736">
        <f t="shared" si="0"/>
        <v>0.91220000000000001</v>
      </c>
      <c r="J7" s="745">
        <v>1.8E-3</v>
      </c>
      <c r="K7" s="745"/>
      <c r="L7" s="745">
        <v>5.0000000000000001E-3</v>
      </c>
      <c r="M7" s="745"/>
      <c r="N7" s="745"/>
      <c r="O7" s="745">
        <v>7.0000000000000007E-2</v>
      </c>
      <c r="P7" s="745"/>
      <c r="Q7" s="745">
        <v>1.0999999999999999E-2</v>
      </c>
      <c r="R7" s="745">
        <v>5.0000000000000001E-3</v>
      </c>
      <c r="S7" s="742">
        <v>0</v>
      </c>
      <c r="T7" s="739"/>
      <c r="U7" s="744" t="s">
        <v>306</v>
      </c>
    </row>
    <row r="8" spans="1:21" x14ac:dyDescent="0.2">
      <c r="A8" s="739" t="s">
        <v>326</v>
      </c>
      <c r="B8" s="740" t="s">
        <v>676</v>
      </c>
      <c r="C8" s="64">
        <f>ROUND('Länder-DB'!$M$35*1.1%/(0.1%+$R8)+'Länder-DB'!$M$37+I8*I$1+J8*J$1+K8*K$1+L8*L$1+M8*M$1+N8*N$1+O8*O$1+P8*P$1+Q8*Q$1+S8,2)</f>
        <v>2.79</v>
      </c>
      <c r="D8" s="741" t="s">
        <v>707</v>
      </c>
      <c r="E8" s="742">
        <v>2.74</v>
      </c>
      <c r="F8" s="739"/>
      <c r="G8" s="739"/>
      <c r="H8" s="739"/>
      <c r="I8" s="736">
        <f t="shared" si="0"/>
        <v>0.92469999999999997</v>
      </c>
      <c r="J8" s="745"/>
      <c r="K8" s="745"/>
      <c r="L8" s="745">
        <v>3.5000000000000001E-3</v>
      </c>
      <c r="M8" s="745"/>
      <c r="N8" s="745"/>
      <c r="O8" s="745">
        <v>7.0000000000000007E-2</v>
      </c>
      <c r="P8" s="745"/>
      <c r="Q8" s="745">
        <v>1.8E-3</v>
      </c>
      <c r="R8" s="745">
        <v>2.3E-3</v>
      </c>
      <c r="S8" s="742">
        <v>0</v>
      </c>
      <c r="T8" s="739"/>
      <c r="U8" s="744"/>
    </row>
    <row r="9" spans="1:21" x14ac:dyDescent="0.2">
      <c r="A9" s="740" t="s">
        <v>327</v>
      </c>
      <c r="B9" s="740" t="s">
        <v>678</v>
      </c>
      <c r="C9" s="64">
        <f>ROUND('Länder-DB'!$M$35*1.1%/(0.1%+$R9)+'Länder-DB'!$M$37+I9*I$1+J9*J$1+K9*K$1+L9*L$1+M9*M$1+N9*N$1+O9*O$1+P9*P$1+Q9*Q$1+S9,2)</f>
        <v>2.5499999999999998</v>
      </c>
      <c r="D9" s="743" t="s">
        <v>708</v>
      </c>
      <c r="E9" s="742">
        <v>2.74</v>
      </c>
      <c r="F9" s="739"/>
      <c r="G9" s="739" t="s">
        <v>321</v>
      </c>
      <c r="H9" s="739"/>
      <c r="I9" s="736">
        <f t="shared" si="0"/>
        <v>0.92179999999999995</v>
      </c>
      <c r="J9" s="745">
        <v>4.0000000000000002E-4</v>
      </c>
      <c r="K9" s="745"/>
      <c r="L9" s="745">
        <v>6.0000000000000001E-3</v>
      </c>
      <c r="M9" s="745"/>
      <c r="N9" s="745"/>
      <c r="O9" s="745">
        <v>7.0000000000000007E-2</v>
      </c>
      <c r="P9" s="745"/>
      <c r="Q9" s="745">
        <v>1.8E-3</v>
      </c>
      <c r="R9" s="745">
        <v>3.5999999999999999E-3</v>
      </c>
      <c r="S9" s="742">
        <v>0</v>
      </c>
      <c r="T9" s="739"/>
      <c r="U9" s="744"/>
    </row>
    <row r="10" spans="1:21" x14ac:dyDescent="0.2">
      <c r="A10" s="739" t="s">
        <v>302</v>
      </c>
      <c r="B10" s="740" t="s">
        <v>677</v>
      </c>
      <c r="C10" s="64">
        <f>ROUND('Länder-DB'!$M$35*1.1%/(0.1%+$R10)+'Länder-DB'!$M$37+I10*I$1+J10*J$1+K10*K$1+L10*L$1+M10*M$1+N10*N$1+O10*O$1+P10*P$1+Q10*Q$1+S10,2)</f>
        <v>2.31</v>
      </c>
      <c r="D10" s="739" t="s">
        <v>599</v>
      </c>
      <c r="E10" s="742">
        <v>2.706</v>
      </c>
      <c r="F10" s="739">
        <v>215</v>
      </c>
      <c r="G10" s="739" t="s">
        <v>321</v>
      </c>
      <c r="H10" s="739">
        <v>710</v>
      </c>
      <c r="I10" s="736">
        <f t="shared" si="0"/>
        <v>0.89649999999999996</v>
      </c>
      <c r="J10" s="745"/>
      <c r="K10" s="745"/>
      <c r="L10" s="745">
        <v>3.5000000000000001E-3</v>
      </c>
      <c r="M10" s="745"/>
      <c r="N10" s="745"/>
      <c r="O10" s="745">
        <v>0.1</v>
      </c>
      <c r="P10" s="745"/>
      <c r="Q10" s="745"/>
      <c r="R10" s="745">
        <v>7.0000000000000001E-3</v>
      </c>
      <c r="S10" s="742">
        <v>0</v>
      </c>
      <c r="T10" s="739"/>
      <c r="U10" s="744" t="s">
        <v>306</v>
      </c>
    </row>
    <row r="11" spans="1:21" x14ac:dyDescent="0.2">
      <c r="A11" s="739" t="s">
        <v>303</v>
      </c>
      <c r="B11" s="740" t="s">
        <v>679</v>
      </c>
      <c r="C11" s="64">
        <f>ROUND('Länder-DB'!$M$35*1.1%/(0.1%+$R11)+'Länder-DB'!$M$37+I11*I$1+J11*J$1+K11*K$1+L11*L$1+M11*M$1+N11*N$1+O11*O$1+P11*P$1+Q11*Q$1+S11,2)</f>
        <v>2.29</v>
      </c>
      <c r="D11" s="739" t="s">
        <v>255</v>
      </c>
      <c r="E11" s="742">
        <v>2.706</v>
      </c>
      <c r="F11" s="739"/>
      <c r="G11" s="739" t="s">
        <v>321</v>
      </c>
      <c r="H11" s="739">
        <v>710</v>
      </c>
      <c r="I11" s="736">
        <f t="shared" si="0"/>
        <v>0.89649999999999996</v>
      </c>
      <c r="J11" s="745"/>
      <c r="K11" s="745"/>
      <c r="L11" s="745">
        <v>3.5000000000000001E-3</v>
      </c>
      <c r="M11" s="745"/>
      <c r="N11" s="745"/>
      <c r="O11" s="745">
        <v>0.1</v>
      </c>
      <c r="P11" s="745"/>
      <c r="Q11" s="745"/>
      <c r="R11" s="745">
        <v>7.4999999999999997E-3</v>
      </c>
      <c r="S11" s="742">
        <v>0</v>
      </c>
      <c r="T11" s="739"/>
      <c r="U11" s="744" t="s">
        <v>306</v>
      </c>
    </row>
    <row r="12" spans="1:21" x14ac:dyDescent="0.2">
      <c r="A12" s="739" t="s">
        <v>304</v>
      </c>
      <c r="B12" s="740" t="s">
        <v>680</v>
      </c>
      <c r="C12" s="64">
        <f>ROUND('Länder-DB'!$M$35*1.1%/(0.1%+$R12)+'Länder-DB'!$M$37+I12*I$1+J12*J$1+K12*K$1+L12*L$1+M12*M$1+N12*N$1+O12*O$1+P12*P$1+Q12*Q$1+S12,2)</f>
        <v>2.1</v>
      </c>
      <c r="D12" s="743" t="s">
        <v>704</v>
      </c>
      <c r="E12" s="742">
        <v>2.706</v>
      </c>
      <c r="F12" s="739"/>
      <c r="G12" s="739" t="s">
        <v>295</v>
      </c>
      <c r="H12" s="739">
        <v>710</v>
      </c>
      <c r="I12" s="736">
        <f t="shared" si="0"/>
        <v>0.89449999999999996</v>
      </c>
      <c r="J12" s="745">
        <v>2E-3</v>
      </c>
      <c r="K12" s="745"/>
      <c r="L12" s="745">
        <v>3.5000000000000001E-3</v>
      </c>
      <c r="M12" s="745"/>
      <c r="N12" s="745"/>
      <c r="O12" s="745">
        <v>0.1</v>
      </c>
      <c r="P12" s="745"/>
      <c r="Q12" s="745"/>
      <c r="R12" s="745">
        <v>0.02</v>
      </c>
      <c r="S12" s="742">
        <v>0</v>
      </c>
      <c r="T12" s="739"/>
      <c r="U12" s="744" t="s">
        <v>306</v>
      </c>
    </row>
    <row r="13" spans="1:21" x14ac:dyDescent="0.2">
      <c r="A13" s="739" t="s">
        <v>313</v>
      </c>
      <c r="B13" s="740" t="s">
        <v>681</v>
      </c>
      <c r="C13" s="64">
        <f>ROUND('Länder-DB'!$M$35*1.1%/(0.1%+$R13)+'Länder-DB'!$M$37+I13*I$1+J13*J$1+K13*K$1+L13*L$1+M13*M$1+N13*N$1+O13*O$1+P13*P$1+Q13*Q$1+S13,2)</f>
        <v>2.38</v>
      </c>
      <c r="D13" s="741" t="s">
        <v>709</v>
      </c>
      <c r="E13" s="742">
        <v>2.726</v>
      </c>
      <c r="F13" s="739"/>
      <c r="G13" s="739" t="s">
        <v>295</v>
      </c>
      <c r="H13" s="739"/>
      <c r="I13" s="736">
        <f t="shared" si="0"/>
        <v>0.90100000000000002</v>
      </c>
      <c r="J13" s="745"/>
      <c r="K13" s="745"/>
      <c r="L13" s="745">
        <v>4.0000000000000001E-3</v>
      </c>
      <c r="M13" s="745"/>
      <c r="N13" s="745"/>
      <c r="O13" s="745">
        <v>9.5000000000000001E-2</v>
      </c>
      <c r="P13" s="745"/>
      <c r="Q13" s="745"/>
      <c r="R13" s="745">
        <v>5.5999999999999999E-3</v>
      </c>
      <c r="S13" s="742">
        <v>0</v>
      </c>
      <c r="T13" s="739"/>
      <c r="U13" s="744"/>
    </row>
    <row r="14" spans="1:21" x14ac:dyDescent="0.2">
      <c r="A14" s="739" t="s">
        <v>312</v>
      </c>
      <c r="B14" s="740" t="s">
        <v>682</v>
      </c>
      <c r="C14" s="64">
        <f>ROUND('Länder-DB'!$M$35*1.1%/(0.1%+$R14)+'Länder-DB'!$M$37+I14*I$1+J14*J$1+K14*K$1+L14*L$1+M14*M$1+N14*N$1+O14*O$1+P14*P$1+Q14*Q$1+S14,2)</f>
        <v>2.2200000000000002</v>
      </c>
      <c r="D14" s="741" t="s">
        <v>710</v>
      </c>
      <c r="E14" s="742">
        <v>2.702</v>
      </c>
      <c r="F14" s="739"/>
      <c r="G14" s="739"/>
      <c r="H14" s="739"/>
      <c r="I14" s="736">
        <f t="shared" si="0"/>
        <v>0.89100000000000001</v>
      </c>
      <c r="J14" s="745"/>
      <c r="K14" s="745"/>
      <c r="L14" s="745"/>
      <c r="M14" s="745"/>
      <c r="N14" s="745"/>
      <c r="O14" s="745">
        <v>0.109</v>
      </c>
      <c r="P14" s="745"/>
      <c r="Q14" s="745"/>
      <c r="R14" s="745">
        <v>0.01</v>
      </c>
      <c r="S14" s="742">
        <v>0</v>
      </c>
      <c r="T14" s="739"/>
      <c r="U14" s="744"/>
    </row>
    <row r="15" spans="1:21" x14ac:dyDescent="0.2">
      <c r="A15" s="739" t="s">
        <v>301</v>
      </c>
      <c r="B15" s="740" t="s">
        <v>683</v>
      </c>
      <c r="C15" s="64">
        <f>ROUND('Länder-DB'!$M$35*1.1%/(0.1%+$R15)+'Länder-DB'!$M$37+I15*I$1+J15*J$1+K15*K$1+L15*L$1+M15*M$1+N15*N$1+O15*O$1+P15*P$1+Q15*Q$1+S15,2)</f>
        <v>2.2400000000000002</v>
      </c>
      <c r="D15" s="739" t="s">
        <v>254</v>
      </c>
      <c r="E15" s="742">
        <v>2.68</v>
      </c>
      <c r="F15" s="739">
        <v>215</v>
      </c>
      <c r="G15" s="739"/>
      <c r="H15" s="739">
        <v>690</v>
      </c>
      <c r="I15" s="736">
        <f t="shared" si="0"/>
        <v>0.88</v>
      </c>
      <c r="J15" s="745"/>
      <c r="K15" s="745"/>
      <c r="L15" s="745"/>
      <c r="M15" s="745"/>
      <c r="N15" s="745"/>
      <c r="O15" s="745">
        <v>0.12</v>
      </c>
      <c r="P15" s="745"/>
      <c r="Q15" s="745"/>
      <c r="R15" s="745">
        <v>0.02</v>
      </c>
      <c r="S15" s="742">
        <v>0.13</v>
      </c>
      <c r="T15" s="739"/>
      <c r="U15" s="744" t="s">
        <v>305</v>
      </c>
    </row>
    <row r="16" spans="1:21" x14ac:dyDescent="0.2">
      <c r="A16" s="739" t="s">
        <v>300</v>
      </c>
      <c r="B16" s="740" t="s">
        <v>684</v>
      </c>
      <c r="C16" s="64">
        <f>ROUND('Länder-DB'!$M$35*1.1%/(0.1%+$R16)+'Länder-DB'!$M$37+I16*I$1+J16*J$1+K16*K$1+L16*L$1+M16*M$1+N16*N$1+O16*O$1+P16*P$1+Q16*Q$1+S16,2)</f>
        <v>2.2599999999999998</v>
      </c>
      <c r="D16" s="740" t="s">
        <v>711</v>
      </c>
      <c r="E16" s="742">
        <v>2.68</v>
      </c>
      <c r="F16" s="739">
        <v>215</v>
      </c>
      <c r="G16" s="739"/>
      <c r="H16" s="739">
        <v>700</v>
      </c>
      <c r="I16" s="736">
        <f t="shared" si="0"/>
        <v>0.88</v>
      </c>
      <c r="J16" s="745"/>
      <c r="K16" s="745"/>
      <c r="L16" s="745"/>
      <c r="M16" s="745"/>
      <c r="N16" s="745"/>
      <c r="O16" s="745">
        <v>0.12</v>
      </c>
      <c r="P16" s="745"/>
      <c r="Q16" s="745"/>
      <c r="R16" s="745">
        <v>1.4E-2</v>
      </c>
      <c r="S16" s="742">
        <v>0.1</v>
      </c>
      <c r="T16" s="739"/>
      <c r="U16" s="744" t="s">
        <v>305</v>
      </c>
    </row>
    <row r="17" spans="1:21" x14ac:dyDescent="0.2">
      <c r="A17" s="739" t="s">
        <v>328</v>
      </c>
      <c r="B17" s="740" t="s">
        <v>685</v>
      </c>
      <c r="C17" s="64">
        <f>ROUND('Länder-DB'!$M$35*1.1%/(0.1%+$R17)+'Länder-DB'!$M$37+I17*I$1+J17*J$1+K17*K$1+L17*L$1+M17*M$1+N17*N$1+O17*O$1+P17*P$1+Q17*Q$1+S17,2)</f>
        <v>2.09</v>
      </c>
      <c r="D17" s="740" t="s">
        <v>601</v>
      </c>
      <c r="E17" s="742">
        <v>2.75</v>
      </c>
      <c r="F17" s="739">
        <v>215</v>
      </c>
      <c r="G17" s="739"/>
      <c r="H17" s="739">
        <v>685</v>
      </c>
      <c r="I17" s="736">
        <f t="shared" si="0"/>
        <v>0.90500000000000003</v>
      </c>
      <c r="J17" s="745"/>
      <c r="K17" s="745"/>
      <c r="L17" s="745"/>
      <c r="M17" s="745"/>
      <c r="N17" s="745"/>
      <c r="O17" s="745">
        <v>9.5000000000000001E-2</v>
      </c>
      <c r="P17" s="745"/>
      <c r="Q17" s="745"/>
      <c r="R17" s="745">
        <v>1.7999999999999999E-2</v>
      </c>
      <c r="S17" s="742">
        <v>0</v>
      </c>
      <c r="T17" s="739"/>
      <c r="U17" s="744"/>
    </row>
    <row r="18" spans="1:21" x14ac:dyDescent="0.2">
      <c r="A18" s="739" t="s">
        <v>299</v>
      </c>
      <c r="B18" s="740" t="s">
        <v>686</v>
      </c>
      <c r="C18" s="64">
        <f>ROUND('Länder-DB'!$M$35*1.1%/(0.1%+$R18)+'Länder-DB'!$M$37+I18*I$1+J18*J$1+K18*K$1+L18*L$1+M18*M$1+N18*N$1+O18*O$1+P18*P$1+Q18*Q$1+S18,2)</f>
        <v>2.35</v>
      </c>
      <c r="D18" s="739" t="s">
        <v>253</v>
      </c>
      <c r="E18" s="742">
        <v>2.758</v>
      </c>
      <c r="F18" s="739">
        <v>215</v>
      </c>
      <c r="G18" s="739" t="s">
        <v>261</v>
      </c>
      <c r="H18" s="739">
        <v>680</v>
      </c>
      <c r="I18" s="736">
        <f t="shared" si="0"/>
        <v>0.89549999999999996</v>
      </c>
      <c r="J18" s="745">
        <v>0.04</v>
      </c>
      <c r="K18" s="745"/>
      <c r="L18" s="745"/>
      <c r="M18" s="745">
        <v>4.4999999999999997E-3</v>
      </c>
      <c r="N18" s="745"/>
      <c r="O18" s="745">
        <v>0.06</v>
      </c>
      <c r="P18" s="745"/>
      <c r="Q18" s="745"/>
      <c r="R18" s="745">
        <v>1.4E-2</v>
      </c>
      <c r="S18" s="742">
        <v>0</v>
      </c>
      <c r="T18" s="739"/>
      <c r="U18" s="744"/>
    </row>
    <row r="19" spans="1:21" x14ac:dyDescent="0.2">
      <c r="A19" s="739" t="s">
        <v>319</v>
      </c>
      <c r="B19" s="740" t="s">
        <v>687</v>
      </c>
      <c r="C19" s="64">
        <f>ROUND('Länder-DB'!$M$35*1.1%/(0.1%+$R19)+'Länder-DB'!$M$37+I19*I$1+J19*J$1+K19*K$1+L19*L$1+M19*M$1+N19*N$1+O19*O$1+P19*P$1+Q19*Q$1+S19,2)</f>
        <v>2.2400000000000002</v>
      </c>
      <c r="D19" s="739" t="s">
        <v>318</v>
      </c>
      <c r="E19" s="742">
        <v>2.75</v>
      </c>
      <c r="F19" s="739"/>
      <c r="G19" s="739" t="s">
        <v>320</v>
      </c>
      <c r="H19" s="739"/>
      <c r="I19" s="736">
        <f t="shared" si="0"/>
        <v>0.91449999999999998</v>
      </c>
      <c r="J19" s="745">
        <v>3.2000000000000001E-2</v>
      </c>
      <c r="K19" s="745"/>
      <c r="L19" s="745">
        <v>3.5000000000000001E-3</v>
      </c>
      <c r="M19" s="745"/>
      <c r="N19" s="745"/>
      <c r="O19" s="745">
        <v>0.05</v>
      </c>
      <c r="P19" s="745"/>
      <c r="Q19" s="745"/>
      <c r="R19" s="745">
        <v>0.02</v>
      </c>
      <c r="S19" s="742">
        <v>0</v>
      </c>
      <c r="T19" s="739"/>
      <c r="U19" s="744"/>
    </row>
    <row r="20" spans="1:21" x14ac:dyDescent="0.2">
      <c r="A20" s="739" t="s">
        <v>329</v>
      </c>
      <c r="B20" s="740" t="s">
        <v>688</v>
      </c>
      <c r="C20" s="64">
        <f>ROUND('Länder-DB'!$M$35*1.1%/(0.1%+$R20)+'Länder-DB'!$M$37+I20*I$1+J20*J$1+K20*K$1+L20*L$1+M20*M$1+N20*N$1+O20*O$1+P20*P$1+Q20*Q$1+S20,2)</f>
        <v>2.2200000000000002</v>
      </c>
      <c r="D20" s="739" t="s">
        <v>330</v>
      </c>
      <c r="E20" s="742">
        <v>2.75</v>
      </c>
      <c r="F20" s="739"/>
      <c r="G20" s="739"/>
      <c r="H20" s="739"/>
      <c r="I20" s="736">
        <f t="shared" si="0"/>
        <v>0.91300000000000003</v>
      </c>
      <c r="J20" s="745">
        <v>3.3000000000000002E-2</v>
      </c>
      <c r="K20" s="745"/>
      <c r="L20" s="745"/>
      <c r="M20" s="745">
        <v>4.0000000000000001E-3</v>
      </c>
      <c r="N20" s="745"/>
      <c r="O20" s="745">
        <v>0.05</v>
      </c>
      <c r="P20" s="745"/>
      <c r="Q20" s="745"/>
      <c r="R20" s="745">
        <v>2.5000000000000001E-2</v>
      </c>
      <c r="S20" s="742">
        <v>0</v>
      </c>
      <c r="T20" s="739"/>
      <c r="U20" s="744"/>
    </row>
    <row r="21" spans="1:21" x14ac:dyDescent="0.2">
      <c r="A21" s="739" t="s">
        <v>331</v>
      </c>
      <c r="B21" s="740" t="s">
        <v>689</v>
      </c>
      <c r="C21" s="64">
        <f>ROUND('Länder-DB'!$M$35*1.1%/(0.1%+$R21)+'Länder-DB'!$M$37+I21*I$1+J21*J$1+K21*K$1+L21*L$1+M21*M$1+N21*N$1+O21*O$1+P21*P$1+Q21*Q$1+S21,2)</f>
        <v>2.12</v>
      </c>
      <c r="D21" s="739" t="s">
        <v>332</v>
      </c>
      <c r="E21" s="742">
        <v>2.75</v>
      </c>
      <c r="F21" s="739"/>
      <c r="G21" s="739"/>
      <c r="H21" s="739"/>
      <c r="I21" s="736">
        <f t="shared" si="0"/>
        <v>0.93149999999999999</v>
      </c>
      <c r="J21" s="745">
        <v>1.2999999999999999E-2</v>
      </c>
      <c r="K21" s="745"/>
      <c r="L21" s="745">
        <v>5.4999999999999997E-3</v>
      </c>
      <c r="M21" s="745"/>
      <c r="N21" s="745"/>
      <c r="O21" s="745">
        <v>0.05</v>
      </c>
      <c r="P21" s="745"/>
      <c r="Q21" s="745"/>
      <c r="R21" s="745">
        <v>0.02</v>
      </c>
      <c r="S21" s="742">
        <v>0</v>
      </c>
      <c r="T21" s="739"/>
      <c r="U21" s="744"/>
    </row>
    <row r="22" spans="1:21" x14ac:dyDescent="0.2">
      <c r="A22" s="739" t="s">
        <v>333</v>
      </c>
      <c r="B22" s="740" t="s">
        <v>690</v>
      </c>
      <c r="C22" s="64">
        <f>ROUND('Länder-DB'!$M$35*1.1%/(0.1%+$R22)+'Länder-DB'!$M$37+I22*I$1+J22*J$1+K22*K$1+L22*L$1+M22*M$1+N22*N$1+O22*O$1+P22*P$1+Q22*Q$1+S22,2)</f>
        <v>2.23</v>
      </c>
      <c r="D22" s="739" t="s">
        <v>334</v>
      </c>
      <c r="E22" s="742">
        <v>2.75</v>
      </c>
      <c r="F22" s="739"/>
      <c r="G22" s="739"/>
      <c r="H22" s="739"/>
      <c r="I22" s="736">
        <f t="shared" si="0"/>
        <v>0.91800000000000004</v>
      </c>
      <c r="J22" s="745">
        <v>3.2000000000000001E-2</v>
      </c>
      <c r="K22" s="745"/>
      <c r="L22" s="745"/>
      <c r="M22" s="745"/>
      <c r="N22" s="745"/>
      <c r="O22" s="745">
        <v>0.05</v>
      </c>
      <c r="P22" s="745"/>
      <c r="Q22" s="745"/>
      <c r="R22" s="745">
        <v>0.02</v>
      </c>
      <c r="S22" s="742">
        <v>0</v>
      </c>
      <c r="T22" s="739"/>
      <c r="U22" s="744"/>
    </row>
    <row r="23" spans="1:21" x14ac:dyDescent="0.2">
      <c r="A23" s="739" t="s">
        <v>335</v>
      </c>
      <c r="B23" s="740" t="s">
        <v>691</v>
      </c>
      <c r="C23" s="64">
        <f>ROUND('Länder-DB'!$M$35*1.1%/(0.1%+$R23)+'Länder-DB'!$M$37+I23*I$1+J23*J$1+K23*K$1+L23*L$1+M23*M$1+N23*N$1+O23*O$1+P23*P$1+Q23*Q$1+S23,2)</f>
        <v>2.16</v>
      </c>
      <c r="D23" s="739" t="s">
        <v>336</v>
      </c>
      <c r="E23" s="742">
        <v>2.7</v>
      </c>
      <c r="F23" s="739">
        <v>215</v>
      </c>
      <c r="G23" s="739"/>
      <c r="H23" s="739">
        <v>700</v>
      </c>
      <c r="I23" s="736">
        <f t="shared" si="0"/>
        <v>0.86799999999999999</v>
      </c>
      <c r="J23" s="745">
        <v>2.1999999999999999E-2</v>
      </c>
      <c r="K23" s="745"/>
      <c r="L23" s="745"/>
      <c r="M23" s="745"/>
      <c r="N23" s="745"/>
      <c r="O23" s="745">
        <v>0.11</v>
      </c>
      <c r="P23" s="745"/>
      <c r="Q23" s="745"/>
      <c r="R23" s="745">
        <v>4.4999999999999998E-2</v>
      </c>
      <c r="S23" s="742">
        <v>0</v>
      </c>
      <c r="T23" s="739"/>
      <c r="U23" s="744"/>
    </row>
    <row r="24" spans="1:21" x14ac:dyDescent="0.2">
      <c r="A24" s="739" t="s">
        <v>297</v>
      </c>
      <c r="B24" s="740" t="s">
        <v>692</v>
      </c>
      <c r="C24" s="64">
        <f>ROUND('Länder-DB'!$M$35*1.1%/(0.1%+$R24)+'Länder-DB'!$M$37+I24*I$1+J24*J$1+K24*K$1+L24*L$1+M24*M$1+N24*N$1+O24*O$1+P24*P$1+Q24*Q$1+S24,2)</f>
        <v>2.2000000000000002</v>
      </c>
      <c r="D24" s="739" t="s">
        <v>251</v>
      </c>
      <c r="E24" s="742">
        <v>2.758</v>
      </c>
      <c r="F24" s="739">
        <v>215</v>
      </c>
      <c r="G24" s="739" t="s">
        <v>261</v>
      </c>
      <c r="H24" s="739">
        <v>680</v>
      </c>
      <c r="I24" s="736">
        <f t="shared" si="0"/>
        <v>0.877</v>
      </c>
      <c r="J24" s="745">
        <v>0.03</v>
      </c>
      <c r="K24" s="745"/>
      <c r="L24" s="745">
        <v>4.0000000000000001E-3</v>
      </c>
      <c r="M24" s="745">
        <v>4.0000000000000001E-3</v>
      </c>
      <c r="N24" s="745"/>
      <c r="O24" s="745">
        <v>8.5000000000000006E-2</v>
      </c>
      <c r="P24" s="745"/>
      <c r="Q24" s="745"/>
      <c r="R24" s="745">
        <v>3.1E-2</v>
      </c>
      <c r="S24" s="742">
        <v>-0.02</v>
      </c>
      <c r="T24" s="739"/>
      <c r="U24" s="744"/>
    </row>
    <row r="25" spans="1:21" x14ac:dyDescent="0.2">
      <c r="A25" s="739" t="s">
        <v>337</v>
      </c>
      <c r="B25" s="740" t="s">
        <v>693</v>
      </c>
      <c r="C25" s="64">
        <f>ROUND('Länder-DB'!$M$35*1.1%/(0.1%+$R25)+'Länder-DB'!$M$37+I25*I$1+J25*J$1+K25*K$1+L25*L$1+M25*M$1+N25*N$1+O25*O$1+P25*P$1+Q25*Q$1+S25,2)</f>
        <v>2.27</v>
      </c>
      <c r="D25" s="740" t="s">
        <v>512</v>
      </c>
      <c r="E25" s="742">
        <v>2.74</v>
      </c>
      <c r="F25" s="739"/>
      <c r="G25" s="739"/>
      <c r="H25" s="739"/>
      <c r="I25" s="736">
        <f t="shared" si="0"/>
        <v>0.88149999999999995</v>
      </c>
      <c r="J25" s="745">
        <v>3.5999999999999997E-2</v>
      </c>
      <c r="K25" s="745"/>
      <c r="L25" s="745">
        <v>5.0000000000000001E-3</v>
      </c>
      <c r="M25" s="745">
        <v>4.4999999999999997E-3</v>
      </c>
      <c r="N25" s="745"/>
      <c r="O25" s="745">
        <v>7.2999999999999995E-2</v>
      </c>
      <c r="P25" s="745"/>
      <c r="Q25" s="745"/>
      <c r="R25" s="745">
        <v>2.4E-2</v>
      </c>
      <c r="S25" s="742">
        <v>0</v>
      </c>
      <c r="T25" s="739"/>
      <c r="U25" s="744"/>
    </row>
    <row r="26" spans="1:21" x14ac:dyDescent="0.2">
      <c r="A26" s="739" t="s">
        <v>338</v>
      </c>
      <c r="B26" s="740" t="s">
        <v>694</v>
      </c>
      <c r="C26" s="64">
        <f>ROUND('Länder-DB'!$M$35*1.1%/(0.1%+$R26)+'Länder-DB'!$M$37+I26*I$1+J26*J$1+K26*K$1+L26*L$1+M26*M$1+N26*N$1+O26*O$1+P26*P$1+Q26*Q$1+S26,2)</f>
        <v>2.15</v>
      </c>
      <c r="D26" s="739" t="s">
        <v>339</v>
      </c>
      <c r="E26" s="742">
        <v>2.726</v>
      </c>
      <c r="F26" s="739"/>
      <c r="G26" s="739"/>
      <c r="H26" s="739"/>
      <c r="I26" s="736">
        <f t="shared" si="0"/>
        <v>0.88900000000000001</v>
      </c>
      <c r="J26" s="745">
        <v>1.0999999999999999E-2</v>
      </c>
      <c r="K26" s="745"/>
      <c r="L26" s="745">
        <v>5.0000000000000001E-3</v>
      </c>
      <c r="M26" s="745">
        <v>3.5000000000000001E-3</v>
      </c>
      <c r="N26" s="745"/>
      <c r="O26" s="745">
        <v>0.09</v>
      </c>
      <c r="P26" s="745"/>
      <c r="Q26" s="745">
        <v>1.5E-3</v>
      </c>
      <c r="R26" s="745">
        <v>2.1499999999999998E-2</v>
      </c>
      <c r="S26" s="742">
        <v>0</v>
      </c>
      <c r="T26" s="739"/>
      <c r="U26" s="744"/>
    </row>
    <row r="27" spans="1:21" x14ac:dyDescent="0.2">
      <c r="A27" s="739" t="s">
        <v>340</v>
      </c>
      <c r="B27" s="740" t="s">
        <v>695</v>
      </c>
      <c r="C27" s="64">
        <f>ROUND('Länder-DB'!$M$35*1.1%/(0.1%+$R27)+'Länder-DB'!$M$37+I27*I$1+J27*J$1+K27*K$1+L27*L$1+M27*M$1+N27*N$1+O27*O$1+P27*P$1+Q27*Q$1+S27,2)</f>
        <v>2.1800000000000002</v>
      </c>
      <c r="D27" s="739" t="s">
        <v>341</v>
      </c>
      <c r="E27" s="742">
        <v>2.74</v>
      </c>
      <c r="F27" s="739"/>
      <c r="G27" s="739"/>
      <c r="H27" s="739"/>
      <c r="I27" s="736">
        <f t="shared" si="0"/>
        <v>0.90800000000000003</v>
      </c>
      <c r="J27" s="745">
        <v>2.1999999999999999E-2</v>
      </c>
      <c r="K27" s="745"/>
      <c r="L27" s="745"/>
      <c r="M27" s="745"/>
      <c r="N27" s="745"/>
      <c r="O27" s="745">
        <v>7.0000000000000007E-2</v>
      </c>
      <c r="P27" s="745"/>
      <c r="Q27" s="745"/>
      <c r="R27" s="745">
        <v>2.2499999999999999E-2</v>
      </c>
      <c r="S27" s="742">
        <v>0</v>
      </c>
      <c r="T27" s="739"/>
      <c r="U27" s="744"/>
    </row>
    <row r="28" spans="1:21" x14ac:dyDescent="0.2">
      <c r="A28" s="739" t="s">
        <v>298</v>
      </c>
      <c r="B28" s="740" t="s">
        <v>696</v>
      </c>
      <c r="C28" s="64">
        <f>ROUND('Länder-DB'!$M$35*1.1%/(0.1%+$R28)+'Länder-DB'!$M$37+I28*I$1+J28*J$1+K28*K$1+L28*L$1+M28*M$1+N28*N$1+O28*O$1+P28*P$1+Q28*Q$1+S28,2)</f>
        <v>2.11</v>
      </c>
      <c r="D28" s="739" t="s">
        <v>252</v>
      </c>
      <c r="E28" s="742">
        <v>2.68</v>
      </c>
      <c r="F28" s="739">
        <v>215</v>
      </c>
      <c r="G28" s="739" t="s">
        <v>261</v>
      </c>
      <c r="H28" s="739">
        <v>710</v>
      </c>
      <c r="I28" s="736">
        <f t="shared" si="0"/>
        <v>0.877</v>
      </c>
      <c r="J28" s="745"/>
      <c r="K28" s="745"/>
      <c r="L28" s="745"/>
      <c r="M28" s="745">
        <v>3.0000000000000001E-3</v>
      </c>
      <c r="N28" s="745"/>
      <c r="O28" s="745">
        <v>0.12</v>
      </c>
      <c r="P28" s="745"/>
      <c r="Q28" s="745"/>
      <c r="R28" s="745">
        <v>3.5999999999999997E-2</v>
      </c>
      <c r="S28" s="742">
        <v>0.06</v>
      </c>
      <c r="T28" s="739"/>
      <c r="U28" s="744"/>
    </row>
    <row r="29" spans="1:21" x14ac:dyDescent="0.2">
      <c r="A29" s="739" t="s">
        <v>307</v>
      </c>
      <c r="B29" s="740" t="s">
        <v>697</v>
      </c>
      <c r="C29" s="64">
        <f>ROUND('Länder-DB'!$M$35*1.1%/(0.1%+$R29)+'Länder-DB'!$M$37+I29*I$1+J29*J$1+K29*K$1+L29*L$1+M29*M$1+N29*N$1+O29*O$1+P29*P$1+Q29*Q$1+S29,2)</f>
        <v>2.2999999999999998</v>
      </c>
      <c r="D29" s="739" t="s">
        <v>256</v>
      </c>
      <c r="E29" s="742">
        <v>2.68</v>
      </c>
      <c r="F29" s="739"/>
      <c r="G29" s="739" t="s">
        <v>261</v>
      </c>
      <c r="H29" s="739"/>
      <c r="I29" s="736">
        <f t="shared" si="0"/>
        <v>0.84499999999999997</v>
      </c>
      <c r="J29" s="745">
        <v>1.2E-2</v>
      </c>
      <c r="K29" s="745"/>
      <c r="L29" s="745">
        <v>1.2999999999999999E-2</v>
      </c>
      <c r="M29" s="745"/>
      <c r="N29" s="745">
        <v>0.01</v>
      </c>
      <c r="O29" s="745">
        <v>0.12</v>
      </c>
      <c r="P29" s="745"/>
      <c r="Q29" s="745"/>
      <c r="R29" s="745">
        <v>1.6500000000000001E-2</v>
      </c>
      <c r="S29" s="742">
        <v>0</v>
      </c>
      <c r="T29" s="739"/>
      <c r="U29" s="744"/>
    </row>
    <row r="30" spans="1:21" x14ac:dyDescent="0.2">
      <c r="A30" s="739" t="s">
        <v>308</v>
      </c>
      <c r="B30" s="740" t="s">
        <v>698</v>
      </c>
      <c r="C30" s="64">
        <f>ROUND('Länder-DB'!$M$35*1.1%/(0.1%+$R30)+'Länder-DB'!$M$37+I30*I$1+J30*J$1+K30*K$1+L30*L$1+M30*M$1+N30*N$1+O30*O$1+P30*P$1+Q30*Q$1+S30,2)</f>
        <v>2.02</v>
      </c>
      <c r="D30" s="739" t="s">
        <v>600</v>
      </c>
      <c r="E30" s="742">
        <v>2.75</v>
      </c>
      <c r="F30" s="739"/>
      <c r="G30" s="739" t="s">
        <v>261</v>
      </c>
      <c r="H30" s="739"/>
      <c r="I30" s="736">
        <f t="shared" si="0"/>
        <v>0.96799999999999997</v>
      </c>
      <c r="J30" s="745"/>
      <c r="K30" s="745"/>
      <c r="L30" s="745">
        <v>3.2000000000000001E-2</v>
      </c>
      <c r="M30" s="745"/>
      <c r="N30" s="745"/>
      <c r="O30" s="745"/>
      <c r="P30" s="745"/>
      <c r="Q30" s="745"/>
      <c r="R30" s="745">
        <v>1.8499999999999999E-2</v>
      </c>
      <c r="S30" s="742">
        <v>0</v>
      </c>
      <c r="T30" s="739"/>
      <c r="U30" s="744"/>
    </row>
    <row r="31" spans="1:21" x14ac:dyDescent="0.2">
      <c r="A31" s="739" t="s">
        <v>309</v>
      </c>
      <c r="B31" s="740" t="s">
        <v>699</v>
      </c>
      <c r="C31" s="64">
        <f>ROUND('Länder-DB'!$M$35*1.1%/(0.1%+$R31)+'Länder-DB'!$M$37+I31*I$1+J31*J$1+K31*K$1+L31*L$1+M31*M$1+N31*N$1+O31*O$1+P31*P$1+Q31*Q$1+S31,2)</f>
        <v>2.0299999999999998</v>
      </c>
      <c r="D31" s="739" t="s">
        <v>598</v>
      </c>
      <c r="E31" s="742">
        <v>2.75</v>
      </c>
      <c r="F31" s="739"/>
      <c r="G31" s="739" t="s">
        <v>261</v>
      </c>
      <c r="H31" s="739"/>
      <c r="I31" s="736">
        <f t="shared" si="0"/>
        <v>0.96799999999999997</v>
      </c>
      <c r="J31" s="745"/>
      <c r="K31" s="745"/>
      <c r="L31" s="745">
        <v>3.2000000000000001E-2</v>
      </c>
      <c r="M31" s="745"/>
      <c r="N31" s="745"/>
      <c r="O31" s="745"/>
      <c r="P31" s="745"/>
      <c r="Q31" s="745"/>
      <c r="R31" s="745">
        <v>1.7500000000000002E-2</v>
      </c>
      <c r="S31" s="742">
        <v>0</v>
      </c>
      <c r="T31" s="739"/>
      <c r="U31" s="744"/>
    </row>
    <row r="32" spans="1:21" x14ac:dyDescent="0.2">
      <c r="A32" s="739" t="s">
        <v>310</v>
      </c>
      <c r="B32" s="740" t="s">
        <v>700</v>
      </c>
      <c r="C32" s="64">
        <f>ROUND('Länder-DB'!$M$35*1.1%/(0.1%+$R32)+'Länder-DB'!$M$37+I32*I$1+J32*J$1+K32*K$1+L32*L$1+M32*M$1+N32*N$1+O32*O$1+P32*P$1+Q32*Q$1+S32,2)</f>
        <v>2.0699999999999998</v>
      </c>
      <c r="D32" s="739" t="s">
        <v>257</v>
      </c>
      <c r="E32" s="742">
        <v>2.75</v>
      </c>
      <c r="F32" s="739"/>
      <c r="G32" s="739" t="s">
        <v>261</v>
      </c>
      <c r="H32" s="739"/>
      <c r="I32" s="736">
        <f t="shared" si="0"/>
        <v>0.94199999999999995</v>
      </c>
      <c r="J32" s="745"/>
      <c r="K32" s="745"/>
      <c r="L32" s="745">
        <v>5.8000000000000003E-2</v>
      </c>
      <c r="M32" s="745"/>
      <c r="N32" s="745"/>
      <c r="O32" s="745"/>
      <c r="P32" s="745"/>
      <c r="Q32" s="745"/>
      <c r="R32" s="745">
        <v>1.7000000000000001E-2</v>
      </c>
      <c r="S32" s="742">
        <v>0</v>
      </c>
      <c r="T32" s="739"/>
      <c r="U32" s="744"/>
    </row>
    <row r="33" spans="1:21" x14ac:dyDescent="0.2">
      <c r="A33" s="739" t="s">
        <v>311</v>
      </c>
      <c r="B33" s="740" t="s">
        <v>701</v>
      </c>
      <c r="C33" s="64">
        <f>ROUND('Länder-DB'!$M$35*1.1%/(0.1%+$R33)+'Länder-DB'!$M$37+I33*I$1+J33*J$1+K33*K$1+L33*L$1+M33*M$1+N33*N$1+O33*O$1+P33*P$1+Q33*Q$1+S33,2)</f>
        <v>2.0099999999999998</v>
      </c>
      <c r="D33" s="739" t="s">
        <v>258</v>
      </c>
      <c r="E33" s="742">
        <v>2.75</v>
      </c>
      <c r="F33" s="739"/>
      <c r="G33" s="739" t="s">
        <v>261</v>
      </c>
      <c r="H33" s="739"/>
      <c r="I33" s="736">
        <f t="shared" si="0"/>
        <v>0.94199999999999995</v>
      </c>
      <c r="J33" s="745"/>
      <c r="K33" s="745"/>
      <c r="L33" s="745">
        <v>5.8000000000000003E-2</v>
      </c>
      <c r="M33" s="745"/>
      <c r="N33" s="745"/>
      <c r="O33" s="745"/>
      <c r="P33" s="745"/>
      <c r="Q33" s="745"/>
      <c r="R33" s="745">
        <v>2.6499999999999999E-2</v>
      </c>
      <c r="S33" s="742">
        <v>0</v>
      </c>
      <c r="T33" s="739"/>
      <c r="U33" s="744"/>
    </row>
    <row r="34" spans="1:21" x14ac:dyDescent="0.2">
      <c r="A34" s="740" t="s">
        <v>824</v>
      </c>
      <c r="B34" s="740" t="s">
        <v>825</v>
      </c>
      <c r="C34" s="64">
        <f>ROUND('Länder-DB'!$M$35*1.1%/(0.1%+$R34)+'Länder-DB'!$M$37+I34*I$1+J34*J$1+K34*K$1+L34*L$1+M34*M$1+N34*N$1+O34*O$1+P34*P$1+Q34*Q$1+S34,2)</f>
        <v>2.4300000000000002</v>
      </c>
      <c r="D34" s="740" t="s">
        <v>826</v>
      </c>
      <c r="E34" s="742">
        <v>2.75</v>
      </c>
      <c r="F34" s="739"/>
      <c r="G34" s="739"/>
      <c r="H34" s="739"/>
      <c r="I34" s="736">
        <f t="shared" si="0"/>
        <v>0.91200000000000003</v>
      </c>
      <c r="J34" s="745"/>
      <c r="K34" s="745"/>
      <c r="L34" s="745">
        <v>5.6000000000000001E-2</v>
      </c>
      <c r="M34" s="745">
        <v>7.0000000000000001E-3</v>
      </c>
      <c r="N34" s="745"/>
      <c r="O34" s="745">
        <v>2.3E-2</v>
      </c>
      <c r="P34" s="745"/>
      <c r="Q34" s="745">
        <v>2E-3</v>
      </c>
      <c r="R34" s="745">
        <v>5.0000000000000001E-3</v>
      </c>
      <c r="S34" s="742">
        <v>0</v>
      </c>
      <c r="T34" s="739"/>
      <c r="U34" s="744"/>
    </row>
    <row r="35" spans="1:21" x14ac:dyDescent="0.2">
      <c r="A35" s="739" t="s">
        <v>342</v>
      </c>
      <c r="B35" s="740" t="s">
        <v>702</v>
      </c>
      <c r="C35" s="64">
        <f>ROUND('Länder-DB'!$M$35*1.1%/(0.1%+$R35)+'Länder-DB'!$M$37+I35*I$1+J35*J$1+K35*K$1+L35*L$1+M35*M$1+N35*N$1+O35*O$1+P35*P$1+Q35*Q$1+S35,2)</f>
        <v>2.11</v>
      </c>
      <c r="D35" s="739" t="s">
        <v>343</v>
      </c>
      <c r="E35" s="742">
        <v>2.75</v>
      </c>
      <c r="F35" s="739"/>
      <c r="G35" s="739"/>
      <c r="H35" s="739"/>
      <c r="I35" s="736">
        <f t="shared" si="0"/>
        <v>0.93389999999999995</v>
      </c>
      <c r="J35" s="745">
        <v>2.5000000000000001E-3</v>
      </c>
      <c r="K35" s="745">
        <v>4.0000000000000001E-3</v>
      </c>
      <c r="L35" s="745">
        <v>6.0000000000000001E-3</v>
      </c>
      <c r="M35" s="745"/>
      <c r="N35" s="745"/>
      <c r="O35" s="745"/>
      <c r="P35" s="745">
        <v>5.1999999999999998E-2</v>
      </c>
      <c r="Q35" s="745">
        <v>1.6000000000000001E-3</v>
      </c>
      <c r="R35" s="745">
        <v>1.6500000000000001E-2</v>
      </c>
      <c r="S35" s="742">
        <v>0</v>
      </c>
      <c r="T35" s="739"/>
      <c r="U35" s="744"/>
    </row>
    <row r="36" spans="1:21" x14ac:dyDescent="0.2">
      <c r="A36" s="740" t="s">
        <v>827</v>
      </c>
      <c r="B36" s="740" t="s">
        <v>828</v>
      </c>
      <c r="C36" s="64">
        <f>ROUND('Länder-DB'!$M$35*1.1%/(0.1%+$R36)+'Länder-DB'!$M$37+I36*I$1+J36*J$1+K36*K$1+L36*L$1+M36*M$1+N36*N$1+O36*O$1+P36*P$1+Q36*Q$1+S36,2)</f>
        <v>2.58</v>
      </c>
      <c r="D36" s="740" t="s">
        <v>829</v>
      </c>
      <c r="E36" s="742">
        <v>2.75</v>
      </c>
      <c r="F36" s="739"/>
      <c r="G36" s="739"/>
      <c r="H36" s="739"/>
      <c r="I36" s="736">
        <f t="shared" si="0"/>
        <v>0.81099999999999994</v>
      </c>
      <c r="J36" s="745"/>
      <c r="K36" s="745"/>
      <c r="L36" s="745">
        <v>4.0000000000000001E-3</v>
      </c>
      <c r="M36" s="745"/>
      <c r="N36" s="745"/>
      <c r="O36" s="745">
        <v>0.09</v>
      </c>
      <c r="P36" s="745">
        <v>9.5000000000000001E-2</v>
      </c>
      <c r="Q36" s="745"/>
      <c r="R36" s="745">
        <v>4.4999999999999997E-3</v>
      </c>
      <c r="S36" s="742"/>
      <c r="T36" s="739"/>
      <c r="U36" s="744"/>
    </row>
    <row r="37" spans="1:21" x14ac:dyDescent="0.2">
      <c r="A37" s="740" t="s">
        <v>33</v>
      </c>
      <c r="B37" s="739"/>
      <c r="C37" s="64">
        <f>ROUND('Länder-DB'!$M$35*1.1%/(0.1%+$R37)+'Länder-DB'!$M$37+I37*I$1+J37*J$1+K37*K$1+L37*L$1+M37*M$1+N37*N$1+O37*O$1+P37*P$1+Q37*Q$1+S37,2)</f>
        <v>2.09</v>
      </c>
      <c r="D37" s="739"/>
      <c r="E37" s="742">
        <v>2.75</v>
      </c>
      <c r="F37" s="739"/>
      <c r="G37" s="739"/>
      <c r="H37" s="739"/>
      <c r="I37" s="736">
        <f t="shared" si="0"/>
        <v>1</v>
      </c>
      <c r="J37" s="745"/>
      <c r="K37" s="745"/>
      <c r="L37" s="745"/>
      <c r="M37" s="745"/>
      <c r="N37" s="745"/>
      <c r="O37" s="745"/>
      <c r="P37" s="745"/>
      <c r="Q37" s="745"/>
      <c r="R37" s="745">
        <v>0.01</v>
      </c>
      <c r="S37" s="742">
        <v>0</v>
      </c>
      <c r="T37" s="739"/>
      <c r="U37" s="744"/>
    </row>
    <row r="38" spans="1:21" ht="5.25" customHeight="1" x14ac:dyDescent="0.2">
      <c r="J38" s="737"/>
      <c r="K38" s="737"/>
      <c r="L38" s="737"/>
      <c r="M38" s="737"/>
      <c r="N38" s="737"/>
      <c r="O38" s="737"/>
      <c r="P38" s="737"/>
      <c r="Q38" s="737"/>
      <c r="R38" s="737"/>
      <c r="S38" s="737"/>
      <c r="T38" s="737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0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700-000000000000}">
      <formula1>AW_Materialtyp</formula1>
    </dataValidation>
    <dataValidation type="decimal" showInputMessage="1" showErrorMessage="1" sqref="C4:C37" xr:uid="{00000000-0002-0000-07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2">
    <tabColor theme="5" tint="0.59999389629810485"/>
  </sheetPr>
  <dimension ref="A1:AE75"/>
  <sheetViews>
    <sheetView zoomScaleNormal="100" workbookViewId="0">
      <selection activeCell="B17" sqref="B17:AE40"/>
    </sheetView>
  </sheetViews>
  <sheetFormatPr baseColWidth="10" defaultColWidth="11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493" t="str">
        <f>IF(Deutsch,"Ofen","oven")</f>
        <v>Ofen</v>
      </c>
      <c r="C2" s="494"/>
      <c r="D2" s="494"/>
      <c r="E2" s="494" t="str">
        <f>IF(Deutsch,"Ofen Datensätze","oven data")</f>
        <v>Ofen Datensätze</v>
      </c>
      <c r="F2" s="495"/>
      <c r="G2" s="496" t="str">
        <f>IF(Deutsch,"Tonnage","volume")</f>
        <v>Tonnage</v>
      </c>
      <c r="H2" s="497" t="str">
        <f>IF(Deutsch,"Anschlussl.","power")</f>
        <v>Anschlussl.</v>
      </c>
      <c r="I2" s="796" t="str">
        <f>IF(Deutsch,"Leistung","performance")</f>
        <v>Leistung</v>
      </c>
      <c r="J2" s="496" t="s">
        <v>658</v>
      </c>
      <c r="K2" s="796" t="str">
        <f>IF(Deutsch,"Wirkungsgrad","efficiency")</f>
        <v>Wirkungsgrad</v>
      </c>
      <c r="L2" s="496" t="str">
        <f>IF(Deutsch,"Wärme-","heat")</f>
        <v>Wärme-</v>
      </c>
      <c r="M2" s="498" t="str">
        <f>IF(Deutsch,"Ofen-","oven-")</f>
        <v>Ofen-</v>
      </c>
      <c r="N2" s="498" t="s">
        <v>173</v>
      </c>
      <c r="O2" s="498" t="str">
        <f>IF(Deutsch,"Abbrand","burn off")</f>
        <v>Abbrand</v>
      </c>
      <c r="P2" s="498" t="str">
        <f>IF(Deutsch,"Gattierzeit","fill-/unfilltime")</f>
        <v>Gattierzeit</v>
      </c>
      <c r="Q2" s="499" t="str">
        <f>IF(Deutsch,"Schmelzverlust","melting loss")</f>
        <v>Schmelzverlust</v>
      </c>
      <c r="R2" s="521"/>
    </row>
    <row r="3" spans="2:18" ht="15" thickBot="1" x14ac:dyDescent="0.25">
      <c r="B3" s="590" t="str">
        <f>IF(Deutsch,"Typ","type")</f>
        <v>Typ</v>
      </c>
      <c r="C3" s="591" t="str">
        <f>IF(Deutsch,"Nr.","no")</f>
        <v>Nr.</v>
      </c>
      <c r="D3" s="591" t="str">
        <f>IF(Deutsch,"Energie","energy")</f>
        <v>Energie</v>
      </c>
      <c r="E3" s="591" t="str">
        <f>IF(Deutsch,"Hersteller","brand")</f>
        <v>Hersteller</v>
      </c>
      <c r="F3" s="591" t="s">
        <v>102</v>
      </c>
      <c r="G3" s="591" t="s">
        <v>70</v>
      </c>
      <c r="H3" s="591" t="s">
        <v>103</v>
      </c>
      <c r="I3" s="591" t="s">
        <v>104</v>
      </c>
      <c r="J3" s="591" t="s">
        <v>1</v>
      </c>
      <c r="K3" s="591" t="s">
        <v>105</v>
      </c>
      <c r="L3" s="591" t="str">
        <f>IF(Deutsch,"Verlust","loss")</f>
        <v>Verlust</v>
      </c>
      <c r="M3" s="592" t="str">
        <f>IF(Deutsch,"Art","type")</f>
        <v>Art</v>
      </c>
      <c r="N3" s="592" t="s">
        <v>174</v>
      </c>
      <c r="O3" s="592" t="s">
        <v>125</v>
      </c>
      <c r="P3" s="592" t="s">
        <v>175</v>
      </c>
      <c r="Q3" s="592" t="s">
        <v>125</v>
      </c>
      <c r="R3" s="592" t="str">
        <f>C3</f>
        <v>Nr.</v>
      </c>
    </row>
    <row r="4" spans="2:18" ht="3" customHeight="1" x14ac:dyDescent="0.2">
      <c r="B4" s="302"/>
      <c r="C4" s="299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3"/>
      <c r="Q4" s="175"/>
      <c r="R4" s="593">
        <v>0</v>
      </c>
    </row>
    <row r="5" spans="2:18" x14ac:dyDescent="0.2">
      <c r="B5" s="304" t="s">
        <v>108</v>
      </c>
      <c r="C5" s="300">
        <v>1</v>
      </c>
      <c r="D5" s="58" t="s">
        <v>109</v>
      </c>
      <c r="E5" s="58" t="s">
        <v>110</v>
      </c>
      <c r="F5" s="58" t="s">
        <v>114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83" t="str">
        <f>IF(Deutsch,"Schacht","batch-type")</f>
        <v>Schacht</v>
      </c>
      <c r="N5" s="138">
        <v>0.68700000000000006</v>
      </c>
      <c r="O5" s="179">
        <v>1.9E-2</v>
      </c>
      <c r="P5" s="305">
        <v>15</v>
      </c>
      <c r="Q5" s="179">
        <v>2.5000000000000001E-2</v>
      </c>
      <c r="R5" s="595">
        <v>1</v>
      </c>
    </row>
    <row r="6" spans="2:18" x14ac:dyDescent="0.2">
      <c r="B6" s="304" t="s">
        <v>108</v>
      </c>
      <c r="C6" s="589">
        <v>2</v>
      </c>
      <c r="D6" s="58" t="s">
        <v>109</v>
      </c>
      <c r="E6" s="58" t="s">
        <v>110</v>
      </c>
      <c r="F6" s="58" t="s">
        <v>114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83" t="str">
        <f>IF(Deutsch,"Schacht","batch-type")</f>
        <v>Schacht</v>
      </c>
      <c r="N6" s="138">
        <v>0.68700000000000006</v>
      </c>
      <c r="O6" s="179">
        <v>1.4999999999999999E-2</v>
      </c>
      <c r="P6" s="305">
        <v>30</v>
      </c>
      <c r="Q6" s="179">
        <v>1.7999999999999999E-2</v>
      </c>
      <c r="R6" s="594">
        <v>2</v>
      </c>
    </row>
    <row r="7" spans="2:18" x14ac:dyDescent="0.2">
      <c r="B7" s="304" t="s">
        <v>108</v>
      </c>
      <c r="C7" s="300">
        <v>3</v>
      </c>
      <c r="D7" s="58" t="s">
        <v>109</v>
      </c>
      <c r="E7" s="58" t="s">
        <v>110</v>
      </c>
      <c r="F7" s="58" t="s">
        <v>111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83" t="str">
        <f>IF(Deutsch,"Schacht","batch-type")</f>
        <v>Schacht</v>
      </c>
      <c r="N7" s="138">
        <v>0.66700000000000004</v>
      </c>
      <c r="O7" s="179">
        <v>1.2500000000000001E-2</v>
      </c>
      <c r="P7" s="305">
        <v>35</v>
      </c>
      <c r="Q7" s="179">
        <v>1.4999999999999999E-2</v>
      </c>
      <c r="R7" s="595">
        <v>3</v>
      </c>
    </row>
    <row r="8" spans="2:18" x14ac:dyDescent="0.2">
      <c r="B8" s="304" t="s">
        <v>108</v>
      </c>
      <c r="C8" s="300">
        <v>4</v>
      </c>
      <c r="D8" s="58" t="s">
        <v>109</v>
      </c>
      <c r="E8" s="58" t="s">
        <v>110</v>
      </c>
      <c r="F8" s="58" t="s">
        <v>111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83" t="str">
        <f>IF(Deutsch,"Schacht","batch-type")</f>
        <v>Schacht</v>
      </c>
      <c r="N8" s="138">
        <v>0.64200000000000002</v>
      </c>
      <c r="O8" s="179">
        <v>1.2500000000000001E-2</v>
      </c>
      <c r="P8" s="305">
        <v>40</v>
      </c>
      <c r="Q8" s="179">
        <v>1.2999999999999999E-2</v>
      </c>
      <c r="R8" s="595">
        <v>4</v>
      </c>
    </row>
    <row r="9" spans="2:18" x14ac:dyDescent="0.2">
      <c r="B9" s="304" t="s">
        <v>112</v>
      </c>
      <c r="C9" s="300">
        <v>5</v>
      </c>
      <c r="D9" s="58" t="s">
        <v>106</v>
      </c>
      <c r="E9" s="58" t="s">
        <v>107</v>
      </c>
      <c r="F9" s="58" t="s">
        <v>113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83" t="str">
        <f>IF(Deutsch,"Tiegel","pot-type")</f>
        <v>Tiegel</v>
      </c>
      <c r="N9" s="138">
        <v>0.64500000000000002</v>
      </c>
      <c r="O9" s="179">
        <v>4.0000000000000001E-3</v>
      </c>
      <c r="P9" s="305">
        <v>15</v>
      </c>
      <c r="Q9" s="179">
        <v>4.0000000000000001E-3</v>
      </c>
      <c r="R9" s="595">
        <v>5</v>
      </c>
    </row>
    <row r="10" spans="2:18" x14ac:dyDescent="0.2">
      <c r="B10" s="304" t="s">
        <v>112</v>
      </c>
      <c r="C10" s="300">
        <v>6</v>
      </c>
      <c r="D10" s="58" t="s">
        <v>106</v>
      </c>
      <c r="E10" s="58" t="s">
        <v>107</v>
      </c>
      <c r="F10" s="58" t="s">
        <v>113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83" t="str">
        <f>IF(Deutsch,"Tiegel","pot-type")</f>
        <v>Tiegel</v>
      </c>
      <c r="N10" s="138">
        <v>0.61499999999999999</v>
      </c>
      <c r="O10" s="179">
        <v>2.5000000000000001E-3</v>
      </c>
      <c r="P10" s="305">
        <v>25</v>
      </c>
      <c r="Q10" s="179">
        <v>2.5000000000000001E-3</v>
      </c>
      <c r="R10" s="595">
        <v>6</v>
      </c>
    </row>
    <row r="11" spans="2:18" x14ac:dyDescent="0.2">
      <c r="B11" s="304" t="s">
        <v>112</v>
      </c>
      <c r="C11" s="300">
        <v>7</v>
      </c>
      <c r="D11" s="58" t="s">
        <v>106</v>
      </c>
      <c r="E11" s="58" t="s">
        <v>107</v>
      </c>
      <c r="F11" s="58" t="s">
        <v>113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83" t="str">
        <f>IF(Deutsch,"Tiegel","pot-type")</f>
        <v>Tiegel</v>
      </c>
      <c r="N11" s="138">
        <v>0.59199999999999997</v>
      </c>
      <c r="O11" s="179">
        <v>2E-3</v>
      </c>
      <c r="P11" s="305">
        <v>30</v>
      </c>
      <c r="Q11" s="179">
        <v>1E-3</v>
      </c>
      <c r="R11" s="595">
        <v>7</v>
      </c>
    </row>
    <row r="12" spans="2:18" x14ac:dyDescent="0.2">
      <c r="B12" s="304" t="s">
        <v>112</v>
      </c>
      <c r="C12" s="300">
        <v>8</v>
      </c>
      <c r="D12" s="58" t="s">
        <v>106</v>
      </c>
      <c r="E12" s="58" t="s">
        <v>107</v>
      </c>
      <c r="F12" s="58" t="s">
        <v>113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83" t="str">
        <f>IF(Deutsch,"Tiegel","pot-type")</f>
        <v>Tiegel</v>
      </c>
      <c r="N12" s="138">
        <v>0.59</v>
      </c>
      <c r="O12" s="179">
        <v>2E-3</v>
      </c>
      <c r="P12" s="305">
        <v>40</v>
      </c>
      <c r="Q12" s="179">
        <v>0</v>
      </c>
      <c r="R12" s="595">
        <v>8</v>
      </c>
    </row>
    <row r="13" spans="2:18" x14ac:dyDescent="0.2">
      <c r="B13" s="845" t="s">
        <v>765</v>
      </c>
      <c r="C13" s="300">
        <v>9</v>
      </c>
      <c r="D13" s="844" t="s">
        <v>761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83" t="str">
        <f>IF(Deutsch,"Schacht","batch-type")</f>
        <v>Schacht</v>
      </c>
      <c r="N13" s="138">
        <v>0.69</v>
      </c>
      <c r="O13" s="179">
        <v>1.4999999999999999E-2</v>
      </c>
      <c r="P13" s="305">
        <v>30</v>
      </c>
      <c r="Q13" s="179">
        <v>1.9E-2</v>
      </c>
      <c r="R13" s="595">
        <v>9</v>
      </c>
    </row>
    <row r="14" spans="2:18" x14ac:dyDescent="0.2">
      <c r="B14" s="304" t="s">
        <v>765</v>
      </c>
      <c r="C14" s="300">
        <v>10</v>
      </c>
      <c r="D14" s="844" t="s">
        <v>761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83" t="str">
        <f>IF(Deutsch,"Schacht","batch-type")</f>
        <v>Schacht</v>
      </c>
      <c r="N14" s="138">
        <v>0.68500000000000005</v>
      </c>
      <c r="O14" s="179">
        <v>1.4E-2</v>
      </c>
      <c r="P14" s="305">
        <v>35</v>
      </c>
      <c r="Q14" s="179">
        <v>1.7000000000000001E-2</v>
      </c>
      <c r="R14" s="595">
        <v>10</v>
      </c>
    </row>
    <row r="15" spans="2:18" ht="15" thickBot="1" x14ac:dyDescent="0.25">
      <c r="B15" s="306" t="s">
        <v>765</v>
      </c>
      <c r="C15" s="301">
        <v>11</v>
      </c>
      <c r="D15" s="846" t="s">
        <v>761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847" t="str">
        <f>IF(Deutsch,"Schacht","batch-type")</f>
        <v>Schacht</v>
      </c>
      <c r="N15" s="139">
        <v>0.68300000000000005</v>
      </c>
      <c r="O15" s="848">
        <v>1.2999999999999999E-2</v>
      </c>
      <c r="P15" s="307">
        <v>40</v>
      </c>
      <c r="Q15" s="848">
        <v>1.4999999999999999E-2</v>
      </c>
      <c r="R15" s="596">
        <v>11</v>
      </c>
    </row>
    <row r="16" spans="2:18" x14ac:dyDescent="0.2">
      <c r="B16" s="526" t="s">
        <v>620</v>
      </c>
      <c r="C16" s="503" t="s">
        <v>769</v>
      </c>
    </row>
    <row r="17" spans="2:31" ht="15.75" x14ac:dyDescent="0.25">
      <c r="B17" s="502" t="s">
        <v>979</v>
      </c>
    </row>
    <row r="18" spans="2:31" x14ac:dyDescent="0.2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23</v>
      </c>
    </row>
    <row r="19" spans="2:31" ht="16.5" customHeight="1" thickBot="1" x14ac:dyDescent="0.25">
      <c r="B19" s="1184" t="s">
        <v>101</v>
      </c>
      <c r="C19" s="1184" t="s">
        <v>980</v>
      </c>
      <c r="D19" s="1185" t="s">
        <v>981</v>
      </c>
      <c r="E19" s="1184" t="s">
        <v>982</v>
      </c>
      <c r="F19" s="1184" t="s">
        <v>983</v>
      </c>
      <c r="G19" s="1184" t="s">
        <v>984</v>
      </c>
      <c r="H19" s="1184" t="s">
        <v>985</v>
      </c>
      <c r="I19" s="1184" t="s">
        <v>986</v>
      </c>
      <c r="J19" s="1184" t="s">
        <v>987</v>
      </c>
      <c r="K19" s="1184" t="s">
        <v>988</v>
      </c>
      <c r="L19" s="1184" t="s">
        <v>989</v>
      </c>
      <c r="M19" s="1184" t="s">
        <v>989</v>
      </c>
      <c r="N19" s="1184" t="s">
        <v>990</v>
      </c>
      <c r="O19" s="1184" t="s">
        <v>991</v>
      </c>
      <c r="P19" s="1184" t="s">
        <v>992</v>
      </c>
      <c r="Q19" s="1184" t="s">
        <v>993</v>
      </c>
      <c r="R19" s="1184" t="s">
        <v>980</v>
      </c>
      <c r="V19" s="1184" t="s">
        <v>25</v>
      </c>
      <c r="W19" s="1199" t="s">
        <v>1011</v>
      </c>
      <c r="X19" s="1199" t="s">
        <v>1012</v>
      </c>
      <c r="Y19" s="1199" t="s">
        <v>1013</v>
      </c>
      <c r="Z19" s="1199" t="s">
        <v>1014</v>
      </c>
      <c r="AA19" s="1199" t="s">
        <v>449</v>
      </c>
      <c r="AB19" s="1199" t="s">
        <v>1015</v>
      </c>
      <c r="AC19" s="1199" t="s">
        <v>100</v>
      </c>
      <c r="AD19" s="1199" t="s">
        <v>1016</v>
      </c>
      <c r="AE19" s="1199" t="s">
        <v>1017</v>
      </c>
    </row>
    <row r="20" spans="2:31" ht="29.25" thickBot="1" x14ac:dyDescent="0.25">
      <c r="B20" s="1186" t="s">
        <v>994</v>
      </c>
      <c r="C20" s="1186" t="s">
        <v>995</v>
      </c>
      <c r="D20" s="1186" t="s">
        <v>996</v>
      </c>
      <c r="E20" s="1186"/>
      <c r="F20" s="1186" t="s">
        <v>997</v>
      </c>
      <c r="G20" s="1186" t="s">
        <v>998</v>
      </c>
      <c r="H20" s="1186" t="s">
        <v>999</v>
      </c>
      <c r="I20" s="1186" t="s">
        <v>1000</v>
      </c>
      <c r="J20" s="1184" t="s">
        <v>1001</v>
      </c>
      <c r="K20" s="1184" t="s">
        <v>100</v>
      </c>
      <c r="L20" s="1184"/>
      <c r="M20" s="1184"/>
      <c r="N20" s="1184"/>
      <c r="O20" s="1184"/>
      <c r="P20" s="1187"/>
      <c r="Q20" s="1187"/>
      <c r="R20" s="1186" t="s">
        <v>995</v>
      </c>
      <c r="T20" s="1200" t="s">
        <v>1018</v>
      </c>
      <c r="U20" s="1184" t="s">
        <v>927</v>
      </c>
      <c r="V20" s="1185" t="s">
        <v>66</v>
      </c>
      <c r="W20" s="1184" t="s">
        <v>1</v>
      </c>
      <c r="X20" s="1184" t="s">
        <v>1</v>
      </c>
      <c r="Y20" s="1184" t="s">
        <v>1</v>
      </c>
      <c r="Z20" s="1185" t="s">
        <v>103</v>
      </c>
      <c r="AA20" s="1185" t="s">
        <v>450</v>
      </c>
      <c r="AB20" s="1185" t="s">
        <v>1019</v>
      </c>
      <c r="AC20" s="1184" t="s">
        <v>1</v>
      </c>
      <c r="AD20" s="1185" t="s">
        <v>55</v>
      </c>
      <c r="AE20" s="1185" t="s">
        <v>1020</v>
      </c>
    </row>
    <row r="21" spans="2:31" ht="12" customHeight="1" x14ac:dyDescent="0.2">
      <c r="B21" s="1185" t="s">
        <v>1002</v>
      </c>
      <c r="C21" s="1186"/>
      <c r="D21" s="1184"/>
      <c r="E21" s="1184" t="s">
        <v>1003</v>
      </c>
      <c r="F21" s="1184"/>
      <c r="G21" s="1184" t="s">
        <v>1004</v>
      </c>
      <c r="H21" s="1184" t="s">
        <v>1005</v>
      </c>
      <c r="I21" s="1184" t="s">
        <v>103</v>
      </c>
      <c r="J21" s="1188" t="s">
        <v>450</v>
      </c>
      <c r="K21" s="1186" t="s">
        <v>1</v>
      </c>
      <c r="L21" s="1184" t="s">
        <v>70</v>
      </c>
      <c r="M21" s="1184" t="s">
        <v>103</v>
      </c>
      <c r="N21" s="1186" t="s">
        <v>1</v>
      </c>
      <c r="O21" s="1186" t="s">
        <v>1</v>
      </c>
      <c r="P21" s="1187" t="s">
        <v>1004</v>
      </c>
      <c r="Q21" s="1187" t="s">
        <v>55</v>
      </c>
      <c r="R21" s="1186"/>
      <c r="T21" s="45" t="s">
        <v>962</v>
      </c>
      <c r="U21" s="1201" t="s">
        <v>176</v>
      </c>
      <c r="V21" s="1126">
        <v>1</v>
      </c>
      <c r="W21" s="1202">
        <v>0</v>
      </c>
      <c r="X21" s="1202">
        <v>0</v>
      </c>
      <c r="Y21" s="1202">
        <f>$AC$21</f>
        <v>1500</v>
      </c>
      <c r="Z21" s="1201">
        <v>0</v>
      </c>
      <c r="AA21" s="31">
        <v>0</v>
      </c>
      <c r="AB21" s="1203" t="s">
        <v>1021</v>
      </c>
      <c r="AC21" s="1204">
        <v>1500</v>
      </c>
      <c r="AD21" s="1205">
        <v>0.2</v>
      </c>
      <c r="AE21" s="1205">
        <v>25</v>
      </c>
    </row>
    <row r="22" spans="2:31" ht="24.75" customHeight="1" x14ac:dyDescent="0.2">
      <c r="B22" s="58"/>
      <c r="C22" s="58">
        <v>0</v>
      </c>
      <c r="D22" s="1189" t="s">
        <v>69</v>
      </c>
      <c r="E22" s="1189">
        <v>0</v>
      </c>
      <c r="F22" s="1190"/>
      <c r="G22" s="1190"/>
      <c r="H22" s="1191">
        <v>0</v>
      </c>
      <c r="I22" s="1191">
        <v>0</v>
      </c>
      <c r="J22" s="118">
        <v>0</v>
      </c>
      <c r="K22" s="1192">
        <v>0</v>
      </c>
      <c r="L22" s="1193">
        <v>0</v>
      </c>
      <c r="M22" s="1192"/>
      <c r="N22" s="1192">
        <v>0</v>
      </c>
      <c r="O22" s="1194">
        <f>K22+N22</f>
        <v>0</v>
      </c>
      <c r="P22" s="58">
        <v>0</v>
      </c>
      <c r="Q22" s="58">
        <v>0</v>
      </c>
      <c r="R22" s="58">
        <f t="shared" ref="R22:R40" si="0">C22</f>
        <v>0</v>
      </c>
      <c r="T22" s="45" t="s">
        <v>964</v>
      </c>
      <c r="U22" s="1201" t="s">
        <v>963</v>
      </c>
      <c r="V22" s="1126">
        <v>2</v>
      </c>
      <c r="W22" s="1202">
        <v>0</v>
      </c>
      <c r="X22" s="1202">
        <f>SUM($AC$22:$AC$22)</f>
        <v>4500</v>
      </c>
      <c r="Y22" s="1202">
        <f>SUM($AC$22:$AC$22)</f>
        <v>4500</v>
      </c>
      <c r="Z22" s="1201">
        <f>4.5</f>
        <v>4.5</v>
      </c>
      <c r="AA22" s="31">
        <v>0</v>
      </c>
      <c r="AB22" s="1203" t="s">
        <v>1022</v>
      </c>
      <c r="AC22" s="1204">
        <v>4500</v>
      </c>
      <c r="AD22" s="1205">
        <v>0.25</v>
      </c>
      <c r="AE22" s="1205">
        <v>25</v>
      </c>
    </row>
    <row r="23" spans="2:31" x14ac:dyDescent="0.2">
      <c r="B23" s="58" t="s">
        <v>957</v>
      </c>
      <c r="C23" s="58">
        <v>1</v>
      </c>
      <c r="D23" s="58" t="s">
        <v>1006</v>
      </c>
      <c r="E23" s="1189">
        <v>6</v>
      </c>
      <c r="F23" s="1190" t="s">
        <v>261</v>
      </c>
      <c r="G23" s="1195">
        <v>600</v>
      </c>
      <c r="H23" s="118">
        <f>5*60</f>
        <v>300</v>
      </c>
      <c r="I23" s="118">
        <v>12</v>
      </c>
      <c r="J23" s="118">
        <v>11.7</v>
      </c>
      <c r="K23" s="1192">
        <v>63500</v>
      </c>
      <c r="L23" s="58">
        <v>200</v>
      </c>
      <c r="M23" s="1192">
        <v>30</v>
      </c>
      <c r="N23" s="1192">
        <v>12000</v>
      </c>
      <c r="O23" s="1194">
        <f t="shared" ref="O23:O40" si="1">K23+N23</f>
        <v>75500</v>
      </c>
      <c r="P23" s="58">
        <v>1200</v>
      </c>
      <c r="Q23" s="58">
        <f>5*60</f>
        <v>300</v>
      </c>
      <c r="R23" s="58">
        <f t="shared" si="0"/>
        <v>1</v>
      </c>
      <c r="T23" s="45" t="s">
        <v>966</v>
      </c>
      <c r="U23" s="1201" t="s">
        <v>965</v>
      </c>
      <c r="V23" s="1126">
        <v>3</v>
      </c>
      <c r="W23" s="1202">
        <v>0</v>
      </c>
      <c r="X23" s="1202">
        <f>SUM($AC$22:$AC$23)</f>
        <v>13000</v>
      </c>
      <c r="Y23" s="1202">
        <f>SUM($AC$22:$AC$23)</f>
        <v>13000</v>
      </c>
      <c r="Z23" s="1201">
        <f>4.5</f>
        <v>4.5</v>
      </c>
      <c r="AA23" s="31">
        <v>1</v>
      </c>
      <c r="AB23" s="1203" t="s">
        <v>966</v>
      </c>
      <c r="AC23" s="1204">
        <v>8500</v>
      </c>
      <c r="AD23" s="1205">
        <v>0.25</v>
      </c>
      <c r="AE23" s="1205">
        <v>15</v>
      </c>
    </row>
    <row r="24" spans="2:31" x14ac:dyDescent="0.2">
      <c r="B24" s="58" t="s">
        <v>957</v>
      </c>
      <c r="C24" s="58">
        <v>2</v>
      </c>
      <c r="D24" s="58" t="s">
        <v>1006</v>
      </c>
      <c r="E24" s="1189">
        <v>25</v>
      </c>
      <c r="F24" s="1190" t="s">
        <v>261</v>
      </c>
      <c r="G24" s="1195">
        <v>1300</v>
      </c>
      <c r="H24" s="118">
        <f>5.5*60</f>
        <v>330</v>
      </c>
      <c r="I24" s="118">
        <v>15</v>
      </c>
      <c r="J24" s="118">
        <v>18</v>
      </c>
      <c r="K24" s="1192">
        <v>79100</v>
      </c>
      <c r="L24" s="58">
        <v>600</v>
      </c>
      <c r="M24" s="1192">
        <v>40</v>
      </c>
      <c r="N24" s="1192">
        <v>20000</v>
      </c>
      <c r="O24" s="1194">
        <f t="shared" si="1"/>
        <v>99100</v>
      </c>
      <c r="P24" s="58">
        <v>780</v>
      </c>
      <c r="Q24" s="58">
        <f>7*60</f>
        <v>420</v>
      </c>
      <c r="R24" s="58">
        <f t="shared" si="0"/>
        <v>2</v>
      </c>
      <c r="T24" s="45" t="s">
        <v>968</v>
      </c>
      <c r="U24" s="1201" t="s">
        <v>967</v>
      </c>
      <c r="V24" s="1126">
        <v>4</v>
      </c>
      <c r="W24" s="1202">
        <f>SUM($AC$24)</f>
        <v>16500</v>
      </c>
      <c r="X24" s="1202">
        <f>SUM($AC$22:$AC$24)</f>
        <v>29500</v>
      </c>
      <c r="Y24" s="1202">
        <f>SUM($AC$22:$AC$24)</f>
        <v>29500</v>
      </c>
      <c r="Z24" s="1201">
        <f>17.5</f>
        <v>17.5</v>
      </c>
      <c r="AA24" s="31">
        <v>10</v>
      </c>
      <c r="AB24" s="1203" t="s">
        <v>1023</v>
      </c>
      <c r="AC24" s="1204">
        <v>16500</v>
      </c>
      <c r="AD24" s="1206">
        <v>0</v>
      </c>
      <c r="AE24" s="1205">
        <v>15</v>
      </c>
    </row>
    <row r="25" spans="2:31" x14ac:dyDescent="0.2">
      <c r="B25" s="58" t="s">
        <v>956</v>
      </c>
      <c r="C25" s="58">
        <v>3</v>
      </c>
      <c r="D25" s="58" t="s">
        <v>1007</v>
      </c>
      <c r="E25" s="1189">
        <v>6.3</v>
      </c>
      <c r="F25" s="1190" t="s">
        <v>1008</v>
      </c>
      <c r="G25" s="1195">
        <v>780</v>
      </c>
      <c r="H25" s="118">
        <f>2.5*60</f>
        <v>150</v>
      </c>
      <c r="I25" s="118">
        <v>22</v>
      </c>
      <c r="J25" s="118">
        <v>30</v>
      </c>
      <c r="K25" s="1192">
        <v>89000</v>
      </c>
      <c r="L25" s="58">
        <v>200</v>
      </c>
      <c r="M25" s="1192">
        <v>30</v>
      </c>
      <c r="N25" s="1192">
        <f>N23</f>
        <v>12000</v>
      </c>
      <c r="O25" s="1194">
        <f t="shared" si="1"/>
        <v>101000</v>
      </c>
      <c r="P25" s="58">
        <v>580</v>
      </c>
      <c r="Q25" s="58">
        <f>7*60</f>
        <v>420</v>
      </c>
      <c r="R25" s="58">
        <f t="shared" si="0"/>
        <v>3</v>
      </c>
      <c r="T25" s="45" t="s">
        <v>970</v>
      </c>
      <c r="U25" s="1201" t="s">
        <v>969</v>
      </c>
      <c r="V25" s="1126">
        <v>5</v>
      </c>
      <c r="W25" s="1202">
        <f>SUM($AC$24:$AC$25)</f>
        <v>52500</v>
      </c>
      <c r="X25" s="1202">
        <f>SUM($AC$22:$AC$25)</f>
        <v>65500</v>
      </c>
      <c r="Y25" s="1202">
        <f>SUM($AC$22:$AC$25)</f>
        <v>65500</v>
      </c>
      <c r="Z25" s="1201">
        <f>25</f>
        <v>25</v>
      </c>
      <c r="AA25" s="31">
        <v>15</v>
      </c>
      <c r="AB25" s="1203" t="s">
        <v>1024</v>
      </c>
      <c r="AC25" s="1204">
        <v>36000</v>
      </c>
      <c r="AD25" s="1206">
        <v>0</v>
      </c>
      <c r="AE25" s="1205">
        <v>15</v>
      </c>
    </row>
    <row r="26" spans="2:31" x14ac:dyDescent="0.2">
      <c r="B26" s="58" t="s">
        <v>956</v>
      </c>
      <c r="C26" s="58">
        <v>4</v>
      </c>
      <c r="D26" s="58" t="s">
        <v>1007</v>
      </c>
      <c r="E26" s="1189">
        <v>18</v>
      </c>
      <c r="F26" s="1190" t="s">
        <v>1009</v>
      </c>
      <c r="G26" s="1195">
        <v>1020</v>
      </c>
      <c r="H26" s="118">
        <f>3*60</f>
        <v>180</v>
      </c>
      <c r="I26" s="118">
        <v>45</v>
      </c>
      <c r="J26" s="118">
        <v>35</v>
      </c>
      <c r="K26" s="1192">
        <v>136600</v>
      </c>
      <c r="L26" s="58">
        <v>900</v>
      </c>
      <c r="M26" s="1192">
        <v>50</v>
      </c>
      <c r="N26" s="1192">
        <v>28750</v>
      </c>
      <c r="O26" s="1194">
        <f t="shared" si="1"/>
        <v>165350</v>
      </c>
      <c r="P26" s="58">
        <v>1350</v>
      </c>
      <c r="Q26" s="58">
        <f>6*60</f>
        <v>360</v>
      </c>
      <c r="R26" s="58">
        <f t="shared" si="0"/>
        <v>4</v>
      </c>
      <c r="T26" s="45" t="s">
        <v>972</v>
      </c>
      <c r="U26" s="1201" t="s">
        <v>971</v>
      </c>
      <c r="V26" s="1126">
        <v>6</v>
      </c>
      <c r="W26" s="1202">
        <f>SUM($AC$24:$AC$26)</f>
        <v>80500</v>
      </c>
      <c r="X26" s="1202">
        <f>SUM($AC$22:$AC$26)</f>
        <v>93500</v>
      </c>
      <c r="Y26" s="1202">
        <f>SUM($AC$22:$AC$26)</f>
        <v>93500</v>
      </c>
      <c r="Z26" s="1201">
        <f>27</f>
        <v>27</v>
      </c>
      <c r="AA26" s="31">
        <v>17</v>
      </c>
      <c r="AB26" s="1203" t="s">
        <v>1025</v>
      </c>
      <c r="AC26" s="1204">
        <v>28000</v>
      </c>
      <c r="AD26" s="1206">
        <v>0</v>
      </c>
      <c r="AE26" s="1205">
        <v>15</v>
      </c>
    </row>
    <row r="27" spans="2:31" ht="15" thickBot="1" x14ac:dyDescent="0.25">
      <c r="B27" s="58" t="s">
        <v>956</v>
      </c>
      <c r="C27" s="58">
        <v>5</v>
      </c>
      <c r="D27" s="58" t="s">
        <v>1007</v>
      </c>
      <c r="E27" s="1189">
        <v>18</v>
      </c>
      <c r="F27" s="1190" t="s">
        <v>1009</v>
      </c>
      <c r="G27" s="1195">
        <v>1350</v>
      </c>
      <c r="H27" s="118">
        <f>3*60</f>
        <v>180</v>
      </c>
      <c r="I27" s="118">
        <v>52</v>
      </c>
      <c r="J27" s="118">
        <v>35</v>
      </c>
      <c r="K27" s="1192">
        <v>157300</v>
      </c>
      <c r="L27" s="58">
        <v>1500</v>
      </c>
      <c r="M27" s="1192">
        <v>60</v>
      </c>
      <c r="N27" s="1192">
        <v>45000</v>
      </c>
      <c r="O27" s="1194">
        <f t="shared" si="1"/>
        <v>202300</v>
      </c>
      <c r="P27" s="58">
        <v>1350</v>
      </c>
      <c r="Q27" s="58">
        <f>6*60</f>
        <v>360</v>
      </c>
      <c r="R27" s="58">
        <f t="shared" si="0"/>
        <v>5</v>
      </c>
      <c r="T27" s="46" t="s">
        <v>974</v>
      </c>
      <c r="U27" s="675" t="s">
        <v>973</v>
      </c>
      <c r="V27" s="1207">
        <v>7</v>
      </c>
      <c r="W27" s="1208">
        <f>SUM($AC$24:$AC$27)</f>
        <v>110500</v>
      </c>
      <c r="X27" s="1208">
        <f>SUM($AC$22:$AC$27)</f>
        <v>123500</v>
      </c>
      <c r="Y27" s="1208">
        <f>SUM($AC$22:$AC$27)</f>
        <v>123500</v>
      </c>
      <c r="Z27" s="675">
        <f>39</f>
        <v>39</v>
      </c>
      <c r="AA27" s="44">
        <v>20</v>
      </c>
      <c r="AB27" s="1209" t="s">
        <v>1026</v>
      </c>
      <c r="AC27" s="1210">
        <v>30000</v>
      </c>
      <c r="AD27" s="1211">
        <v>0</v>
      </c>
      <c r="AE27" s="1212">
        <v>15</v>
      </c>
    </row>
    <row r="28" spans="2:31" x14ac:dyDescent="0.2">
      <c r="B28" s="58" t="s">
        <v>956</v>
      </c>
      <c r="C28" s="58">
        <v>6</v>
      </c>
      <c r="D28" s="58" t="s">
        <v>1007</v>
      </c>
      <c r="E28" s="1189">
        <v>18</v>
      </c>
      <c r="F28" s="1190" t="s">
        <v>1008</v>
      </c>
      <c r="G28" s="1195">
        <v>1350</v>
      </c>
      <c r="H28" s="118">
        <f>3.5*60</f>
        <v>210</v>
      </c>
      <c r="I28" s="118">
        <v>52</v>
      </c>
      <c r="J28" s="118">
        <v>39</v>
      </c>
      <c r="K28" s="1192">
        <v>160700</v>
      </c>
      <c r="L28" s="58">
        <v>600</v>
      </c>
      <c r="M28" s="1192">
        <v>40</v>
      </c>
      <c r="N28" s="1192">
        <f>N24</f>
        <v>20000</v>
      </c>
      <c r="O28" s="1194">
        <f t="shared" si="1"/>
        <v>180700</v>
      </c>
      <c r="P28" s="58">
        <v>2000</v>
      </c>
      <c r="Q28" s="58">
        <f>8*60</f>
        <v>480</v>
      </c>
      <c r="R28" s="58">
        <f t="shared" si="0"/>
        <v>6</v>
      </c>
      <c r="V28" s="2"/>
    </row>
    <row r="29" spans="2:31" x14ac:dyDescent="0.2">
      <c r="B29" s="58" t="s">
        <v>958</v>
      </c>
      <c r="C29" s="58">
        <v>7</v>
      </c>
      <c r="D29" s="58" t="s">
        <v>1010</v>
      </c>
      <c r="E29" s="1189">
        <v>0</v>
      </c>
      <c r="F29" s="1190" t="s">
        <v>261</v>
      </c>
      <c r="G29" s="1195">
        <v>300</v>
      </c>
      <c r="H29" s="118">
        <f>3*60</f>
        <v>180</v>
      </c>
      <c r="I29" s="118">
        <v>2</v>
      </c>
      <c r="J29" s="118">
        <v>6</v>
      </c>
      <c r="K29" s="1192">
        <v>28000</v>
      </c>
      <c r="L29" s="58">
        <v>200</v>
      </c>
      <c r="M29" s="1192">
        <v>30</v>
      </c>
      <c r="N29" s="1192">
        <f>N23</f>
        <v>12000</v>
      </c>
      <c r="O29" s="1194">
        <f t="shared" si="1"/>
        <v>40000</v>
      </c>
      <c r="P29" s="58">
        <v>400</v>
      </c>
      <c r="Q29" s="58">
        <f>2*60</f>
        <v>120</v>
      </c>
      <c r="R29" s="58">
        <f t="shared" si="0"/>
        <v>7</v>
      </c>
    </row>
    <row r="30" spans="2:31" x14ac:dyDescent="0.2">
      <c r="B30" s="58" t="s">
        <v>958</v>
      </c>
      <c r="C30" s="58">
        <v>8</v>
      </c>
      <c r="D30" s="58" t="s">
        <v>1010</v>
      </c>
      <c r="E30" s="1189">
        <v>0</v>
      </c>
      <c r="F30" s="1190" t="s">
        <v>261</v>
      </c>
      <c r="G30" s="1195">
        <v>900</v>
      </c>
      <c r="H30" s="118">
        <f>4*60</f>
        <v>240</v>
      </c>
      <c r="I30" s="118">
        <v>2</v>
      </c>
      <c r="J30" s="118">
        <v>8</v>
      </c>
      <c r="K30" s="1192">
        <v>36000</v>
      </c>
      <c r="L30" s="58">
        <v>600</v>
      </c>
      <c r="M30" s="1192">
        <v>40</v>
      </c>
      <c r="N30" s="1192">
        <f>N24</f>
        <v>20000</v>
      </c>
      <c r="O30" s="1194">
        <f t="shared" si="1"/>
        <v>56000</v>
      </c>
      <c r="P30" s="58">
        <v>800</v>
      </c>
      <c r="Q30" s="58">
        <f>4*60</f>
        <v>240</v>
      </c>
      <c r="R30" s="58">
        <f t="shared" si="0"/>
        <v>8</v>
      </c>
    </row>
    <row r="31" spans="2:31" x14ac:dyDescent="0.2">
      <c r="B31" s="58"/>
      <c r="C31" s="58"/>
      <c r="D31" s="58"/>
      <c r="E31" s="1189"/>
      <c r="F31" s="1190"/>
      <c r="G31" s="1196"/>
      <c r="H31" s="118"/>
      <c r="I31" s="118"/>
      <c r="J31" s="118"/>
      <c r="K31" s="1192"/>
      <c r="L31" s="1197"/>
      <c r="M31" s="1192"/>
      <c r="N31" s="1192"/>
      <c r="O31" s="1194">
        <f t="shared" si="1"/>
        <v>0</v>
      </c>
      <c r="P31" s="58"/>
      <c r="Q31" s="58"/>
      <c r="R31" s="58">
        <f t="shared" si="0"/>
        <v>0</v>
      </c>
    </row>
    <row r="32" spans="2:31" x14ac:dyDescent="0.2">
      <c r="B32" s="58"/>
      <c r="C32" s="58"/>
      <c r="D32" s="58"/>
      <c r="E32" s="1189"/>
      <c r="F32" s="1190"/>
      <c r="G32" s="1198"/>
      <c r="H32" s="118"/>
      <c r="I32" s="118"/>
      <c r="J32" s="118"/>
      <c r="K32" s="1192"/>
      <c r="L32" s="1197"/>
      <c r="M32" s="1192"/>
      <c r="N32" s="1192"/>
      <c r="O32" s="1194">
        <f t="shared" si="1"/>
        <v>0</v>
      </c>
      <c r="P32" s="58"/>
      <c r="Q32" s="58"/>
      <c r="R32" s="58">
        <f t="shared" si="0"/>
        <v>0</v>
      </c>
    </row>
    <row r="33" spans="2:18" x14ac:dyDescent="0.2">
      <c r="B33" s="58"/>
      <c r="C33" s="58"/>
      <c r="D33" s="58"/>
      <c r="E33" s="1189"/>
      <c r="F33" s="1190"/>
      <c r="G33" s="1198"/>
      <c r="H33" s="118"/>
      <c r="I33" s="118"/>
      <c r="J33" s="118"/>
      <c r="K33" s="1192"/>
      <c r="L33" s="1197"/>
      <c r="M33" s="1192"/>
      <c r="N33" s="1192"/>
      <c r="O33" s="1194">
        <f t="shared" si="1"/>
        <v>0</v>
      </c>
      <c r="P33" s="58"/>
      <c r="Q33" s="58"/>
      <c r="R33" s="58">
        <f t="shared" si="0"/>
        <v>0</v>
      </c>
    </row>
    <row r="34" spans="2:18" x14ac:dyDescent="0.2">
      <c r="B34" s="58"/>
      <c r="C34" s="58"/>
      <c r="D34" s="58"/>
      <c r="E34" s="58"/>
      <c r="F34" s="1190"/>
      <c r="G34" s="1198"/>
      <c r="H34" s="118"/>
      <c r="I34" s="118"/>
      <c r="J34" s="118"/>
      <c r="K34" s="1192"/>
      <c r="L34" s="1197"/>
      <c r="M34" s="1192"/>
      <c r="N34" s="1192"/>
      <c r="O34" s="1194">
        <f t="shared" si="1"/>
        <v>0</v>
      </c>
      <c r="P34" s="58"/>
      <c r="Q34" s="58"/>
      <c r="R34" s="58">
        <f t="shared" si="0"/>
        <v>0</v>
      </c>
    </row>
    <row r="35" spans="2:18" x14ac:dyDescent="0.2">
      <c r="B35" s="58"/>
      <c r="C35" s="58"/>
      <c r="D35" s="58"/>
      <c r="E35" s="58"/>
      <c r="F35" s="1190"/>
      <c r="G35" s="58"/>
      <c r="H35" s="118"/>
      <c r="I35" s="118"/>
      <c r="J35" s="118"/>
      <c r="K35" s="1192"/>
      <c r="L35" s="1197"/>
      <c r="M35" s="1192"/>
      <c r="N35" s="1192"/>
      <c r="O35" s="1194">
        <f t="shared" si="1"/>
        <v>0</v>
      </c>
      <c r="P35" s="58"/>
      <c r="Q35" s="58"/>
      <c r="R35" s="58">
        <f t="shared" si="0"/>
        <v>0</v>
      </c>
    </row>
    <row r="36" spans="2:18" x14ac:dyDescent="0.2">
      <c r="B36" s="58"/>
      <c r="C36" s="58"/>
      <c r="D36" s="58"/>
      <c r="E36" s="58"/>
      <c r="F36" s="1190"/>
      <c r="G36" s="58"/>
      <c r="H36" s="118"/>
      <c r="I36" s="118"/>
      <c r="J36" s="118"/>
      <c r="K36" s="1192"/>
      <c r="L36" s="1197"/>
      <c r="M36" s="1192"/>
      <c r="N36" s="1192"/>
      <c r="O36" s="1194">
        <f t="shared" si="1"/>
        <v>0</v>
      </c>
      <c r="P36" s="58"/>
      <c r="Q36" s="58"/>
      <c r="R36" s="58">
        <f t="shared" si="0"/>
        <v>0</v>
      </c>
    </row>
    <row r="37" spans="2:18" x14ac:dyDescent="0.2">
      <c r="B37" s="58"/>
      <c r="C37" s="58"/>
      <c r="D37" s="58"/>
      <c r="E37" s="58"/>
      <c r="F37" s="1190"/>
      <c r="G37" s="58"/>
      <c r="H37" s="118"/>
      <c r="I37" s="118"/>
      <c r="J37" s="118"/>
      <c r="K37" s="1192"/>
      <c r="L37" s="1197"/>
      <c r="M37" s="1192"/>
      <c r="N37" s="1192"/>
      <c r="O37" s="1194">
        <f t="shared" si="1"/>
        <v>0</v>
      </c>
      <c r="P37" s="58"/>
      <c r="Q37" s="58"/>
      <c r="R37" s="58">
        <f t="shared" si="0"/>
        <v>0</v>
      </c>
    </row>
    <row r="38" spans="2:18" x14ac:dyDescent="0.2">
      <c r="B38" s="58"/>
      <c r="C38" s="58"/>
      <c r="D38" s="58"/>
      <c r="E38" s="58"/>
      <c r="F38" s="1190"/>
      <c r="G38" s="58"/>
      <c r="H38" s="118"/>
      <c r="I38" s="118"/>
      <c r="J38" s="118"/>
      <c r="K38" s="1192"/>
      <c r="L38" s="1197"/>
      <c r="M38" s="1192"/>
      <c r="N38" s="1192"/>
      <c r="O38" s="1194">
        <f t="shared" si="1"/>
        <v>0</v>
      </c>
      <c r="P38" s="58"/>
      <c r="Q38" s="58"/>
      <c r="R38" s="58">
        <f t="shared" si="0"/>
        <v>0</v>
      </c>
    </row>
    <row r="39" spans="2:18" x14ac:dyDescent="0.2">
      <c r="B39" s="58"/>
      <c r="C39" s="58"/>
      <c r="D39" s="58"/>
      <c r="E39" s="58"/>
      <c r="F39" s="1190"/>
      <c r="G39" s="58"/>
      <c r="H39" s="118"/>
      <c r="I39" s="118"/>
      <c r="J39" s="118"/>
      <c r="K39" s="1192"/>
      <c r="L39" s="1197"/>
      <c r="M39" s="1192"/>
      <c r="N39" s="1192"/>
      <c r="O39" s="1194">
        <f t="shared" si="1"/>
        <v>0</v>
      </c>
      <c r="P39" s="58"/>
      <c r="Q39" s="58"/>
      <c r="R39" s="58">
        <f t="shared" si="0"/>
        <v>0</v>
      </c>
    </row>
    <row r="40" spans="2:18" x14ac:dyDescent="0.2">
      <c r="B40" s="58"/>
      <c r="C40" s="58"/>
      <c r="D40" s="58"/>
      <c r="E40" s="58"/>
      <c r="F40" s="1190"/>
      <c r="G40" s="58"/>
      <c r="H40" s="58"/>
      <c r="I40" s="118"/>
      <c r="J40" s="118"/>
      <c r="K40" s="1192"/>
      <c r="L40" s="1197"/>
      <c r="M40" s="1192"/>
      <c r="N40" s="1192"/>
      <c r="O40" s="1194">
        <f t="shared" si="1"/>
        <v>0</v>
      </c>
      <c r="P40" s="58"/>
      <c r="Q40" s="58"/>
      <c r="R40" s="58">
        <f t="shared" si="0"/>
        <v>0</v>
      </c>
    </row>
    <row r="43" spans="2:18" ht="15.75" x14ac:dyDescent="0.25">
      <c r="B43" s="502" t="s">
        <v>796</v>
      </c>
      <c r="H43" s="830"/>
      <c r="I43" s="830"/>
      <c r="J43" s="830"/>
      <c r="M43" s="2"/>
    </row>
    <row r="44" spans="2:18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8" ht="51" x14ac:dyDescent="0.2">
      <c r="B45" s="831" t="s">
        <v>795</v>
      </c>
      <c r="C45" s="832" t="s">
        <v>25</v>
      </c>
      <c r="D45" s="832" t="s">
        <v>732</v>
      </c>
      <c r="E45" s="832" t="s">
        <v>733</v>
      </c>
      <c r="F45" s="832" t="s">
        <v>734</v>
      </c>
      <c r="G45" s="832" t="s">
        <v>735</v>
      </c>
      <c r="H45" s="832" t="s">
        <v>736</v>
      </c>
      <c r="I45" s="832" t="s">
        <v>737</v>
      </c>
      <c r="J45" s="888" t="s">
        <v>738</v>
      </c>
      <c r="K45" s="888" t="s">
        <v>739</v>
      </c>
      <c r="L45" s="888" t="s">
        <v>740</v>
      </c>
      <c r="M45" s="832" t="s">
        <v>741</v>
      </c>
      <c r="N45" s="833" t="s">
        <v>797</v>
      </c>
      <c r="O45" s="832" t="s">
        <v>25</v>
      </c>
    </row>
    <row r="46" spans="2:18" x14ac:dyDescent="0.2">
      <c r="B46" s="884" t="s">
        <v>366</v>
      </c>
      <c r="C46" s="346">
        <v>1</v>
      </c>
      <c r="D46" s="834" t="s">
        <v>261</v>
      </c>
      <c r="E46" s="835" t="s">
        <v>366</v>
      </c>
      <c r="F46" s="836"/>
      <c r="G46" s="837"/>
      <c r="H46" s="836"/>
      <c r="I46" s="838"/>
      <c r="J46" s="834"/>
      <c r="K46" s="839"/>
      <c r="L46" s="840"/>
      <c r="M46" s="832"/>
      <c r="N46" s="841"/>
      <c r="O46" s="346">
        <f t="shared" ref="O46" si="2">C46</f>
        <v>1</v>
      </c>
    </row>
    <row r="47" spans="2:18" x14ac:dyDescent="0.2">
      <c r="B47" s="884" t="s">
        <v>368</v>
      </c>
      <c r="C47" s="346">
        <v>2</v>
      </c>
      <c r="D47" s="834" t="s">
        <v>745</v>
      </c>
      <c r="E47" s="834" t="s">
        <v>750</v>
      </c>
      <c r="F47" s="834">
        <v>350</v>
      </c>
      <c r="G47" s="834">
        <v>300</v>
      </c>
      <c r="H47" s="834">
        <v>200</v>
      </c>
      <c r="I47" s="838">
        <v>70</v>
      </c>
      <c r="J47" s="834">
        <f>F47*G47*H47/1000000</f>
        <v>21</v>
      </c>
      <c r="K47" s="839">
        <v>6</v>
      </c>
      <c r="L47" s="840">
        <v>40</v>
      </c>
      <c r="M47" s="834" t="s">
        <v>746</v>
      </c>
      <c r="N47" s="1107">
        <v>250000</v>
      </c>
      <c r="O47" s="346">
        <f>C47</f>
        <v>2</v>
      </c>
    </row>
    <row r="48" spans="2:18" x14ac:dyDescent="0.2">
      <c r="B48" s="884" t="s">
        <v>368</v>
      </c>
      <c r="C48" s="346">
        <v>3</v>
      </c>
      <c r="D48" s="834" t="s">
        <v>745</v>
      </c>
      <c r="E48" s="836" t="s">
        <v>749</v>
      </c>
      <c r="F48" s="834">
        <v>530</v>
      </c>
      <c r="G48" s="834">
        <v>400</v>
      </c>
      <c r="H48" s="834">
        <v>400</v>
      </c>
      <c r="I48" s="838">
        <v>60</v>
      </c>
      <c r="J48" s="834">
        <f>F48*G48*H48/1000000</f>
        <v>84.8</v>
      </c>
      <c r="K48" s="839">
        <v>20</v>
      </c>
      <c r="L48" s="840">
        <v>45</v>
      </c>
      <c r="M48" s="889" t="s">
        <v>742</v>
      </c>
      <c r="N48" s="1107">
        <v>391000</v>
      </c>
      <c r="O48" s="346">
        <f>C48</f>
        <v>3</v>
      </c>
    </row>
    <row r="49" spans="2:15" x14ac:dyDescent="0.2">
      <c r="B49" s="884" t="s">
        <v>368</v>
      </c>
      <c r="C49" s="346">
        <v>4</v>
      </c>
      <c r="D49" s="834" t="s">
        <v>745</v>
      </c>
      <c r="E49" s="834" t="s">
        <v>748</v>
      </c>
      <c r="F49" s="834">
        <v>700</v>
      </c>
      <c r="G49" s="834">
        <v>700</v>
      </c>
      <c r="H49" s="834">
        <v>500</v>
      </c>
      <c r="I49" s="838">
        <v>90</v>
      </c>
      <c r="J49" s="834">
        <f>F49*G49*H49/1000000</f>
        <v>245</v>
      </c>
      <c r="K49" s="839">
        <v>60</v>
      </c>
      <c r="L49" s="840">
        <v>70</v>
      </c>
      <c r="M49" s="834" t="s">
        <v>746</v>
      </c>
      <c r="N49" s="1107">
        <v>565000</v>
      </c>
      <c r="O49" s="346">
        <f>C49</f>
        <v>4</v>
      </c>
    </row>
    <row r="50" spans="2:15" x14ac:dyDescent="0.2">
      <c r="B50" s="884" t="s">
        <v>368</v>
      </c>
      <c r="C50" s="346">
        <v>5</v>
      </c>
      <c r="D50" s="834" t="s">
        <v>745</v>
      </c>
      <c r="E50" s="834" t="s">
        <v>747</v>
      </c>
      <c r="F50" s="834">
        <v>1000</v>
      </c>
      <c r="G50" s="834">
        <v>800</v>
      </c>
      <c r="H50" s="834">
        <v>600</v>
      </c>
      <c r="I50" s="838">
        <v>100</v>
      </c>
      <c r="J50" s="834">
        <f>F50*G50*H50/1000000</f>
        <v>480</v>
      </c>
      <c r="K50" s="839">
        <v>130</v>
      </c>
      <c r="L50" s="840">
        <v>90</v>
      </c>
      <c r="M50" s="834" t="s">
        <v>746</v>
      </c>
      <c r="N50" s="1107">
        <v>570000</v>
      </c>
      <c r="O50" s="346">
        <f>C50</f>
        <v>5</v>
      </c>
    </row>
    <row r="51" spans="2:15" x14ac:dyDescent="0.2">
      <c r="B51" s="884" t="s">
        <v>368</v>
      </c>
      <c r="C51" s="346">
        <v>6</v>
      </c>
      <c r="D51" s="834" t="s">
        <v>743</v>
      </c>
      <c r="E51" s="842" t="s">
        <v>744</v>
      </c>
      <c r="F51" s="834">
        <v>1500</v>
      </c>
      <c r="G51" s="834">
        <v>1250</v>
      </c>
      <c r="H51" s="834">
        <v>750</v>
      </c>
      <c r="I51" s="838">
        <v>70</v>
      </c>
      <c r="J51" s="834">
        <f>F51*G51*H51/1000000</f>
        <v>1406.25</v>
      </c>
      <c r="K51" s="843">
        <v>350</v>
      </c>
      <c r="L51" s="840">
        <v>120</v>
      </c>
      <c r="M51" s="842" t="s">
        <v>742</v>
      </c>
      <c r="N51" s="1107">
        <v>600000</v>
      </c>
      <c r="O51" s="346">
        <f>C51</f>
        <v>6</v>
      </c>
    </row>
    <row r="53" spans="2:15" x14ac:dyDescent="0.2">
      <c r="C53" t="s">
        <v>751</v>
      </c>
    </row>
    <row r="54" spans="2:15" x14ac:dyDescent="0.2">
      <c r="D54" t="s">
        <v>752</v>
      </c>
      <c r="F54" t="s">
        <v>753</v>
      </c>
    </row>
    <row r="55" spans="2:15" x14ac:dyDescent="0.2">
      <c r="C55" t="s">
        <v>754</v>
      </c>
    </row>
    <row r="56" spans="2:15" x14ac:dyDescent="0.2">
      <c r="D56" s="222" t="s">
        <v>755</v>
      </c>
      <c r="F56" t="s">
        <v>756</v>
      </c>
    </row>
    <row r="57" spans="2:15" x14ac:dyDescent="0.2">
      <c r="B57" s="1108" t="s">
        <v>368</v>
      </c>
      <c r="C57">
        <v>7</v>
      </c>
      <c r="D57" s="1109" t="s">
        <v>925</v>
      </c>
      <c r="E57" s="1110" t="s">
        <v>714</v>
      </c>
      <c r="F57" s="1111">
        <v>530</v>
      </c>
      <c r="G57" s="1111">
        <v>400</v>
      </c>
      <c r="H57" s="1111">
        <v>400</v>
      </c>
      <c r="I57" s="1111">
        <v>80</v>
      </c>
      <c r="J57" s="1111">
        <v>22</v>
      </c>
      <c r="K57" s="1111">
        <v>16</v>
      </c>
      <c r="L57" s="1159">
        <v>50</v>
      </c>
      <c r="M57" s="1111" t="s">
        <v>746</v>
      </c>
      <c r="N57" s="1112">
        <v>300000</v>
      </c>
      <c r="O57">
        <v>7</v>
      </c>
    </row>
    <row r="58" spans="2:15" x14ac:dyDescent="0.2">
      <c r="B58" s="1108" t="s">
        <v>368</v>
      </c>
      <c r="C58">
        <v>8</v>
      </c>
      <c r="D58" s="1109" t="s">
        <v>925</v>
      </c>
      <c r="E58" s="1110" t="s">
        <v>714</v>
      </c>
      <c r="F58" s="1111">
        <v>350</v>
      </c>
      <c r="G58" s="1111">
        <v>300</v>
      </c>
      <c r="H58" s="1111">
        <v>250</v>
      </c>
      <c r="I58" s="1111">
        <v>90</v>
      </c>
      <c r="J58" s="1111">
        <v>85</v>
      </c>
      <c r="K58" s="1111">
        <v>25</v>
      </c>
      <c r="L58" s="1159">
        <v>55</v>
      </c>
      <c r="M58" s="1111" t="s">
        <v>746</v>
      </c>
      <c r="N58" s="1112">
        <v>330000</v>
      </c>
      <c r="O58">
        <v>8</v>
      </c>
    </row>
    <row r="59" spans="2:15" x14ac:dyDescent="0.2">
      <c r="B59" s="1108" t="s">
        <v>368</v>
      </c>
      <c r="C59">
        <v>9</v>
      </c>
      <c r="D59" s="1109" t="s">
        <v>925</v>
      </c>
      <c r="E59" s="1110" t="s">
        <v>714</v>
      </c>
      <c r="F59" s="1111">
        <v>700</v>
      </c>
      <c r="G59" s="1111">
        <v>700</v>
      </c>
      <c r="H59" s="1111">
        <v>500</v>
      </c>
      <c r="I59" s="1111">
        <v>100</v>
      </c>
      <c r="J59" s="1111">
        <v>255</v>
      </c>
      <c r="K59" s="1111">
        <v>40</v>
      </c>
      <c r="L59" s="1159">
        <v>70</v>
      </c>
      <c r="M59" s="1111" t="s">
        <v>746</v>
      </c>
      <c r="N59" s="1112">
        <v>370000</v>
      </c>
      <c r="O59">
        <v>9</v>
      </c>
    </row>
    <row r="61" spans="2:15" ht="15" thickBot="1" x14ac:dyDescent="0.25"/>
    <row r="62" spans="2:15" ht="43.5" thickBot="1" x14ac:dyDescent="0.25">
      <c r="B62" s="1113" t="s">
        <v>926</v>
      </c>
      <c r="C62" s="1114" t="s">
        <v>927</v>
      </c>
      <c r="D62" s="1115" t="s">
        <v>25</v>
      </c>
      <c r="E62" s="1116" t="s">
        <v>928</v>
      </c>
      <c r="F62" s="1117" t="s">
        <v>929</v>
      </c>
      <c r="G62" s="1118" t="s">
        <v>103</v>
      </c>
      <c r="H62" s="1119" t="s">
        <v>930</v>
      </c>
      <c r="I62" s="1119" t="s">
        <v>947</v>
      </c>
      <c r="J62" s="1119" t="s">
        <v>948</v>
      </c>
      <c r="K62" s="503"/>
    </row>
    <row r="63" spans="2:15" x14ac:dyDescent="0.2">
      <c r="B63" s="1120" t="s">
        <v>931</v>
      </c>
      <c r="C63" s="1121" t="s">
        <v>932</v>
      </c>
      <c r="D63" s="1122">
        <v>1</v>
      </c>
      <c r="E63" s="1123">
        <v>185000</v>
      </c>
      <c r="F63" s="1124">
        <v>0.1</v>
      </c>
      <c r="G63" s="1118">
        <v>10</v>
      </c>
      <c r="H63" s="1118">
        <v>30</v>
      </c>
    </row>
    <row r="64" spans="2:15" x14ac:dyDescent="0.2">
      <c r="B64" s="45" t="str">
        <f>[4]Auswahlfelder!D36</f>
        <v>Luft/Wasser</v>
      </c>
      <c r="C64" s="1125" t="s">
        <v>933</v>
      </c>
      <c r="D64" s="1126">
        <v>2</v>
      </c>
      <c r="E64" s="1127">
        <v>12000</v>
      </c>
      <c r="F64" s="1128">
        <v>0.2</v>
      </c>
      <c r="G64">
        <v>10</v>
      </c>
      <c r="H64">
        <v>25</v>
      </c>
    </row>
    <row r="65" spans="2:10" x14ac:dyDescent="0.2">
      <c r="B65" s="45" t="str">
        <f>[4]Auswahlfelder!D37</f>
        <v>Druck/Zeit-Messung</v>
      </c>
      <c r="C65" s="1125" t="s">
        <v>934</v>
      </c>
      <c r="D65" s="1126">
        <v>3</v>
      </c>
      <c r="E65" s="1127">
        <v>9500</v>
      </c>
      <c r="F65" s="1128">
        <v>0.15</v>
      </c>
      <c r="G65">
        <v>1</v>
      </c>
      <c r="H65">
        <v>20</v>
      </c>
    </row>
    <row r="66" spans="2:10" x14ac:dyDescent="0.2">
      <c r="B66" s="1120" t="s">
        <v>574</v>
      </c>
      <c r="C66" s="1121" t="s">
        <v>557</v>
      </c>
      <c r="D66" s="1122">
        <v>4</v>
      </c>
      <c r="E66" s="1123">
        <v>55000</v>
      </c>
      <c r="F66" s="1124">
        <v>0.05</v>
      </c>
      <c r="G66" s="1118">
        <v>20</v>
      </c>
      <c r="H66" s="1118">
        <v>5</v>
      </c>
    </row>
    <row r="67" spans="2:10" x14ac:dyDescent="0.2">
      <c r="B67" s="509" t="s">
        <v>942</v>
      </c>
      <c r="C67" s="1125" t="s">
        <v>77</v>
      </c>
      <c r="D67" s="1126">
        <v>5</v>
      </c>
      <c r="E67" s="1127">
        <v>55000</v>
      </c>
      <c r="F67" s="1128">
        <v>0.15</v>
      </c>
      <c r="G67">
        <v>1</v>
      </c>
      <c r="H67">
        <v>25</v>
      </c>
    </row>
    <row r="68" spans="2:10" x14ac:dyDescent="0.2">
      <c r="B68" s="1120" t="s">
        <v>943</v>
      </c>
      <c r="C68" s="1121" t="s">
        <v>932</v>
      </c>
      <c r="D68" s="1122">
        <v>6</v>
      </c>
      <c r="E68" s="1123">
        <v>250000</v>
      </c>
      <c r="F68" s="1124">
        <v>0.05</v>
      </c>
      <c r="G68" s="1118">
        <v>10</v>
      </c>
      <c r="H68" s="1118">
        <v>40</v>
      </c>
    </row>
    <row r="69" spans="2:10" x14ac:dyDescent="0.2">
      <c r="B69" s="1120" t="s">
        <v>935</v>
      </c>
      <c r="C69" s="1121" t="s">
        <v>936</v>
      </c>
      <c r="D69" s="1122">
        <v>7</v>
      </c>
      <c r="E69" s="1123">
        <v>578000</v>
      </c>
      <c r="F69" s="1124">
        <v>0.05</v>
      </c>
      <c r="G69" s="1118">
        <v>165</v>
      </c>
      <c r="H69" s="1118">
        <v>200</v>
      </c>
    </row>
    <row r="70" spans="2:10" x14ac:dyDescent="0.2">
      <c r="B70" s="1120" t="s">
        <v>937</v>
      </c>
      <c r="C70" s="1121" t="s">
        <v>936</v>
      </c>
      <c r="D70" s="1118"/>
      <c r="E70" s="1123">
        <v>1700000</v>
      </c>
      <c r="F70" s="1124">
        <v>0.05</v>
      </c>
      <c r="G70" s="1118">
        <v>940</v>
      </c>
      <c r="H70" s="1118">
        <v>220</v>
      </c>
      <c r="I70" s="1118">
        <v>100</v>
      </c>
      <c r="J70" s="1118">
        <v>1000</v>
      </c>
    </row>
    <row r="71" spans="2:10" x14ac:dyDescent="0.2">
      <c r="B71" s="1120" t="s">
        <v>938</v>
      </c>
      <c r="C71" s="1121" t="s">
        <v>932</v>
      </c>
      <c r="D71" s="1118"/>
      <c r="E71" s="1123">
        <v>210000</v>
      </c>
      <c r="F71" s="1124">
        <v>0.05</v>
      </c>
      <c r="G71" s="1118">
        <v>141</v>
      </c>
      <c r="H71" s="1118">
        <v>60</v>
      </c>
      <c r="I71" s="1118">
        <v>0</v>
      </c>
      <c r="J71" s="1118">
        <v>2000</v>
      </c>
    </row>
    <row r="72" spans="2:10" x14ac:dyDescent="0.2">
      <c r="B72" s="1120" t="s">
        <v>939</v>
      </c>
      <c r="C72" s="1121" t="s">
        <v>932</v>
      </c>
      <c r="D72" s="1118"/>
      <c r="E72" s="1123">
        <v>138500</v>
      </c>
      <c r="F72" s="1124">
        <v>0.05</v>
      </c>
      <c r="G72" s="1118">
        <v>42</v>
      </c>
      <c r="H72" s="1118">
        <v>30</v>
      </c>
    </row>
    <row r="73" spans="2:10" x14ac:dyDescent="0.2">
      <c r="B73" s="1120" t="s">
        <v>667</v>
      </c>
      <c r="C73" s="1121" t="s">
        <v>936</v>
      </c>
      <c r="D73" s="1118"/>
      <c r="E73" s="1123">
        <v>185000</v>
      </c>
      <c r="F73" s="1124">
        <v>0.05</v>
      </c>
      <c r="G73" s="1118">
        <v>11</v>
      </c>
      <c r="H73" s="1118">
        <v>20</v>
      </c>
    </row>
    <row r="74" spans="2:10" x14ac:dyDescent="0.2">
      <c r="B74" s="1124" t="s">
        <v>944</v>
      </c>
      <c r="C74" s="1124"/>
      <c r="D74" s="1124"/>
      <c r="E74" s="1123">
        <v>15000</v>
      </c>
      <c r="F74" s="1124">
        <v>0.05</v>
      </c>
      <c r="G74" s="1118">
        <v>10</v>
      </c>
      <c r="H74" s="1118">
        <v>5</v>
      </c>
    </row>
    <row r="75" spans="2:10" x14ac:dyDescent="0.2">
      <c r="B75" s="1124" t="s">
        <v>946</v>
      </c>
      <c r="C75" s="1124"/>
      <c r="D75" s="1124"/>
      <c r="E75" s="1123">
        <v>20000</v>
      </c>
      <c r="F75" s="1124">
        <v>2.5000000000000001E-2</v>
      </c>
      <c r="G75" s="1118">
        <v>20</v>
      </c>
      <c r="H75" s="1118">
        <v>10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count="1">
    <dataValidation type="list" allowBlank="1" showDropDown="1" showInputMessage="1" showErrorMessage="1" sqref="F22:F40" xr:uid="{7C217E79-1BC9-4AB8-97C4-FEE77062AF55}">
      <formula1>"ohne,fix,Wechsel"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0" customWidth="1"/>
    <col min="5" max="16384" width="11" style="190"/>
  </cols>
  <sheetData>
    <row r="1" spans="1:702" ht="15" thickBot="1" x14ac:dyDescent="0.25">
      <c r="A1" s="608" t="s">
        <v>510</v>
      </c>
      <c r="B1" s="608" t="s">
        <v>509</v>
      </c>
      <c r="C1" s="254">
        <f>HLOOKUP("x",$D$1:$ZZ$2,2,FALSE)</f>
        <v>19</v>
      </c>
      <c r="D1" s="853">
        <f>D3</f>
        <v>815</v>
      </c>
      <c r="E1" s="853" t="str">
        <f t="shared" ref="E1:BP1" si="0">E3</f>
        <v>815-1</v>
      </c>
      <c r="F1" s="853" t="str">
        <f t="shared" si="0"/>
        <v>815-2</v>
      </c>
      <c r="G1" s="853" t="str">
        <f t="shared" si="0"/>
        <v>815-2-1</v>
      </c>
      <c r="H1" s="853" t="str">
        <f t="shared" si="0"/>
        <v>815-3</v>
      </c>
      <c r="I1" s="853" t="str">
        <f t="shared" si="0"/>
        <v>815-3-1</v>
      </c>
      <c r="J1" s="853" t="str">
        <f t="shared" si="0"/>
        <v>820-1</v>
      </c>
      <c r="K1" s="853" t="str">
        <f t="shared" si="0"/>
        <v>820-1-1</v>
      </c>
      <c r="L1" s="853" t="str">
        <f t="shared" si="0"/>
        <v>820-2</v>
      </c>
      <c r="M1" s="853" t="str">
        <f t="shared" si="0"/>
        <v>820-2-1</v>
      </c>
      <c r="N1" s="853" t="str">
        <f t="shared" si="0"/>
        <v>820-3</v>
      </c>
      <c r="O1" s="853" t="str">
        <f t="shared" si="0"/>
        <v>820-3-1</v>
      </c>
      <c r="P1" s="853" t="str">
        <f t="shared" si="0"/>
        <v>820-1-5</v>
      </c>
      <c r="Q1" s="853" t="str">
        <f t="shared" si="0"/>
        <v>820-2-5</v>
      </c>
      <c r="R1" s="853" t="str">
        <f t="shared" si="0"/>
        <v>820-3-5</v>
      </c>
      <c r="S1" s="853" t="str">
        <f t="shared" si="0"/>
        <v>812-1</v>
      </c>
      <c r="T1" s="853" t="str">
        <f t="shared" si="0"/>
        <v>817-2-1</v>
      </c>
      <c r="U1" s="853" t="str">
        <f t="shared" si="0"/>
        <v>816-3-1</v>
      </c>
      <c r="V1" s="853" t="str">
        <f t="shared" si="0"/>
        <v>x</v>
      </c>
      <c r="W1" s="853" t="str">
        <f t="shared" si="0"/>
        <v>x</v>
      </c>
      <c r="X1" s="853" t="str">
        <f t="shared" si="0"/>
        <v>x</v>
      </c>
      <c r="Y1" s="853" t="str">
        <f t="shared" si="0"/>
        <v>x</v>
      </c>
      <c r="Z1" s="853" t="str">
        <f t="shared" si="0"/>
        <v>x</v>
      </c>
      <c r="AA1" s="853" t="str">
        <f t="shared" si="0"/>
        <v>x</v>
      </c>
      <c r="AB1" s="853" t="str">
        <f t="shared" si="0"/>
        <v>x</v>
      </c>
      <c r="AC1" s="853" t="str">
        <f t="shared" si="0"/>
        <v>x</v>
      </c>
      <c r="AD1" s="853" t="str">
        <f t="shared" si="0"/>
        <v>x</v>
      </c>
      <c r="AE1" s="853" t="str">
        <f t="shared" si="0"/>
        <v>x</v>
      </c>
      <c r="AF1" s="853" t="str">
        <f t="shared" si="0"/>
        <v>x</v>
      </c>
      <c r="AG1" s="853" t="str">
        <f t="shared" si="0"/>
        <v>x</v>
      </c>
      <c r="AH1" s="853" t="str">
        <f t="shared" si="0"/>
        <v>x</v>
      </c>
      <c r="AI1" s="853" t="str">
        <f t="shared" si="0"/>
        <v>x</v>
      </c>
      <c r="AJ1" s="853" t="str">
        <f t="shared" si="0"/>
        <v>x</v>
      </c>
      <c r="AK1" s="853" t="str">
        <f t="shared" si="0"/>
        <v>x</v>
      </c>
      <c r="AL1" s="853" t="str">
        <f t="shared" si="0"/>
        <v>x</v>
      </c>
      <c r="AM1" s="853" t="str">
        <f t="shared" si="0"/>
        <v>x</v>
      </c>
      <c r="AN1" s="853" t="str">
        <f t="shared" si="0"/>
        <v>x</v>
      </c>
      <c r="AO1" s="853" t="str">
        <f t="shared" si="0"/>
        <v>x</v>
      </c>
      <c r="AP1" s="853" t="str">
        <f t="shared" si="0"/>
        <v>x</v>
      </c>
      <c r="AQ1" s="853" t="str">
        <f t="shared" si="0"/>
        <v>x</v>
      </c>
      <c r="AR1" s="853" t="str">
        <f t="shared" si="0"/>
        <v>x</v>
      </c>
      <c r="AS1" s="853" t="str">
        <f t="shared" si="0"/>
        <v>x</v>
      </c>
      <c r="AT1" s="853" t="str">
        <f t="shared" si="0"/>
        <v>x</v>
      </c>
      <c r="AU1" s="853" t="str">
        <f t="shared" si="0"/>
        <v>x</v>
      </c>
      <c r="AV1" s="853" t="str">
        <f t="shared" si="0"/>
        <v>x</v>
      </c>
      <c r="AW1" s="853" t="str">
        <f t="shared" si="0"/>
        <v>x</v>
      </c>
      <c r="AX1" s="853" t="str">
        <f t="shared" si="0"/>
        <v>x</v>
      </c>
      <c r="AY1" s="853" t="str">
        <f t="shared" si="0"/>
        <v>x</v>
      </c>
      <c r="AZ1" s="853" t="str">
        <f t="shared" si="0"/>
        <v>x</v>
      </c>
      <c r="BA1" s="853" t="str">
        <f t="shared" si="0"/>
        <v>x</v>
      </c>
      <c r="BB1" s="853" t="str">
        <f t="shared" si="0"/>
        <v>x</v>
      </c>
      <c r="BC1" s="853" t="str">
        <f t="shared" si="0"/>
        <v>x</v>
      </c>
      <c r="BD1" s="853" t="str">
        <f t="shared" si="0"/>
        <v>x</v>
      </c>
      <c r="BE1" s="853" t="str">
        <f t="shared" si="0"/>
        <v>x</v>
      </c>
      <c r="BF1" s="853" t="str">
        <f t="shared" si="0"/>
        <v>x</v>
      </c>
      <c r="BG1" s="853" t="str">
        <f t="shared" si="0"/>
        <v>x</v>
      </c>
      <c r="BH1" s="853" t="str">
        <f t="shared" si="0"/>
        <v>x</v>
      </c>
      <c r="BI1" s="853" t="str">
        <f t="shared" si="0"/>
        <v>x</v>
      </c>
      <c r="BJ1" s="853" t="str">
        <f t="shared" si="0"/>
        <v>x</v>
      </c>
      <c r="BK1" s="853" t="str">
        <f t="shared" si="0"/>
        <v>x</v>
      </c>
      <c r="BL1" s="853" t="str">
        <f t="shared" si="0"/>
        <v>x</v>
      </c>
      <c r="BM1" s="853" t="str">
        <f t="shared" si="0"/>
        <v>x</v>
      </c>
      <c r="BN1" s="853" t="str">
        <f t="shared" si="0"/>
        <v>x</v>
      </c>
      <c r="BO1" s="853" t="str">
        <f t="shared" si="0"/>
        <v>x</v>
      </c>
      <c r="BP1" s="853" t="str">
        <f t="shared" si="0"/>
        <v>x</v>
      </c>
      <c r="BQ1" s="853" t="str">
        <f t="shared" ref="BQ1:EB1" si="1">BQ3</f>
        <v>x</v>
      </c>
      <c r="BR1" s="853" t="str">
        <f t="shared" si="1"/>
        <v>x</v>
      </c>
      <c r="BS1" s="853" t="str">
        <f t="shared" si="1"/>
        <v>x</v>
      </c>
      <c r="BT1" s="853" t="str">
        <f t="shared" si="1"/>
        <v>x</v>
      </c>
      <c r="BU1" s="853" t="str">
        <f t="shared" si="1"/>
        <v>x</v>
      </c>
      <c r="BV1" s="853" t="str">
        <f t="shared" si="1"/>
        <v>x</v>
      </c>
      <c r="BW1" s="853" t="str">
        <f t="shared" si="1"/>
        <v>x</v>
      </c>
      <c r="BX1" s="853" t="str">
        <f t="shared" si="1"/>
        <v>x</v>
      </c>
      <c r="BY1" s="853" t="str">
        <f t="shared" si="1"/>
        <v>x</v>
      </c>
      <c r="BZ1" s="853" t="str">
        <f t="shared" si="1"/>
        <v>x</v>
      </c>
      <c r="CA1" s="853" t="str">
        <f t="shared" si="1"/>
        <v>x</v>
      </c>
      <c r="CB1" s="853" t="str">
        <f t="shared" si="1"/>
        <v>x</v>
      </c>
      <c r="CC1" s="853" t="str">
        <f t="shared" si="1"/>
        <v>x</v>
      </c>
      <c r="CD1" s="853" t="str">
        <f t="shared" si="1"/>
        <v>x</v>
      </c>
      <c r="CE1" s="853" t="str">
        <f t="shared" si="1"/>
        <v>x</v>
      </c>
      <c r="CF1" s="853" t="str">
        <f t="shared" si="1"/>
        <v>x</v>
      </c>
      <c r="CG1" s="853" t="str">
        <f t="shared" si="1"/>
        <v>x</v>
      </c>
      <c r="CH1" s="853" t="str">
        <f t="shared" si="1"/>
        <v>x</v>
      </c>
      <c r="CI1" s="853" t="str">
        <f t="shared" si="1"/>
        <v>x</v>
      </c>
      <c r="CJ1" s="853" t="str">
        <f t="shared" si="1"/>
        <v>x</v>
      </c>
      <c r="CK1" s="853" t="str">
        <f t="shared" si="1"/>
        <v>x</v>
      </c>
      <c r="CL1" s="853" t="str">
        <f t="shared" si="1"/>
        <v>x</v>
      </c>
      <c r="CM1" s="853" t="str">
        <f t="shared" si="1"/>
        <v>x</v>
      </c>
      <c r="CN1" s="853" t="str">
        <f t="shared" si="1"/>
        <v>x</v>
      </c>
      <c r="CO1" s="853" t="str">
        <f t="shared" si="1"/>
        <v>x</v>
      </c>
      <c r="CP1" s="853" t="str">
        <f t="shared" si="1"/>
        <v>x</v>
      </c>
      <c r="CQ1" s="853" t="str">
        <f t="shared" si="1"/>
        <v>x</v>
      </c>
      <c r="CR1" s="853" t="str">
        <f t="shared" si="1"/>
        <v>x</v>
      </c>
      <c r="CS1" s="853" t="str">
        <f t="shared" si="1"/>
        <v>x</v>
      </c>
      <c r="CT1" s="853" t="str">
        <f t="shared" si="1"/>
        <v>x</v>
      </c>
      <c r="CU1" s="853" t="str">
        <f t="shared" si="1"/>
        <v>x</v>
      </c>
      <c r="CV1" s="853" t="str">
        <f t="shared" si="1"/>
        <v>x</v>
      </c>
      <c r="CW1" s="853" t="str">
        <f t="shared" si="1"/>
        <v>x</v>
      </c>
      <c r="CX1" s="853" t="str">
        <f t="shared" si="1"/>
        <v>x</v>
      </c>
      <c r="CY1" s="853" t="str">
        <f t="shared" si="1"/>
        <v>x</v>
      </c>
      <c r="CZ1" s="853" t="str">
        <f t="shared" si="1"/>
        <v>x</v>
      </c>
      <c r="DA1" s="853" t="str">
        <f t="shared" si="1"/>
        <v>x</v>
      </c>
      <c r="DB1" s="853" t="str">
        <f t="shared" si="1"/>
        <v>x</v>
      </c>
      <c r="DC1" s="853" t="str">
        <f t="shared" si="1"/>
        <v>x</v>
      </c>
      <c r="DD1" s="853" t="str">
        <f t="shared" si="1"/>
        <v>x</v>
      </c>
      <c r="DE1" s="853" t="str">
        <f t="shared" si="1"/>
        <v>x</v>
      </c>
      <c r="DF1" s="853" t="str">
        <f t="shared" si="1"/>
        <v>x</v>
      </c>
      <c r="DG1" s="853" t="str">
        <f t="shared" si="1"/>
        <v>x</v>
      </c>
      <c r="DH1" s="853" t="str">
        <f t="shared" si="1"/>
        <v>x</v>
      </c>
      <c r="DI1" s="853" t="str">
        <f t="shared" si="1"/>
        <v>x</v>
      </c>
      <c r="DJ1" s="853" t="str">
        <f t="shared" si="1"/>
        <v>x</v>
      </c>
      <c r="DK1" s="853" t="str">
        <f t="shared" si="1"/>
        <v>x</v>
      </c>
      <c r="DL1" s="853" t="str">
        <f t="shared" si="1"/>
        <v>x</v>
      </c>
      <c r="DM1" s="853" t="str">
        <f t="shared" si="1"/>
        <v>x</v>
      </c>
      <c r="DN1" s="853" t="str">
        <f t="shared" si="1"/>
        <v>x</v>
      </c>
      <c r="DO1" s="853" t="str">
        <f t="shared" si="1"/>
        <v>x</v>
      </c>
      <c r="DP1" s="853" t="str">
        <f t="shared" si="1"/>
        <v>x</v>
      </c>
      <c r="DQ1" s="853" t="str">
        <f t="shared" si="1"/>
        <v>x</v>
      </c>
      <c r="DR1" s="853" t="str">
        <f t="shared" si="1"/>
        <v>x</v>
      </c>
      <c r="DS1" s="853" t="str">
        <f t="shared" si="1"/>
        <v>x</v>
      </c>
      <c r="DT1" s="853" t="str">
        <f t="shared" si="1"/>
        <v>x</v>
      </c>
      <c r="DU1" s="853" t="str">
        <f t="shared" si="1"/>
        <v>x</v>
      </c>
      <c r="DV1" s="853" t="str">
        <f t="shared" si="1"/>
        <v>x</v>
      </c>
      <c r="DW1" s="853" t="str">
        <f t="shared" si="1"/>
        <v>x</v>
      </c>
      <c r="DX1" s="853" t="str">
        <f t="shared" si="1"/>
        <v>x</v>
      </c>
      <c r="DY1" s="853" t="str">
        <f t="shared" si="1"/>
        <v>x</v>
      </c>
      <c r="DZ1" s="853" t="str">
        <f t="shared" si="1"/>
        <v>x</v>
      </c>
      <c r="EA1" s="853" t="str">
        <f t="shared" si="1"/>
        <v>x</v>
      </c>
      <c r="EB1" s="853" t="str">
        <f t="shared" si="1"/>
        <v>x</v>
      </c>
      <c r="EC1" s="853" t="str">
        <f t="shared" ref="EC1:GN1" si="2">EC3</f>
        <v>x</v>
      </c>
      <c r="ED1" s="853" t="str">
        <f t="shared" si="2"/>
        <v>x</v>
      </c>
      <c r="EE1" s="853" t="str">
        <f t="shared" si="2"/>
        <v>x</v>
      </c>
      <c r="EF1" s="853" t="str">
        <f t="shared" si="2"/>
        <v>x</v>
      </c>
      <c r="EG1" s="853" t="str">
        <f t="shared" si="2"/>
        <v>x</v>
      </c>
      <c r="EH1" s="853" t="str">
        <f t="shared" si="2"/>
        <v>x</v>
      </c>
      <c r="EI1" s="853" t="str">
        <f t="shared" si="2"/>
        <v>x</v>
      </c>
      <c r="EJ1" s="853" t="str">
        <f t="shared" si="2"/>
        <v>x</v>
      </c>
      <c r="EK1" s="853" t="str">
        <f t="shared" si="2"/>
        <v>x</v>
      </c>
      <c r="EL1" s="853" t="str">
        <f t="shared" si="2"/>
        <v>x</v>
      </c>
      <c r="EM1" s="853" t="str">
        <f t="shared" si="2"/>
        <v>x</v>
      </c>
      <c r="EN1" s="853" t="str">
        <f t="shared" si="2"/>
        <v>x</v>
      </c>
      <c r="EO1" s="853" t="str">
        <f t="shared" si="2"/>
        <v>x</v>
      </c>
      <c r="EP1" s="853" t="str">
        <f t="shared" si="2"/>
        <v>x</v>
      </c>
      <c r="EQ1" s="853" t="str">
        <f t="shared" si="2"/>
        <v>x</v>
      </c>
      <c r="ER1" s="853" t="str">
        <f t="shared" si="2"/>
        <v>x</v>
      </c>
      <c r="ES1" s="853" t="str">
        <f t="shared" si="2"/>
        <v>x</v>
      </c>
      <c r="ET1" s="853" t="str">
        <f t="shared" si="2"/>
        <v>x</v>
      </c>
      <c r="EU1" s="853" t="str">
        <f t="shared" si="2"/>
        <v>x</v>
      </c>
      <c r="EV1" s="853" t="str">
        <f t="shared" si="2"/>
        <v>x</v>
      </c>
      <c r="EW1" s="853" t="str">
        <f t="shared" si="2"/>
        <v>x</v>
      </c>
      <c r="EX1" s="853" t="str">
        <f t="shared" si="2"/>
        <v>x</v>
      </c>
      <c r="EY1" s="853" t="str">
        <f t="shared" si="2"/>
        <v>x</v>
      </c>
      <c r="EZ1" s="853" t="str">
        <f t="shared" si="2"/>
        <v>x</v>
      </c>
      <c r="FA1" s="853" t="str">
        <f t="shared" si="2"/>
        <v>x</v>
      </c>
      <c r="FB1" s="853" t="str">
        <f t="shared" si="2"/>
        <v>x</v>
      </c>
      <c r="FC1" s="853" t="str">
        <f t="shared" si="2"/>
        <v>x</v>
      </c>
      <c r="FD1" s="853" t="str">
        <f t="shared" si="2"/>
        <v>x</v>
      </c>
      <c r="FE1" s="853" t="str">
        <f t="shared" si="2"/>
        <v>x</v>
      </c>
      <c r="FF1" s="853" t="str">
        <f t="shared" si="2"/>
        <v>x</v>
      </c>
      <c r="FG1" s="853" t="str">
        <f t="shared" si="2"/>
        <v>x</v>
      </c>
      <c r="FH1" s="853" t="str">
        <f t="shared" si="2"/>
        <v>x</v>
      </c>
      <c r="FI1" s="853" t="str">
        <f t="shared" si="2"/>
        <v>x</v>
      </c>
      <c r="FJ1" s="853" t="str">
        <f t="shared" si="2"/>
        <v>x</v>
      </c>
      <c r="FK1" s="853" t="str">
        <f t="shared" si="2"/>
        <v>x</v>
      </c>
      <c r="FL1" s="853" t="str">
        <f t="shared" si="2"/>
        <v>x</v>
      </c>
      <c r="FM1" s="853" t="str">
        <f t="shared" si="2"/>
        <v>x</v>
      </c>
      <c r="FN1" s="853" t="str">
        <f t="shared" si="2"/>
        <v>x</v>
      </c>
      <c r="FO1" s="853" t="str">
        <f t="shared" si="2"/>
        <v>x</v>
      </c>
      <c r="FP1" s="853" t="str">
        <f t="shared" si="2"/>
        <v>x</v>
      </c>
      <c r="FQ1" s="853" t="str">
        <f t="shared" si="2"/>
        <v>x</v>
      </c>
      <c r="FR1" s="853" t="str">
        <f t="shared" si="2"/>
        <v>x</v>
      </c>
      <c r="FS1" s="853" t="str">
        <f t="shared" si="2"/>
        <v>x</v>
      </c>
      <c r="FT1" s="853" t="str">
        <f t="shared" si="2"/>
        <v>x</v>
      </c>
      <c r="FU1" s="853" t="str">
        <f t="shared" si="2"/>
        <v>x</v>
      </c>
      <c r="FV1" s="853" t="str">
        <f t="shared" si="2"/>
        <v>x</v>
      </c>
      <c r="FW1" s="853" t="str">
        <f t="shared" si="2"/>
        <v>x</v>
      </c>
      <c r="FX1" s="853" t="str">
        <f t="shared" si="2"/>
        <v>x</v>
      </c>
      <c r="FY1" s="853" t="str">
        <f t="shared" si="2"/>
        <v>x</v>
      </c>
      <c r="FZ1" s="853" t="str">
        <f t="shared" si="2"/>
        <v>x</v>
      </c>
      <c r="GA1" s="853" t="str">
        <f t="shared" si="2"/>
        <v>x</v>
      </c>
      <c r="GB1" s="853" t="str">
        <f t="shared" si="2"/>
        <v>x</v>
      </c>
      <c r="GC1" s="853" t="str">
        <f t="shared" si="2"/>
        <v>x</v>
      </c>
      <c r="GD1" s="853" t="str">
        <f t="shared" si="2"/>
        <v>x</v>
      </c>
      <c r="GE1" s="853" t="str">
        <f t="shared" si="2"/>
        <v>x</v>
      </c>
      <c r="GF1" s="853" t="str">
        <f t="shared" si="2"/>
        <v>x</v>
      </c>
      <c r="GG1" s="853" t="str">
        <f t="shared" si="2"/>
        <v>x</v>
      </c>
      <c r="GH1" s="853" t="str">
        <f t="shared" si="2"/>
        <v>x</v>
      </c>
      <c r="GI1" s="853" t="str">
        <f t="shared" si="2"/>
        <v>x</v>
      </c>
      <c r="GJ1" s="853" t="str">
        <f t="shared" si="2"/>
        <v>x</v>
      </c>
      <c r="GK1" s="853" t="str">
        <f t="shared" si="2"/>
        <v>x</v>
      </c>
      <c r="GL1" s="853" t="str">
        <f t="shared" si="2"/>
        <v>x</v>
      </c>
      <c r="GM1" s="853" t="str">
        <f t="shared" si="2"/>
        <v>x</v>
      </c>
      <c r="GN1" s="853" t="str">
        <f t="shared" si="2"/>
        <v>x</v>
      </c>
      <c r="GO1" s="853" t="str">
        <f t="shared" ref="GO1:IZ1" si="3">GO3</f>
        <v>x</v>
      </c>
      <c r="GP1" s="853" t="str">
        <f t="shared" si="3"/>
        <v>x</v>
      </c>
      <c r="GQ1" s="853" t="str">
        <f t="shared" si="3"/>
        <v>x</v>
      </c>
      <c r="GR1" s="853" t="str">
        <f t="shared" si="3"/>
        <v>x</v>
      </c>
      <c r="GS1" s="853" t="str">
        <f t="shared" si="3"/>
        <v>x</v>
      </c>
      <c r="GT1" s="853" t="str">
        <f t="shared" si="3"/>
        <v>x</v>
      </c>
      <c r="GU1" s="853" t="str">
        <f t="shared" si="3"/>
        <v>x</v>
      </c>
      <c r="GV1" s="853" t="str">
        <f t="shared" si="3"/>
        <v>x</v>
      </c>
      <c r="GW1" s="853" t="str">
        <f t="shared" si="3"/>
        <v>x</v>
      </c>
      <c r="GX1" s="853" t="str">
        <f t="shared" si="3"/>
        <v>x</v>
      </c>
      <c r="GY1" s="853" t="str">
        <f t="shared" si="3"/>
        <v>x</v>
      </c>
      <c r="GZ1" s="853" t="str">
        <f t="shared" si="3"/>
        <v>x</v>
      </c>
      <c r="HA1" s="853" t="str">
        <f t="shared" si="3"/>
        <v>x</v>
      </c>
      <c r="HB1" s="853" t="str">
        <f t="shared" si="3"/>
        <v>x</v>
      </c>
      <c r="HC1" s="853" t="str">
        <f t="shared" si="3"/>
        <v>x</v>
      </c>
      <c r="HD1" s="853" t="str">
        <f t="shared" si="3"/>
        <v>x</v>
      </c>
      <c r="HE1" s="853" t="str">
        <f t="shared" si="3"/>
        <v>x</v>
      </c>
      <c r="HF1" s="853" t="str">
        <f t="shared" si="3"/>
        <v>x</v>
      </c>
      <c r="HG1" s="853" t="str">
        <f t="shared" si="3"/>
        <v>x</v>
      </c>
      <c r="HH1" s="853" t="str">
        <f t="shared" si="3"/>
        <v>x</v>
      </c>
      <c r="HI1" s="853" t="str">
        <f t="shared" si="3"/>
        <v>x</v>
      </c>
      <c r="HJ1" s="853" t="str">
        <f t="shared" si="3"/>
        <v>x</v>
      </c>
      <c r="HK1" s="853" t="str">
        <f t="shared" si="3"/>
        <v>x</v>
      </c>
      <c r="HL1" s="853" t="str">
        <f t="shared" si="3"/>
        <v>x</v>
      </c>
      <c r="HM1" s="853" t="str">
        <f t="shared" si="3"/>
        <v>x</v>
      </c>
      <c r="HN1" s="853" t="str">
        <f t="shared" si="3"/>
        <v>x</v>
      </c>
      <c r="HO1" s="853" t="str">
        <f t="shared" si="3"/>
        <v>x</v>
      </c>
      <c r="HP1" s="853" t="str">
        <f t="shared" si="3"/>
        <v>x</v>
      </c>
      <c r="HQ1" s="853" t="str">
        <f t="shared" si="3"/>
        <v>x</v>
      </c>
      <c r="HR1" s="853" t="str">
        <f t="shared" si="3"/>
        <v>x</v>
      </c>
      <c r="HS1" s="853" t="str">
        <f t="shared" si="3"/>
        <v>x</v>
      </c>
      <c r="HT1" s="853" t="str">
        <f t="shared" si="3"/>
        <v>x</v>
      </c>
      <c r="HU1" s="853" t="str">
        <f t="shared" si="3"/>
        <v>x</v>
      </c>
      <c r="HV1" s="853" t="str">
        <f t="shared" si="3"/>
        <v>x</v>
      </c>
      <c r="HW1" s="853" t="str">
        <f t="shared" si="3"/>
        <v>x</v>
      </c>
      <c r="HX1" s="853" t="str">
        <f t="shared" si="3"/>
        <v>x</v>
      </c>
      <c r="HY1" s="853" t="str">
        <f t="shared" si="3"/>
        <v>x</v>
      </c>
      <c r="HZ1" s="853" t="str">
        <f t="shared" si="3"/>
        <v>x</v>
      </c>
      <c r="IA1" s="853" t="str">
        <f t="shared" si="3"/>
        <v>x</v>
      </c>
      <c r="IB1" s="853" t="str">
        <f t="shared" si="3"/>
        <v>x</v>
      </c>
      <c r="IC1" s="853" t="str">
        <f t="shared" si="3"/>
        <v>x</v>
      </c>
      <c r="ID1" s="853" t="str">
        <f t="shared" si="3"/>
        <v>x</v>
      </c>
      <c r="IE1" s="853" t="str">
        <f t="shared" si="3"/>
        <v>x</v>
      </c>
      <c r="IF1" s="853" t="str">
        <f t="shared" si="3"/>
        <v>x</v>
      </c>
      <c r="IG1" s="853" t="str">
        <f t="shared" si="3"/>
        <v>x</v>
      </c>
      <c r="IH1" s="853" t="str">
        <f t="shared" si="3"/>
        <v>x</v>
      </c>
      <c r="II1" s="853" t="str">
        <f t="shared" si="3"/>
        <v>x</v>
      </c>
      <c r="IJ1" s="853" t="str">
        <f t="shared" si="3"/>
        <v>x</v>
      </c>
      <c r="IK1" s="853" t="str">
        <f t="shared" si="3"/>
        <v>x</v>
      </c>
      <c r="IL1" s="853" t="str">
        <f t="shared" si="3"/>
        <v>x</v>
      </c>
      <c r="IM1" s="853" t="str">
        <f t="shared" si="3"/>
        <v>x</v>
      </c>
      <c r="IN1" s="853" t="str">
        <f t="shared" si="3"/>
        <v>x</v>
      </c>
      <c r="IO1" s="853" t="str">
        <f t="shared" si="3"/>
        <v>x</v>
      </c>
      <c r="IP1" s="853" t="str">
        <f t="shared" si="3"/>
        <v>x</v>
      </c>
      <c r="IQ1" s="853" t="str">
        <f t="shared" si="3"/>
        <v>x</v>
      </c>
      <c r="IR1" s="853" t="str">
        <f t="shared" si="3"/>
        <v>x</v>
      </c>
      <c r="IS1" s="853" t="str">
        <f t="shared" si="3"/>
        <v>x</v>
      </c>
      <c r="IT1" s="853" t="str">
        <f t="shared" si="3"/>
        <v>x</v>
      </c>
      <c r="IU1" s="853" t="str">
        <f t="shared" si="3"/>
        <v>x</v>
      </c>
      <c r="IV1" s="853" t="str">
        <f t="shared" si="3"/>
        <v>x</v>
      </c>
      <c r="IW1" s="853" t="str">
        <f t="shared" si="3"/>
        <v>x</v>
      </c>
      <c r="IX1" s="853" t="str">
        <f t="shared" si="3"/>
        <v>x</v>
      </c>
      <c r="IY1" s="853" t="str">
        <f t="shared" si="3"/>
        <v>x</v>
      </c>
      <c r="IZ1" s="853" t="str">
        <f t="shared" si="3"/>
        <v>x</v>
      </c>
      <c r="JA1" s="853" t="str">
        <f t="shared" ref="JA1:LL1" si="4">JA3</f>
        <v>x</v>
      </c>
      <c r="JB1" s="853" t="str">
        <f t="shared" si="4"/>
        <v>x</v>
      </c>
      <c r="JC1" s="853" t="str">
        <f t="shared" si="4"/>
        <v>x</v>
      </c>
      <c r="JD1" s="853" t="str">
        <f t="shared" si="4"/>
        <v>x</v>
      </c>
      <c r="JE1" s="853" t="str">
        <f t="shared" si="4"/>
        <v>x</v>
      </c>
      <c r="JF1" s="853" t="str">
        <f t="shared" si="4"/>
        <v>x</v>
      </c>
      <c r="JG1" s="853" t="str">
        <f t="shared" si="4"/>
        <v>x</v>
      </c>
      <c r="JH1" s="853" t="str">
        <f t="shared" si="4"/>
        <v>x</v>
      </c>
      <c r="JI1" s="853" t="str">
        <f t="shared" si="4"/>
        <v>x</v>
      </c>
      <c r="JJ1" s="853" t="str">
        <f t="shared" si="4"/>
        <v>x</v>
      </c>
      <c r="JK1" s="853" t="str">
        <f t="shared" si="4"/>
        <v>x</v>
      </c>
      <c r="JL1" s="853" t="str">
        <f t="shared" si="4"/>
        <v>x</v>
      </c>
      <c r="JM1" s="853" t="str">
        <f t="shared" si="4"/>
        <v>x</v>
      </c>
      <c r="JN1" s="853" t="str">
        <f t="shared" si="4"/>
        <v>x</v>
      </c>
      <c r="JO1" s="853" t="str">
        <f t="shared" si="4"/>
        <v>x</v>
      </c>
      <c r="JP1" s="853" t="str">
        <f t="shared" si="4"/>
        <v>x</v>
      </c>
      <c r="JQ1" s="853" t="str">
        <f t="shared" si="4"/>
        <v>x</v>
      </c>
      <c r="JR1" s="853" t="str">
        <f t="shared" si="4"/>
        <v>x</v>
      </c>
      <c r="JS1" s="853" t="str">
        <f t="shared" si="4"/>
        <v>x</v>
      </c>
      <c r="JT1" s="853" t="str">
        <f t="shared" si="4"/>
        <v>x</v>
      </c>
      <c r="JU1" s="853" t="str">
        <f t="shared" si="4"/>
        <v>x</v>
      </c>
      <c r="JV1" s="853" t="str">
        <f t="shared" si="4"/>
        <v>x</v>
      </c>
      <c r="JW1" s="853" t="str">
        <f t="shared" si="4"/>
        <v>x</v>
      </c>
      <c r="JX1" s="853" t="str">
        <f t="shared" si="4"/>
        <v>x</v>
      </c>
      <c r="JY1" s="853" t="str">
        <f t="shared" si="4"/>
        <v>x</v>
      </c>
      <c r="JZ1" s="853" t="str">
        <f t="shared" si="4"/>
        <v>x</v>
      </c>
      <c r="KA1" s="853" t="str">
        <f t="shared" si="4"/>
        <v>x</v>
      </c>
      <c r="KB1" s="853" t="str">
        <f t="shared" si="4"/>
        <v>x</v>
      </c>
      <c r="KC1" s="853" t="str">
        <f t="shared" si="4"/>
        <v>x</v>
      </c>
      <c r="KD1" s="853" t="str">
        <f t="shared" si="4"/>
        <v>x</v>
      </c>
      <c r="KE1" s="853" t="str">
        <f t="shared" si="4"/>
        <v>x</v>
      </c>
      <c r="KF1" s="853" t="str">
        <f t="shared" si="4"/>
        <v>x</v>
      </c>
      <c r="KG1" s="853" t="str">
        <f t="shared" si="4"/>
        <v>x</v>
      </c>
      <c r="KH1" s="853" t="str">
        <f t="shared" si="4"/>
        <v>x</v>
      </c>
      <c r="KI1" s="853" t="str">
        <f t="shared" si="4"/>
        <v>x</v>
      </c>
      <c r="KJ1" s="853" t="str">
        <f t="shared" si="4"/>
        <v>x</v>
      </c>
      <c r="KK1" s="853" t="str">
        <f t="shared" si="4"/>
        <v>x</v>
      </c>
      <c r="KL1" s="853" t="str">
        <f t="shared" si="4"/>
        <v>x</v>
      </c>
      <c r="KM1" s="853" t="str">
        <f t="shared" si="4"/>
        <v>x</v>
      </c>
      <c r="KN1" s="853" t="str">
        <f t="shared" si="4"/>
        <v>x</v>
      </c>
      <c r="KO1" s="853" t="str">
        <f t="shared" si="4"/>
        <v>x</v>
      </c>
      <c r="KP1" s="853" t="str">
        <f t="shared" si="4"/>
        <v>x</v>
      </c>
      <c r="KQ1" s="853" t="str">
        <f t="shared" si="4"/>
        <v>x</v>
      </c>
      <c r="KR1" s="853" t="str">
        <f t="shared" si="4"/>
        <v>x</v>
      </c>
      <c r="KS1" s="853" t="str">
        <f t="shared" si="4"/>
        <v>x</v>
      </c>
      <c r="KT1" s="853" t="str">
        <f t="shared" si="4"/>
        <v>x</v>
      </c>
      <c r="KU1" s="853" t="str">
        <f t="shared" si="4"/>
        <v>x</v>
      </c>
      <c r="KV1" s="853" t="str">
        <f t="shared" si="4"/>
        <v>x</v>
      </c>
      <c r="KW1" s="853" t="str">
        <f t="shared" si="4"/>
        <v>x</v>
      </c>
      <c r="KX1" s="853" t="str">
        <f t="shared" si="4"/>
        <v>x</v>
      </c>
      <c r="KY1" s="853" t="str">
        <f t="shared" si="4"/>
        <v>x</v>
      </c>
      <c r="KZ1" s="853" t="str">
        <f t="shared" si="4"/>
        <v>x</v>
      </c>
      <c r="LA1" s="853" t="str">
        <f t="shared" si="4"/>
        <v>x</v>
      </c>
      <c r="LB1" s="853" t="str">
        <f t="shared" si="4"/>
        <v>x</v>
      </c>
      <c r="LC1" s="853" t="str">
        <f t="shared" si="4"/>
        <v>x</v>
      </c>
      <c r="LD1" s="853" t="str">
        <f t="shared" si="4"/>
        <v>x</v>
      </c>
      <c r="LE1" s="853" t="str">
        <f t="shared" si="4"/>
        <v>x</v>
      </c>
      <c r="LF1" s="853" t="str">
        <f t="shared" si="4"/>
        <v>x</v>
      </c>
      <c r="LG1" s="853" t="str">
        <f t="shared" si="4"/>
        <v>x</v>
      </c>
      <c r="LH1" s="853" t="str">
        <f t="shared" si="4"/>
        <v>x</v>
      </c>
      <c r="LI1" s="853" t="str">
        <f t="shared" si="4"/>
        <v>x</v>
      </c>
      <c r="LJ1" s="853" t="str">
        <f t="shared" si="4"/>
        <v>x</v>
      </c>
      <c r="LK1" s="853" t="str">
        <f t="shared" si="4"/>
        <v>x</v>
      </c>
      <c r="LL1" s="853" t="str">
        <f t="shared" si="4"/>
        <v>x</v>
      </c>
      <c r="LM1" s="853" t="str">
        <f t="shared" ref="LM1:NX1" si="5">LM3</f>
        <v>x</v>
      </c>
      <c r="LN1" s="853" t="str">
        <f t="shared" si="5"/>
        <v>x</v>
      </c>
      <c r="LO1" s="853" t="str">
        <f t="shared" si="5"/>
        <v>x</v>
      </c>
      <c r="LP1" s="853" t="str">
        <f t="shared" si="5"/>
        <v>x</v>
      </c>
      <c r="LQ1" s="853" t="str">
        <f t="shared" si="5"/>
        <v>x</v>
      </c>
      <c r="LR1" s="853" t="str">
        <f t="shared" si="5"/>
        <v>x</v>
      </c>
      <c r="LS1" s="853" t="str">
        <f t="shared" si="5"/>
        <v>x</v>
      </c>
      <c r="LT1" s="853" t="str">
        <f t="shared" si="5"/>
        <v>x</v>
      </c>
      <c r="LU1" s="853" t="str">
        <f t="shared" si="5"/>
        <v>x</v>
      </c>
      <c r="LV1" s="853" t="str">
        <f t="shared" si="5"/>
        <v>x</v>
      </c>
      <c r="LW1" s="853" t="str">
        <f t="shared" si="5"/>
        <v>x</v>
      </c>
      <c r="LX1" s="853" t="str">
        <f t="shared" si="5"/>
        <v>x</v>
      </c>
      <c r="LY1" s="853" t="str">
        <f t="shared" si="5"/>
        <v>x</v>
      </c>
      <c r="LZ1" s="853" t="str">
        <f t="shared" si="5"/>
        <v>x</v>
      </c>
      <c r="MA1" s="853" t="str">
        <f t="shared" si="5"/>
        <v>x</v>
      </c>
      <c r="MB1" s="853" t="str">
        <f t="shared" si="5"/>
        <v>x</v>
      </c>
      <c r="MC1" s="853" t="str">
        <f t="shared" si="5"/>
        <v>x</v>
      </c>
      <c r="MD1" s="853" t="str">
        <f t="shared" si="5"/>
        <v>x</v>
      </c>
      <c r="ME1" s="853" t="str">
        <f t="shared" si="5"/>
        <v>x</v>
      </c>
      <c r="MF1" s="853" t="str">
        <f t="shared" si="5"/>
        <v>x</v>
      </c>
      <c r="MG1" s="853" t="str">
        <f t="shared" si="5"/>
        <v>x</v>
      </c>
      <c r="MH1" s="853" t="str">
        <f t="shared" si="5"/>
        <v>x</v>
      </c>
      <c r="MI1" s="853" t="str">
        <f t="shared" si="5"/>
        <v>x</v>
      </c>
      <c r="MJ1" s="853" t="str">
        <f t="shared" si="5"/>
        <v>x</v>
      </c>
      <c r="MK1" s="853" t="str">
        <f t="shared" si="5"/>
        <v>x</v>
      </c>
      <c r="ML1" s="853" t="str">
        <f t="shared" si="5"/>
        <v>x</v>
      </c>
      <c r="MM1" s="853" t="str">
        <f t="shared" si="5"/>
        <v>x</v>
      </c>
      <c r="MN1" s="853" t="str">
        <f t="shared" si="5"/>
        <v>x</v>
      </c>
      <c r="MO1" s="853" t="str">
        <f t="shared" si="5"/>
        <v>x</v>
      </c>
      <c r="MP1" s="853" t="str">
        <f t="shared" si="5"/>
        <v>x</v>
      </c>
      <c r="MQ1" s="853" t="str">
        <f t="shared" si="5"/>
        <v>x</v>
      </c>
      <c r="MR1" s="853" t="str">
        <f t="shared" si="5"/>
        <v>x</v>
      </c>
      <c r="MS1" s="853" t="str">
        <f t="shared" si="5"/>
        <v>x</v>
      </c>
      <c r="MT1" s="853" t="str">
        <f t="shared" si="5"/>
        <v>x</v>
      </c>
      <c r="MU1" s="853" t="str">
        <f t="shared" si="5"/>
        <v>x</v>
      </c>
      <c r="MV1" s="853" t="str">
        <f t="shared" si="5"/>
        <v>x</v>
      </c>
      <c r="MW1" s="853" t="str">
        <f t="shared" si="5"/>
        <v>x</v>
      </c>
      <c r="MX1" s="853" t="str">
        <f t="shared" si="5"/>
        <v>x</v>
      </c>
      <c r="MY1" s="853" t="str">
        <f t="shared" si="5"/>
        <v>x</v>
      </c>
      <c r="MZ1" s="853" t="str">
        <f t="shared" si="5"/>
        <v>x</v>
      </c>
      <c r="NA1" s="853" t="str">
        <f t="shared" si="5"/>
        <v>x</v>
      </c>
      <c r="NB1" s="853" t="str">
        <f t="shared" si="5"/>
        <v>x</v>
      </c>
      <c r="NC1" s="853" t="str">
        <f t="shared" si="5"/>
        <v>x</v>
      </c>
      <c r="ND1" s="853" t="str">
        <f t="shared" si="5"/>
        <v>x</v>
      </c>
      <c r="NE1" s="853" t="str">
        <f t="shared" si="5"/>
        <v>x</v>
      </c>
      <c r="NF1" s="853" t="str">
        <f t="shared" si="5"/>
        <v>x</v>
      </c>
      <c r="NG1" s="853" t="str">
        <f t="shared" si="5"/>
        <v>x</v>
      </c>
      <c r="NH1" s="853" t="str">
        <f t="shared" si="5"/>
        <v>x</v>
      </c>
      <c r="NI1" s="853" t="str">
        <f t="shared" si="5"/>
        <v>x</v>
      </c>
      <c r="NJ1" s="853" t="str">
        <f t="shared" si="5"/>
        <v>x</v>
      </c>
      <c r="NK1" s="853" t="str">
        <f t="shared" si="5"/>
        <v>x</v>
      </c>
      <c r="NL1" s="853" t="str">
        <f t="shared" si="5"/>
        <v>x</v>
      </c>
      <c r="NM1" s="853" t="str">
        <f t="shared" si="5"/>
        <v>x</v>
      </c>
      <c r="NN1" s="853" t="str">
        <f t="shared" si="5"/>
        <v>x</v>
      </c>
      <c r="NO1" s="853" t="str">
        <f t="shared" si="5"/>
        <v>x</v>
      </c>
      <c r="NP1" s="853" t="str">
        <f t="shared" si="5"/>
        <v>x</v>
      </c>
      <c r="NQ1" s="853" t="str">
        <f t="shared" si="5"/>
        <v>x</v>
      </c>
      <c r="NR1" s="853" t="str">
        <f t="shared" si="5"/>
        <v>x</v>
      </c>
      <c r="NS1" s="853" t="str">
        <f t="shared" si="5"/>
        <v>x</v>
      </c>
      <c r="NT1" s="853" t="str">
        <f t="shared" si="5"/>
        <v>x</v>
      </c>
      <c r="NU1" s="853" t="str">
        <f t="shared" si="5"/>
        <v>x</v>
      </c>
      <c r="NV1" s="853" t="str">
        <f t="shared" si="5"/>
        <v>x</v>
      </c>
      <c r="NW1" s="853" t="str">
        <f t="shared" si="5"/>
        <v>x</v>
      </c>
      <c r="NX1" s="853" t="str">
        <f t="shared" si="5"/>
        <v>x</v>
      </c>
      <c r="NY1" s="853" t="str">
        <f t="shared" ref="NY1:QJ1" si="6">NY3</f>
        <v>x</v>
      </c>
      <c r="NZ1" s="853" t="str">
        <f t="shared" si="6"/>
        <v>x</v>
      </c>
      <c r="OA1" s="853" t="str">
        <f t="shared" si="6"/>
        <v>x</v>
      </c>
      <c r="OB1" s="853" t="str">
        <f t="shared" si="6"/>
        <v>x</v>
      </c>
      <c r="OC1" s="853" t="str">
        <f t="shared" si="6"/>
        <v>x</v>
      </c>
      <c r="OD1" s="853" t="str">
        <f t="shared" si="6"/>
        <v>x</v>
      </c>
      <c r="OE1" s="853" t="str">
        <f t="shared" si="6"/>
        <v>x</v>
      </c>
      <c r="OF1" s="853" t="str">
        <f t="shared" si="6"/>
        <v>x</v>
      </c>
      <c r="OG1" s="853" t="str">
        <f t="shared" si="6"/>
        <v>x</v>
      </c>
      <c r="OH1" s="853" t="str">
        <f t="shared" si="6"/>
        <v>x</v>
      </c>
      <c r="OI1" s="853" t="str">
        <f t="shared" si="6"/>
        <v>x</v>
      </c>
      <c r="OJ1" s="853" t="str">
        <f t="shared" si="6"/>
        <v>x</v>
      </c>
      <c r="OK1" s="853" t="str">
        <f t="shared" si="6"/>
        <v>x</v>
      </c>
      <c r="OL1" s="853" t="str">
        <f t="shared" si="6"/>
        <v>x</v>
      </c>
      <c r="OM1" s="853" t="str">
        <f t="shared" si="6"/>
        <v>x</v>
      </c>
      <c r="ON1" s="853" t="str">
        <f t="shared" si="6"/>
        <v>x</v>
      </c>
      <c r="OO1" s="853" t="str">
        <f t="shared" si="6"/>
        <v>x</v>
      </c>
      <c r="OP1" s="853" t="str">
        <f t="shared" si="6"/>
        <v>x</v>
      </c>
      <c r="OQ1" s="853" t="str">
        <f t="shared" si="6"/>
        <v>x</v>
      </c>
      <c r="OR1" s="853" t="str">
        <f t="shared" si="6"/>
        <v>x</v>
      </c>
      <c r="OS1" s="853" t="str">
        <f t="shared" si="6"/>
        <v>x</v>
      </c>
      <c r="OT1" s="853" t="str">
        <f t="shared" si="6"/>
        <v>x</v>
      </c>
      <c r="OU1" s="853" t="str">
        <f t="shared" si="6"/>
        <v>x</v>
      </c>
      <c r="OV1" s="853" t="str">
        <f t="shared" si="6"/>
        <v>x</v>
      </c>
      <c r="OW1" s="853" t="str">
        <f t="shared" si="6"/>
        <v>x</v>
      </c>
      <c r="OX1" s="853" t="str">
        <f t="shared" si="6"/>
        <v>x</v>
      </c>
      <c r="OY1" s="853" t="str">
        <f t="shared" si="6"/>
        <v>x</v>
      </c>
      <c r="OZ1" s="853" t="str">
        <f t="shared" si="6"/>
        <v>x</v>
      </c>
      <c r="PA1" s="853" t="str">
        <f t="shared" si="6"/>
        <v>x</v>
      </c>
      <c r="PB1" s="853" t="str">
        <f t="shared" si="6"/>
        <v>x</v>
      </c>
      <c r="PC1" s="853" t="str">
        <f t="shared" si="6"/>
        <v>x</v>
      </c>
      <c r="PD1" s="853" t="str">
        <f t="shared" si="6"/>
        <v>x</v>
      </c>
      <c r="PE1" s="853" t="str">
        <f t="shared" si="6"/>
        <v>x</v>
      </c>
      <c r="PF1" s="853" t="str">
        <f t="shared" si="6"/>
        <v>x</v>
      </c>
      <c r="PG1" s="853" t="str">
        <f t="shared" si="6"/>
        <v>x</v>
      </c>
      <c r="PH1" s="853" t="str">
        <f t="shared" si="6"/>
        <v>x</v>
      </c>
      <c r="PI1" s="853" t="str">
        <f t="shared" si="6"/>
        <v>x</v>
      </c>
      <c r="PJ1" s="853" t="str">
        <f t="shared" si="6"/>
        <v>x</v>
      </c>
      <c r="PK1" s="853" t="str">
        <f t="shared" si="6"/>
        <v>x</v>
      </c>
      <c r="PL1" s="853" t="str">
        <f t="shared" si="6"/>
        <v>x</v>
      </c>
      <c r="PM1" s="853" t="str">
        <f t="shared" si="6"/>
        <v>x</v>
      </c>
      <c r="PN1" s="853" t="str">
        <f t="shared" si="6"/>
        <v>x</v>
      </c>
      <c r="PO1" s="853" t="str">
        <f t="shared" si="6"/>
        <v>x</v>
      </c>
      <c r="PP1" s="853" t="str">
        <f t="shared" si="6"/>
        <v>x</v>
      </c>
      <c r="PQ1" s="853" t="str">
        <f t="shared" si="6"/>
        <v>x</v>
      </c>
      <c r="PR1" s="853" t="str">
        <f t="shared" si="6"/>
        <v>x</v>
      </c>
      <c r="PS1" s="853" t="str">
        <f t="shared" si="6"/>
        <v>x</v>
      </c>
      <c r="PT1" s="853" t="str">
        <f t="shared" si="6"/>
        <v>x</v>
      </c>
      <c r="PU1" s="853" t="str">
        <f t="shared" si="6"/>
        <v>x</v>
      </c>
      <c r="PV1" s="853" t="str">
        <f t="shared" si="6"/>
        <v>x</v>
      </c>
      <c r="PW1" s="853" t="str">
        <f t="shared" si="6"/>
        <v>x</v>
      </c>
      <c r="PX1" s="853" t="str">
        <f t="shared" si="6"/>
        <v>x</v>
      </c>
      <c r="PY1" s="853" t="str">
        <f t="shared" si="6"/>
        <v>x</v>
      </c>
      <c r="PZ1" s="853" t="str">
        <f t="shared" si="6"/>
        <v>x</v>
      </c>
      <c r="QA1" s="853" t="str">
        <f t="shared" si="6"/>
        <v>x</v>
      </c>
      <c r="QB1" s="853" t="str">
        <f t="shared" si="6"/>
        <v>x</v>
      </c>
      <c r="QC1" s="853" t="str">
        <f t="shared" si="6"/>
        <v>x</v>
      </c>
      <c r="QD1" s="853" t="str">
        <f t="shared" si="6"/>
        <v>x</v>
      </c>
      <c r="QE1" s="853" t="str">
        <f t="shared" si="6"/>
        <v>x</v>
      </c>
      <c r="QF1" s="853" t="str">
        <f t="shared" si="6"/>
        <v>x</v>
      </c>
      <c r="QG1" s="853" t="str">
        <f t="shared" si="6"/>
        <v>x</v>
      </c>
      <c r="QH1" s="853" t="str">
        <f t="shared" si="6"/>
        <v>x</v>
      </c>
      <c r="QI1" s="853" t="str">
        <f t="shared" si="6"/>
        <v>x</v>
      </c>
      <c r="QJ1" s="853" t="str">
        <f t="shared" si="6"/>
        <v>x</v>
      </c>
      <c r="QK1" s="853" t="str">
        <f t="shared" ref="QK1:SV1" si="7">QK3</f>
        <v>x</v>
      </c>
      <c r="QL1" s="853" t="str">
        <f t="shared" si="7"/>
        <v>x</v>
      </c>
      <c r="QM1" s="853" t="str">
        <f t="shared" si="7"/>
        <v>x</v>
      </c>
      <c r="QN1" s="853" t="str">
        <f t="shared" si="7"/>
        <v>x</v>
      </c>
      <c r="QO1" s="853" t="str">
        <f t="shared" si="7"/>
        <v>x</v>
      </c>
      <c r="QP1" s="853" t="str">
        <f t="shared" si="7"/>
        <v>x</v>
      </c>
      <c r="QQ1" s="853" t="str">
        <f t="shared" si="7"/>
        <v>x</v>
      </c>
      <c r="QR1" s="853" t="str">
        <f t="shared" si="7"/>
        <v>x</v>
      </c>
      <c r="QS1" s="853" t="str">
        <f t="shared" si="7"/>
        <v>x</v>
      </c>
      <c r="QT1" s="853" t="str">
        <f t="shared" si="7"/>
        <v>x</v>
      </c>
      <c r="QU1" s="853" t="str">
        <f t="shared" si="7"/>
        <v>x</v>
      </c>
      <c r="QV1" s="853" t="str">
        <f t="shared" si="7"/>
        <v>x</v>
      </c>
      <c r="QW1" s="853" t="str">
        <f t="shared" si="7"/>
        <v>x</v>
      </c>
      <c r="QX1" s="853" t="str">
        <f t="shared" si="7"/>
        <v>x</v>
      </c>
      <c r="QY1" s="853" t="str">
        <f t="shared" si="7"/>
        <v>x</v>
      </c>
      <c r="QZ1" s="853" t="str">
        <f t="shared" si="7"/>
        <v>x</v>
      </c>
      <c r="RA1" s="853" t="str">
        <f t="shared" si="7"/>
        <v>x</v>
      </c>
      <c r="RB1" s="853" t="str">
        <f t="shared" si="7"/>
        <v>x</v>
      </c>
      <c r="RC1" s="853" t="str">
        <f t="shared" si="7"/>
        <v>x</v>
      </c>
      <c r="RD1" s="853" t="str">
        <f t="shared" si="7"/>
        <v>x</v>
      </c>
      <c r="RE1" s="853" t="str">
        <f t="shared" si="7"/>
        <v>x</v>
      </c>
      <c r="RF1" s="853" t="str">
        <f t="shared" si="7"/>
        <v>x</v>
      </c>
      <c r="RG1" s="853" t="str">
        <f t="shared" si="7"/>
        <v>x</v>
      </c>
      <c r="RH1" s="853" t="str">
        <f t="shared" si="7"/>
        <v>x</v>
      </c>
      <c r="RI1" s="853" t="str">
        <f t="shared" si="7"/>
        <v>x</v>
      </c>
      <c r="RJ1" s="853" t="str">
        <f t="shared" si="7"/>
        <v>x</v>
      </c>
      <c r="RK1" s="853" t="str">
        <f t="shared" si="7"/>
        <v>x</v>
      </c>
      <c r="RL1" s="853" t="str">
        <f t="shared" si="7"/>
        <v>x</v>
      </c>
      <c r="RM1" s="853" t="str">
        <f t="shared" si="7"/>
        <v>x</v>
      </c>
      <c r="RN1" s="853" t="str">
        <f t="shared" si="7"/>
        <v>x</v>
      </c>
      <c r="RO1" s="853" t="str">
        <f t="shared" si="7"/>
        <v>x</v>
      </c>
      <c r="RP1" s="853" t="str">
        <f t="shared" si="7"/>
        <v>x</v>
      </c>
      <c r="RQ1" s="853" t="str">
        <f t="shared" si="7"/>
        <v>x</v>
      </c>
      <c r="RR1" s="853" t="str">
        <f t="shared" si="7"/>
        <v>x</v>
      </c>
      <c r="RS1" s="853" t="str">
        <f t="shared" si="7"/>
        <v>x</v>
      </c>
      <c r="RT1" s="853" t="str">
        <f t="shared" si="7"/>
        <v>x</v>
      </c>
      <c r="RU1" s="853" t="str">
        <f t="shared" si="7"/>
        <v>x</v>
      </c>
      <c r="RV1" s="853" t="str">
        <f t="shared" si="7"/>
        <v>x</v>
      </c>
      <c r="RW1" s="853" t="str">
        <f t="shared" si="7"/>
        <v>x</v>
      </c>
      <c r="RX1" s="853" t="str">
        <f t="shared" si="7"/>
        <v>x</v>
      </c>
      <c r="RY1" s="853" t="str">
        <f t="shared" si="7"/>
        <v>x</v>
      </c>
      <c r="RZ1" s="853" t="str">
        <f t="shared" si="7"/>
        <v>x</v>
      </c>
      <c r="SA1" s="853" t="str">
        <f t="shared" si="7"/>
        <v>x</v>
      </c>
      <c r="SB1" s="853" t="str">
        <f t="shared" si="7"/>
        <v>x</v>
      </c>
      <c r="SC1" s="853" t="str">
        <f t="shared" si="7"/>
        <v>x</v>
      </c>
      <c r="SD1" s="853" t="str">
        <f t="shared" si="7"/>
        <v>x</v>
      </c>
      <c r="SE1" s="853" t="str">
        <f t="shared" si="7"/>
        <v>x</v>
      </c>
      <c r="SF1" s="853" t="str">
        <f t="shared" si="7"/>
        <v>x</v>
      </c>
      <c r="SG1" s="853" t="str">
        <f t="shared" si="7"/>
        <v>x</v>
      </c>
      <c r="SH1" s="853" t="str">
        <f t="shared" si="7"/>
        <v>x</v>
      </c>
      <c r="SI1" s="853" t="str">
        <f t="shared" si="7"/>
        <v>x</v>
      </c>
      <c r="SJ1" s="853" t="str">
        <f t="shared" si="7"/>
        <v>x</v>
      </c>
      <c r="SK1" s="853" t="str">
        <f t="shared" si="7"/>
        <v>x</v>
      </c>
      <c r="SL1" s="853" t="str">
        <f t="shared" si="7"/>
        <v>x</v>
      </c>
      <c r="SM1" s="853" t="str">
        <f t="shared" si="7"/>
        <v>x</v>
      </c>
      <c r="SN1" s="853" t="str">
        <f t="shared" si="7"/>
        <v>x</v>
      </c>
      <c r="SO1" s="853" t="str">
        <f t="shared" si="7"/>
        <v>x</v>
      </c>
      <c r="SP1" s="853" t="str">
        <f t="shared" si="7"/>
        <v>x</v>
      </c>
      <c r="SQ1" s="853" t="str">
        <f t="shared" si="7"/>
        <v>x</v>
      </c>
      <c r="SR1" s="853" t="str">
        <f t="shared" si="7"/>
        <v>x</v>
      </c>
      <c r="SS1" s="853" t="str">
        <f t="shared" si="7"/>
        <v>x</v>
      </c>
      <c r="ST1" s="853" t="str">
        <f t="shared" si="7"/>
        <v>x</v>
      </c>
      <c r="SU1" s="853" t="str">
        <f t="shared" si="7"/>
        <v>x</v>
      </c>
      <c r="SV1" s="853" t="str">
        <f t="shared" si="7"/>
        <v>x</v>
      </c>
      <c r="SW1" s="853" t="str">
        <f t="shared" ref="SW1:VH1" si="8">SW3</f>
        <v>x</v>
      </c>
      <c r="SX1" s="853" t="str">
        <f t="shared" si="8"/>
        <v>x</v>
      </c>
      <c r="SY1" s="853" t="str">
        <f t="shared" si="8"/>
        <v>x</v>
      </c>
      <c r="SZ1" s="853" t="str">
        <f t="shared" si="8"/>
        <v>x</v>
      </c>
      <c r="TA1" s="853" t="str">
        <f t="shared" si="8"/>
        <v>x</v>
      </c>
      <c r="TB1" s="853" t="str">
        <f t="shared" si="8"/>
        <v>x</v>
      </c>
      <c r="TC1" s="853" t="str">
        <f t="shared" si="8"/>
        <v>x</v>
      </c>
      <c r="TD1" s="853" t="str">
        <f t="shared" si="8"/>
        <v>x</v>
      </c>
      <c r="TE1" s="853" t="str">
        <f t="shared" si="8"/>
        <v>x</v>
      </c>
      <c r="TF1" s="853" t="str">
        <f t="shared" si="8"/>
        <v>x</v>
      </c>
      <c r="TG1" s="853" t="str">
        <f t="shared" si="8"/>
        <v>x</v>
      </c>
      <c r="TH1" s="853" t="str">
        <f t="shared" si="8"/>
        <v>x</v>
      </c>
      <c r="TI1" s="853" t="str">
        <f t="shared" si="8"/>
        <v>x</v>
      </c>
      <c r="TJ1" s="853" t="str">
        <f t="shared" si="8"/>
        <v>x</v>
      </c>
      <c r="TK1" s="853" t="str">
        <f t="shared" si="8"/>
        <v>x</v>
      </c>
      <c r="TL1" s="853" t="str">
        <f t="shared" si="8"/>
        <v>x</v>
      </c>
      <c r="TM1" s="853" t="str">
        <f t="shared" si="8"/>
        <v>x</v>
      </c>
      <c r="TN1" s="853" t="str">
        <f t="shared" si="8"/>
        <v>x</v>
      </c>
      <c r="TO1" s="853" t="str">
        <f t="shared" si="8"/>
        <v>x</v>
      </c>
      <c r="TP1" s="853" t="str">
        <f t="shared" si="8"/>
        <v>x</v>
      </c>
      <c r="TQ1" s="853" t="str">
        <f t="shared" si="8"/>
        <v>x</v>
      </c>
      <c r="TR1" s="853" t="str">
        <f t="shared" si="8"/>
        <v>x</v>
      </c>
      <c r="TS1" s="853" t="str">
        <f t="shared" si="8"/>
        <v>x</v>
      </c>
      <c r="TT1" s="853" t="str">
        <f t="shared" si="8"/>
        <v>x</v>
      </c>
      <c r="TU1" s="853" t="str">
        <f t="shared" si="8"/>
        <v>x</v>
      </c>
      <c r="TV1" s="853" t="str">
        <f t="shared" si="8"/>
        <v>x</v>
      </c>
      <c r="TW1" s="853" t="str">
        <f t="shared" si="8"/>
        <v>x</v>
      </c>
      <c r="TX1" s="853" t="str">
        <f t="shared" si="8"/>
        <v>x</v>
      </c>
      <c r="TY1" s="853" t="str">
        <f t="shared" si="8"/>
        <v>x</v>
      </c>
      <c r="TZ1" s="853" t="str">
        <f t="shared" si="8"/>
        <v>x</v>
      </c>
      <c r="UA1" s="853" t="str">
        <f t="shared" si="8"/>
        <v>x</v>
      </c>
      <c r="UB1" s="853" t="str">
        <f t="shared" si="8"/>
        <v>x</v>
      </c>
      <c r="UC1" s="853" t="str">
        <f t="shared" si="8"/>
        <v>x</v>
      </c>
      <c r="UD1" s="853" t="str">
        <f t="shared" si="8"/>
        <v>x</v>
      </c>
      <c r="UE1" s="853" t="str">
        <f t="shared" si="8"/>
        <v>x</v>
      </c>
      <c r="UF1" s="853" t="str">
        <f t="shared" si="8"/>
        <v>x</v>
      </c>
      <c r="UG1" s="853" t="str">
        <f t="shared" si="8"/>
        <v>x</v>
      </c>
      <c r="UH1" s="853" t="str">
        <f t="shared" si="8"/>
        <v>x</v>
      </c>
      <c r="UI1" s="853" t="str">
        <f t="shared" si="8"/>
        <v>x</v>
      </c>
      <c r="UJ1" s="853" t="str">
        <f t="shared" si="8"/>
        <v>x</v>
      </c>
      <c r="UK1" s="853" t="str">
        <f t="shared" si="8"/>
        <v>x</v>
      </c>
      <c r="UL1" s="853" t="str">
        <f t="shared" si="8"/>
        <v>x</v>
      </c>
      <c r="UM1" s="853" t="str">
        <f t="shared" si="8"/>
        <v>x</v>
      </c>
      <c r="UN1" s="853" t="str">
        <f t="shared" si="8"/>
        <v>x</v>
      </c>
      <c r="UO1" s="853" t="str">
        <f t="shared" si="8"/>
        <v>x</v>
      </c>
      <c r="UP1" s="853" t="str">
        <f t="shared" si="8"/>
        <v>x</v>
      </c>
      <c r="UQ1" s="853" t="str">
        <f t="shared" si="8"/>
        <v>x</v>
      </c>
      <c r="UR1" s="853" t="str">
        <f t="shared" si="8"/>
        <v>x</v>
      </c>
      <c r="US1" s="853" t="str">
        <f t="shared" si="8"/>
        <v>x</v>
      </c>
      <c r="UT1" s="853" t="str">
        <f t="shared" si="8"/>
        <v>x</v>
      </c>
      <c r="UU1" s="853" t="str">
        <f t="shared" si="8"/>
        <v>x</v>
      </c>
      <c r="UV1" s="853" t="str">
        <f t="shared" si="8"/>
        <v>x</v>
      </c>
      <c r="UW1" s="853" t="str">
        <f t="shared" si="8"/>
        <v>x</v>
      </c>
      <c r="UX1" s="853" t="str">
        <f t="shared" si="8"/>
        <v>x</v>
      </c>
      <c r="UY1" s="853" t="str">
        <f t="shared" si="8"/>
        <v>x</v>
      </c>
      <c r="UZ1" s="853" t="str">
        <f t="shared" si="8"/>
        <v>x</v>
      </c>
      <c r="VA1" s="853" t="str">
        <f t="shared" si="8"/>
        <v>x</v>
      </c>
      <c r="VB1" s="853" t="str">
        <f t="shared" si="8"/>
        <v>x</v>
      </c>
      <c r="VC1" s="853" t="str">
        <f t="shared" si="8"/>
        <v>x</v>
      </c>
      <c r="VD1" s="853" t="str">
        <f t="shared" si="8"/>
        <v>x</v>
      </c>
      <c r="VE1" s="853" t="str">
        <f t="shared" si="8"/>
        <v>x</v>
      </c>
      <c r="VF1" s="853" t="str">
        <f t="shared" si="8"/>
        <v>x</v>
      </c>
      <c r="VG1" s="853" t="str">
        <f t="shared" si="8"/>
        <v>x</v>
      </c>
      <c r="VH1" s="853" t="str">
        <f t="shared" si="8"/>
        <v>x</v>
      </c>
      <c r="VI1" s="853" t="str">
        <f t="shared" ref="VI1:XT1" si="9">VI3</f>
        <v>x</v>
      </c>
      <c r="VJ1" s="853" t="str">
        <f t="shared" si="9"/>
        <v>x</v>
      </c>
      <c r="VK1" s="853" t="str">
        <f t="shared" si="9"/>
        <v>x</v>
      </c>
      <c r="VL1" s="853" t="str">
        <f t="shared" si="9"/>
        <v>x</v>
      </c>
      <c r="VM1" s="853" t="str">
        <f t="shared" si="9"/>
        <v>x</v>
      </c>
      <c r="VN1" s="853" t="str">
        <f t="shared" si="9"/>
        <v>x</v>
      </c>
      <c r="VO1" s="853" t="str">
        <f t="shared" si="9"/>
        <v>x</v>
      </c>
      <c r="VP1" s="853" t="str">
        <f t="shared" si="9"/>
        <v>x</v>
      </c>
      <c r="VQ1" s="853" t="str">
        <f t="shared" si="9"/>
        <v>x</v>
      </c>
      <c r="VR1" s="853" t="str">
        <f t="shared" si="9"/>
        <v>x</v>
      </c>
      <c r="VS1" s="853" t="str">
        <f t="shared" si="9"/>
        <v>x</v>
      </c>
      <c r="VT1" s="853" t="str">
        <f t="shared" si="9"/>
        <v>x</v>
      </c>
      <c r="VU1" s="853" t="str">
        <f t="shared" si="9"/>
        <v>x</v>
      </c>
      <c r="VV1" s="853" t="str">
        <f t="shared" si="9"/>
        <v>x</v>
      </c>
      <c r="VW1" s="853" t="str">
        <f t="shared" si="9"/>
        <v>x</v>
      </c>
      <c r="VX1" s="853" t="str">
        <f t="shared" si="9"/>
        <v>x</v>
      </c>
      <c r="VY1" s="853" t="str">
        <f t="shared" si="9"/>
        <v>x</v>
      </c>
      <c r="VZ1" s="853" t="str">
        <f t="shared" si="9"/>
        <v>x</v>
      </c>
      <c r="WA1" s="853" t="str">
        <f t="shared" si="9"/>
        <v>x</v>
      </c>
      <c r="WB1" s="853" t="str">
        <f t="shared" si="9"/>
        <v>x</v>
      </c>
      <c r="WC1" s="853" t="str">
        <f t="shared" si="9"/>
        <v>x</v>
      </c>
      <c r="WD1" s="853" t="str">
        <f t="shared" si="9"/>
        <v>x</v>
      </c>
      <c r="WE1" s="853" t="str">
        <f t="shared" si="9"/>
        <v>x</v>
      </c>
      <c r="WF1" s="853" t="str">
        <f t="shared" si="9"/>
        <v>x</v>
      </c>
      <c r="WG1" s="853" t="str">
        <f t="shared" si="9"/>
        <v>x</v>
      </c>
      <c r="WH1" s="853" t="str">
        <f t="shared" si="9"/>
        <v>x</v>
      </c>
      <c r="WI1" s="853" t="str">
        <f t="shared" si="9"/>
        <v>x</v>
      </c>
      <c r="WJ1" s="853" t="str">
        <f t="shared" si="9"/>
        <v>x</v>
      </c>
      <c r="WK1" s="853" t="str">
        <f t="shared" si="9"/>
        <v>x</v>
      </c>
      <c r="WL1" s="853" t="str">
        <f t="shared" si="9"/>
        <v>x</v>
      </c>
      <c r="WM1" s="853" t="str">
        <f t="shared" si="9"/>
        <v>x</v>
      </c>
      <c r="WN1" s="853" t="str">
        <f t="shared" si="9"/>
        <v>x</v>
      </c>
      <c r="WO1" s="853" t="str">
        <f t="shared" si="9"/>
        <v>x</v>
      </c>
      <c r="WP1" s="853" t="str">
        <f t="shared" si="9"/>
        <v>x</v>
      </c>
      <c r="WQ1" s="853" t="str">
        <f t="shared" si="9"/>
        <v>x</v>
      </c>
      <c r="WR1" s="853" t="str">
        <f t="shared" si="9"/>
        <v>x</v>
      </c>
      <c r="WS1" s="853" t="str">
        <f t="shared" si="9"/>
        <v>x</v>
      </c>
      <c r="WT1" s="853" t="str">
        <f t="shared" si="9"/>
        <v>x</v>
      </c>
      <c r="WU1" s="853" t="str">
        <f t="shared" si="9"/>
        <v>x</v>
      </c>
      <c r="WV1" s="853" t="str">
        <f t="shared" si="9"/>
        <v>x</v>
      </c>
      <c r="WW1" s="853" t="str">
        <f t="shared" si="9"/>
        <v>x</v>
      </c>
      <c r="WX1" s="853" t="str">
        <f t="shared" si="9"/>
        <v>x</v>
      </c>
      <c r="WY1" s="853" t="str">
        <f t="shared" si="9"/>
        <v>x</v>
      </c>
      <c r="WZ1" s="853" t="str">
        <f t="shared" si="9"/>
        <v>x</v>
      </c>
      <c r="XA1" s="853" t="str">
        <f t="shared" si="9"/>
        <v>x</v>
      </c>
      <c r="XB1" s="853" t="str">
        <f t="shared" si="9"/>
        <v>x</v>
      </c>
      <c r="XC1" s="853" t="str">
        <f t="shared" si="9"/>
        <v>x</v>
      </c>
      <c r="XD1" s="853" t="str">
        <f t="shared" si="9"/>
        <v>x</v>
      </c>
      <c r="XE1" s="853" t="str">
        <f t="shared" si="9"/>
        <v>x</v>
      </c>
      <c r="XF1" s="853" t="str">
        <f t="shared" si="9"/>
        <v>x</v>
      </c>
      <c r="XG1" s="853" t="str">
        <f t="shared" si="9"/>
        <v>x</v>
      </c>
      <c r="XH1" s="853" t="str">
        <f t="shared" si="9"/>
        <v>x</v>
      </c>
      <c r="XI1" s="853" t="str">
        <f t="shared" si="9"/>
        <v>x</v>
      </c>
      <c r="XJ1" s="853" t="str">
        <f t="shared" si="9"/>
        <v>x</v>
      </c>
      <c r="XK1" s="853" t="str">
        <f t="shared" si="9"/>
        <v>x</v>
      </c>
      <c r="XL1" s="853" t="str">
        <f t="shared" si="9"/>
        <v>x</v>
      </c>
      <c r="XM1" s="853" t="str">
        <f t="shared" si="9"/>
        <v>x</v>
      </c>
      <c r="XN1" s="853" t="str">
        <f t="shared" si="9"/>
        <v>x</v>
      </c>
      <c r="XO1" s="853" t="str">
        <f t="shared" si="9"/>
        <v>x</v>
      </c>
      <c r="XP1" s="853" t="str">
        <f t="shared" si="9"/>
        <v>x</v>
      </c>
      <c r="XQ1" s="853" t="str">
        <f t="shared" si="9"/>
        <v>x</v>
      </c>
      <c r="XR1" s="853" t="str">
        <f t="shared" si="9"/>
        <v>x</v>
      </c>
      <c r="XS1" s="853" t="str">
        <f t="shared" si="9"/>
        <v>x</v>
      </c>
      <c r="XT1" s="853" t="str">
        <f t="shared" si="9"/>
        <v>x</v>
      </c>
      <c r="XU1" s="853" t="str">
        <f t="shared" ref="XU1:ZZ1" si="10">XU3</f>
        <v>x</v>
      </c>
      <c r="XV1" s="853" t="str">
        <f t="shared" si="10"/>
        <v>x</v>
      </c>
      <c r="XW1" s="853" t="str">
        <f t="shared" si="10"/>
        <v>x</v>
      </c>
      <c r="XX1" s="853" t="str">
        <f t="shared" si="10"/>
        <v>x</v>
      </c>
      <c r="XY1" s="853" t="str">
        <f t="shared" si="10"/>
        <v>x</v>
      </c>
      <c r="XZ1" s="853" t="str">
        <f t="shared" si="10"/>
        <v>x</v>
      </c>
      <c r="YA1" s="853" t="str">
        <f t="shared" si="10"/>
        <v>x</v>
      </c>
      <c r="YB1" s="853" t="str">
        <f t="shared" si="10"/>
        <v>x</v>
      </c>
      <c r="YC1" s="853" t="str">
        <f t="shared" si="10"/>
        <v>x</v>
      </c>
      <c r="YD1" s="853" t="str">
        <f t="shared" si="10"/>
        <v>x</v>
      </c>
      <c r="YE1" s="853" t="str">
        <f t="shared" si="10"/>
        <v>x</v>
      </c>
      <c r="YF1" s="853" t="str">
        <f t="shared" si="10"/>
        <v>x</v>
      </c>
      <c r="YG1" s="853" t="str">
        <f t="shared" si="10"/>
        <v>x</v>
      </c>
      <c r="YH1" s="853" t="str">
        <f t="shared" si="10"/>
        <v>x</v>
      </c>
      <c r="YI1" s="853" t="str">
        <f t="shared" si="10"/>
        <v>x</v>
      </c>
      <c r="YJ1" s="853" t="str">
        <f t="shared" si="10"/>
        <v>x</v>
      </c>
      <c r="YK1" s="853" t="str">
        <f t="shared" si="10"/>
        <v>x</v>
      </c>
      <c r="YL1" s="853" t="str">
        <f t="shared" si="10"/>
        <v>x</v>
      </c>
      <c r="YM1" s="853" t="str">
        <f t="shared" si="10"/>
        <v>x</v>
      </c>
      <c r="YN1" s="853" t="str">
        <f t="shared" si="10"/>
        <v>x</v>
      </c>
      <c r="YO1" s="853" t="str">
        <f t="shared" si="10"/>
        <v>x</v>
      </c>
      <c r="YP1" s="853" t="str">
        <f t="shared" si="10"/>
        <v>x</v>
      </c>
      <c r="YQ1" s="853" t="str">
        <f t="shared" si="10"/>
        <v>x</v>
      </c>
      <c r="YR1" s="853" t="str">
        <f t="shared" si="10"/>
        <v>x</v>
      </c>
      <c r="YS1" s="853" t="str">
        <f t="shared" si="10"/>
        <v>x</v>
      </c>
      <c r="YT1" s="853" t="str">
        <f t="shared" si="10"/>
        <v>x</v>
      </c>
      <c r="YU1" s="853" t="str">
        <f t="shared" si="10"/>
        <v>x</v>
      </c>
      <c r="YV1" s="853" t="str">
        <f t="shared" si="10"/>
        <v>x</v>
      </c>
      <c r="YW1" s="853" t="str">
        <f t="shared" si="10"/>
        <v>x</v>
      </c>
      <c r="YX1" s="853" t="str">
        <f t="shared" si="10"/>
        <v>x</v>
      </c>
      <c r="YY1" s="853" t="str">
        <f t="shared" si="10"/>
        <v>x</v>
      </c>
      <c r="YZ1" s="853" t="str">
        <f t="shared" si="10"/>
        <v>x</v>
      </c>
      <c r="ZA1" s="853" t="str">
        <f t="shared" si="10"/>
        <v>x</v>
      </c>
      <c r="ZB1" s="853" t="str">
        <f t="shared" si="10"/>
        <v>x</v>
      </c>
      <c r="ZC1" s="853" t="str">
        <f t="shared" si="10"/>
        <v>x</v>
      </c>
      <c r="ZD1" s="853" t="str">
        <f t="shared" si="10"/>
        <v>x</v>
      </c>
      <c r="ZE1" s="853" t="str">
        <f t="shared" si="10"/>
        <v>x</v>
      </c>
      <c r="ZF1" s="853" t="str">
        <f t="shared" si="10"/>
        <v>x</v>
      </c>
      <c r="ZG1" s="853" t="str">
        <f t="shared" si="10"/>
        <v>x</v>
      </c>
      <c r="ZH1" s="853" t="str">
        <f t="shared" si="10"/>
        <v>x</v>
      </c>
      <c r="ZI1" s="853" t="str">
        <f t="shared" si="10"/>
        <v>x</v>
      </c>
      <c r="ZJ1" s="853" t="str">
        <f t="shared" si="10"/>
        <v>x</v>
      </c>
      <c r="ZK1" s="853" t="str">
        <f t="shared" si="10"/>
        <v>x</v>
      </c>
      <c r="ZL1" s="853" t="str">
        <f t="shared" si="10"/>
        <v>x</v>
      </c>
      <c r="ZM1" s="853" t="str">
        <f t="shared" si="10"/>
        <v>x</v>
      </c>
      <c r="ZN1" s="853" t="str">
        <f t="shared" si="10"/>
        <v>x</v>
      </c>
      <c r="ZO1" s="853" t="str">
        <f t="shared" si="10"/>
        <v>x</v>
      </c>
      <c r="ZP1" s="853" t="str">
        <f t="shared" si="10"/>
        <v>x</v>
      </c>
      <c r="ZQ1" s="853" t="str">
        <f t="shared" si="10"/>
        <v>x</v>
      </c>
      <c r="ZR1" s="853" t="str">
        <f t="shared" si="10"/>
        <v>x</v>
      </c>
      <c r="ZS1" s="853" t="str">
        <f t="shared" si="10"/>
        <v>x</v>
      </c>
      <c r="ZT1" s="853" t="str">
        <f t="shared" si="10"/>
        <v>x</v>
      </c>
      <c r="ZU1" s="853" t="str">
        <f t="shared" si="10"/>
        <v>x</v>
      </c>
      <c r="ZV1" s="853" t="str">
        <f t="shared" si="10"/>
        <v>x</v>
      </c>
      <c r="ZW1" s="853" t="str">
        <f t="shared" si="10"/>
        <v>x</v>
      </c>
      <c r="ZX1" s="853" t="str">
        <f t="shared" si="10"/>
        <v>x</v>
      </c>
      <c r="ZY1" s="853" t="str">
        <f t="shared" si="10"/>
        <v>x</v>
      </c>
      <c r="ZZ1" s="853" t="str">
        <f t="shared" si="10"/>
        <v>x</v>
      </c>
    </row>
    <row r="2" spans="1:702" s="352" customFormat="1" ht="14.25" customHeight="1" thickBot="1" x14ac:dyDescent="0.25">
      <c r="A2" s="253">
        <f>HLOOKUP($A$3,$D$1:$ZZ$2,2,FALSE)</f>
        <v>18</v>
      </c>
      <c r="B2" s="612">
        <f>IF(B3="x",#N/A,IF(B3=0,#N/A,HLOOKUP($B$3,$D$1:$ZZ$2,2,FALSE)))</f>
        <v>18</v>
      </c>
      <c r="C2" s="379" t="s">
        <v>188</v>
      </c>
      <c r="D2" s="352">
        <v>1</v>
      </c>
      <c r="E2" s="352">
        <v>2</v>
      </c>
      <c r="F2" s="352">
        <v>3</v>
      </c>
      <c r="G2" s="352">
        <v>4</v>
      </c>
      <c r="H2" s="352">
        <v>5</v>
      </c>
      <c r="I2" s="352">
        <v>6</v>
      </c>
      <c r="J2" s="352">
        <v>7</v>
      </c>
      <c r="K2" s="352">
        <v>8</v>
      </c>
      <c r="L2" s="352">
        <v>9</v>
      </c>
      <c r="M2" s="352">
        <v>10</v>
      </c>
      <c r="N2" s="352">
        <v>11</v>
      </c>
      <c r="O2" s="352">
        <v>12</v>
      </c>
      <c r="P2" s="352">
        <v>13</v>
      </c>
      <c r="Q2" s="352">
        <v>14</v>
      </c>
      <c r="R2" s="352">
        <v>15</v>
      </c>
      <c r="S2" s="352">
        <v>16</v>
      </c>
      <c r="T2" s="352">
        <v>17</v>
      </c>
      <c r="U2" s="352">
        <v>18</v>
      </c>
      <c r="V2" s="352">
        <v>19</v>
      </c>
      <c r="W2" s="352">
        <v>20</v>
      </c>
      <c r="X2" s="352">
        <v>21</v>
      </c>
      <c r="Y2" s="352">
        <v>22</v>
      </c>
      <c r="Z2" s="352">
        <v>23</v>
      </c>
      <c r="AA2" s="352">
        <v>24</v>
      </c>
      <c r="AB2" s="352">
        <v>25</v>
      </c>
      <c r="AC2" s="352">
        <v>26</v>
      </c>
      <c r="AD2" s="352">
        <v>27</v>
      </c>
      <c r="AE2" s="352">
        <v>28</v>
      </c>
      <c r="AF2" s="352">
        <v>29</v>
      </c>
      <c r="AG2" s="352">
        <v>30</v>
      </c>
      <c r="AH2" s="352">
        <v>31</v>
      </c>
      <c r="AI2" s="352">
        <v>32</v>
      </c>
      <c r="AJ2" s="352">
        <v>33</v>
      </c>
      <c r="AK2" s="352">
        <v>34</v>
      </c>
      <c r="AL2" s="352">
        <v>35</v>
      </c>
      <c r="AM2" s="352">
        <v>36</v>
      </c>
      <c r="AN2" s="352">
        <v>37</v>
      </c>
      <c r="AO2" s="352">
        <v>38</v>
      </c>
      <c r="AP2" s="352">
        <v>39</v>
      </c>
      <c r="AQ2" s="352">
        <v>40</v>
      </c>
      <c r="AR2" s="352">
        <v>41</v>
      </c>
      <c r="AS2" s="352">
        <v>42</v>
      </c>
      <c r="AT2" s="352">
        <v>43</v>
      </c>
      <c r="AU2" s="352">
        <v>44</v>
      </c>
      <c r="AV2" s="352">
        <v>45</v>
      </c>
      <c r="AW2" s="352">
        <v>46</v>
      </c>
      <c r="AX2" s="352">
        <v>47</v>
      </c>
      <c r="AY2" s="352">
        <v>48</v>
      </c>
      <c r="AZ2" s="352">
        <v>49</v>
      </c>
      <c r="BA2" s="352">
        <v>50</v>
      </c>
      <c r="BB2" s="352">
        <v>51</v>
      </c>
      <c r="BC2" s="352">
        <v>52</v>
      </c>
      <c r="BD2" s="352">
        <v>53</v>
      </c>
      <c r="BE2" s="352">
        <v>54</v>
      </c>
      <c r="BF2" s="352">
        <v>55</v>
      </c>
      <c r="BG2" s="352">
        <v>56</v>
      </c>
      <c r="BH2" s="352">
        <v>57</v>
      </c>
      <c r="BI2" s="352">
        <v>58</v>
      </c>
      <c r="BJ2" s="352">
        <v>59</v>
      </c>
      <c r="BK2" s="352">
        <v>60</v>
      </c>
      <c r="BL2" s="352">
        <v>61</v>
      </c>
      <c r="BM2" s="352">
        <v>62</v>
      </c>
      <c r="BN2" s="352">
        <v>63</v>
      </c>
      <c r="BO2" s="352">
        <v>64</v>
      </c>
      <c r="BP2" s="352">
        <v>65</v>
      </c>
      <c r="BQ2" s="352">
        <v>66</v>
      </c>
      <c r="BR2" s="352">
        <v>67</v>
      </c>
      <c r="BS2" s="352">
        <v>68</v>
      </c>
      <c r="BT2" s="352">
        <v>69</v>
      </c>
      <c r="BU2" s="352">
        <v>70</v>
      </c>
      <c r="BV2" s="352">
        <v>71</v>
      </c>
      <c r="BW2" s="352">
        <v>72</v>
      </c>
      <c r="BX2" s="352">
        <v>73</v>
      </c>
      <c r="BY2" s="352">
        <v>74</v>
      </c>
      <c r="BZ2" s="352">
        <v>75</v>
      </c>
      <c r="CA2" s="352">
        <v>76</v>
      </c>
      <c r="CB2" s="352">
        <v>77</v>
      </c>
      <c r="CC2" s="352">
        <v>78</v>
      </c>
      <c r="CD2" s="352">
        <v>79</v>
      </c>
      <c r="CE2" s="352">
        <v>80</v>
      </c>
      <c r="CF2" s="352">
        <v>81</v>
      </c>
      <c r="CG2" s="352">
        <v>82</v>
      </c>
      <c r="CH2" s="352">
        <v>83</v>
      </c>
      <c r="CI2" s="352">
        <v>84</v>
      </c>
      <c r="CJ2" s="352">
        <v>85</v>
      </c>
      <c r="CK2" s="352">
        <v>86</v>
      </c>
      <c r="CL2" s="352">
        <v>87</v>
      </c>
      <c r="CM2" s="352">
        <v>88</v>
      </c>
      <c r="CN2" s="352">
        <v>89</v>
      </c>
      <c r="CO2" s="352">
        <v>90</v>
      </c>
      <c r="CP2" s="352">
        <v>91</v>
      </c>
      <c r="CQ2" s="352">
        <v>92</v>
      </c>
      <c r="CR2" s="352">
        <v>93</v>
      </c>
      <c r="CS2" s="352">
        <v>94</v>
      </c>
      <c r="CT2" s="352">
        <v>95</v>
      </c>
      <c r="CU2" s="352">
        <v>96</v>
      </c>
      <c r="CV2" s="352">
        <v>97</v>
      </c>
      <c r="CW2" s="352">
        <v>98</v>
      </c>
      <c r="CX2" s="352">
        <v>99</v>
      </c>
      <c r="CY2" s="352">
        <v>100</v>
      </c>
      <c r="CZ2" s="352">
        <v>101</v>
      </c>
      <c r="DA2" s="352">
        <v>102</v>
      </c>
      <c r="DB2" s="352">
        <v>103</v>
      </c>
      <c r="DC2" s="352">
        <v>104</v>
      </c>
      <c r="DD2" s="352">
        <v>105</v>
      </c>
      <c r="DE2" s="352">
        <v>106</v>
      </c>
      <c r="DF2" s="352">
        <v>107</v>
      </c>
      <c r="DG2" s="352">
        <v>108</v>
      </c>
      <c r="DH2" s="352">
        <v>109</v>
      </c>
      <c r="DI2" s="352">
        <v>110</v>
      </c>
      <c r="DJ2" s="352">
        <v>111</v>
      </c>
      <c r="DK2" s="352">
        <v>112</v>
      </c>
      <c r="DL2" s="352">
        <v>113</v>
      </c>
      <c r="DM2" s="352">
        <v>114</v>
      </c>
      <c r="DN2" s="352">
        <v>115</v>
      </c>
      <c r="DO2" s="352">
        <v>116</v>
      </c>
      <c r="DP2" s="352">
        <v>117</v>
      </c>
      <c r="DQ2" s="352">
        <v>118</v>
      </c>
      <c r="DR2" s="352">
        <v>119</v>
      </c>
      <c r="DS2" s="352">
        <v>120</v>
      </c>
      <c r="DT2" s="352">
        <v>121</v>
      </c>
      <c r="DU2" s="352">
        <v>122</v>
      </c>
      <c r="DV2" s="352">
        <v>123</v>
      </c>
      <c r="DW2" s="352">
        <v>124</v>
      </c>
      <c r="DX2" s="352">
        <v>125</v>
      </c>
      <c r="DY2" s="352">
        <v>126</v>
      </c>
      <c r="DZ2" s="352">
        <v>127</v>
      </c>
      <c r="EA2" s="352">
        <v>128</v>
      </c>
      <c r="EB2" s="352">
        <v>129</v>
      </c>
      <c r="EC2" s="352">
        <v>130</v>
      </c>
      <c r="ED2" s="352">
        <v>131</v>
      </c>
      <c r="EE2" s="352">
        <v>132</v>
      </c>
      <c r="EF2" s="352">
        <v>133</v>
      </c>
      <c r="EG2" s="352">
        <v>134</v>
      </c>
      <c r="EH2" s="352">
        <v>135</v>
      </c>
      <c r="EI2" s="352">
        <v>136</v>
      </c>
      <c r="EJ2" s="352">
        <v>137</v>
      </c>
      <c r="EK2" s="352">
        <v>138</v>
      </c>
      <c r="EL2" s="352">
        <v>139</v>
      </c>
      <c r="EM2" s="352">
        <v>140</v>
      </c>
      <c r="EN2" s="352">
        <v>141</v>
      </c>
      <c r="EO2" s="352">
        <v>142</v>
      </c>
      <c r="EP2" s="352">
        <v>143</v>
      </c>
      <c r="EQ2" s="352">
        <v>144</v>
      </c>
      <c r="ER2" s="352">
        <v>145</v>
      </c>
      <c r="ES2" s="352">
        <v>146</v>
      </c>
      <c r="ET2" s="352">
        <v>147</v>
      </c>
      <c r="EU2" s="352">
        <v>148</v>
      </c>
      <c r="EV2" s="352">
        <v>149</v>
      </c>
      <c r="EW2" s="352">
        <v>150</v>
      </c>
      <c r="EX2" s="352">
        <v>151</v>
      </c>
      <c r="EY2" s="352">
        <v>152</v>
      </c>
      <c r="EZ2" s="352">
        <v>153</v>
      </c>
      <c r="FA2" s="352">
        <v>154</v>
      </c>
      <c r="FB2" s="352">
        <v>155</v>
      </c>
      <c r="FC2" s="352">
        <v>156</v>
      </c>
      <c r="FD2" s="352">
        <v>157</v>
      </c>
      <c r="FE2" s="352">
        <v>158</v>
      </c>
      <c r="FF2" s="352">
        <v>159</v>
      </c>
      <c r="FG2" s="352">
        <v>160</v>
      </c>
      <c r="FH2" s="352">
        <v>161</v>
      </c>
      <c r="FI2" s="352">
        <v>162</v>
      </c>
      <c r="FJ2" s="352">
        <v>163</v>
      </c>
      <c r="FK2" s="352">
        <v>164</v>
      </c>
      <c r="FL2" s="352">
        <v>165</v>
      </c>
      <c r="FM2" s="352">
        <v>166</v>
      </c>
      <c r="FN2" s="352">
        <v>167</v>
      </c>
      <c r="FO2" s="352">
        <v>168</v>
      </c>
      <c r="FP2" s="352">
        <v>169</v>
      </c>
      <c r="FQ2" s="352">
        <v>170</v>
      </c>
      <c r="FR2" s="352">
        <v>171</v>
      </c>
      <c r="FS2" s="352">
        <v>172</v>
      </c>
      <c r="FT2" s="352">
        <v>173</v>
      </c>
      <c r="FU2" s="352">
        <v>174</v>
      </c>
      <c r="FV2" s="352">
        <v>175</v>
      </c>
      <c r="FW2" s="352">
        <v>176</v>
      </c>
      <c r="FX2" s="352">
        <v>177</v>
      </c>
      <c r="FY2" s="352">
        <v>178</v>
      </c>
      <c r="FZ2" s="352">
        <v>179</v>
      </c>
      <c r="GA2" s="352">
        <v>180</v>
      </c>
      <c r="GB2" s="352">
        <v>181</v>
      </c>
      <c r="GC2" s="352">
        <v>182</v>
      </c>
      <c r="GD2" s="352">
        <v>183</v>
      </c>
      <c r="GE2" s="352">
        <v>184</v>
      </c>
      <c r="GF2" s="352">
        <v>185</v>
      </c>
      <c r="GG2" s="352">
        <v>186</v>
      </c>
      <c r="GH2" s="352">
        <v>187</v>
      </c>
      <c r="GI2" s="352">
        <v>188</v>
      </c>
      <c r="GJ2" s="352">
        <v>189</v>
      </c>
      <c r="GK2" s="352">
        <v>190</v>
      </c>
      <c r="GL2" s="352">
        <v>191</v>
      </c>
      <c r="GM2" s="352">
        <v>192</v>
      </c>
      <c r="GN2" s="352">
        <v>193</v>
      </c>
      <c r="GO2" s="352">
        <v>194</v>
      </c>
      <c r="GP2" s="352">
        <v>195</v>
      </c>
      <c r="GQ2" s="352">
        <v>196</v>
      </c>
      <c r="GR2" s="352">
        <v>197</v>
      </c>
      <c r="GS2" s="352">
        <v>198</v>
      </c>
      <c r="GT2" s="352">
        <v>199</v>
      </c>
      <c r="GU2" s="352">
        <v>200</v>
      </c>
      <c r="GV2" s="352">
        <v>201</v>
      </c>
      <c r="GW2" s="352">
        <v>202</v>
      </c>
      <c r="GX2" s="352">
        <v>203</v>
      </c>
      <c r="GY2" s="352">
        <v>204</v>
      </c>
      <c r="GZ2" s="352">
        <v>205</v>
      </c>
      <c r="HA2" s="352">
        <v>206</v>
      </c>
      <c r="HB2" s="352">
        <v>207</v>
      </c>
      <c r="HC2" s="352">
        <v>208</v>
      </c>
      <c r="HD2" s="352">
        <v>209</v>
      </c>
      <c r="HE2" s="352">
        <v>210</v>
      </c>
      <c r="HF2" s="352">
        <v>211</v>
      </c>
      <c r="HG2" s="352">
        <v>212</v>
      </c>
      <c r="HH2" s="352">
        <v>213</v>
      </c>
      <c r="HI2" s="352">
        <v>214</v>
      </c>
      <c r="HJ2" s="352">
        <v>215</v>
      </c>
      <c r="HK2" s="352">
        <v>216</v>
      </c>
      <c r="HL2" s="352">
        <v>217</v>
      </c>
      <c r="HM2" s="352">
        <v>218</v>
      </c>
      <c r="HN2" s="352">
        <v>219</v>
      </c>
      <c r="HO2" s="352">
        <v>220</v>
      </c>
      <c r="HP2" s="352">
        <v>221</v>
      </c>
      <c r="HQ2" s="352">
        <v>222</v>
      </c>
      <c r="HR2" s="352">
        <v>223</v>
      </c>
      <c r="HS2" s="352">
        <v>224</v>
      </c>
      <c r="HT2" s="352">
        <v>225</v>
      </c>
      <c r="HU2" s="352">
        <v>226</v>
      </c>
      <c r="HV2" s="352">
        <v>227</v>
      </c>
      <c r="HW2" s="352">
        <v>228</v>
      </c>
      <c r="HX2" s="352">
        <v>229</v>
      </c>
      <c r="HY2" s="352">
        <v>230</v>
      </c>
      <c r="HZ2" s="352">
        <v>231</v>
      </c>
      <c r="IA2" s="352">
        <v>232</v>
      </c>
      <c r="IB2" s="352">
        <v>233</v>
      </c>
      <c r="IC2" s="352">
        <v>234</v>
      </c>
      <c r="ID2" s="352">
        <v>235</v>
      </c>
      <c r="IE2" s="352">
        <v>236</v>
      </c>
      <c r="IF2" s="352">
        <v>237</v>
      </c>
      <c r="IG2" s="352">
        <v>238</v>
      </c>
      <c r="IH2" s="352">
        <v>239</v>
      </c>
      <c r="II2" s="352">
        <v>240</v>
      </c>
      <c r="IJ2" s="352">
        <v>241</v>
      </c>
      <c r="IK2" s="352">
        <v>242</v>
      </c>
      <c r="IL2" s="352">
        <v>243</v>
      </c>
      <c r="IM2" s="352">
        <v>244</v>
      </c>
      <c r="IN2" s="352">
        <v>245</v>
      </c>
      <c r="IO2" s="352">
        <v>246</v>
      </c>
      <c r="IP2" s="352">
        <v>247</v>
      </c>
      <c r="IQ2" s="352">
        <v>248</v>
      </c>
      <c r="IR2" s="352">
        <v>249</v>
      </c>
      <c r="IS2" s="352">
        <v>250</v>
      </c>
      <c r="IT2" s="352">
        <v>251</v>
      </c>
      <c r="IU2" s="352">
        <v>252</v>
      </c>
      <c r="IV2" s="352">
        <v>253</v>
      </c>
      <c r="IW2" s="352">
        <v>254</v>
      </c>
      <c r="IX2" s="352">
        <v>255</v>
      </c>
      <c r="IY2" s="352">
        <v>256</v>
      </c>
      <c r="IZ2" s="352">
        <v>257</v>
      </c>
      <c r="JA2" s="352">
        <v>258</v>
      </c>
      <c r="JB2" s="352">
        <v>259</v>
      </c>
      <c r="JC2" s="352">
        <v>260</v>
      </c>
      <c r="JD2" s="352">
        <v>261</v>
      </c>
      <c r="JE2" s="352">
        <v>262</v>
      </c>
      <c r="JF2" s="352">
        <v>263</v>
      </c>
      <c r="JG2" s="352">
        <v>264</v>
      </c>
      <c r="JH2" s="352">
        <v>265</v>
      </c>
      <c r="JI2" s="352">
        <v>266</v>
      </c>
      <c r="JJ2" s="352">
        <v>267</v>
      </c>
      <c r="JK2" s="352">
        <v>268</v>
      </c>
      <c r="JL2" s="352">
        <v>269</v>
      </c>
      <c r="JM2" s="352">
        <v>270</v>
      </c>
      <c r="JN2" s="352">
        <v>271</v>
      </c>
      <c r="JO2" s="352">
        <v>272</v>
      </c>
      <c r="JP2" s="352">
        <v>273</v>
      </c>
      <c r="JQ2" s="352">
        <v>274</v>
      </c>
      <c r="JR2" s="352">
        <v>275</v>
      </c>
      <c r="JS2" s="352">
        <v>276</v>
      </c>
      <c r="JT2" s="352">
        <v>277</v>
      </c>
      <c r="JU2" s="352">
        <v>278</v>
      </c>
      <c r="JV2" s="352">
        <v>279</v>
      </c>
      <c r="JW2" s="352">
        <v>280</v>
      </c>
      <c r="JX2" s="352">
        <v>281</v>
      </c>
      <c r="JY2" s="352">
        <v>282</v>
      </c>
      <c r="JZ2" s="352">
        <v>283</v>
      </c>
      <c r="KA2" s="352">
        <v>284</v>
      </c>
      <c r="KB2" s="352">
        <v>285</v>
      </c>
      <c r="KC2" s="352">
        <v>286</v>
      </c>
      <c r="KD2" s="352">
        <v>287</v>
      </c>
      <c r="KE2" s="352">
        <v>288</v>
      </c>
      <c r="KF2" s="352">
        <v>289</v>
      </c>
      <c r="KG2" s="352">
        <v>290</v>
      </c>
      <c r="KH2" s="352">
        <v>291</v>
      </c>
      <c r="KI2" s="352">
        <v>292</v>
      </c>
      <c r="KJ2" s="352">
        <v>293</v>
      </c>
      <c r="KK2" s="352">
        <v>294</v>
      </c>
      <c r="KL2" s="352">
        <v>295</v>
      </c>
      <c r="KM2" s="352">
        <v>296</v>
      </c>
      <c r="KN2" s="352">
        <v>297</v>
      </c>
      <c r="KO2" s="352">
        <v>298</v>
      </c>
      <c r="KP2" s="352">
        <v>299</v>
      </c>
      <c r="KQ2" s="352">
        <v>300</v>
      </c>
      <c r="KR2" s="352">
        <v>301</v>
      </c>
      <c r="KS2" s="352">
        <v>302</v>
      </c>
      <c r="KT2" s="352">
        <v>303</v>
      </c>
      <c r="KU2" s="352">
        <v>304</v>
      </c>
      <c r="KV2" s="352">
        <v>305</v>
      </c>
      <c r="KW2" s="352">
        <v>306</v>
      </c>
      <c r="KX2" s="352">
        <v>307</v>
      </c>
      <c r="KY2" s="352">
        <v>308</v>
      </c>
      <c r="KZ2" s="352">
        <v>309</v>
      </c>
      <c r="LA2" s="352">
        <v>310</v>
      </c>
      <c r="LB2" s="352">
        <v>311</v>
      </c>
      <c r="LC2" s="352">
        <v>312</v>
      </c>
      <c r="LD2" s="352">
        <v>313</v>
      </c>
      <c r="LE2" s="352">
        <v>314</v>
      </c>
      <c r="LF2" s="352">
        <v>315</v>
      </c>
      <c r="LG2" s="352">
        <v>316</v>
      </c>
      <c r="LH2" s="352">
        <v>317</v>
      </c>
      <c r="LI2" s="352">
        <v>318</v>
      </c>
      <c r="LJ2" s="352">
        <v>319</v>
      </c>
      <c r="LK2" s="352">
        <v>320</v>
      </c>
      <c r="LL2" s="352">
        <v>321</v>
      </c>
      <c r="LM2" s="352">
        <v>322</v>
      </c>
      <c r="LN2" s="352">
        <v>323</v>
      </c>
      <c r="LO2" s="352">
        <v>324</v>
      </c>
      <c r="LP2" s="352">
        <v>325</v>
      </c>
      <c r="LQ2" s="352">
        <v>326</v>
      </c>
      <c r="LR2" s="352">
        <v>327</v>
      </c>
      <c r="LS2" s="352">
        <v>328</v>
      </c>
      <c r="LT2" s="352">
        <v>329</v>
      </c>
      <c r="LU2" s="352">
        <v>330</v>
      </c>
      <c r="LV2" s="352">
        <v>331</v>
      </c>
      <c r="LW2" s="352">
        <v>332</v>
      </c>
      <c r="LX2" s="352">
        <v>333</v>
      </c>
      <c r="LY2" s="352">
        <v>334</v>
      </c>
      <c r="LZ2" s="352">
        <v>335</v>
      </c>
      <c r="MA2" s="352">
        <v>336</v>
      </c>
      <c r="MB2" s="352">
        <v>337</v>
      </c>
      <c r="MC2" s="352">
        <v>338</v>
      </c>
      <c r="MD2" s="352">
        <v>339</v>
      </c>
      <c r="ME2" s="352">
        <v>340</v>
      </c>
      <c r="MF2" s="352">
        <v>341</v>
      </c>
      <c r="MG2" s="352">
        <v>342</v>
      </c>
      <c r="MH2" s="352">
        <v>343</v>
      </c>
      <c r="MI2" s="352">
        <v>344</v>
      </c>
      <c r="MJ2" s="352">
        <v>345</v>
      </c>
      <c r="MK2" s="352">
        <v>346</v>
      </c>
      <c r="ML2" s="352">
        <v>347</v>
      </c>
      <c r="MM2" s="352">
        <v>348</v>
      </c>
      <c r="MN2" s="352">
        <v>349</v>
      </c>
      <c r="MO2" s="352">
        <v>350</v>
      </c>
      <c r="MP2" s="352">
        <v>351</v>
      </c>
      <c r="MQ2" s="352">
        <v>352</v>
      </c>
      <c r="MR2" s="352">
        <v>353</v>
      </c>
      <c r="MS2" s="352">
        <v>354</v>
      </c>
      <c r="MT2" s="352">
        <v>355</v>
      </c>
      <c r="MU2" s="352">
        <v>356</v>
      </c>
      <c r="MV2" s="352">
        <v>357</v>
      </c>
      <c r="MW2" s="352">
        <v>358</v>
      </c>
      <c r="MX2" s="352">
        <v>359</v>
      </c>
      <c r="MY2" s="352">
        <v>360</v>
      </c>
      <c r="MZ2" s="352">
        <v>361</v>
      </c>
      <c r="NA2" s="352">
        <v>362</v>
      </c>
      <c r="NB2" s="352">
        <v>363</v>
      </c>
      <c r="NC2" s="352">
        <v>364</v>
      </c>
      <c r="ND2" s="352">
        <v>365</v>
      </c>
      <c r="NE2" s="352">
        <v>366</v>
      </c>
      <c r="NF2" s="352">
        <v>367</v>
      </c>
      <c r="NG2" s="352">
        <v>368</v>
      </c>
      <c r="NH2" s="352">
        <v>369</v>
      </c>
      <c r="NI2" s="352">
        <v>370</v>
      </c>
      <c r="NJ2" s="352">
        <v>371</v>
      </c>
      <c r="NK2" s="352">
        <v>372</v>
      </c>
      <c r="NL2" s="352">
        <v>373</v>
      </c>
      <c r="NM2" s="352">
        <v>374</v>
      </c>
      <c r="NN2" s="352">
        <v>375</v>
      </c>
      <c r="NO2" s="352">
        <v>376</v>
      </c>
      <c r="NP2" s="352">
        <v>377</v>
      </c>
      <c r="NQ2" s="352">
        <v>378</v>
      </c>
      <c r="NR2" s="352">
        <v>379</v>
      </c>
      <c r="NS2" s="352">
        <v>380</v>
      </c>
      <c r="NT2" s="352">
        <v>381</v>
      </c>
      <c r="NU2" s="352">
        <v>382</v>
      </c>
      <c r="NV2" s="352">
        <v>383</v>
      </c>
      <c r="NW2" s="352">
        <v>384</v>
      </c>
      <c r="NX2" s="352">
        <v>385</v>
      </c>
      <c r="NY2" s="352">
        <v>386</v>
      </c>
      <c r="NZ2" s="352">
        <v>387</v>
      </c>
      <c r="OA2" s="352">
        <v>388</v>
      </c>
      <c r="OB2" s="352">
        <v>389</v>
      </c>
      <c r="OC2" s="352">
        <v>390</v>
      </c>
      <c r="OD2" s="352">
        <v>391</v>
      </c>
      <c r="OE2" s="352">
        <v>392</v>
      </c>
      <c r="OF2" s="352">
        <v>393</v>
      </c>
      <c r="OG2" s="352">
        <v>394</v>
      </c>
      <c r="OH2" s="352">
        <v>395</v>
      </c>
      <c r="OI2" s="352">
        <v>396</v>
      </c>
      <c r="OJ2" s="352">
        <v>397</v>
      </c>
      <c r="OK2" s="352">
        <v>398</v>
      </c>
      <c r="OL2" s="352">
        <v>399</v>
      </c>
      <c r="OM2" s="352">
        <v>400</v>
      </c>
      <c r="ON2" s="352">
        <v>401</v>
      </c>
      <c r="OO2" s="352">
        <v>402</v>
      </c>
      <c r="OP2" s="352">
        <v>403</v>
      </c>
      <c r="OQ2" s="352">
        <v>404</v>
      </c>
      <c r="OR2" s="352">
        <v>405</v>
      </c>
      <c r="OS2" s="352">
        <v>406</v>
      </c>
      <c r="OT2" s="352">
        <v>407</v>
      </c>
      <c r="OU2" s="352">
        <v>408</v>
      </c>
      <c r="OV2" s="352">
        <v>409</v>
      </c>
      <c r="OW2" s="352">
        <v>410</v>
      </c>
      <c r="OX2" s="352">
        <v>411</v>
      </c>
      <c r="OY2" s="352">
        <v>412</v>
      </c>
      <c r="OZ2" s="352">
        <v>413</v>
      </c>
      <c r="PA2" s="352">
        <v>414</v>
      </c>
      <c r="PB2" s="352">
        <v>415</v>
      </c>
      <c r="PC2" s="352">
        <v>416</v>
      </c>
      <c r="PD2" s="352">
        <v>417</v>
      </c>
      <c r="PE2" s="352">
        <v>418</v>
      </c>
      <c r="PF2" s="352">
        <v>419</v>
      </c>
      <c r="PG2" s="352">
        <v>420</v>
      </c>
      <c r="PH2" s="352">
        <v>421</v>
      </c>
      <c r="PI2" s="352">
        <v>422</v>
      </c>
      <c r="PJ2" s="352">
        <v>423</v>
      </c>
      <c r="PK2" s="352">
        <v>424</v>
      </c>
      <c r="PL2" s="352">
        <v>425</v>
      </c>
      <c r="PM2" s="352">
        <v>426</v>
      </c>
      <c r="PN2" s="352">
        <v>427</v>
      </c>
      <c r="PO2" s="352">
        <v>428</v>
      </c>
      <c r="PP2" s="352">
        <v>429</v>
      </c>
      <c r="PQ2" s="352">
        <v>430</v>
      </c>
      <c r="PR2" s="352">
        <v>431</v>
      </c>
      <c r="PS2" s="352">
        <v>432</v>
      </c>
      <c r="PT2" s="352">
        <v>433</v>
      </c>
      <c r="PU2" s="352">
        <v>434</v>
      </c>
      <c r="PV2" s="352">
        <v>435</v>
      </c>
      <c r="PW2" s="352">
        <v>436</v>
      </c>
      <c r="PX2" s="352">
        <v>437</v>
      </c>
      <c r="PY2" s="352">
        <v>438</v>
      </c>
      <c r="PZ2" s="352">
        <v>439</v>
      </c>
      <c r="QA2" s="352">
        <v>440</v>
      </c>
      <c r="QB2" s="352">
        <v>441</v>
      </c>
      <c r="QC2" s="352">
        <v>442</v>
      </c>
      <c r="QD2" s="352">
        <v>443</v>
      </c>
      <c r="QE2" s="352">
        <v>444</v>
      </c>
      <c r="QF2" s="352">
        <v>445</v>
      </c>
      <c r="QG2" s="352">
        <v>446</v>
      </c>
      <c r="QH2" s="352">
        <v>447</v>
      </c>
      <c r="QI2" s="352">
        <v>448</v>
      </c>
      <c r="QJ2" s="352">
        <v>449</v>
      </c>
      <c r="QK2" s="352">
        <v>450</v>
      </c>
      <c r="QL2" s="352">
        <v>451</v>
      </c>
      <c r="QM2" s="352">
        <v>452</v>
      </c>
      <c r="QN2" s="352">
        <v>453</v>
      </c>
      <c r="QO2" s="352">
        <v>454</v>
      </c>
      <c r="QP2" s="352">
        <v>455</v>
      </c>
      <c r="QQ2" s="352">
        <v>456</v>
      </c>
      <c r="QR2" s="352">
        <v>457</v>
      </c>
      <c r="QS2" s="352">
        <v>458</v>
      </c>
      <c r="QT2" s="352">
        <v>459</v>
      </c>
      <c r="QU2" s="352">
        <v>460</v>
      </c>
      <c r="QV2" s="352">
        <v>461</v>
      </c>
      <c r="QW2" s="352">
        <v>462</v>
      </c>
      <c r="QX2" s="352">
        <v>463</v>
      </c>
      <c r="QY2" s="352">
        <v>464</v>
      </c>
      <c r="QZ2" s="352">
        <v>465</v>
      </c>
      <c r="RA2" s="352">
        <v>466</v>
      </c>
      <c r="RB2" s="352">
        <v>467</v>
      </c>
      <c r="RC2" s="352">
        <v>468</v>
      </c>
      <c r="RD2" s="352">
        <v>469</v>
      </c>
      <c r="RE2" s="352">
        <v>470</v>
      </c>
      <c r="RF2" s="352">
        <v>471</v>
      </c>
      <c r="RG2" s="352">
        <v>472</v>
      </c>
      <c r="RH2" s="352">
        <v>473</v>
      </c>
      <c r="RI2" s="352">
        <v>474</v>
      </c>
      <c r="RJ2" s="352">
        <v>475</v>
      </c>
      <c r="RK2" s="352">
        <v>476</v>
      </c>
      <c r="RL2" s="352">
        <v>477</v>
      </c>
      <c r="RM2" s="352">
        <v>478</v>
      </c>
      <c r="RN2" s="352">
        <v>479</v>
      </c>
      <c r="RO2" s="352">
        <v>480</v>
      </c>
      <c r="RP2" s="352">
        <v>481</v>
      </c>
      <c r="RQ2" s="352">
        <v>482</v>
      </c>
      <c r="RR2" s="352">
        <v>483</v>
      </c>
      <c r="RS2" s="352">
        <v>484</v>
      </c>
      <c r="RT2" s="352">
        <v>485</v>
      </c>
      <c r="RU2" s="352">
        <v>486</v>
      </c>
      <c r="RV2" s="352">
        <v>487</v>
      </c>
      <c r="RW2" s="352">
        <v>488</v>
      </c>
      <c r="RX2" s="352">
        <v>489</v>
      </c>
      <c r="RY2" s="352">
        <v>490</v>
      </c>
      <c r="RZ2" s="352">
        <v>491</v>
      </c>
      <c r="SA2" s="352">
        <v>492</v>
      </c>
      <c r="SB2" s="352">
        <v>493</v>
      </c>
      <c r="SC2" s="352">
        <v>494</v>
      </c>
      <c r="SD2" s="352">
        <v>495</v>
      </c>
      <c r="SE2" s="352">
        <v>496</v>
      </c>
      <c r="SF2" s="352">
        <v>497</v>
      </c>
      <c r="SG2" s="352">
        <v>498</v>
      </c>
      <c r="SH2" s="352">
        <v>499</v>
      </c>
      <c r="SI2" s="352">
        <v>500</v>
      </c>
      <c r="SJ2" s="352">
        <v>501</v>
      </c>
      <c r="SK2" s="352">
        <v>502</v>
      </c>
      <c r="SL2" s="352">
        <v>503</v>
      </c>
      <c r="SM2" s="352">
        <v>504</v>
      </c>
      <c r="SN2" s="352">
        <v>505</v>
      </c>
      <c r="SO2" s="352">
        <v>506</v>
      </c>
      <c r="SP2" s="352">
        <v>507</v>
      </c>
      <c r="SQ2" s="352">
        <v>508</v>
      </c>
      <c r="SR2" s="352">
        <v>509</v>
      </c>
      <c r="SS2" s="352">
        <v>510</v>
      </c>
      <c r="ST2" s="352">
        <v>511</v>
      </c>
      <c r="SU2" s="352">
        <v>512</v>
      </c>
      <c r="SV2" s="352">
        <v>513</v>
      </c>
      <c r="SW2" s="352">
        <v>514</v>
      </c>
      <c r="SX2" s="352">
        <v>515</v>
      </c>
      <c r="SY2" s="352">
        <v>516</v>
      </c>
      <c r="SZ2" s="352">
        <v>517</v>
      </c>
      <c r="TA2" s="352">
        <v>518</v>
      </c>
      <c r="TB2" s="352">
        <v>519</v>
      </c>
      <c r="TC2" s="352">
        <v>520</v>
      </c>
      <c r="TD2" s="352">
        <v>521</v>
      </c>
      <c r="TE2" s="352">
        <v>522</v>
      </c>
      <c r="TF2" s="352">
        <v>523</v>
      </c>
      <c r="TG2" s="352">
        <v>524</v>
      </c>
      <c r="TH2" s="352">
        <v>525</v>
      </c>
      <c r="TI2" s="352">
        <v>526</v>
      </c>
      <c r="TJ2" s="352">
        <v>527</v>
      </c>
      <c r="TK2" s="352">
        <v>528</v>
      </c>
      <c r="TL2" s="352">
        <v>529</v>
      </c>
      <c r="TM2" s="352">
        <v>530</v>
      </c>
      <c r="TN2" s="352">
        <v>531</v>
      </c>
      <c r="TO2" s="352">
        <v>532</v>
      </c>
      <c r="TP2" s="352">
        <v>533</v>
      </c>
      <c r="TQ2" s="352">
        <v>534</v>
      </c>
      <c r="TR2" s="352">
        <v>535</v>
      </c>
      <c r="TS2" s="352">
        <v>536</v>
      </c>
      <c r="TT2" s="352">
        <v>537</v>
      </c>
      <c r="TU2" s="352">
        <v>538</v>
      </c>
      <c r="TV2" s="352">
        <v>539</v>
      </c>
      <c r="TW2" s="352">
        <v>540</v>
      </c>
      <c r="TX2" s="352">
        <v>541</v>
      </c>
      <c r="TY2" s="352">
        <v>542</v>
      </c>
      <c r="TZ2" s="352">
        <v>543</v>
      </c>
      <c r="UA2" s="352">
        <v>544</v>
      </c>
      <c r="UB2" s="352">
        <v>545</v>
      </c>
      <c r="UC2" s="352">
        <v>546</v>
      </c>
      <c r="UD2" s="352">
        <v>547</v>
      </c>
      <c r="UE2" s="352">
        <v>548</v>
      </c>
      <c r="UF2" s="352">
        <v>549</v>
      </c>
      <c r="UG2" s="352">
        <v>550</v>
      </c>
      <c r="UH2" s="352">
        <v>551</v>
      </c>
      <c r="UI2" s="352">
        <v>552</v>
      </c>
      <c r="UJ2" s="352">
        <v>553</v>
      </c>
      <c r="UK2" s="352">
        <v>554</v>
      </c>
      <c r="UL2" s="352">
        <v>555</v>
      </c>
      <c r="UM2" s="352">
        <v>556</v>
      </c>
      <c r="UN2" s="352">
        <v>557</v>
      </c>
      <c r="UO2" s="352">
        <v>558</v>
      </c>
      <c r="UP2" s="352">
        <v>559</v>
      </c>
      <c r="UQ2" s="352">
        <v>560</v>
      </c>
      <c r="UR2" s="352">
        <v>561</v>
      </c>
      <c r="US2" s="352">
        <v>562</v>
      </c>
      <c r="UT2" s="352">
        <v>563</v>
      </c>
      <c r="UU2" s="352">
        <v>564</v>
      </c>
      <c r="UV2" s="352">
        <v>565</v>
      </c>
      <c r="UW2" s="352">
        <v>566</v>
      </c>
      <c r="UX2" s="352">
        <v>567</v>
      </c>
      <c r="UY2" s="352">
        <v>568</v>
      </c>
      <c r="UZ2" s="352">
        <v>569</v>
      </c>
      <c r="VA2" s="352">
        <v>570</v>
      </c>
      <c r="VB2" s="352">
        <v>571</v>
      </c>
      <c r="VC2" s="352">
        <v>572</v>
      </c>
      <c r="VD2" s="352">
        <v>573</v>
      </c>
      <c r="VE2" s="352">
        <v>574</v>
      </c>
      <c r="VF2" s="352">
        <v>575</v>
      </c>
      <c r="VG2" s="352">
        <v>576</v>
      </c>
      <c r="VH2" s="352">
        <v>577</v>
      </c>
      <c r="VI2" s="352">
        <v>578</v>
      </c>
      <c r="VJ2" s="352">
        <v>579</v>
      </c>
      <c r="VK2" s="352">
        <v>580</v>
      </c>
      <c r="VL2" s="352">
        <v>581</v>
      </c>
      <c r="VM2" s="352">
        <v>582</v>
      </c>
      <c r="VN2" s="352">
        <v>583</v>
      </c>
      <c r="VO2" s="352">
        <v>584</v>
      </c>
      <c r="VP2" s="352">
        <v>585</v>
      </c>
      <c r="VQ2" s="352">
        <v>586</v>
      </c>
      <c r="VR2" s="352">
        <v>587</v>
      </c>
      <c r="VS2" s="352">
        <v>588</v>
      </c>
      <c r="VT2" s="352">
        <v>589</v>
      </c>
      <c r="VU2" s="352">
        <v>590</v>
      </c>
      <c r="VV2" s="352">
        <v>591</v>
      </c>
      <c r="VW2" s="352">
        <v>592</v>
      </c>
      <c r="VX2" s="352">
        <v>593</v>
      </c>
      <c r="VY2" s="352">
        <v>594</v>
      </c>
      <c r="VZ2" s="352">
        <v>595</v>
      </c>
      <c r="WA2" s="352">
        <v>596</v>
      </c>
      <c r="WB2" s="352">
        <v>597</v>
      </c>
      <c r="WC2" s="352">
        <v>598</v>
      </c>
      <c r="WD2" s="352">
        <v>599</v>
      </c>
      <c r="WE2" s="352">
        <v>600</v>
      </c>
      <c r="WF2" s="352">
        <v>601</v>
      </c>
      <c r="WG2" s="352">
        <v>602</v>
      </c>
      <c r="WH2" s="352">
        <v>603</v>
      </c>
      <c r="WI2" s="352">
        <v>604</v>
      </c>
      <c r="WJ2" s="352">
        <v>605</v>
      </c>
      <c r="WK2" s="352">
        <v>606</v>
      </c>
      <c r="WL2" s="352">
        <v>607</v>
      </c>
      <c r="WM2" s="352">
        <v>608</v>
      </c>
      <c r="WN2" s="352">
        <v>609</v>
      </c>
      <c r="WO2" s="352">
        <v>610</v>
      </c>
      <c r="WP2" s="352">
        <v>611</v>
      </c>
      <c r="WQ2" s="352">
        <v>612</v>
      </c>
      <c r="WR2" s="352">
        <v>613</v>
      </c>
      <c r="WS2" s="352">
        <v>614</v>
      </c>
      <c r="WT2" s="352">
        <v>615</v>
      </c>
      <c r="WU2" s="352">
        <v>616</v>
      </c>
      <c r="WV2" s="352">
        <v>617</v>
      </c>
      <c r="WW2" s="352">
        <v>618</v>
      </c>
      <c r="WX2" s="352">
        <v>619</v>
      </c>
      <c r="WY2" s="352">
        <v>620</v>
      </c>
      <c r="WZ2" s="352">
        <v>621</v>
      </c>
      <c r="XA2" s="352">
        <v>622</v>
      </c>
      <c r="XB2" s="352">
        <v>623</v>
      </c>
      <c r="XC2" s="352">
        <v>624</v>
      </c>
      <c r="XD2" s="352">
        <v>625</v>
      </c>
      <c r="XE2" s="352">
        <v>626</v>
      </c>
      <c r="XF2" s="352">
        <v>627</v>
      </c>
      <c r="XG2" s="352">
        <v>628</v>
      </c>
      <c r="XH2" s="352">
        <v>629</v>
      </c>
      <c r="XI2" s="352">
        <v>630</v>
      </c>
      <c r="XJ2" s="352">
        <v>631</v>
      </c>
      <c r="XK2" s="352">
        <v>632</v>
      </c>
      <c r="XL2" s="352">
        <v>633</v>
      </c>
      <c r="XM2" s="352">
        <v>634</v>
      </c>
      <c r="XN2" s="352">
        <v>635</v>
      </c>
      <c r="XO2" s="352">
        <v>636</v>
      </c>
      <c r="XP2" s="352">
        <v>637</v>
      </c>
      <c r="XQ2" s="352">
        <v>638</v>
      </c>
      <c r="XR2" s="352">
        <v>639</v>
      </c>
      <c r="XS2" s="352">
        <v>640</v>
      </c>
      <c r="XT2" s="352">
        <v>641</v>
      </c>
      <c r="XU2" s="352">
        <v>642</v>
      </c>
      <c r="XV2" s="352">
        <v>643</v>
      </c>
      <c r="XW2" s="352">
        <v>644</v>
      </c>
      <c r="XX2" s="352">
        <v>645</v>
      </c>
      <c r="XY2" s="352">
        <v>646</v>
      </c>
      <c r="XZ2" s="352">
        <v>647</v>
      </c>
      <c r="YA2" s="352">
        <v>648</v>
      </c>
      <c r="YB2" s="352">
        <v>649</v>
      </c>
      <c r="YC2" s="352">
        <v>650</v>
      </c>
      <c r="YD2" s="352">
        <v>651</v>
      </c>
      <c r="YE2" s="352">
        <v>652</v>
      </c>
      <c r="YF2" s="352">
        <v>653</v>
      </c>
      <c r="YG2" s="352">
        <v>654</v>
      </c>
      <c r="YH2" s="352">
        <v>655</v>
      </c>
      <c r="YI2" s="352">
        <v>656</v>
      </c>
      <c r="YJ2" s="352">
        <v>657</v>
      </c>
      <c r="YK2" s="352">
        <v>658</v>
      </c>
      <c r="YL2" s="352">
        <v>659</v>
      </c>
      <c r="YM2" s="352">
        <v>660</v>
      </c>
      <c r="YN2" s="352">
        <v>661</v>
      </c>
      <c r="YO2" s="352">
        <v>662</v>
      </c>
      <c r="YP2" s="352">
        <v>663</v>
      </c>
      <c r="YQ2" s="352">
        <v>664</v>
      </c>
      <c r="YR2" s="352">
        <v>665</v>
      </c>
      <c r="YS2" s="352">
        <v>666</v>
      </c>
      <c r="YT2" s="352">
        <v>667</v>
      </c>
      <c r="YU2" s="352">
        <v>668</v>
      </c>
      <c r="YV2" s="352">
        <v>669</v>
      </c>
      <c r="YW2" s="352">
        <v>670</v>
      </c>
      <c r="YX2" s="352">
        <v>671</v>
      </c>
      <c r="YY2" s="352">
        <v>672</v>
      </c>
      <c r="YZ2" s="352">
        <v>673</v>
      </c>
      <c r="ZA2" s="352">
        <v>674</v>
      </c>
      <c r="ZB2" s="352">
        <v>675</v>
      </c>
      <c r="ZC2" s="352">
        <v>676</v>
      </c>
      <c r="ZD2" s="352">
        <v>677</v>
      </c>
      <c r="ZE2" s="352">
        <v>678</v>
      </c>
      <c r="ZF2" s="352">
        <v>679</v>
      </c>
      <c r="ZG2" s="352">
        <v>680</v>
      </c>
      <c r="ZH2" s="352">
        <v>681</v>
      </c>
      <c r="ZI2" s="352">
        <v>682</v>
      </c>
      <c r="ZJ2" s="352">
        <v>683</v>
      </c>
      <c r="ZK2" s="352">
        <v>684</v>
      </c>
      <c r="ZL2" s="352">
        <v>685</v>
      </c>
      <c r="ZM2" s="352">
        <v>686</v>
      </c>
      <c r="ZN2" s="352">
        <v>687</v>
      </c>
      <c r="ZO2" s="352">
        <v>688</v>
      </c>
      <c r="ZP2" s="352">
        <v>689</v>
      </c>
      <c r="ZQ2" s="352">
        <v>690</v>
      </c>
      <c r="ZR2" s="352">
        <v>691</v>
      </c>
      <c r="ZS2" s="352">
        <v>692</v>
      </c>
      <c r="ZT2" s="352">
        <v>693</v>
      </c>
      <c r="ZU2" s="352">
        <v>694</v>
      </c>
      <c r="ZV2" s="352">
        <v>695</v>
      </c>
      <c r="ZW2" s="352">
        <v>696</v>
      </c>
      <c r="ZX2" s="352">
        <v>697</v>
      </c>
      <c r="ZY2" s="352">
        <v>698</v>
      </c>
      <c r="ZZ2" s="352">
        <v>699</v>
      </c>
    </row>
    <row r="3" spans="1:702" s="191" customFormat="1" ht="12.75" thickBot="1" x14ac:dyDescent="0.25">
      <c r="A3" s="243" t="s">
        <v>849</v>
      </c>
      <c r="B3" s="854" t="str">
        <f>'Quick Input'!$X$3</f>
        <v>816-3-1</v>
      </c>
      <c r="C3" s="211" t="str">
        <f>'Quick Input'!I8</f>
        <v>Artikel-Nr.</v>
      </c>
      <c r="D3" s="191">
        <v>815</v>
      </c>
      <c r="E3" s="191" t="s">
        <v>841</v>
      </c>
      <c r="F3" s="191" t="s">
        <v>836</v>
      </c>
      <c r="G3" s="191" t="s">
        <v>842</v>
      </c>
      <c r="H3" s="191" t="s">
        <v>837</v>
      </c>
      <c r="I3" s="191" t="s">
        <v>843</v>
      </c>
      <c r="J3" s="191" t="s">
        <v>833</v>
      </c>
      <c r="K3" s="191" t="s">
        <v>838</v>
      </c>
      <c r="L3" s="191" t="s">
        <v>834</v>
      </c>
      <c r="M3" s="191" t="s">
        <v>839</v>
      </c>
      <c r="N3" s="191" t="s">
        <v>835</v>
      </c>
      <c r="O3" s="191" t="s">
        <v>840</v>
      </c>
      <c r="P3" s="191" t="s">
        <v>844</v>
      </c>
      <c r="Q3" s="191" t="s">
        <v>845</v>
      </c>
      <c r="R3" s="191" t="s">
        <v>846</v>
      </c>
      <c r="S3" s="191" t="s">
        <v>847</v>
      </c>
      <c r="T3" s="191" t="s">
        <v>848</v>
      </c>
      <c r="U3" s="191" t="s">
        <v>849</v>
      </c>
      <c r="V3" s="191" t="s">
        <v>232</v>
      </c>
      <c r="W3" s="191" t="s">
        <v>232</v>
      </c>
      <c r="X3" s="191" t="s">
        <v>232</v>
      </c>
      <c r="Y3" s="191" t="s">
        <v>232</v>
      </c>
      <c r="Z3" s="191" t="s">
        <v>232</v>
      </c>
      <c r="AA3" s="191" t="s">
        <v>232</v>
      </c>
      <c r="AB3" s="191" t="s">
        <v>232</v>
      </c>
      <c r="AC3" s="191" t="s">
        <v>232</v>
      </c>
      <c r="AD3" s="191" t="s">
        <v>232</v>
      </c>
      <c r="AE3" s="191" t="s">
        <v>232</v>
      </c>
      <c r="AF3" s="191" t="s">
        <v>232</v>
      </c>
      <c r="AG3" s="191" t="s">
        <v>232</v>
      </c>
      <c r="AH3" s="191" t="s">
        <v>232</v>
      </c>
      <c r="AI3" s="191" t="s">
        <v>232</v>
      </c>
      <c r="AJ3" s="191" t="s">
        <v>232</v>
      </c>
      <c r="AK3" s="191" t="s">
        <v>232</v>
      </c>
      <c r="AL3" s="191" t="s">
        <v>232</v>
      </c>
      <c r="AM3" s="191" t="s">
        <v>232</v>
      </c>
      <c r="AN3" s="191" t="s">
        <v>232</v>
      </c>
      <c r="AO3" s="191" t="s">
        <v>232</v>
      </c>
      <c r="AP3" s="191" t="s">
        <v>232</v>
      </c>
      <c r="AQ3" s="191" t="s">
        <v>232</v>
      </c>
      <c r="AR3" s="191" t="s">
        <v>232</v>
      </c>
      <c r="AS3" s="191" t="s">
        <v>232</v>
      </c>
      <c r="AT3" s="191" t="s">
        <v>232</v>
      </c>
      <c r="AU3" s="191" t="s">
        <v>232</v>
      </c>
      <c r="AV3" s="191" t="s">
        <v>232</v>
      </c>
      <c r="AW3" s="191" t="s">
        <v>232</v>
      </c>
      <c r="AX3" s="191" t="s">
        <v>232</v>
      </c>
      <c r="AY3" s="191" t="s">
        <v>232</v>
      </c>
      <c r="AZ3" s="191" t="s">
        <v>232</v>
      </c>
      <c r="BA3" s="191" t="s">
        <v>232</v>
      </c>
      <c r="BB3" s="191" t="s">
        <v>232</v>
      </c>
      <c r="BC3" s="191" t="s">
        <v>232</v>
      </c>
      <c r="BD3" s="191" t="s">
        <v>232</v>
      </c>
      <c r="BE3" s="191" t="s">
        <v>232</v>
      </c>
      <c r="BF3" s="191" t="s">
        <v>232</v>
      </c>
      <c r="BG3" s="191" t="s">
        <v>232</v>
      </c>
      <c r="BH3" s="191" t="s">
        <v>232</v>
      </c>
      <c r="BI3" s="191" t="s">
        <v>232</v>
      </c>
      <c r="BJ3" s="191" t="s">
        <v>232</v>
      </c>
      <c r="BK3" s="191" t="s">
        <v>232</v>
      </c>
      <c r="BL3" s="191" t="s">
        <v>232</v>
      </c>
      <c r="BM3" s="191" t="s">
        <v>232</v>
      </c>
      <c r="BN3" s="191" t="s">
        <v>232</v>
      </c>
      <c r="BO3" s="191" t="s">
        <v>232</v>
      </c>
      <c r="BP3" s="191" t="s">
        <v>232</v>
      </c>
      <c r="BQ3" s="191" t="s">
        <v>232</v>
      </c>
      <c r="BR3" s="191" t="s">
        <v>232</v>
      </c>
      <c r="BS3" s="191" t="s">
        <v>232</v>
      </c>
      <c r="BT3" s="191" t="s">
        <v>232</v>
      </c>
      <c r="BU3" s="191" t="s">
        <v>232</v>
      </c>
      <c r="BV3" s="191" t="s">
        <v>232</v>
      </c>
      <c r="BW3" s="191" t="s">
        <v>232</v>
      </c>
      <c r="BX3" s="191" t="s">
        <v>232</v>
      </c>
      <c r="BY3" s="191" t="s">
        <v>232</v>
      </c>
      <c r="BZ3" s="191" t="s">
        <v>232</v>
      </c>
      <c r="CA3" s="191" t="s">
        <v>232</v>
      </c>
      <c r="CB3" s="191" t="s">
        <v>232</v>
      </c>
      <c r="CC3" s="191" t="s">
        <v>232</v>
      </c>
      <c r="CD3" s="191" t="s">
        <v>232</v>
      </c>
      <c r="CE3" s="191" t="s">
        <v>232</v>
      </c>
      <c r="CF3" s="191" t="s">
        <v>232</v>
      </c>
      <c r="CG3" s="191" t="s">
        <v>232</v>
      </c>
      <c r="CH3" s="191" t="s">
        <v>232</v>
      </c>
      <c r="CI3" s="191" t="s">
        <v>232</v>
      </c>
      <c r="CJ3" s="191" t="s">
        <v>232</v>
      </c>
      <c r="CK3" s="191" t="s">
        <v>232</v>
      </c>
      <c r="CL3" s="191" t="s">
        <v>232</v>
      </c>
      <c r="CM3" s="191" t="s">
        <v>232</v>
      </c>
      <c r="CN3" s="191" t="s">
        <v>232</v>
      </c>
      <c r="CO3" s="191" t="s">
        <v>232</v>
      </c>
      <c r="CP3" s="191" t="s">
        <v>232</v>
      </c>
      <c r="CQ3" s="191" t="s">
        <v>232</v>
      </c>
      <c r="CR3" s="191" t="s">
        <v>232</v>
      </c>
      <c r="CS3" s="191" t="s">
        <v>232</v>
      </c>
      <c r="CT3" s="191" t="s">
        <v>232</v>
      </c>
      <c r="CU3" s="191" t="s">
        <v>232</v>
      </c>
      <c r="CV3" s="191" t="s">
        <v>232</v>
      </c>
      <c r="CW3" s="191" t="s">
        <v>232</v>
      </c>
      <c r="CX3" s="191" t="s">
        <v>232</v>
      </c>
      <c r="CY3" s="191" t="s">
        <v>232</v>
      </c>
      <c r="CZ3" s="191" t="s">
        <v>232</v>
      </c>
      <c r="DA3" s="191" t="s">
        <v>232</v>
      </c>
      <c r="DB3" s="191" t="s">
        <v>232</v>
      </c>
      <c r="DC3" s="191" t="s">
        <v>232</v>
      </c>
      <c r="DD3" s="191" t="s">
        <v>232</v>
      </c>
      <c r="DE3" s="191" t="s">
        <v>232</v>
      </c>
      <c r="DF3" s="191" t="s">
        <v>232</v>
      </c>
      <c r="DG3" s="191" t="s">
        <v>232</v>
      </c>
      <c r="DH3" s="191" t="s">
        <v>232</v>
      </c>
      <c r="DI3" s="191" t="s">
        <v>232</v>
      </c>
      <c r="DJ3" s="191" t="s">
        <v>232</v>
      </c>
      <c r="DK3" s="191" t="s">
        <v>232</v>
      </c>
      <c r="DL3" s="191" t="s">
        <v>232</v>
      </c>
      <c r="DM3" s="191" t="s">
        <v>232</v>
      </c>
      <c r="DN3" s="191" t="s">
        <v>232</v>
      </c>
      <c r="DO3" s="191" t="s">
        <v>232</v>
      </c>
      <c r="DP3" s="191" t="s">
        <v>232</v>
      </c>
      <c r="DQ3" s="191" t="s">
        <v>232</v>
      </c>
      <c r="DR3" s="191" t="s">
        <v>232</v>
      </c>
      <c r="DS3" s="191" t="s">
        <v>232</v>
      </c>
      <c r="DT3" s="191" t="s">
        <v>232</v>
      </c>
      <c r="DU3" s="191" t="s">
        <v>232</v>
      </c>
      <c r="DV3" s="191" t="s">
        <v>232</v>
      </c>
      <c r="DW3" s="191" t="s">
        <v>232</v>
      </c>
      <c r="DX3" s="191" t="s">
        <v>232</v>
      </c>
      <c r="DY3" s="191" t="s">
        <v>232</v>
      </c>
      <c r="DZ3" s="191" t="s">
        <v>232</v>
      </c>
      <c r="EA3" s="191" t="s">
        <v>232</v>
      </c>
      <c r="EB3" s="191" t="s">
        <v>232</v>
      </c>
      <c r="EC3" s="191" t="s">
        <v>232</v>
      </c>
      <c r="ED3" s="191" t="s">
        <v>232</v>
      </c>
      <c r="EE3" s="191" t="s">
        <v>232</v>
      </c>
      <c r="EF3" s="191" t="s">
        <v>232</v>
      </c>
      <c r="EG3" s="191" t="s">
        <v>232</v>
      </c>
      <c r="EH3" s="191" t="s">
        <v>232</v>
      </c>
      <c r="EI3" s="191" t="s">
        <v>232</v>
      </c>
      <c r="EJ3" s="191" t="s">
        <v>232</v>
      </c>
      <c r="EK3" s="191" t="s">
        <v>232</v>
      </c>
      <c r="EL3" s="191" t="s">
        <v>232</v>
      </c>
      <c r="EM3" s="191" t="s">
        <v>232</v>
      </c>
      <c r="EN3" s="191" t="s">
        <v>232</v>
      </c>
      <c r="EO3" s="191" t="s">
        <v>232</v>
      </c>
      <c r="EP3" s="191" t="s">
        <v>232</v>
      </c>
      <c r="EQ3" s="191" t="s">
        <v>232</v>
      </c>
      <c r="ER3" s="191" t="s">
        <v>232</v>
      </c>
      <c r="ES3" s="191" t="s">
        <v>232</v>
      </c>
      <c r="ET3" s="191" t="s">
        <v>232</v>
      </c>
      <c r="EU3" s="191" t="s">
        <v>232</v>
      </c>
      <c r="EV3" s="191" t="s">
        <v>232</v>
      </c>
      <c r="EW3" s="191" t="s">
        <v>232</v>
      </c>
      <c r="EX3" s="191" t="s">
        <v>232</v>
      </c>
      <c r="EY3" s="191" t="s">
        <v>232</v>
      </c>
      <c r="EZ3" s="191" t="s">
        <v>232</v>
      </c>
      <c r="FA3" s="191" t="s">
        <v>232</v>
      </c>
      <c r="FB3" s="191" t="s">
        <v>232</v>
      </c>
      <c r="FC3" s="191" t="s">
        <v>232</v>
      </c>
      <c r="FD3" s="191" t="s">
        <v>232</v>
      </c>
      <c r="FE3" s="191" t="s">
        <v>232</v>
      </c>
      <c r="FF3" s="191" t="s">
        <v>232</v>
      </c>
      <c r="FG3" s="191" t="s">
        <v>232</v>
      </c>
      <c r="FH3" s="191" t="s">
        <v>232</v>
      </c>
      <c r="FI3" s="191" t="s">
        <v>232</v>
      </c>
      <c r="FJ3" s="191" t="s">
        <v>232</v>
      </c>
      <c r="FK3" s="191" t="s">
        <v>232</v>
      </c>
      <c r="FL3" s="191" t="s">
        <v>232</v>
      </c>
      <c r="FM3" s="191" t="s">
        <v>232</v>
      </c>
      <c r="FN3" s="191" t="s">
        <v>232</v>
      </c>
      <c r="FO3" s="191" t="s">
        <v>232</v>
      </c>
      <c r="FP3" s="191" t="s">
        <v>232</v>
      </c>
      <c r="FQ3" s="191" t="s">
        <v>232</v>
      </c>
      <c r="FR3" s="191" t="s">
        <v>232</v>
      </c>
      <c r="FS3" s="191" t="s">
        <v>232</v>
      </c>
      <c r="FT3" s="191" t="s">
        <v>232</v>
      </c>
      <c r="FU3" s="191" t="s">
        <v>232</v>
      </c>
      <c r="FV3" s="191" t="s">
        <v>232</v>
      </c>
      <c r="FW3" s="191" t="s">
        <v>232</v>
      </c>
      <c r="FX3" s="191" t="s">
        <v>232</v>
      </c>
      <c r="FY3" s="191" t="s">
        <v>232</v>
      </c>
      <c r="FZ3" s="191" t="s">
        <v>232</v>
      </c>
      <c r="GA3" s="191" t="s">
        <v>232</v>
      </c>
      <c r="GB3" s="191" t="s">
        <v>232</v>
      </c>
      <c r="GC3" s="191" t="s">
        <v>232</v>
      </c>
      <c r="GD3" s="191" t="s">
        <v>232</v>
      </c>
      <c r="GE3" s="191" t="s">
        <v>232</v>
      </c>
      <c r="GF3" s="191" t="s">
        <v>232</v>
      </c>
      <c r="GG3" s="191" t="s">
        <v>232</v>
      </c>
      <c r="GH3" s="191" t="s">
        <v>232</v>
      </c>
      <c r="GI3" s="191" t="s">
        <v>232</v>
      </c>
      <c r="GJ3" s="191" t="s">
        <v>232</v>
      </c>
      <c r="GK3" s="191" t="s">
        <v>232</v>
      </c>
      <c r="GL3" s="191" t="s">
        <v>232</v>
      </c>
      <c r="GM3" s="191" t="s">
        <v>232</v>
      </c>
      <c r="GN3" s="191" t="s">
        <v>232</v>
      </c>
      <c r="GO3" s="191" t="s">
        <v>232</v>
      </c>
      <c r="GP3" s="191" t="s">
        <v>232</v>
      </c>
      <c r="GQ3" s="191" t="s">
        <v>232</v>
      </c>
      <c r="GR3" s="191" t="s">
        <v>232</v>
      </c>
      <c r="GS3" s="191" t="s">
        <v>232</v>
      </c>
      <c r="GT3" s="191" t="s">
        <v>232</v>
      </c>
      <c r="GU3" s="191" t="s">
        <v>232</v>
      </c>
      <c r="GV3" s="191" t="s">
        <v>232</v>
      </c>
      <c r="GW3" s="191" t="s">
        <v>232</v>
      </c>
      <c r="GX3" s="191" t="s">
        <v>232</v>
      </c>
      <c r="GY3" s="191" t="s">
        <v>232</v>
      </c>
      <c r="GZ3" s="191" t="s">
        <v>232</v>
      </c>
      <c r="HA3" s="191" t="s">
        <v>232</v>
      </c>
      <c r="HB3" s="191" t="s">
        <v>232</v>
      </c>
      <c r="HC3" s="191" t="s">
        <v>232</v>
      </c>
      <c r="HD3" s="191" t="s">
        <v>232</v>
      </c>
      <c r="HE3" s="191" t="s">
        <v>232</v>
      </c>
      <c r="HF3" s="191" t="s">
        <v>232</v>
      </c>
      <c r="HG3" s="191" t="s">
        <v>232</v>
      </c>
      <c r="HH3" s="191" t="s">
        <v>232</v>
      </c>
      <c r="HI3" s="191" t="s">
        <v>232</v>
      </c>
      <c r="HJ3" s="191" t="s">
        <v>232</v>
      </c>
      <c r="HK3" s="191" t="s">
        <v>232</v>
      </c>
      <c r="HL3" s="191" t="s">
        <v>232</v>
      </c>
      <c r="HM3" s="191" t="s">
        <v>232</v>
      </c>
      <c r="HN3" s="191" t="s">
        <v>232</v>
      </c>
      <c r="HO3" s="191" t="s">
        <v>232</v>
      </c>
      <c r="HP3" s="191" t="s">
        <v>232</v>
      </c>
      <c r="HQ3" s="191" t="s">
        <v>232</v>
      </c>
      <c r="HR3" s="191" t="s">
        <v>232</v>
      </c>
      <c r="HS3" s="191" t="s">
        <v>232</v>
      </c>
      <c r="HT3" s="191" t="s">
        <v>232</v>
      </c>
      <c r="HU3" s="191" t="s">
        <v>232</v>
      </c>
      <c r="HV3" s="191" t="s">
        <v>232</v>
      </c>
      <c r="HW3" s="191" t="s">
        <v>232</v>
      </c>
      <c r="HX3" s="191" t="s">
        <v>232</v>
      </c>
      <c r="HY3" s="191" t="s">
        <v>232</v>
      </c>
      <c r="HZ3" s="191" t="s">
        <v>232</v>
      </c>
      <c r="IA3" s="191" t="s">
        <v>232</v>
      </c>
      <c r="IB3" s="191" t="s">
        <v>232</v>
      </c>
      <c r="IC3" s="191" t="s">
        <v>232</v>
      </c>
      <c r="ID3" s="191" t="s">
        <v>232</v>
      </c>
      <c r="IE3" s="191" t="s">
        <v>232</v>
      </c>
      <c r="IF3" s="191" t="s">
        <v>232</v>
      </c>
      <c r="IG3" s="191" t="s">
        <v>232</v>
      </c>
      <c r="IH3" s="191" t="s">
        <v>232</v>
      </c>
      <c r="II3" s="191" t="s">
        <v>232</v>
      </c>
      <c r="IJ3" s="191" t="s">
        <v>232</v>
      </c>
      <c r="IK3" s="191" t="s">
        <v>232</v>
      </c>
      <c r="IL3" s="191" t="s">
        <v>232</v>
      </c>
      <c r="IM3" s="191" t="s">
        <v>232</v>
      </c>
      <c r="IN3" s="191" t="s">
        <v>232</v>
      </c>
      <c r="IO3" s="191" t="s">
        <v>232</v>
      </c>
      <c r="IP3" s="191" t="s">
        <v>232</v>
      </c>
      <c r="IQ3" s="191" t="s">
        <v>232</v>
      </c>
      <c r="IR3" s="191" t="s">
        <v>232</v>
      </c>
      <c r="IS3" s="191" t="s">
        <v>232</v>
      </c>
      <c r="IT3" s="191" t="s">
        <v>232</v>
      </c>
      <c r="IU3" s="191" t="s">
        <v>232</v>
      </c>
      <c r="IV3" s="191" t="s">
        <v>232</v>
      </c>
      <c r="IW3" s="191" t="s">
        <v>232</v>
      </c>
      <c r="IX3" s="191" t="s">
        <v>232</v>
      </c>
      <c r="IY3" s="191" t="s">
        <v>232</v>
      </c>
      <c r="IZ3" s="191" t="s">
        <v>232</v>
      </c>
      <c r="JA3" s="191" t="s">
        <v>232</v>
      </c>
      <c r="JB3" s="191" t="s">
        <v>232</v>
      </c>
      <c r="JC3" s="191" t="s">
        <v>232</v>
      </c>
      <c r="JD3" s="191" t="s">
        <v>232</v>
      </c>
      <c r="JE3" s="191" t="s">
        <v>232</v>
      </c>
      <c r="JF3" s="191" t="s">
        <v>232</v>
      </c>
      <c r="JG3" s="191" t="s">
        <v>232</v>
      </c>
      <c r="JH3" s="191" t="s">
        <v>232</v>
      </c>
      <c r="JI3" s="191" t="s">
        <v>232</v>
      </c>
      <c r="JJ3" s="191" t="s">
        <v>232</v>
      </c>
      <c r="JK3" s="191" t="s">
        <v>232</v>
      </c>
      <c r="JL3" s="191" t="s">
        <v>232</v>
      </c>
      <c r="JM3" s="191" t="s">
        <v>232</v>
      </c>
      <c r="JN3" s="191" t="s">
        <v>232</v>
      </c>
      <c r="JO3" s="191" t="s">
        <v>232</v>
      </c>
      <c r="JP3" s="191" t="s">
        <v>232</v>
      </c>
      <c r="JQ3" s="191" t="s">
        <v>232</v>
      </c>
      <c r="JR3" s="191" t="s">
        <v>232</v>
      </c>
      <c r="JS3" s="191" t="s">
        <v>232</v>
      </c>
      <c r="JT3" s="191" t="s">
        <v>232</v>
      </c>
      <c r="JU3" s="191" t="s">
        <v>232</v>
      </c>
      <c r="JV3" s="191" t="s">
        <v>232</v>
      </c>
      <c r="JW3" s="191" t="s">
        <v>232</v>
      </c>
      <c r="JX3" s="191" t="s">
        <v>232</v>
      </c>
      <c r="JY3" s="191" t="s">
        <v>232</v>
      </c>
      <c r="JZ3" s="191" t="s">
        <v>232</v>
      </c>
      <c r="KA3" s="191" t="s">
        <v>232</v>
      </c>
      <c r="KB3" s="191" t="s">
        <v>232</v>
      </c>
      <c r="KC3" s="191" t="s">
        <v>232</v>
      </c>
      <c r="KD3" s="191" t="s">
        <v>232</v>
      </c>
      <c r="KE3" s="191" t="s">
        <v>232</v>
      </c>
      <c r="KF3" s="191" t="s">
        <v>232</v>
      </c>
      <c r="KG3" s="191" t="s">
        <v>232</v>
      </c>
      <c r="KH3" s="191" t="s">
        <v>232</v>
      </c>
      <c r="KI3" s="191" t="s">
        <v>232</v>
      </c>
      <c r="KJ3" s="191" t="s">
        <v>232</v>
      </c>
      <c r="KK3" s="191" t="s">
        <v>232</v>
      </c>
      <c r="KL3" s="191" t="s">
        <v>232</v>
      </c>
      <c r="KM3" s="191" t="s">
        <v>232</v>
      </c>
      <c r="KN3" s="191" t="s">
        <v>232</v>
      </c>
      <c r="KO3" s="191" t="s">
        <v>232</v>
      </c>
      <c r="KP3" s="191" t="s">
        <v>232</v>
      </c>
      <c r="KQ3" s="191" t="s">
        <v>232</v>
      </c>
      <c r="KR3" s="191" t="s">
        <v>232</v>
      </c>
      <c r="KS3" s="191" t="s">
        <v>232</v>
      </c>
      <c r="KT3" s="191" t="s">
        <v>232</v>
      </c>
      <c r="KU3" s="191" t="s">
        <v>232</v>
      </c>
      <c r="KV3" s="191" t="s">
        <v>232</v>
      </c>
      <c r="KW3" s="191" t="s">
        <v>232</v>
      </c>
      <c r="KX3" s="191" t="s">
        <v>232</v>
      </c>
      <c r="KY3" s="191" t="s">
        <v>232</v>
      </c>
      <c r="KZ3" s="191" t="s">
        <v>232</v>
      </c>
      <c r="LA3" s="191" t="s">
        <v>232</v>
      </c>
      <c r="LB3" s="191" t="s">
        <v>232</v>
      </c>
      <c r="LC3" s="191" t="s">
        <v>232</v>
      </c>
      <c r="LD3" s="191" t="s">
        <v>232</v>
      </c>
      <c r="LE3" s="191" t="s">
        <v>232</v>
      </c>
      <c r="LF3" s="191" t="s">
        <v>232</v>
      </c>
      <c r="LG3" s="191" t="s">
        <v>232</v>
      </c>
      <c r="LH3" s="191" t="s">
        <v>232</v>
      </c>
      <c r="LI3" s="191" t="s">
        <v>232</v>
      </c>
      <c r="LJ3" s="191" t="s">
        <v>232</v>
      </c>
      <c r="LK3" s="191" t="s">
        <v>232</v>
      </c>
      <c r="LL3" s="191" t="s">
        <v>232</v>
      </c>
      <c r="LM3" s="191" t="s">
        <v>232</v>
      </c>
      <c r="LN3" s="191" t="s">
        <v>232</v>
      </c>
      <c r="LO3" s="191" t="s">
        <v>232</v>
      </c>
      <c r="LP3" s="191" t="s">
        <v>232</v>
      </c>
      <c r="LQ3" s="191" t="s">
        <v>232</v>
      </c>
      <c r="LR3" s="191" t="s">
        <v>232</v>
      </c>
      <c r="LS3" s="191" t="s">
        <v>232</v>
      </c>
      <c r="LT3" s="191" t="s">
        <v>232</v>
      </c>
      <c r="LU3" s="191" t="s">
        <v>232</v>
      </c>
      <c r="LV3" s="191" t="s">
        <v>232</v>
      </c>
      <c r="LW3" s="191" t="s">
        <v>232</v>
      </c>
      <c r="LX3" s="191" t="s">
        <v>232</v>
      </c>
      <c r="LY3" s="191" t="s">
        <v>232</v>
      </c>
      <c r="LZ3" s="191" t="s">
        <v>232</v>
      </c>
      <c r="MA3" s="191" t="s">
        <v>232</v>
      </c>
      <c r="MB3" s="191" t="s">
        <v>232</v>
      </c>
      <c r="MC3" s="191" t="s">
        <v>232</v>
      </c>
      <c r="MD3" s="191" t="s">
        <v>232</v>
      </c>
      <c r="ME3" s="191" t="s">
        <v>232</v>
      </c>
      <c r="MF3" s="191" t="s">
        <v>232</v>
      </c>
      <c r="MG3" s="191" t="s">
        <v>232</v>
      </c>
      <c r="MH3" s="191" t="s">
        <v>232</v>
      </c>
      <c r="MI3" s="191" t="s">
        <v>232</v>
      </c>
      <c r="MJ3" s="191" t="s">
        <v>232</v>
      </c>
      <c r="MK3" s="191" t="s">
        <v>232</v>
      </c>
      <c r="ML3" s="191" t="s">
        <v>232</v>
      </c>
      <c r="MM3" s="191" t="s">
        <v>232</v>
      </c>
      <c r="MN3" s="191" t="s">
        <v>232</v>
      </c>
      <c r="MO3" s="191" t="s">
        <v>232</v>
      </c>
      <c r="MP3" s="191" t="s">
        <v>232</v>
      </c>
      <c r="MQ3" s="191" t="s">
        <v>232</v>
      </c>
      <c r="MR3" s="191" t="s">
        <v>232</v>
      </c>
      <c r="MS3" s="191" t="s">
        <v>232</v>
      </c>
      <c r="MT3" s="191" t="s">
        <v>232</v>
      </c>
      <c r="MU3" s="191" t="s">
        <v>232</v>
      </c>
      <c r="MV3" s="191" t="s">
        <v>232</v>
      </c>
      <c r="MW3" s="191" t="s">
        <v>232</v>
      </c>
      <c r="MX3" s="191" t="s">
        <v>232</v>
      </c>
      <c r="MY3" s="191" t="s">
        <v>232</v>
      </c>
      <c r="MZ3" s="191" t="s">
        <v>232</v>
      </c>
      <c r="NA3" s="191" t="s">
        <v>232</v>
      </c>
      <c r="NB3" s="191" t="s">
        <v>232</v>
      </c>
      <c r="NC3" s="191" t="s">
        <v>232</v>
      </c>
      <c r="ND3" s="191" t="s">
        <v>232</v>
      </c>
      <c r="NE3" s="191" t="s">
        <v>232</v>
      </c>
      <c r="NF3" s="191" t="s">
        <v>232</v>
      </c>
      <c r="NG3" s="191" t="s">
        <v>232</v>
      </c>
      <c r="NH3" s="191" t="s">
        <v>232</v>
      </c>
      <c r="NI3" s="191" t="s">
        <v>232</v>
      </c>
      <c r="NJ3" s="191" t="s">
        <v>232</v>
      </c>
      <c r="NK3" s="191" t="s">
        <v>232</v>
      </c>
      <c r="NL3" s="191" t="s">
        <v>232</v>
      </c>
      <c r="NM3" s="191" t="s">
        <v>232</v>
      </c>
      <c r="NN3" s="191" t="s">
        <v>232</v>
      </c>
      <c r="NO3" s="191" t="s">
        <v>232</v>
      </c>
      <c r="NP3" s="191" t="s">
        <v>232</v>
      </c>
      <c r="NQ3" s="191" t="s">
        <v>232</v>
      </c>
      <c r="NR3" s="191" t="s">
        <v>232</v>
      </c>
      <c r="NS3" s="191" t="s">
        <v>232</v>
      </c>
      <c r="NT3" s="191" t="s">
        <v>232</v>
      </c>
      <c r="NU3" s="191" t="s">
        <v>232</v>
      </c>
      <c r="NV3" s="191" t="s">
        <v>232</v>
      </c>
      <c r="NW3" s="191" t="s">
        <v>232</v>
      </c>
      <c r="NX3" s="191" t="s">
        <v>232</v>
      </c>
      <c r="NY3" s="191" t="s">
        <v>232</v>
      </c>
      <c r="NZ3" s="191" t="s">
        <v>232</v>
      </c>
      <c r="OA3" s="191" t="s">
        <v>232</v>
      </c>
      <c r="OB3" s="191" t="s">
        <v>232</v>
      </c>
      <c r="OC3" s="191" t="s">
        <v>232</v>
      </c>
      <c r="OD3" s="191" t="s">
        <v>232</v>
      </c>
      <c r="OE3" s="191" t="s">
        <v>232</v>
      </c>
      <c r="OF3" s="191" t="s">
        <v>232</v>
      </c>
      <c r="OG3" s="191" t="s">
        <v>232</v>
      </c>
      <c r="OH3" s="191" t="s">
        <v>232</v>
      </c>
      <c r="OI3" s="191" t="s">
        <v>232</v>
      </c>
      <c r="OJ3" s="191" t="s">
        <v>232</v>
      </c>
      <c r="OK3" s="191" t="s">
        <v>232</v>
      </c>
      <c r="OL3" s="191" t="s">
        <v>232</v>
      </c>
      <c r="OM3" s="191" t="s">
        <v>232</v>
      </c>
      <c r="ON3" s="191" t="s">
        <v>232</v>
      </c>
      <c r="OO3" s="191" t="s">
        <v>232</v>
      </c>
      <c r="OP3" s="191" t="s">
        <v>232</v>
      </c>
      <c r="OQ3" s="191" t="s">
        <v>232</v>
      </c>
      <c r="OR3" s="191" t="s">
        <v>232</v>
      </c>
      <c r="OS3" s="191" t="s">
        <v>232</v>
      </c>
      <c r="OT3" s="191" t="s">
        <v>232</v>
      </c>
      <c r="OU3" s="191" t="s">
        <v>232</v>
      </c>
      <c r="OV3" s="191" t="s">
        <v>232</v>
      </c>
      <c r="OW3" s="191" t="s">
        <v>232</v>
      </c>
      <c r="OX3" s="191" t="s">
        <v>232</v>
      </c>
      <c r="OY3" s="191" t="s">
        <v>232</v>
      </c>
      <c r="OZ3" s="191" t="s">
        <v>232</v>
      </c>
      <c r="PA3" s="191" t="s">
        <v>232</v>
      </c>
      <c r="PB3" s="191" t="s">
        <v>232</v>
      </c>
      <c r="PC3" s="191" t="s">
        <v>232</v>
      </c>
      <c r="PD3" s="191" t="s">
        <v>232</v>
      </c>
      <c r="PE3" s="191" t="s">
        <v>232</v>
      </c>
      <c r="PF3" s="191" t="s">
        <v>232</v>
      </c>
      <c r="PG3" s="191" t="s">
        <v>232</v>
      </c>
      <c r="PH3" s="191" t="s">
        <v>232</v>
      </c>
      <c r="PI3" s="191" t="s">
        <v>232</v>
      </c>
      <c r="PJ3" s="191" t="s">
        <v>232</v>
      </c>
      <c r="PK3" s="191" t="s">
        <v>232</v>
      </c>
      <c r="PL3" s="191" t="s">
        <v>232</v>
      </c>
      <c r="PM3" s="191" t="s">
        <v>232</v>
      </c>
      <c r="PN3" s="191" t="s">
        <v>232</v>
      </c>
      <c r="PO3" s="191" t="s">
        <v>232</v>
      </c>
      <c r="PP3" s="191" t="s">
        <v>232</v>
      </c>
      <c r="PQ3" s="191" t="s">
        <v>232</v>
      </c>
      <c r="PR3" s="191" t="s">
        <v>232</v>
      </c>
      <c r="PS3" s="191" t="s">
        <v>232</v>
      </c>
      <c r="PT3" s="191" t="s">
        <v>232</v>
      </c>
      <c r="PU3" s="191" t="s">
        <v>232</v>
      </c>
      <c r="PV3" s="191" t="s">
        <v>232</v>
      </c>
      <c r="PW3" s="191" t="s">
        <v>232</v>
      </c>
      <c r="PX3" s="191" t="s">
        <v>232</v>
      </c>
      <c r="PY3" s="191" t="s">
        <v>232</v>
      </c>
      <c r="PZ3" s="191" t="s">
        <v>232</v>
      </c>
      <c r="QA3" s="191" t="s">
        <v>232</v>
      </c>
      <c r="QB3" s="191" t="s">
        <v>232</v>
      </c>
      <c r="QC3" s="191" t="s">
        <v>232</v>
      </c>
      <c r="QD3" s="191" t="s">
        <v>232</v>
      </c>
      <c r="QE3" s="191" t="s">
        <v>232</v>
      </c>
      <c r="QF3" s="191" t="s">
        <v>232</v>
      </c>
      <c r="QG3" s="191" t="s">
        <v>232</v>
      </c>
      <c r="QH3" s="191" t="s">
        <v>232</v>
      </c>
      <c r="QI3" s="191" t="s">
        <v>232</v>
      </c>
      <c r="QJ3" s="191" t="s">
        <v>232</v>
      </c>
      <c r="QK3" s="191" t="s">
        <v>232</v>
      </c>
      <c r="QL3" s="191" t="s">
        <v>232</v>
      </c>
      <c r="QM3" s="191" t="s">
        <v>232</v>
      </c>
      <c r="QN3" s="191" t="s">
        <v>232</v>
      </c>
      <c r="QO3" s="191" t="s">
        <v>232</v>
      </c>
      <c r="QP3" s="191" t="s">
        <v>232</v>
      </c>
      <c r="QQ3" s="191" t="s">
        <v>232</v>
      </c>
      <c r="QR3" s="191" t="s">
        <v>232</v>
      </c>
      <c r="QS3" s="191" t="s">
        <v>232</v>
      </c>
      <c r="QT3" s="191" t="s">
        <v>232</v>
      </c>
      <c r="QU3" s="191" t="s">
        <v>232</v>
      </c>
      <c r="QV3" s="191" t="s">
        <v>232</v>
      </c>
      <c r="QW3" s="191" t="s">
        <v>232</v>
      </c>
      <c r="QX3" s="191" t="s">
        <v>232</v>
      </c>
      <c r="QY3" s="191" t="s">
        <v>232</v>
      </c>
      <c r="QZ3" s="191" t="s">
        <v>232</v>
      </c>
      <c r="RA3" s="191" t="s">
        <v>232</v>
      </c>
      <c r="RB3" s="191" t="s">
        <v>232</v>
      </c>
      <c r="RC3" s="191" t="s">
        <v>232</v>
      </c>
      <c r="RD3" s="191" t="s">
        <v>232</v>
      </c>
      <c r="RE3" s="191" t="s">
        <v>232</v>
      </c>
      <c r="RF3" s="191" t="s">
        <v>232</v>
      </c>
      <c r="RG3" s="191" t="s">
        <v>232</v>
      </c>
      <c r="RH3" s="191" t="s">
        <v>232</v>
      </c>
      <c r="RI3" s="191" t="s">
        <v>232</v>
      </c>
      <c r="RJ3" s="191" t="s">
        <v>232</v>
      </c>
      <c r="RK3" s="191" t="s">
        <v>232</v>
      </c>
      <c r="RL3" s="191" t="s">
        <v>232</v>
      </c>
      <c r="RM3" s="191" t="s">
        <v>232</v>
      </c>
      <c r="RN3" s="191" t="s">
        <v>232</v>
      </c>
      <c r="RO3" s="191" t="s">
        <v>232</v>
      </c>
      <c r="RP3" s="191" t="s">
        <v>232</v>
      </c>
      <c r="RQ3" s="191" t="s">
        <v>232</v>
      </c>
      <c r="RR3" s="191" t="s">
        <v>232</v>
      </c>
      <c r="RS3" s="191" t="s">
        <v>232</v>
      </c>
      <c r="RT3" s="191" t="s">
        <v>232</v>
      </c>
      <c r="RU3" s="191" t="s">
        <v>232</v>
      </c>
      <c r="RV3" s="191" t="s">
        <v>232</v>
      </c>
      <c r="RW3" s="191" t="s">
        <v>232</v>
      </c>
      <c r="RX3" s="191" t="s">
        <v>232</v>
      </c>
      <c r="RY3" s="191" t="s">
        <v>232</v>
      </c>
      <c r="RZ3" s="191" t="s">
        <v>232</v>
      </c>
      <c r="SA3" s="191" t="s">
        <v>232</v>
      </c>
      <c r="SB3" s="191" t="s">
        <v>232</v>
      </c>
      <c r="SC3" s="191" t="s">
        <v>232</v>
      </c>
      <c r="SD3" s="191" t="s">
        <v>232</v>
      </c>
      <c r="SE3" s="191" t="s">
        <v>232</v>
      </c>
      <c r="SF3" s="191" t="s">
        <v>232</v>
      </c>
      <c r="SG3" s="191" t="s">
        <v>232</v>
      </c>
      <c r="SH3" s="191" t="s">
        <v>232</v>
      </c>
      <c r="SI3" s="191" t="s">
        <v>232</v>
      </c>
      <c r="SJ3" s="191" t="s">
        <v>232</v>
      </c>
      <c r="SK3" s="191" t="s">
        <v>232</v>
      </c>
      <c r="SL3" s="191" t="s">
        <v>232</v>
      </c>
      <c r="SM3" s="191" t="s">
        <v>232</v>
      </c>
      <c r="SN3" s="191" t="s">
        <v>232</v>
      </c>
      <c r="SO3" s="191" t="s">
        <v>232</v>
      </c>
      <c r="SP3" s="191" t="s">
        <v>232</v>
      </c>
      <c r="SQ3" s="191" t="s">
        <v>232</v>
      </c>
      <c r="SR3" s="191" t="s">
        <v>232</v>
      </c>
      <c r="SS3" s="191" t="s">
        <v>232</v>
      </c>
      <c r="ST3" s="191" t="s">
        <v>232</v>
      </c>
      <c r="SU3" s="191" t="s">
        <v>232</v>
      </c>
      <c r="SV3" s="191" t="s">
        <v>232</v>
      </c>
      <c r="SW3" s="191" t="s">
        <v>232</v>
      </c>
      <c r="SX3" s="191" t="s">
        <v>232</v>
      </c>
      <c r="SY3" s="191" t="s">
        <v>232</v>
      </c>
      <c r="SZ3" s="191" t="s">
        <v>232</v>
      </c>
      <c r="TA3" s="191" t="s">
        <v>232</v>
      </c>
      <c r="TB3" s="191" t="s">
        <v>232</v>
      </c>
      <c r="TC3" s="191" t="s">
        <v>232</v>
      </c>
      <c r="TD3" s="191" t="s">
        <v>232</v>
      </c>
      <c r="TE3" s="191" t="s">
        <v>232</v>
      </c>
      <c r="TF3" s="191" t="s">
        <v>232</v>
      </c>
      <c r="TG3" s="191" t="s">
        <v>232</v>
      </c>
      <c r="TH3" s="191" t="s">
        <v>232</v>
      </c>
      <c r="TI3" s="191" t="s">
        <v>232</v>
      </c>
      <c r="TJ3" s="191" t="s">
        <v>232</v>
      </c>
      <c r="TK3" s="191" t="s">
        <v>232</v>
      </c>
      <c r="TL3" s="191" t="s">
        <v>232</v>
      </c>
      <c r="TM3" s="191" t="s">
        <v>232</v>
      </c>
      <c r="TN3" s="191" t="s">
        <v>232</v>
      </c>
      <c r="TO3" s="191" t="s">
        <v>232</v>
      </c>
      <c r="TP3" s="191" t="s">
        <v>232</v>
      </c>
      <c r="TQ3" s="191" t="s">
        <v>232</v>
      </c>
      <c r="TR3" s="191" t="s">
        <v>232</v>
      </c>
      <c r="TS3" s="191" t="s">
        <v>232</v>
      </c>
      <c r="TT3" s="191" t="s">
        <v>232</v>
      </c>
      <c r="TU3" s="191" t="s">
        <v>232</v>
      </c>
      <c r="TV3" s="191" t="s">
        <v>232</v>
      </c>
      <c r="TW3" s="191" t="s">
        <v>232</v>
      </c>
      <c r="TX3" s="191" t="s">
        <v>232</v>
      </c>
      <c r="TY3" s="191" t="s">
        <v>232</v>
      </c>
      <c r="TZ3" s="191" t="s">
        <v>232</v>
      </c>
      <c r="UA3" s="191" t="s">
        <v>232</v>
      </c>
      <c r="UB3" s="191" t="s">
        <v>232</v>
      </c>
      <c r="UC3" s="191" t="s">
        <v>232</v>
      </c>
      <c r="UD3" s="191" t="s">
        <v>232</v>
      </c>
      <c r="UE3" s="191" t="s">
        <v>232</v>
      </c>
      <c r="UF3" s="191" t="s">
        <v>232</v>
      </c>
      <c r="UG3" s="191" t="s">
        <v>232</v>
      </c>
      <c r="UH3" s="191" t="s">
        <v>232</v>
      </c>
      <c r="UI3" s="191" t="s">
        <v>232</v>
      </c>
      <c r="UJ3" s="191" t="s">
        <v>232</v>
      </c>
      <c r="UK3" s="191" t="s">
        <v>232</v>
      </c>
      <c r="UL3" s="191" t="s">
        <v>232</v>
      </c>
      <c r="UM3" s="191" t="s">
        <v>232</v>
      </c>
      <c r="UN3" s="191" t="s">
        <v>232</v>
      </c>
      <c r="UO3" s="191" t="s">
        <v>232</v>
      </c>
      <c r="UP3" s="191" t="s">
        <v>232</v>
      </c>
      <c r="UQ3" s="191" t="s">
        <v>232</v>
      </c>
      <c r="UR3" s="191" t="s">
        <v>232</v>
      </c>
      <c r="US3" s="191" t="s">
        <v>232</v>
      </c>
      <c r="UT3" s="191" t="s">
        <v>232</v>
      </c>
      <c r="UU3" s="191" t="s">
        <v>232</v>
      </c>
      <c r="UV3" s="191" t="s">
        <v>232</v>
      </c>
      <c r="UW3" s="191" t="s">
        <v>232</v>
      </c>
      <c r="UX3" s="191" t="s">
        <v>232</v>
      </c>
      <c r="UY3" s="191" t="s">
        <v>232</v>
      </c>
      <c r="UZ3" s="191" t="s">
        <v>232</v>
      </c>
      <c r="VA3" s="191" t="s">
        <v>232</v>
      </c>
      <c r="VB3" s="191" t="s">
        <v>232</v>
      </c>
      <c r="VC3" s="191" t="s">
        <v>232</v>
      </c>
      <c r="VD3" s="191" t="s">
        <v>232</v>
      </c>
      <c r="VE3" s="191" t="s">
        <v>232</v>
      </c>
      <c r="VF3" s="191" t="s">
        <v>232</v>
      </c>
      <c r="VG3" s="191" t="s">
        <v>232</v>
      </c>
      <c r="VH3" s="191" t="s">
        <v>232</v>
      </c>
      <c r="VI3" s="191" t="s">
        <v>232</v>
      </c>
      <c r="VJ3" s="191" t="s">
        <v>232</v>
      </c>
      <c r="VK3" s="191" t="s">
        <v>232</v>
      </c>
      <c r="VL3" s="191" t="s">
        <v>232</v>
      </c>
      <c r="VM3" s="191" t="s">
        <v>232</v>
      </c>
      <c r="VN3" s="191" t="s">
        <v>232</v>
      </c>
      <c r="VO3" s="191" t="s">
        <v>232</v>
      </c>
      <c r="VP3" s="191" t="s">
        <v>232</v>
      </c>
      <c r="VQ3" s="191" t="s">
        <v>232</v>
      </c>
      <c r="VR3" s="191" t="s">
        <v>232</v>
      </c>
      <c r="VS3" s="191" t="s">
        <v>232</v>
      </c>
      <c r="VT3" s="191" t="s">
        <v>232</v>
      </c>
      <c r="VU3" s="191" t="s">
        <v>232</v>
      </c>
      <c r="VV3" s="191" t="s">
        <v>232</v>
      </c>
      <c r="VW3" s="191" t="s">
        <v>232</v>
      </c>
      <c r="VX3" s="191" t="s">
        <v>232</v>
      </c>
      <c r="VY3" s="191" t="s">
        <v>232</v>
      </c>
      <c r="VZ3" s="191" t="s">
        <v>232</v>
      </c>
      <c r="WA3" s="191" t="s">
        <v>232</v>
      </c>
      <c r="WB3" s="191" t="s">
        <v>232</v>
      </c>
      <c r="WC3" s="191" t="s">
        <v>232</v>
      </c>
      <c r="WD3" s="191" t="s">
        <v>232</v>
      </c>
      <c r="WE3" s="191" t="s">
        <v>232</v>
      </c>
      <c r="WF3" s="191" t="s">
        <v>232</v>
      </c>
      <c r="WG3" s="191" t="s">
        <v>232</v>
      </c>
      <c r="WH3" s="191" t="s">
        <v>232</v>
      </c>
      <c r="WI3" s="191" t="s">
        <v>232</v>
      </c>
      <c r="WJ3" s="191" t="s">
        <v>232</v>
      </c>
      <c r="WK3" s="191" t="s">
        <v>232</v>
      </c>
      <c r="WL3" s="191" t="s">
        <v>232</v>
      </c>
      <c r="WM3" s="191" t="s">
        <v>232</v>
      </c>
      <c r="WN3" s="191" t="s">
        <v>232</v>
      </c>
      <c r="WO3" s="191" t="s">
        <v>232</v>
      </c>
      <c r="WP3" s="191" t="s">
        <v>232</v>
      </c>
      <c r="WQ3" s="191" t="s">
        <v>232</v>
      </c>
      <c r="WR3" s="191" t="s">
        <v>232</v>
      </c>
      <c r="WS3" s="191" t="s">
        <v>232</v>
      </c>
      <c r="WT3" s="191" t="s">
        <v>232</v>
      </c>
      <c r="WU3" s="191" t="s">
        <v>232</v>
      </c>
      <c r="WV3" s="191" t="s">
        <v>232</v>
      </c>
      <c r="WW3" s="191" t="s">
        <v>232</v>
      </c>
      <c r="WX3" s="191" t="s">
        <v>232</v>
      </c>
      <c r="WY3" s="191" t="s">
        <v>232</v>
      </c>
      <c r="WZ3" s="191" t="s">
        <v>232</v>
      </c>
      <c r="XA3" s="191" t="s">
        <v>232</v>
      </c>
      <c r="XB3" s="191" t="s">
        <v>232</v>
      </c>
      <c r="XC3" s="191" t="s">
        <v>232</v>
      </c>
      <c r="XD3" s="191" t="s">
        <v>232</v>
      </c>
      <c r="XE3" s="191" t="s">
        <v>232</v>
      </c>
      <c r="XF3" s="191" t="s">
        <v>232</v>
      </c>
      <c r="XG3" s="191" t="s">
        <v>232</v>
      </c>
      <c r="XH3" s="191" t="s">
        <v>232</v>
      </c>
      <c r="XI3" s="191" t="s">
        <v>232</v>
      </c>
      <c r="XJ3" s="191" t="s">
        <v>232</v>
      </c>
      <c r="XK3" s="191" t="s">
        <v>232</v>
      </c>
      <c r="XL3" s="191" t="s">
        <v>232</v>
      </c>
      <c r="XM3" s="191" t="s">
        <v>232</v>
      </c>
      <c r="XN3" s="191" t="s">
        <v>232</v>
      </c>
      <c r="XO3" s="191" t="s">
        <v>232</v>
      </c>
      <c r="XP3" s="191" t="s">
        <v>232</v>
      </c>
      <c r="XQ3" s="191" t="s">
        <v>232</v>
      </c>
      <c r="XR3" s="191" t="s">
        <v>232</v>
      </c>
      <c r="XS3" s="191" t="s">
        <v>232</v>
      </c>
      <c r="XT3" s="191" t="s">
        <v>232</v>
      </c>
      <c r="XU3" s="191" t="s">
        <v>232</v>
      </c>
      <c r="XV3" s="191" t="s">
        <v>232</v>
      </c>
      <c r="XW3" s="191" t="s">
        <v>232</v>
      </c>
      <c r="XX3" s="191" t="s">
        <v>232</v>
      </c>
      <c r="XY3" s="191" t="s">
        <v>232</v>
      </c>
      <c r="XZ3" s="191" t="s">
        <v>232</v>
      </c>
      <c r="YA3" s="191" t="s">
        <v>232</v>
      </c>
      <c r="YB3" s="191" t="s">
        <v>232</v>
      </c>
      <c r="YC3" s="191" t="s">
        <v>232</v>
      </c>
      <c r="YD3" s="191" t="s">
        <v>232</v>
      </c>
      <c r="YE3" s="191" t="s">
        <v>232</v>
      </c>
      <c r="YF3" s="191" t="s">
        <v>232</v>
      </c>
      <c r="YG3" s="191" t="s">
        <v>232</v>
      </c>
      <c r="YH3" s="191" t="s">
        <v>232</v>
      </c>
      <c r="YI3" s="191" t="s">
        <v>232</v>
      </c>
      <c r="YJ3" s="191" t="s">
        <v>232</v>
      </c>
      <c r="YK3" s="191" t="s">
        <v>232</v>
      </c>
      <c r="YL3" s="191" t="s">
        <v>232</v>
      </c>
      <c r="YM3" s="191" t="s">
        <v>232</v>
      </c>
      <c r="YN3" s="191" t="s">
        <v>232</v>
      </c>
      <c r="YO3" s="191" t="s">
        <v>232</v>
      </c>
      <c r="YP3" s="191" t="s">
        <v>232</v>
      </c>
      <c r="YQ3" s="191" t="s">
        <v>232</v>
      </c>
      <c r="YR3" s="191" t="s">
        <v>232</v>
      </c>
      <c r="YS3" s="191" t="s">
        <v>232</v>
      </c>
      <c r="YT3" s="191" t="s">
        <v>232</v>
      </c>
      <c r="YU3" s="191" t="s">
        <v>232</v>
      </c>
      <c r="YV3" s="191" t="s">
        <v>232</v>
      </c>
      <c r="YW3" s="191" t="s">
        <v>232</v>
      </c>
      <c r="YX3" s="191" t="s">
        <v>232</v>
      </c>
      <c r="YY3" s="191" t="s">
        <v>232</v>
      </c>
      <c r="YZ3" s="191" t="s">
        <v>232</v>
      </c>
      <c r="ZA3" s="191" t="s">
        <v>232</v>
      </c>
      <c r="ZB3" s="191" t="s">
        <v>232</v>
      </c>
      <c r="ZC3" s="191" t="s">
        <v>232</v>
      </c>
      <c r="ZD3" s="191" t="s">
        <v>232</v>
      </c>
      <c r="ZE3" s="191" t="s">
        <v>232</v>
      </c>
      <c r="ZF3" s="191" t="s">
        <v>232</v>
      </c>
      <c r="ZG3" s="191" t="s">
        <v>232</v>
      </c>
      <c r="ZH3" s="191" t="s">
        <v>232</v>
      </c>
      <c r="ZI3" s="191" t="s">
        <v>232</v>
      </c>
      <c r="ZJ3" s="191" t="s">
        <v>232</v>
      </c>
      <c r="ZK3" s="191" t="s">
        <v>232</v>
      </c>
      <c r="ZL3" s="191" t="s">
        <v>232</v>
      </c>
      <c r="ZM3" s="191" t="s">
        <v>232</v>
      </c>
      <c r="ZN3" s="191" t="s">
        <v>232</v>
      </c>
      <c r="ZO3" s="191" t="s">
        <v>232</v>
      </c>
      <c r="ZP3" s="191" t="s">
        <v>232</v>
      </c>
      <c r="ZQ3" s="191" t="s">
        <v>232</v>
      </c>
      <c r="ZR3" s="191" t="s">
        <v>232</v>
      </c>
      <c r="ZS3" s="191" t="s">
        <v>232</v>
      </c>
      <c r="ZT3" s="191" t="s">
        <v>232</v>
      </c>
      <c r="ZU3" s="191" t="s">
        <v>232</v>
      </c>
      <c r="ZV3" s="191" t="s">
        <v>232</v>
      </c>
      <c r="ZW3" s="191" t="s">
        <v>232</v>
      </c>
      <c r="ZX3" s="191" t="s">
        <v>232</v>
      </c>
      <c r="ZY3" s="191" t="s">
        <v>232</v>
      </c>
      <c r="ZZ3" s="191" t="s">
        <v>232</v>
      </c>
    </row>
    <row r="4" spans="1:702" s="192" customFormat="1" ht="12.75" thickBot="1" x14ac:dyDescent="0.25">
      <c r="A4" s="244" t="s">
        <v>781</v>
      </c>
      <c r="B4" s="195" t="str">
        <f>HLOOKUP($B$2,DB_Artikel,ROW()-1,FALSE)</f>
        <v>Busbar klein</v>
      </c>
      <c r="C4" s="211" t="str">
        <f>'Quick Input'!I9</f>
        <v>Bezeichnung</v>
      </c>
      <c r="D4" s="192" t="s">
        <v>589</v>
      </c>
      <c r="E4" s="192" t="s">
        <v>589</v>
      </c>
      <c r="F4" s="192" t="s">
        <v>589</v>
      </c>
      <c r="G4" s="192" t="s">
        <v>589</v>
      </c>
      <c r="H4" s="192" t="s">
        <v>781</v>
      </c>
      <c r="I4" s="192" t="s">
        <v>781</v>
      </c>
      <c r="J4" s="192" t="s">
        <v>794</v>
      </c>
      <c r="K4" s="192" t="s">
        <v>794</v>
      </c>
      <c r="L4" s="192" t="s">
        <v>794</v>
      </c>
      <c r="M4" s="193" t="s">
        <v>794</v>
      </c>
      <c r="N4" s="192" t="s">
        <v>794</v>
      </c>
      <c r="O4" s="192" t="s">
        <v>794</v>
      </c>
      <c r="P4" s="192" t="s">
        <v>794</v>
      </c>
      <c r="Q4" s="192" t="s">
        <v>794</v>
      </c>
      <c r="R4" s="192" t="s">
        <v>794</v>
      </c>
      <c r="S4" s="192" t="s">
        <v>589</v>
      </c>
      <c r="T4" s="192" t="s">
        <v>589</v>
      </c>
      <c r="U4" s="192" t="s">
        <v>781</v>
      </c>
      <c r="EW4" s="244"/>
      <c r="EX4" s="244"/>
      <c r="EY4" s="244"/>
      <c r="EZ4" s="244"/>
      <c r="FA4" s="244"/>
      <c r="FB4" s="244"/>
      <c r="FC4" s="244"/>
      <c r="FD4" s="244"/>
      <c r="FE4" s="244"/>
      <c r="FF4" s="244"/>
      <c r="FG4" s="244"/>
      <c r="FH4" s="244"/>
      <c r="FI4" s="244"/>
      <c r="FJ4" s="244"/>
      <c r="FK4" s="244"/>
      <c r="FL4" s="244"/>
      <c r="FM4" s="244"/>
      <c r="FN4" s="244"/>
      <c r="FO4" s="244"/>
      <c r="FP4" s="244"/>
      <c r="FQ4" s="244"/>
      <c r="FR4" s="244"/>
      <c r="FS4" s="244"/>
      <c r="FT4" s="244"/>
      <c r="FU4" s="244"/>
      <c r="FV4" s="244"/>
      <c r="FW4" s="244"/>
      <c r="FX4" s="244"/>
      <c r="FY4" s="244"/>
      <c r="FZ4" s="244"/>
      <c r="GA4" s="244"/>
      <c r="GB4" s="244"/>
      <c r="GC4" s="244"/>
      <c r="GD4" s="244"/>
      <c r="GE4" s="244"/>
      <c r="GF4" s="244"/>
      <c r="GG4" s="244"/>
      <c r="GH4" s="244"/>
      <c r="GI4" s="244"/>
      <c r="GJ4" s="244"/>
      <c r="GK4" s="244"/>
      <c r="GL4" s="244"/>
      <c r="GM4" s="244"/>
      <c r="GN4" s="244"/>
      <c r="GO4" s="244"/>
      <c r="GP4" s="244"/>
      <c r="GQ4" s="244"/>
      <c r="GR4" s="244"/>
      <c r="GS4" s="244"/>
      <c r="GT4" s="244"/>
      <c r="GU4" s="244"/>
      <c r="GV4" s="244"/>
      <c r="GW4" s="244"/>
      <c r="GX4" s="244"/>
      <c r="GY4" s="244"/>
      <c r="GZ4" s="244"/>
      <c r="HA4" s="244"/>
      <c r="HB4" s="244"/>
      <c r="HC4" s="244"/>
      <c r="HD4" s="244"/>
      <c r="HE4" s="244"/>
      <c r="HF4" s="244"/>
      <c r="HG4" s="244"/>
      <c r="HH4" s="244"/>
      <c r="HI4" s="244"/>
      <c r="HJ4" s="244"/>
      <c r="HK4" s="244"/>
      <c r="HL4" s="244"/>
      <c r="HM4" s="244"/>
      <c r="HN4" s="244"/>
      <c r="HO4" s="244"/>
      <c r="HP4" s="244"/>
      <c r="HQ4" s="244"/>
      <c r="HR4" s="244"/>
      <c r="HS4" s="244"/>
      <c r="HT4" s="244"/>
      <c r="HU4" s="244"/>
      <c r="HV4" s="244"/>
      <c r="HW4" s="244"/>
      <c r="HX4" s="244"/>
      <c r="HY4" s="244"/>
      <c r="HZ4" s="244"/>
      <c r="IA4" s="244"/>
      <c r="IB4" s="244"/>
      <c r="IC4" s="244"/>
      <c r="ID4" s="244"/>
      <c r="IE4" s="244"/>
      <c r="IF4" s="244"/>
      <c r="IG4" s="244"/>
      <c r="IH4" s="244"/>
      <c r="II4" s="244"/>
      <c r="IJ4" s="244"/>
      <c r="IK4" s="244"/>
      <c r="IL4" s="244"/>
      <c r="IM4" s="244"/>
      <c r="IN4" s="244"/>
      <c r="IO4" s="244"/>
      <c r="IP4" s="244"/>
      <c r="IQ4" s="244"/>
      <c r="IR4" s="244"/>
      <c r="IS4" s="244"/>
      <c r="IT4" s="244"/>
      <c r="IU4" s="244"/>
      <c r="IV4" s="244"/>
    </row>
    <row r="5" spans="1:702" s="192" customFormat="1" ht="12.75" thickBot="1" x14ac:dyDescent="0.25">
      <c r="A5" s="244" t="s">
        <v>342</v>
      </c>
      <c r="B5" s="195" t="str">
        <f>HLOOKUP($B$2,DB_Artikel,ROW()-1,FALSE)</f>
        <v>EN AC-71000</v>
      </c>
      <c r="C5" s="211" t="str">
        <f>'Quick Input'!I10</f>
        <v>AL-Materialart</v>
      </c>
      <c r="D5" s="192" t="s">
        <v>325</v>
      </c>
      <c r="E5" s="192" t="s">
        <v>325</v>
      </c>
      <c r="F5" s="192" t="s">
        <v>324</v>
      </c>
      <c r="G5" s="192" t="s">
        <v>324</v>
      </c>
      <c r="H5" s="192" t="s">
        <v>342</v>
      </c>
      <c r="I5" s="192" t="s">
        <v>342</v>
      </c>
      <c r="J5" s="192" t="s">
        <v>303</v>
      </c>
      <c r="K5" s="192" t="s">
        <v>303</v>
      </c>
      <c r="L5" s="192" t="s">
        <v>303</v>
      </c>
      <c r="M5" s="193" t="s">
        <v>303</v>
      </c>
      <c r="N5" s="192" t="s">
        <v>324</v>
      </c>
      <c r="O5" s="192" t="s">
        <v>324</v>
      </c>
      <c r="P5" s="192" t="s">
        <v>303</v>
      </c>
      <c r="Q5" s="192" t="s">
        <v>303</v>
      </c>
      <c r="R5" s="192" t="s">
        <v>324</v>
      </c>
      <c r="S5" s="192" t="s">
        <v>325</v>
      </c>
      <c r="T5" s="192" t="s">
        <v>324</v>
      </c>
      <c r="U5" s="192" t="s">
        <v>342</v>
      </c>
      <c r="EW5" s="244"/>
      <c r="EX5" s="244"/>
      <c r="EY5" s="244"/>
      <c r="EZ5" s="244"/>
      <c r="FA5" s="244"/>
      <c r="FB5" s="244"/>
      <c r="FC5" s="244"/>
      <c r="FD5" s="244"/>
      <c r="FE5" s="244"/>
      <c r="FF5" s="244"/>
      <c r="FG5" s="244"/>
      <c r="FH5" s="244"/>
      <c r="FI5" s="244"/>
      <c r="FJ5" s="244"/>
      <c r="FK5" s="244"/>
      <c r="FL5" s="244"/>
      <c r="FM5" s="244"/>
      <c r="FN5" s="244"/>
      <c r="FO5" s="244"/>
      <c r="FP5" s="244"/>
      <c r="FQ5" s="244"/>
      <c r="FR5" s="244"/>
      <c r="FS5" s="244"/>
      <c r="FT5" s="244"/>
      <c r="FU5" s="244"/>
      <c r="FV5" s="244"/>
      <c r="FW5" s="244"/>
      <c r="FX5" s="244"/>
      <c r="FY5" s="244"/>
      <c r="FZ5" s="244"/>
      <c r="GA5" s="244"/>
      <c r="GB5" s="244"/>
      <c r="GC5" s="244"/>
      <c r="GD5" s="244"/>
      <c r="GE5" s="244"/>
      <c r="GF5" s="244"/>
      <c r="GG5" s="244"/>
      <c r="GH5" s="244"/>
      <c r="GI5" s="244"/>
      <c r="GJ5" s="244"/>
      <c r="GK5" s="244"/>
      <c r="GL5" s="244"/>
      <c r="GM5" s="244"/>
      <c r="GN5" s="244"/>
      <c r="GO5" s="244"/>
      <c r="GP5" s="244"/>
      <c r="GQ5" s="244"/>
      <c r="GR5" s="244"/>
      <c r="GS5" s="244"/>
      <c r="GT5" s="244"/>
      <c r="GU5" s="244"/>
      <c r="GV5" s="244"/>
      <c r="GW5" s="244"/>
      <c r="GX5" s="244"/>
      <c r="GY5" s="244"/>
      <c r="GZ5" s="244"/>
      <c r="HA5" s="244"/>
      <c r="HB5" s="244"/>
      <c r="HC5" s="244"/>
      <c r="HD5" s="244"/>
      <c r="HE5" s="244"/>
      <c r="HF5" s="244"/>
      <c r="HG5" s="244"/>
      <c r="HH5" s="244"/>
      <c r="HI5" s="244"/>
      <c r="HJ5" s="244"/>
      <c r="HK5" s="244"/>
      <c r="HL5" s="244"/>
      <c r="HM5" s="244"/>
      <c r="HN5" s="244"/>
      <c r="HO5" s="244"/>
      <c r="HP5" s="244"/>
      <c r="HQ5" s="244"/>
      <c r="HR5" s="244"/>
      <c r="HS5" s="244"/>
      <c r="HT5" s="244"/>
      <c r="HU5" s="244"/>
      <c r="HV5" s="244"/>
      <c r="HW5" s="244"/>
      <c r="HX5" s="244"/>
      <c r="HY5" s="244"/>
      <c r="HZ5" s="244"/>
      <c r="IA5" s="244"/>
      <c r="IB5" s="244"/>
      <c r="IC5" s="244"/>
      <c r="ID5" s="244"/>
      <c r="IE5" s="244"/>
      <c r="IF5" s="244"/>
      <c r="IG5" s="244"/>
      <c r="IH5" s="244"/>
      <c r="II5" s="244"/>
      <c r="IJ5" s="244"/>
      <c r="IK5" s="244"/>
      <c r="IL5" s="244"/>
      <c r="IM5" s="244"/>
      <c r="IN5" s="244"/>
      <c r="IO5" s="244"/>
      <c r="IP5" s="244"/>
      <c r="IQ5" s="244"/>
      <c r="IR5" s="244"/>
      <c r="IS5" s="244"/>
      <c r="IT5" s="244"/>
      <c r="IU5" s="244"/>
      <c r="IV5" s="244"/>
    </row>
    <row r="6" spans="1:702" s="192" customFormat="1" ht="12.75" thickBot="1" x14ac:dyDescent="0.25">
      <c r="A6" s="244" t="s">
        <v>702</v>
      </c>
      <c r="B6" s="195" t="str">
        <f>HLOOKUP($B$2,DB_Artikel,ROW()-1,FALSE)</f>
        <v>Al Zn5Mg</v>
      </c>
      <c r="C6" s="211" t="str">
        <f>'Quick Input'!I11</f>
        <v>Bezeichnung</v>
      </c>
      <c r="D6" s="192" t="s">
        <v>673</v>
      </c>
      <c r="E6" s="192" t="s">
        <v>673</v>
      </c>
      <c r="F6" s="192" t="s">
        <v>672</v>
      </c>
      <c r="G6" s="192" t="s">
        <v>672</v>
      </c>
      <c r="H6" s="192" t="s">
        <v>702</v>
      </c>
      <c r="I6" s="192" t="s">
        <v>702</v>
      </c>
      <c r="J6" s="192" t="s">
        <v>679</v>
      </c>
      <c r="K6" s="192" t="s">
        <v>679</v>
      </c>
      <c r="L6" s="192" t="s">
        <v>679</v>
      </c>
      <c r="M6" s="193" t="s">
        <v>679</v>
      </c>
      <c r="N6" s="192" t="s">
        <v>672</v>
      </c>
      <c r="O6" s="192" t="s">
        <v>672</v>
      </c>
      <c r="P6" s="192" t="s">
        <v>679</v>
      </c>
      <c r="Q6" s="192" t="s">
        <v>679</v>
      </c>
      <c r="R6" s="192" t="s">
        <v>672</v>
      </c>
      <c r="S6" s="192" t="s">
        <v>673</v>
      </c>
      <c r="T6" s="192" t="s">
        <v>672</v>
      </c>
      <c r="U6" s="192" t="s">
        <v>702</v>
      </c>
      <c r="EW6" s="244"/>
      <c r="EX6" s="244"/>
      <c r="EY6" s="244"/>
      <c r="EZ6" s="244"/>
      <c r="FA6" s="244"/>
      <c r="FB6" s="244"/>
      <c r="FC6" s="244"/>
      <c r="FD6" s="244"/>
      <c r="FE6" s="244"/>
      <c r="FF6" s="244"/>
      <c r="FG6" s="244"/>
      <c r="FH6" s="244"/>
      <c r="FI6" s="244"/>
      <c r="FJ6" s="244"/>
      <c r="FK6" s="244"/>
      <c r="FL6" s="244"/>
      <c r="FM6" s="244"/>
      <c r="FN6" s="244"/>
      <c r="FO6" s="244"/>
      <c r="FP6" s="244"/>
      <c r="FQ6" s="244"/>
      <c r="FR6" s="244"/>
      <c r="FS6" s="244"/>
      <c r="FT6" s="244"/>
      <c r="FU6" s="244"/>
      <c r="FV6" s="244"/>
      <c r="FW6" s="244"/>
      <c r="FX6" s="244"/>
      <c r="FY6" s="244"/>
      <c r="FZ6" s="244"/>
      <c r="GA6" s="244"/>
      <c r="GB6" s="244"/>
      <c r="GC6" s="244"/>
      <c r="GD6" s="244"/>
      <c r="GE6" s="244"/>
      <c r="GF6" s="244"/>
      <c r="GG6" s="244"/>
      <c r="GH6" s="244"/>
      <c r="GI6" s="244"/>
      <c r="GJ6" s="244"/>
      <c r="GK6" s="244"/>
      <c r="GL6" s="244"/>
      <c r="GM6" s="244"/>
      <c r="GN6" s="244"/>
      <c r="GO6" s="244"/>
      <c r="GP6" s="244"/>
      <c r="GQ6" s="244"/>
      <c r="GR6" s="244"/>
      <c r="GS6" s="244"/>
      <c r="GT6" s="244"/>
      <c r="GU6" s="244"/>
      <c r="GV6" s="244"/>
      <c r="GW6" s="244"/>
      <c r="GX6" s="244"/>
      <c r="GY6" s="244"/>
      <c r="GZ6" s="244"/>
      <c r="HA6" s="244"/>
      <c r="HB6" s="244"/>
      <c r="HC6" s="244"/>
      <c r="HD6" s="244"/>
      <c r="HE6" s="244"/>
      <c r="HF6" s="244"/>
      <c r="HG6" s="244"/>
      <c r="HH6" s="244"/>
      <c r="HI6" s="244"/>
      <c r="HJ6" s="244"/>
      <c r="HK6" s="244"/>
      <c r="HL6" s="244"/>
      <c r="HM6" s="244"/>
      <c r="HN6" s="244"/>
      <c r="HO6" s="244"/>
      <c r="HP6" s="244"/>
      <c r="HQ6" s="244"/>
      <c r="HR6" s="244"/>
      <c r="HS6" s="244"/>
      <c r="HT6" s="244"/>
      <c r="HU6" s="244"/>
      <c r="HV6" s="244"/>
      <c r="HW6" s="244"/>
      <c r="HX6" s="244"/>
      <c r="HY6" s="244"/>
      <c r="HZ6" s="244"/>
      <c r="IA6" s="244"/>
      <c r="IB6" s="244"/>
      <c r="IC6" s="244"/>
      <c r="ID6" s="244"/>
      <c r="IE6" s="244"/>
      <c r="IF6" s="244"/>
      <c r="IG6" s="244"/>
      <c r="IH6" s="244"/>
      <c r="II6" s="244"/>
      <c r="IJ6" s="244"/>
      <c r="IK6" s="244"/>
      <c r="IL6" s="244"/>
      <c r="IM6" s="244"/>
      <c r="IN6" s="244"/>
      <c r="IO6" s="244"/>
      <c r="IP6" s="244"/>
      <c r="IQ6" s="244"/>
      <c r="IR6" s="244"/>
      <c r="IS6" s="244"/>
      <c r="IT6" s="244"/>
      <c r="IU6" s="244"/>
      <c r="IV6" s="244"/>
    </row>
    <row r="7" spans="1:702" s="192" customFormat="1" ht="12.75" thickBot="1" x14ac:dyDescent="0.25">
      <c r="A7" s="244" t="s">
        <v>6</v>
      </c>
      <c r="B7" s="195" t="str">
        <f>VLOOKUP(VLOOKUP(HLOOKUP($B$2,DB_Artikel,ROW()-1,FALSE),Auswahlfelder!$D$12:$E$13,2,FALSE),Auswahlfelder!$A$12:$B$13,2,FALSE)</f>
        <v>Materialdatenbank</v>
      </c>
      <c r="C7" s="211" t="str">
        <f>'Quick Input'!I12</f>
        <v>Quelle Materialpreis</v>
      </c>
      <c r="D7" s="192" t="s">
        <v>6</v>
      </c>
      <c r="E7" s="192" t="s">
        <v>6</v>
      </c>
      <c r="F7" s="192" t="s">
        <v>6</v>
      </c>
      <c r="G7" s="192" t="s">
        <v>6</v>
      </c>
      <c r="H7" s="192" t="s">
        <v>6</v>
      </c>
      <c r="I7" s="192" t="s">
        <v>6</v>
      </c>
      <c r="J7" s="192" t="s">
        <v>6</v>
      </c>
      <c r="K7" s="192" t="s">
        <v>6</v>
      </c>
      <c r="L7" s="192" t="s">
        <v>6</v>
      </c>
      <c r="M7" s="193" t="s">
        <v>6</v>
      </c>
      <c r="N7" s="192" t="s">
        <v>6</v>
      </c>
      <c r="O7" s="192" t="s">
        <v>6</v>
      </c>
      <c r="P7" s="192" t="s">
        <v>6</v>
      </c>
      <c r="Q7" s="192" t="s">
        <v>6</v>
      </c>
      <c r="R7" s="192" t="s">
        <v>6</v>
      </c>
      <c r="S7" s="192" t="s">
        <v>6</v>
      </c>
      <c r="T7" s="192" t="s">
        <v>6</v>
      </c>
      <c r="U7" s="192" t="s">
        <v>6</v>
      </c>
      <c r="EW7" s="244"/>
      <c r="EX7" s="244"/>
      <c r="EY7" s="244"/>
      <c r="EZ7" s="244"/>
      <c r="FA7" s="244"/>
      <c r="FB7" s="244"/>
      <c r="FC7" s="244"/>
      <c r="FD7" s="244"/>
      <c r="FE7" s="244"/>
      <c r="FF7" s="244"/>
      <c r="FG7" s="244"/>
      <c r="FH7" s="244"/>
      <c r="FI7" s="244"/>
      <c r="FJ7" s="244"/>
      <c r="FK7" s="244"/>
      <c r="FL7" s="244"/>
      <c r="FM7" s="244"/>
      <c r="FN7" s="244"/>
      <c r="FO7" s="244"/>
      <c r="FP7" s="244"/>
      <c r="FQ7" s="244"/>
      <c r="FR7" s="244"/>
      <c r="FS7" s="244"/>
      <c r="FT7" s="244"/>
      <c r="FU7" s="244"/>
      <c r="FV7" s="244"/>
      <c r="FW7" s="244"/>
      <c r="FX7" s="244"/>
      <c r="FY7" s="244"/>
      <c r="FZ7" s="244"/>
      <c r="GA7" s="244"/>
      <c r="GB7" s="244"/>
      <c r="GC7" s="244"/>
      <c r="GD7" s="244"/>
      <c r="GE7" s="244"/>
      <c r="GF7" s="244"/>
      <c r="GG7" s="244"/>
      <c r="GH7" s="244"/>
      <c r="GI7" s="244"/>
      <c r="GJ7" s="244"/>
      <c r="GK7" s="244"/>
      <c r="GL7" s="244"/>
      <c r="GM7" s="244"/>
      <c r="GN7" s="244"/>
      <c r="GO7" s="244"/>
      <c r="GP7" s="244"/>
      <c r="GQ7" s="244"/>
      <c r="GR7" s="244"/>
      <c r="GS7" s="244"/>
      <c r="GT7" s="244"/>
      <c r="GU7" s="244"/>
      <c r="GV7" s="244"/>
      <c r="GW7" s="244"/>
      <c r="GX7" s="244"/>
      <c r="GY7" s="244"/>
      <c r="GZ7" s="244"/>
      <c r="HA7" s="244"/>
      <c r="HB7" s="244"/>
      <c r="HC7" s="244"/>
      <c r="HD7" s="244"/>
      <c r="HE7" s="244"/>
      <c r="HF7" s="244"/>
      <c r="HG7" s="244"/>
      <c r="HH7" s="244"/>
      <c r="HI7" s="244"/>
      <c r="HJ7" s="244"/>
      <c r="HK7" s="244"/>
      <c r="HL7" s="244"/>
      <c r="HM7" s="244"/>
      <c r="HN7" s="244"/>
      <c r="HO7" s="244"/>
      <c r="HP7" s="244"/>
      <c r="HQ7" s="244"/>
      <c r="HR7" s="244"/>
      <c r="HS7" s="244"/>
      <c r="HT7" s="244"/>
      <c r="HU7" s="244"/>
      <c r="HV7" s="244"/>
      <c r="HW7" s="244"/>
      <c r="HX7" s="244"/>
      <c r="HY7" s="244"/>
      <c r="HZ7" s="244"/>
      <c r="IA7" s="244"/>
      <c r="IB7" s="244"/>
      <c r="IC7" s="244"/>
      <c r="ID7" s="244"/>
      <c r="IE7" s="244"/>
      <c r="IF7" s="244"/>
      <c r="IG7" s="244"/>
      <c r="IH7" s="244"/>
      <c r="II7" s="244"/>
      <c r="IJ7" s="244"/>
      <c r="IK7" s="244"/>
      <c r="IL7" s="244"/>
      <c r="IM7" s="244"/>
      <c r="IN7" s="244"/>
      <c r="IO7" s="244"/>
      <c r="IP7" s="244"/>
      <c r="IQ7" s="244"/>
      <c r="IR7" s="244"/>
      <c r="IS7" s="244"/>
      <c r="IT7" s="244"/>
      <c r="IU7" s="244"/>
      <c r="IV7" s="244"/>
    </row>
    <row r="8" spans="1:702" s="192" customFormat="1" ht="12.75" thickBot="1" x14ac:dyDescent="0.25">
      <c r="A8" s="244">
        <v>2.42</v>
      </c>
      <c r="B8" s="195">
        <f t="shared" ref="B8:B15" si="11">HLOOKUP($B$2,DB_Artikel,ROW()-1,FALSE)</f>
        <v>2.42</v>
      </c>
      <c r="C8" s="211" t="str">
        <f>'Quick Input'!I13</f>
        <v>Al-Materialpreis (€/kg)</v>
      </c>
      <c r="D8" s="192">
        <v>2.64</v>
      </c>
      <c r="E8" s="192">
        <v>2.64</v>
      </c>
      <c r="F8" s="192">
        <v>2.6</v>
      </c>
      <c r="G8" s="192">
        <v>2.6</v>
      </c>
      <c r="H8" s="192">
        <v>2.42</v>
      </c>
      <c r="I8" s="192">
        <v>2.42</v>
      </c>
      <c r="J8" s="192">
        <v>2.56</v>
      </c>
      <c r="K8" s="192">
        <v>2.56</v>
      </c>
      <c r="L8" s="192">
        <v>2.56</v>
      </c>
      <c r="M8" s="193">
        <v>2.56</v>
      </c>
      <c r="N8" s="192">
        <v>2.6</v>
      </c>
      <c r="O8" s="192">
        <v>2.6</v>
      </c>
      <c r="P8" s="192">
        <v>2.56</v>
      </c>
      <c r="Q8" s="192">
        <v>2.56</v>
      </c>
      <c r="R8" s="192">
        <v>2.6</v>
      </c>
      <c r="S8" s="192">
        <v>2.64</v>
      </c>
      <c r="T8" s="192">
        <v>2.6</v>
      </c>
      <c r="U8" s="192">
        <v>2.42</v>
      </c>
      <c r="EW8" s="244"/>
      <c r="EX8" s="244"/>
      <c r="EY8" s="244"/>
      <c r="EZ8" s="244"/>
      <c r="FA8" s="244"/>
      <c r="FB8" s="244"/>
      <c r="FC8" s="244"/>
      <c r="FD8" s="244"/>
      <c r="FE8" s="244"/>
      <c r="FF8" s="244"/>
      <c r="FG8" s="244"/>
      <c r="FH8" s="244"/>
      <c r="FI8" s="244"/>
      <c r="FJ8" s="244"/>
      <c r="FK8" s="244"/>
      <c r="FL8" s="244"/>
      <c r="FM8" s="244"/>
      <c r="FN8" s="244"/>
      <c r="FO8" s="244"/>
      <c r="FP8" s="244"/>
      <c r="FQ8" s="244"/>
      <c r="FR8" s="244"/>
      <c r="FS8" s="244"/>
      <c r="FT8" s="244"/>
      <c r="FU8" s="244"/>
      <c r="FV8" s="244"/>
      <c r="FW8" s="244"/>
      <c r="FX8" s="244"/>
      <c r="FY8" s="244"/>
      <c r="FZ8" s="244"/>
      <c r="GA8" s="244"/>
      <c r="GB8" s="244"/>
      <c r="GC8" s="244"/>
      <c r="GD8" s="244"/>
      <c r="GE8" s="244"/>
      <c r="GF8" s="244"/>
      <c r="GG8" s="244"/>
      <c r="GH8" s="244"/>
      <c r="GI8" s="244"/>
      <c r="GJ8" s="244"/>
      <c r="GK8" s="244"/>
      <c r="GL8" s="244"/>
      <c r="GM8" s="244"/>
      <c r="GN8" s="244"/>
      <c r="GO8" s="244"/>
      <c r="GP8" s="244"/>
      <c r="GQ8" s="244"/>
      <c r="GR8" s="244"/>
      <c r="GS8" s="244"/>
      <c r="GT8" s="244"/>
      <c r="GU8" s="244"/>
      <c r="GV8" s="244"/>
      <c r="GW8" s="244"/>
      <c r="GX8" s="244"/>
      <c r="GY8" s="244"/>
      <c r="GZ8" s="244"/>
      <c r="HA8" s="244"/>
      <c r="HB8" s="244"/>
      <c r="HC8" s="244"/>
      <c r="HD8" s="244"/>
      <c r="HE8" s="244"/>
      <c r="HF8" s="244"/>
      <c r="HG8" s="244"/>
      <c r="HH8" s="244"/>
      <c r="HI8" s="244"/>
      <c r="HJ8" s="244"/>
      <c r="HK8" s="244"/>
      <c r="HL8" s="244"/>
      <c r="HM8" s="244"/>
      <c r="HN8" s="244"/>
      <c r="HO8" s="244"/>
      <c r="HP8" s="244"/>
      <c r="HQ8" s="244"/>
      <c r="HR8" s="244"/>
      <c r="HS8" s="244"/>
      <c r="HT8" s="244"/>
      <c r="HU8" s="244"/>
      <c r="HV8" s="244"/>
      <c r="HW8" s="244"/>
      <c r="HX8" s="244"/>
      <c r="HY8" s="244"/>
      <c r="HZ8" s="244"/>
      <c r="IA8" s="244"/>
      <c r="IB8" s="244"/>
      <c r="IC8" s="244"/>
      <c r="ID8" s="244"/>
      <c r="IE8" s="244"/>
      <c r="IF8" s="244"/>
      <c r="IG8" s="244"/>
      <c r="IH8" s="244"/>
      <c r="II8" s="244"/>
      <c r="IJ8" s="244"/>
      <c r="IK8" s="244"/>
      <c r="IL8" s="244"/>
      <c r="IM8" s="244"/>
      <c r="IN8" s="244"/>
      <c r="IO8" s="244"/>
      <c r="IP8" s="244"/>
      <c r="IQ8" s="244"/>
      <c r="IR8" s="244"/>
      <c r="IS8" s="244"/>
      <c r="IT8" s="244"/>
      <c r="IU8" s="244"/>
      <c r="IV8" s="244"/>
    </row>
    <row r="9" spans="1:702" s="192" customFormat="1" ht="12.75" thickBot="1" x14ac:dyDescent="0.25">
      <c r="A9" s="244">
        <v>250</v>
      </c>
      <c r="B9" s="195">
        <f t="shared" si="11"/>
        <v>250</v>
      </c>
      <c r="C9" s="211" t="str">
        <f>'Quick Input'!I14</f>
        <v>Länge (mm)</v>
      </c>
      <c r="D9" s="192">
        <v>1500</v>
      </c>
      <c r="E9" s="192">
        <v>1500</v>
      </c>
      <c r="F9" s="192">
        <v>1500</v>
      </c>
      <c r="G9" s="192">
        <v>1500</v>
      </c>
      <c r="H9" s="192">
        <v>250</v>
      </c>
      <c r="I9" s="192">
        <v>250</v>
      </c>
      <c r="J9" s="192">
        <v>1000</v>
      </c>
      <c r="K9" s="192">
        <v>1000</v>
      </c>
      <c r="L9" s="192">
        <v>1000</v>
      </c>
      <c r="M9" s="193">
        <v>1000</v>
      </c>
      <c r="N9" s="192">
        <v>800</v>
      </c>
      <c r="O9" s="192">
        <v>800</v>
      </c>
      <c r="P9" s="192">
        <v>1000</v>
      </c>
      <c r="Q9" s="192">
        <v>1000</v>
      </c>
      <c r="R9" s="192">
        <v>800</v>
      </c>
      <c r="S9" s="192">
        <v>1500</v>
      </c>
      <c r="T9" s="192">
        <v>1500</v>
      </c>
      <c r="U9" s="192">
        <v>250</v>
      </c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  <c r="GS9" s="244"/>
      <c r="GT9" s="244"/>
      <c r="GU9" s="244"/>
      <c r="GV9" s="244"/>
      <c r="GW9" s="244"/>
      <c r="GX9" s="244"/>
      <c r="GY9" s="244"/>
      <c r="GZ9" s="244"/>
      <c r="HA9" s="244"/>
      <c r="HB9" s="244"/>
      <c r="HC9" s="244"/>
      <c r="HD9" s="244"/>
      <c r="HE9" s="244"/>
      <c r="HF9" s="244"/>
      <c r="HG9" s="244"/>
      <c r="HH9" s="244"/>
      <c r="HI9" s="244"/>
      <c r="HJ9" s="244"/>
      <c r="HK9" s="244"/>
      <c r="HL9" s="244"/>
      <c r="HM9" s="244"/>
      <c r="HN9" s="244"/>
      <c r="HO9" s="244"/>
      <c r="HP9" s="244"/>
      <c r="HQ9" s="244"/>
      <c r="HR9" s="244"/>
      <c r="HS9" s="244"/>
      <c r="HT9" s="244"/>
      <c r="HU9" s="244"/>
      <c r="HV9" s="244"/>
      <c r="HW9" s="244"/>
      <c r="HX9" s="244"/>
      <c r="HY9" s="244"/>
      <c r="HZ9" s="244"/>
      <c r="IA9" s="244"/>
      <c r="IB9" s="244"/>
      <c r="IC9" s="244"/>
      <c r="ID9" s="244"/>
      <c r="IE9" s="244"/>
      <c r="IF9" s="244"/>
      <c r="IG9" s="244"/>
      <c r="IH9" s="244"/>
      <c r="II9" s="244"/>
      <c r="IJ9" s="244"/>
      <c r="IK9" s="244"/>
      <c r="IL9" s="244"/>
      <c r="IM9" s="244"/>
      <c r="IN9" s="244"/>
      <c r="IO9" s="244"/>
      <c r="IP9" s="244"/>
      <c r="IQ9" s="244"/>
      <c r="IR9" s="244"/>
      <c r="IS9" s="244"/>
      <c r="IT9" s="244"/>
      <c r="IU9" s="244"/>
      <c r="IV9" s="244"/>
    </row>
    <row r="10" spans="1:702" s="192" customFormat="1" ht="12.75" thickBot="1" x14ac:dyDescent="0.25">
      <c r="A10" s="244">
        <v>80</v>
      </c>
      <c r="B10" s="195">
        <f t="shared" si="11"/>
        <v>80</v>
      </c>
      <c r="C10" s="211" t="str">
        <f>'Quick Input'!I15</f>
        <v>Breite (mm)</v>
      </c>
      <c r="D10" s="192">
        <v>1000</v>
      </c>
      <c r="E10" s="192">
        <v>1000</v>
      </c>
      <c r="F10" s="192">
        <v>1000</v>
      </c>
      <c r="G10" s="192">
        <v>1000</v>
      </c>
      <c r="H10" s="192">
        <v>80</v>
      </c>
      <c r="I10" s="192">
        <v>80</v>
      </c>
      <c r="J10" s="192">
        <v>400</v>
      </c>
      <c r="K10" s="192">
        <v>400</v>
      </c>
      <c r="L10" s="192">
        <v>400</v>
      </c>
      <c r="M10" s="193">
        <v>400</v>
      </c>
      <c r="N10" s="192">
        <v>300</v>
      </c>
      <c r="O10" s="192">
        <v>300</v>
      </c>
      <c r="P10" s="192">
        <v>400</v>
      </c>
      <c r="Q10" s="192">
        <v>400</v>
      </c>
      <c r="R10" s="192">
        <v>300</v>
      </c>
      <c r="S10" s="192">
        <v>1000</v>
      </c>
      <c r="T10" s="192">
        <v>1000</v>
      </c>
      <c r="U10" s="192">
        <v>80</v>
      </c>
      <c r="EW10" s="244"/>
      <c r="EX10" s="244"/>
      <c r="EY10" s="244"/>
      <c r="EZ10" s="244"/>
      <c r="FA10" s="244"/>
      <c r="FB10" s="244"/>
      <c r="FC10" s="244"/>
      <c r="FD10" s="244"/>
      <c r="FE10" s="244"/>
      <c r="FF10" s="244"/>
      <c r="FG10" s="244"/>
      <c r="FH10" s="244"/>
      <c r="FI10" s="244"/>
      <c r="FJ10" s="244"/>
      <c r="FK10" s="244"/>
      <c r="FL10" s="244"/>
      <c r="FM10" s="244"/>
      <c r="FN10" s="244"/>
      <c r="FO10" s="244"/>
      <c r="FP10" s="244"/>
      <c r="FQ10" s="244"/>
      <c r="FR10" s="244"/>
      <c r="FS10" s="244"/>
      <c r="FT10" s="244"/>
      <c r="FU10" s="244"/>
      <c r="FV10" s="244"/>
      <c r="FW10" s="244"/>
      <c r="FX10" s="244"/>
      <c r="FY10" s="244"/>
      <c r="FZ10" s="244"/>
      <c r="GA10" s="244"/>
      <c r="GB10" s="244"/>
      <c r="GC10" s="244"/>
      <c r="GD10" s="244"/>
      <c r="GE10" s="244"/>
      <c r="GF10" s="244"/>
      <c r="GG10" s="244"/>
      <c r="GH10" s="244"/>
      <c r="GI10" s="244"/>
      <c r="GJ10" s="244"/>
      <c r="GK10" s="244"/>
      <c r="GL10" s="244"/>
      <c r="GM10" s="244"/>
      <c r="GN10" s="244"/>
      <c r="GO10" s="244"/>
      <c r="GP10" s="244"/>
      <c r="GQ10" s="244"/>
      <c r="GR10" s="244"/>
      <c r="GS10" s="244"/>
      <c r="GT10" s="244"/>
      <c r="GU10" s="244"/>
      <c r="GV10" s="244"/>
      <c r="GW10" s="244"/>
      <c r="GX10" s="244"/>
      <c r="GY10" s="244"/>
      <c r="GZ10" s="244"/>
      <c r="HA10" s="244"/>
      <c r="HB10" s="244"/>
      <c r="HC10" s="244"/>
      <c r="HD10" s="244"/>
      <c r="HE10" s="244"/>
      <c r="HF10" s="244"/>
      <c r="HG10" s="244"/>
      <c r="HH10" s="244"/>
      <c r="HI10" s="244"/>
      <c r="HJ10" s="244"/>
      <c r="HK10" s="244"/>
      <c r="HL10" s="244"/>
      <c r="HM10" s="244"/>
      <c r="HN10" s="244"/>
      <c r="HO10" s="244"/>
      <c r="HP10" s="244"/>
      <c r="HQ10" s="244"/>
      <c r="HR10" s="244"/>
      <c r="HS10" s="244"/>
      <c r="HT10" s="244"/>
      <c r="HU10" s="244"/>
      <c r="HV10" s="244"/>
      <c r="HW10" s="244"/>
      <c r="HX10" s="244"/>
      <c r="HY10" s="244"/>
      <c r="HZ10" s="244"/>
      <c r="IA10" s="244"/>
      <c r="IB10" s="244"/>
      <c r="IC10" s="244"/>
      <c r="ID10" s="244"/>
      <c r="IE10" s="244"/>
      <c r="IF10" s="244"/>
      <c r="IG10" s="244"/>
      <c r="IH10" s="244"/>
      <c r="II10" s="244"/>
      <c r="IJ10" s="244"/>
      <c r="IK10" s="244"/>
      <c r="IL10" s="244"/>
      <c r="IM10" s="244"/>
      <c r="IN10" s="244"/>
      <c r="IO10" s="244"/>
      <c r="IP10" s="244"/>
      <c r="IQ10" s="244"/>
      <c r="IR10" s="244"/>
      <c r="IS10" s="244"/>
      <c r="IT10" s="244"/>
      <c r="IU10" s="244"/>
      <c r="IV10" s="244"/>
    </row>
    <row r="11" spans="1:702" s="192" customFormat="1" ht="12.75" thickBot="1" x14ac:dyDescent="0.25">
      <c r="A11" s="244">
        <v>120</v>
      </c>
      <c r="B11" s="195">
        <f t="shared" si="11"/>
        <v>120</v>
      </c>
      <c r="C11" s="211" t="str">
        <f>'Quick Input'!I16</f>
        <v>Höhe (mm)</v>
      </c>
      <c r="D11" s="192">
        <v>1000</v>
      </c>
      <c r="E11" s="192">
        <v>1000</v>
      </c>
      <c r="F11" s="192">
        <v>1000</v>
      </c>
      <c r="G11" s="192">
        <v>1000</v>
      </c>
      <c r="H11" s="192">
        <v>120</v>
      </c>
      <c r="I11" s="192">
        <v>120</v>
      </c>
      <c r="J11" s="192">
        <v>350</v>
      </c>
      <c r="K11" s="192">
        <v>350</v>
      </c>
      <c r="L11" s="192">
        <v>350</v>
      </c>
      <c r="M11" s="193">
        <v>350</v>
      </c>
      <c r="N11" s="192">
        <v>350</v>
      </c>
      <c r="O11" s="192">
        <v>350</v>
      </c>
      <c r="P11" s="192">
        <v>350</v>
      </c>
      <c r="Q11" s="192">
        <v>350</v>
      </c>
      <c r="R11" s="192">
        <v>350</v>
      </c>
      <c r="S11" s="192">
        <v>1000</v>
      </c>
      <c r="T11" s="192">
        <v>1000</v>
      </c>
      <c r="U11" s="192">
        <v>120</v>
      </c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  <c r="GS11" s="244"/>
      <c r="GT11" s="244"/>
      <c r="GU11" s="244"/>
      <c r="GV11" s="244"/>
      <c r="GW11" s="244"/>
      <c r="GX11" s="244"/>
      <c r="GY11" s="244"/>
      <c r="GZ11" s="244"/>
      <c r="HA11" s="244"/>
      <c r="HB11" s="244"/>
      <c r="HC11" s="244"/>
      <c r="HD11" s="244"/>
      <c r="HE11" s="244"/>
      <c r="HF11" s="244"/>
      <c r="HG11" s="244"/>
      <c r="HH11" s="244"/>
      <c r="HI11" s="244"/>
      <c r="HJ11" s="244"/>
      <c r="HK11" s="244"/>
      <c r="HL11" s="244"/>
      <c r="HM11" s="244"/>
      <c r="HN11" s="244"/>
      <c r="HO11" s="244"/>
      <c r="HP11" s="244"/>
      <c r="HQ11" s="244"/>
      <c r="HR11" s="244"/>
      <c r="HS11" s="244"/>
      <c r="HT11" s="244"/>
      <c r="HU11" s="244"/>
      <c r="HV11" s="244"/>
      <c r="HW11" s="244"/>
      <c r="HX11" s="244"/>
      <c r="HY11" s="244"/>
      <c r="HZ11" s="244"/>
      <c r="IA11" s="244"/>
      <c r="IB11" s="244"/>
      <c r="IC11" s="244"/>
      <c r="ID11" s="244"/>
      <c r="IE11" s="244"/>
      <c r="IF11" s="244"/>
      <c r="IG11" s="244"/>
      <c r="IH11" s="244"/>
      <c r="II11" s="244"/>
      <c r="IJ11" s="244"/>
      <c r="IK11" s="244"/>
      <c r="IL11" s="244"/>
      <c r="IM11" s="244"/>
      <c r="IN11" s="244"/>
      <c r="IO11" s="244"/>
      <c r="IP11" s="244"/>
      <c r="IQ11" s="244"/>
      <c r="IR11" s="244"/>
      <c r="IS11" s="244"/>
      <c r="IT11" s="244"/>
      <c r="IU11" s="244"/>
      <c r="IV11" s="244"/>
    </row>
    <row r="12" spans="1:702" s="192" customFormat="1" ht="12.75" thickBot="1" x14ac:dyDescent="0.25">
      <c r="A12" s="244">
        <v>30</v>
      </c>
      <c r="B12" s="195">
        <f t="shared" si="11"/>
        <v>30</v>
      </c>
      <c r="C12" s="211" t="str">
        <f>'Quick Input'!I17</f>
        <v>Wandstärke max (mm)</v>
      </c>
      <c r="D12" s="192">
        <v>35</v>
      </c>
      <c r="E12" s="192">
        <v>35</v>
      </c>
      <c r="F12" s="192">
        <v>35</v>
      </c>
      <c r="G12" s="192">
        <v>35</v>
      </c>
      <c r="H12" s="192">
        <v>30</v>
      </c>
      <c r="I12" s="192">
        <v>30</v>
      </c>
      <c r="J12" s="192">
        <v>35</v>
      </c>
      <c r="K12" s="192">
        <v>35</v>
      </c>
      <c r="L12" s="192">
        <v>35</v>
      </c>
      <c r="M12" s="193">
        <v>35</v>
      </c>
      <c r="N12" s="192">
        <v>35</v>
      </c>
      <c r="O12" s="192">
        <v>35</v>
      </c>
      <c r="P12" s="192">
        <v>35</v>
      </c>
      <c r="Q12" s="192">
        <v>35</v>
      </c>
      <c r="R12" s="192">
        <v>35</v>
      </c>
      <c r="S12" s="192">
        <v>35</v>
      </c>
      <c r="T12" s="192">
        <v>35</v>
      </c>
      <c r="U12" s="192">
        <v>30</v>
      </c>
      <c r="EW12" s="244"/>
      <c r="EX12" s="244"/>
      <c r="EY12" s="244"/>
      <c r="EZ12" s="244"/>
      <c r="FA12" s="244"/>
      <c r="FB12" s="244"/>
      <c r="FC12" s="244"/>
      <c r="FD12" s="244"/>
      <c r="FE12" s="244"/>
      <c r="FF12" s="244"/>
      <c r="FG12" s="244"/>
      <c r="FH12" s="244"/>
      <c r="FI12" s="244"/>
      <c r="FJ12" s="244"/>
      <c r="FK12" s="244"/>
      <c r="FL12" s="244"/>
      <c r="FM12" s="244"/>
      <c r="FN12" s="244"/>
      <c r="FO12" s="244"/>
      <c r="FP12" s="244"/>
      <c r="FQ12" s="244"/>
      <c r="FR12" s="244"/>
      <c r="FS12" s="244"/>
      <c r="FT12" s="244"/>
      <c r="FU12" s="244"/>
      <c r="FV12" s="244"/>
      <c r="FW12" s="244"/>
      <c r="FX12" s="244"/>
      <c r="FY12" s="244"/>
      <c r="FZ12" s="244"/>
      <c r="GA12" s="244"/>
      <c r="GB12" s="244"/>
      <c r="GC12" s="244"/>
      <c r="GD12" s="244"/>
      <c r="GE12" s="244"/>
      <c r="GF12" s="244"/>
      <c r="GG12" s="244"/>
      <c r="GH12" s="244"/>
      <c r="GI12" s="244"/>
      <c r="GJ12" s="244"/>
      <c r="GK12" s="244"/>
      <c r="GL12" s="244"/>
      <c r="GM12" s="244"/>
      <c r="GN12" s="244"/>
      <c r="GO12" s="244"/>
      <c r="GP12" s="244"/>
      <c r="GQ12" s="244"/>
      <c r="GR12" s="244"/>
      <c r="GS12" s="244"/>
      <c r="GT12" s="244"/>
      <c r="GU12" s="244"/>
      <c r="GV12" s="244"/>
      <c r="GW12" s="244"/>
      <c r="GX12" s="244"/>
      <c r="GY12" s="244"/>
      <c r="GZ12" s="244"/>
      <c r="HA12" s="244"/>
      <c r="HB12" s="244"/>
      <c r="HC12" s="244"/>
      <c r="HD12" s="244"/>
      <c r="HE12" s="244"/>
      <c r="HF12" s="244"/>
      <c r="HG12" s="244"/>
      <c r="HH12" s="244"/>
      <c r="HI12" s="244"/>
      <c r="HJ12" s="244"/>
      <c r="HK12" s="244"/>
      <c r="HL12" s="244"/>
      <c r="HM12" s="244"/>
      <c r="HN12" s="244"/>
      <c r="HO12" s="244"/>
      <c r="HP12" s="244"/>
      <c r="HQ12" s="244"/>
      <c r="HR12" s="244"/>
      <c r="HS12" s="244"/>
      <c r="HT12" s="244"/>
      <c r="HU12" s="244"/>
      <c r="HV12" s="244"/>
      <c r="HW12" s="244"/>
      <c r="HX12" s="244"/>
      <c r="HY12" s="244"/>
      <c r="HZ12" s="244"/>
      <c r="IA12" s="244"/>
      <c r="IB12" s="244"/>
      <c r="IC12" s="244"/>
      <c r="ID12" s="244"/>
      <c r="IE12" s="244"/>
      <c r="IF12" s="244"/>
      <c r="IG12" s="244"/>
      <c r="IH12" s="244"/>
      <c r="II12" s="244"/>
      <c r="IJ12" s="244"/>
      <c r="IK12" s="244"/>
      <c r="IL12" s="244"/>
      <c r="IM12" s="244"/>
      <c r="IN12" s="244"/>
      <c r="IO12" s="244"/>
      <c r="IP12" s="244"/>
      <c r="IQ12" s="244"/>
      <c r="IR12" s="244"/>
      <c r="IS12" s="244"/>
      <c r="IT12" s="244"/>
      <c r="IU12" s="244"/>
      <c r="IV12" s="244"/>
    </row>
    <row r="13" spans="1:702" s="192" customFormat="1" ht="12.75" thickBot="1" x14ac:dyDescent="0.25">
      <c r="A13" s="244">
        <v>9</v>
      </c>
      <c r="B13" s="195">
        <f t="shared" si="11"/>
        <v>9</v>
      </c>
      <c r="C13" s="211" t="str">
        <f>'Quick Input'!I18</f>
        <v>Wandstärke min (mm)</v>
      </c>
      <c r="D13" s="192">
        <v>12</v>
      </c>
      <c r="E13" s="192">
        <v>12</v>
      </c>
      <c r="F13" s="192">
        <v>12</v>
      </c>
      <c r="G13" s="192">
        <v>12</v>
      </c>
      <c r="H13" s="192">
        <v>9</v>
      </c>
      <c r="I13" s="192">
        <v>9</v>
      </c>
      <c r="J13" s="192">
        <v>12</v>
      </c>
      <c r="K13" s="192">
        <v>12</v>
      </c>
      <c r="L13" s="192">
        <v>12</v>
      </c>
      <c r="M13" s="193">
        <v>12</v>
      </c>
      <c r="N13" s="192">
        <v>12</v>
      </c>
      <c r="O13" s="192">
        <v>12</v>
      </c>
      <c r="P13" s="192">
        <v>12</v>
      </c>
      <c r="Q13" s="192">
        <v>12</v>
      </c>
      <c r="R13" s="192">
        <v>12</v>
      </c>
      <c r="S13" s="192">
        <v>12</v>
      </c>
      <c r="T13" s="192">
        <v>12</v>
      </c>
      <c r="U13" s="192">
        <v>9</v>
      </c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  <c r="GS13" s="244"/>
      <c r="GT13" s="244"/>
      <c r="GU13" s="244"/>
      <c r="GV13" s="244"/>
      <c r="GW13" s="244"/>
      <c r="GX13" s="244"/>
      <c r="GY13" s="244"/>
      <c r="GZ13" s="244"/>
      <c r="HA13" s="244"/>
      <c r="HB13" s="244"/>
      <c r="HC13" s="244"/>
      <c r="HD13" s="244"/>
      <c r="HE13" s="244"/>
      <c r="HF13" s="244"/>
      <c r="HG13" s="244"/>
      <c r="HH13" s="244"/>
      <c r="HI13" s="244"/>
      <c r="HJ13" s="244"/>
      <c r="HK13" s="244"/>
      <c r="HL13" s="244"/>
      <c r="HM13" s="244"/>
      <c r="HN13" s="244"/>
      <c r="HO13" s="244"/>
      <c r="HP13" s="244"/>
      <c r="HQ13" s="244"/>
      <c r="HR13" s="244"/>
      <c r="HS13" s="244"/>
      <c r="HT13" s="244"/>
      <c r="HU13" s="244"/>
      <c r="HV13" s="244"/>
      <c r="HW13" s="244"/>
      <c r="HX13" s="244"/>
      <c r="HY13" s="244"/>
      <c r="HZ13" s="244"/>
      <c r="IA13" s="244"/>
      <c r="IB13" s="244"/>
      <c r="IC13" s="244"/>
      <c r="ID13" s="244"/>
      <c r="IE13" s="244"/>
      <c r="IF13" s="244"/>
      <c r="IG13" s="244"/>
      <c r="IH13" s="244"/>
      <c r="II13" s="244"/>
      <c r="IJ13" s="244"/>
      <c r="IK13" s="244"/>
      <c r="IL13" s="244"/>
      <c r="IM13" s="244"/>
      <c r="IN13" s="244"/>
      <c r="IO13" s="244"/>
      <c r="IP13" s="244"/>
      <c r="IQ13" s="244"/>
      <c r="IR13" s="244"/>
      <c r="IS13" s="244"/>
      <c r="IT13" s="244"/>
      <c r="IU13" s="244"/>
      <c r="IV13" s="244"/>
    </row>
    <row r="14" spans="1:702" s="192" customFormat="1" ht="12.75" thickBot="1" x14ac:dyDescent="0.25">
      <c r="A14" s="244">
        <v>3</v>
      </c>
      <c r="B14" s="195">
        <f t="shared" si="11"/>
        <v>3</v>
      </c>
      <c r="C14" s="211" t="str">
        <f>'Quick Input'!I19</f>
        <v>Rohteilgewicht AL (kg)</v>
      </c>
      <c r="D14" s="192">
        <v>75</v>
      </c>
      <c r="E14" s="192">
        <v>75</v>
      </c>
      <c r="F14" s="192">
        <v>75</v>
      </c>
      <c r="G14" s="192">
        <v>75</v>
      </c>
      <c r="H14" s="192">
        <v>3</v>
      </c>
      <c r="I14" s="192">
        <v>3</v>
      </c>
      <c r="J14" s="192">
        <v>48</v>
      </c>
      <c r="K14" s="192">
        <v>48</v>
      </c>
      <c r="L14" s="192">
        <v>48</v>
      </c>
      <c r="M14" s="193">
        <v>48</v>
      </c>
      <c r="N14" s="192">
        <v>48</v>
      </c>
      <c r="O14" s="192">
        <v>48</v>
      </c>
      <c r="P14" s="192">
        <v>48</v>
      </c>
      <c r="Q14" s="192">
        <v>48</v>
      </c>
      <c r="R14" s="192">
        <v>48</v>
      </c>
      <c r="S14" s="192">
        <v>75</v>
      </c>
      <c r="T14" s="192">
        <v>75</v>
      </c>
      <c r="U14" s="192">
        <v>3</v>
      </c>
      <c r="EW14" s="244"/>
      <c r="EX14" s="244"/>
      <c r="EY14" s="244"/>
      <c r="EZ14" s="244"/>
      <c r="FA14" s="244"/>
      <c r="FB14" s="244"/>
      <c r="FC14" s="244"/>
      <c r="FD14" s="244"/>
      <c r="FE14" s="244"/>
      <c r="FF14" s="244"/>
      <c r="FG14" s="244"/>
      <c r="FH14" s="244"/>
      <c r="FI14" s="244"/>
      <c r="FJ14" s="244"/>
      <c r="FK14" s="244"/>
      <c r="FL14" s="244"/>
      <c r="FM14" s="244"/>
      <c r="FN14" s="244"/>
      <c r="FO14" s="244"/>
      <c r="FP14" s="244"/>
      <c r="FQ14" s="244"/>
      <c r="FR14" s="244"/>
      <c r="FS14" s="244"/>
      <c r="FT14" s="244"/>
      <c r="FU14" s="244"/>
      <c r="FV14" s="244"/>
      <c r="FW14" s="244"/>
      <c r="FX14" s="244"/>
      <c r="FY14" s="244"/>
      <c r="FZ14" s="244"/>
      <c r="GA14" s="244"/>
      <c r="GB14" s="244"/>
      <c r="GC14" s="244"/>
      <c r="GD14" s="244"/>
      <c r="GE14" s="244"/>
      <c r="GF14" s="244"/>
      <c r="GG14" s="244"/>
      <c r="GH14" s="244"/>
      <c r="GI14" s="244"/>
      <c r="GJ14" s="244"/>
      <c r="GK14" s="244"/>
      <c r="GL14" s="244"/>
      <c r="GM14" s="244"/>
      <c r="GN14" s="244"/>
      <c r="GO14" s="244"/>
      <c r="GP14" s="244"/>
      <c r="GQ14" s="244"/>
      <c r="GR14" s="244"/>
      <c r="GS14" s="244"/>
      <c r="GT14" s="244"/>
      <c r="GU14" s="244"/>
      <c r="GV14" s="244"/>
      <c r="GW14" s="244"/>
      <c r="GX14" s="244"/>
      <c r="GY14" s="244"/>
      <c r="GZ14" s="244"/>
      <c r="HA14" s="244"/>
      <c r="HB14" s="244"/>
      <c r="HC14" s="244"/>
      <c r="HD14" s="244"/>
      <c r="HE14" s="244"/>
      <c r="HF14" s="244"/>
      <c r="HG14" s="244"/>
      <c r="HH14" s="244"/>
      <c r="HI14" s="244"/>
      <c r="HJ14" s="244"/>
      <c r="HK14" s="244"/>
      <c r="HL14" s="244"/>
      <c r="HM14" s="244"/>
      <c r="HN14" s="244"/>
      <c r="HO14" s="244"/>
      <c r="HP14" s="244"/>
      <c r="HQ14" s="244"/>
      <c r="HR14" s="244"/>
      <c r="HS14" s="244"/>
      <c r="HT14" s="244"/>
      <c r="HU14" s="244"/>
      <c r="HV14" s="244"/>
      <c r="HW14" s="244"/>
      <c r="HX14" s="244"/>
      <c r="HY14" s="244"/>
      <c r="HZ14" s="244"/>
      <c r="IA14" s="244"/>
      <c r="IB14" s="244"/>
      <c r="IC14" s="244"/>
      <c r="ID14" s="244"/>
      <c r="IE14" s="244"/>
      <c r="IF14" s="244"/>
      <c r="IG14" s="244"/>
      <c r="IH14" s="244"/>
      <c r="II14" s="244"/>
      <c r="IJ14" s="244"/>
      <c r="IK14" s="244"/>
      <c r="IL14" s="244"/>
      <c r="IM14" s="244"/>
      <c r="IN14" s="244"/>
      <c r="IO14" s="244"/>
      <c r="IP14" s="244"/>
      <c r="IQ14" s="244"/>
      <c r="IR14" s="244"/>
      <c r="IS14" s="244"/>
      <c r="IT14" s="244"/>
      <c r="IU14" s="244"/>
      <c r="IV14" s="244"/>
    </row>
    <row r="15" spans="1:702" s="199" customFormat="1" ht="12.75" thickBot="1" x14ac:dyDescent="0.25">
      <c r="A15" s="245">
        <v>1090.909090909091</v>
      </c>
      <c r="B15" s="195">
        <f t="shared" si="11"/>
        <v>1090.909090909091</v>
      </c>
      <c r="C15" s="211" t="str">
        <f>'Quick Input'!I20</f>
        <v>Bauteilvolumen (cm³)</v>
      </c>
      <c r="D15" s="199">
        <v>27272.727272727272</v>
      </c>
      <c r="E15" s="199">
        <v>27272.727272727272</v>
      </c>
      <c r="F15" s="199">
        <v>27272.727272727272</v>
      </c>
      <c r="G15" s="199">
        <v>27272.727272727272</v>
      </c>
      <c r="H15" s="199">
        <v>1090.909090909091</v>
      </c>
      <c r="I15" s="199">
        <v>1090.909090909091</v>
      </c>
      <c r="J15" s="199">
        <v>17738.359201773837</v>
      </c>
      <c r="K15" s="199">
        <v>17738.359201773837</v>
      </c>
      <c r="L15" s="199">
        <v>17738.359201773837</v>
      </c>
      <c r="M15" s="200">
        <v>17738.359201773837</v>
      </c>
      <c r="N15" s="199">
        <v>17454.545454545456</v>
      </c>
      <c r="O15" s="199">
        <v>17454.545454545456</v>
      </c>
      <c r="P15" s="199">
        <v>17738.359201773837</v>
      </c>
      <c r="Q15" s="199">
        <v>17738.359201773837</v>
      </c>
      <c r="R15" s="199">
        <v>17454.545454545456</v>
      </c>
      <c r="S15" s="199">
        <v>27272.727272727272</v>
      </c>
      <c r="T15" s="199">
        <v>27272.727272727272</v>
      </c>
      <c r="U15" s="199">
        <v>1090.909090909091</v>
      </c>
      <c r="EW15" s="245"/>
      <c r="EX15" s="245"/>
      <c r="EY15" s="245"/>
      <c r="EZ15" s="245"/>
      <c r="FA15" s="245"/>
      <c r="FB15" s="245"/>
      <c r="FC15" s="245"/>
      <c r="FD15" s="245"/>
      <c r="FE15" s="245"/>
      <c r="FF15" s="245"/>
      <c r="FG15" s="245"/>
      <c r="FH15" s="245"/>
      <c r="FI15" s="245"/>
      <c r="FJ15" s="245"/>
      <c r="FK15" s="245"/>
      <c r="FL15" s="245"/>
      <c r="FM15" s="245"/>
      <c r="FN15" s="245"/>
      <c r="FO15" s="245"/>
      <c r="FP15" s="245"/>
      <c r="FQ15" s="245"/>
      <c r="FR15" s="245"/>
      <c r="FS15" s="245"/>
      <c r="FT15" s="245"/>
      <c r="FU15" s="245"/>
      <c r="FV15" s="245"/>
      <c r="FW15" s="245"/>
      <c r="FX15" s="245"/>
      <c r="FY15" s="245"/>
      <c r="FZ15" s="245"/>
      <c r="GA15" s="245"/>
      <c r="GB15" s="245"/>
      <c r="GC15" s="245"/>
      <c r="GD15" s="245"/>
      <c r="GE15" s="245"/>
      <c r="GF15" s="245"/>
      <c r="GG15" s="245"/>
      <c r="GH15" s="245"/>
      <c r="GI15" s="245"/>
      <c r="GJ15" s="245"/>
      <c r="GK15" s="245"/>
      <c r="GL15" s="245"/>
      <c r="GM15" s="245"/>
      <c r="GN15" s="245"/>
      <c r="GO15" s="245"/>
      <c r="GP15" s="245"/>
      <c r="GQ15" s="245"/>
      <c r="GR15" s="245"/>
      <c r="GS15" s="245"/>
      <c r="GT15" s="245"/>
      <c r="GU15" s="245"/>
      <c r="GV15" s="245"/>
      <c r="GW15" s="245"/>
      <c r="GX15" s="245"/>
      <c r="GY15" s="245"/>
      <c r="GZ15" s="245"/>
      <c r="HA15" s="245"/>
      <c r="HB15" s="245"/>
      <c r="HC15" s="245"/>
      <c r="HD15" s="245"/>
      <c r="HE15" s="245"/>
      <c r="HF15" s="245"/>
      <c r="HG15" s="245"/>
      <c r="HH15" s="245"/>
      <c r="HI15" s="245"/>
      <c r="HJ15" s="245"/>
      <c r="HK15" s="245"/>
      <c r="HL15" s="245"/>
      <c r="HM15" s="245"/>
      <c r="HN15" s="245"/>
      <c r="HO15" s="245"/>
      <c r="HP15" s="245"/>
      <c r="HQ15" s="245"/>
      <c r="HR15" s="245"/>
      <c r="HS15" s="245"/>
      <c r="HT15" s="245"/>
      <c r="HU15" s="245"/>
      <c r="HV15" s="245"/>
      <c r="HW15" s="245"/>
      <c r="HX15" s="245"/>
      <c r="HY15" s="245"/>
      <c r="HZ15" s="245"/>
      <c r="IA15" s="245"/>
      <c r="IB15" s="245"/>
      <c r="IC15" s="245"/>
      <c r="ID15" s="245"/>
      <c r="IE15" s="245"/>
      <c r="IF15" s="245"/>
      <c r="IG15" s="245"/>
      <c r="IH15" s="245"/>
      <c r="II15" s="245"/>
      <c r="IJ15" s="245"/>
      <c r="IK15" s="245"/>
      <c r="IL15" s="245"/>
      <c r="IM15" s="245"/>
      <c r="IN15" s="245"/>
      <c r="IO15" s="245"/>
      <c r="IP15" s="245"/>
      <c r="IQ15" s="245"/>
      <c r="IR15" s="245"/>
      <c r="IS15" s="245"/>
      <c r="IT15" s="245"/>
      <c r="IU15" s="245"/>
      <c r="IV15" s="245"/>
    </row>
    <row r="16" spans="1:702" s="192" customFormat="1" ht="12.75" thickBot="1" x14ac:dyDescent="0.25">
      <c r="A16" s="244" t="s">
        <v>402</v>
      </c>
      <c r="B16" s="195" t="str">
        <f>VLOOKUP(VLOOKUP(HLOOKUP($B$2,DB_Artikel,ROW()-1,FALSE),Auswahlfelder!$D$16:$E$19,2,FALSE),Auswahlfelder!$A$16:$B$19,2,FALSE)</f>
        <v>komplex</v>
      </c>
      <c r="C16" s="211" t="str">
        <f>'Quick Input'!I21</f>
        <v>Bauteilkomplexität</v>
      </c>
      <c r="D16" s="192" t="s">
        <v>402</v>
      </c>
      <c r="E16" s="192" t="s">
        <v>402</v>
      </c>
      <c r="F16" s="192" t="s">
        <v>403</v>
      </c>
      <c r="G16" s="192" t="s">
        <v>403</v>
      </c>
      <c r="H16" s="192" t="s">
        <v>402</v>
      </c>
      <c r="I16" s="192" t="s">
        <v>402</v>
      </c>
      <c r="J16" s="192" t="s">
        <v>400</v>
      </c>
      <c r="K16" s="192" t="s">
        <v>400</v>
      </c>
      <c r="L16" s="192" t="s">
        <v>400</v>
      </c>
      <c r="M16" s="193" t="s">
        <v>400</v>
      </c>
      <c r="N16" s="192" t="s">
        <v>402</v>
      </c>
      <c r="O16" s="192" t="s">
        <v>402</v>
      </c>
      <c r="P16" s="192" t="s">
        <v>400</v>
      </c>
      <c r="Q16" s="192" t="s">
        <v>400</v>
      </c>
      <c r="R16" s="192" t="s">
        <v>402</v>
      </c>
      <c r="S16" s="192" t="s">
        <v>402</v>
      </c>
      <c r="T16" s="192" t="s">
        <v>403</v>
      </c>
      <c r="U16" s="192" t="s">
        <v>402</v>
      </c>
      <c r="EW16" s="244"/>
      <c r="EX16" s="244"/>
      <c r="EY16" s="244"/>
      <c r="EZ16" s="244"/>
      <c r="FA16" s="244"/>
      <c r="FB16" s="244"/>
      <c r="FC16" s="244"/>
      <c r="FD16" s="244"/>
      <c r="FE16" s="244"/>
      <c r="FF16" s="244"/>
      <c r="FG16" s="244"/>
      <c r="FH16" s="244"/>
      <c r="FI16" s="244"/>
      <c r="FJ16" s="244"/>
      <c r="FK16" s="244"/>
      <c r="FL16" s="244"/>
      <c r="FM16" s="244"/>
      <c r="FN16" s="244"/>
      <c r="FO16" s="244"/>
      <c r="FP16" s="244"/>
      <c r="FQ16" s="244"/>
      <c r="FR16" s="244"/>
      <c r="FS16" s="244"/>
      <c r="FT16" s="244"/>
      <c r="FU16" s="244"/>
      <c r="FV16" s="244"/>
      <c r="FW16" s="244"/>
      <c r="FX16" s="244"/>
      <c r="FY16" s="244"/>
      <c r="FZ16" s="244"/>
      <c r="GA16" s="244"/>
      <c r="GB16" s="244"/>
      <c r="GC16" s="244"/>
      <c r="GD16" s="244"/>
      <c r="GE16" s="244"/>
      <c r="GF16" s="244"/>
      <c r="GG16" s="244"/>
      <c r="GH16" s="244"/>
      <c r="GI16" s="244"/>
      <c r="GJ16" s="244"/>
      <c r="GK16" s="244"/>
      <c r="GL16" s="244"/>
      <c r="GM16" s="244"/>
      <c r="GN16" s="244"/>
      <c r="GO16" s="244"/>
      <c r="GP16" s="244"/>
      <c r="GQ16" s="244"/>
      <c r="GR16" s="244"/>
      <c r="GS16" s="244"/>
      <c r="GT16" s="244"/>
      <c r="GU16" s="244"/>
      <c r="GV16" s="244"/>
      <c r="GW16" s="244"/>
      <c r="GX16" s="244"/>
      <c r="GY16" s="244"/>
      <c r="GZ16" s="244"/>
      <c r="HA16" s="244"/>
      <c r="HB16" s="244"/>
      <c r="HC16" s="244"/>
      <c r="HD16" s="244"/>
      <c r="HE16" s="244"/>
      <c r="HF16" s="244"/>
      <c r="HG16" s="244"/>
      <c r="HH16" s="244"/>
      <c r="HI16" s="244"/>
      <c r="HJ16" s="244"/>
      <c r="HK16" s="244"/>
      <c r="HL16" s="244"/>
      <c r="HM16" s="244"/>
      <c r="HN16" s="244"/>
      <c r="HO16" s="244"/>
      <c r="HP16" s="244"/>
      <c r="HQ16" s="244"/>
      <c r="HR16" s="244"/>
      <c r="HS16" s="244"/>
      <c r="HT16" s="244"/>
      <c r="HU16" s="244"/>
      <c r="HV16" s="244"/>
      <c r="HW16" s="244"/>
      <c r="HX16" s="244"/>
      <c r="HY16" s="244"/>
      <c r="HZ16" s="244"/>
      <c r="IA16" s="244"/>
      <c r="IB16" s="244"/>
      <c r="IC16" s="244"/>
      <c r="ID16" s="244"/>
      <c r="IE16" s="244"/>
      <c r="IF16" s="244"/>
      <c r="IG16" s="244"/>
      <c r="IH16" s="244"/>
      <c r="II16" s="244"/>
      <c r="IJ16" s="244"/>
      <c r="IK16" s="244"/>
      <c r="IL16" s="244"/>
      <c r="IM16" s="244"/>
      <c r="IN16" s="244"/>
      <c r="IO16" s="244"/>
      <c r="IP16" s="244"/>
      <c r="IQ16" s="244"/>
      <c r="IR16" s="244"/>
      <c r="IS16" s="244"/>
      <c r="IT16" s="244"/>
      <c r="IU16" s="244"/>
      <c r="IV16" s="244"/>
    </row>
    <row r="17" spans="1:256" s="192" customFormat="1" ht="12.75" thickBot="1" x14ac:dyDescent="0.25">
      <c r="A17" s="244" t="s">
        <v>432</v>
      </c>
      <c r="B17" s="195" t="e">
        <f>VLOOKUP(VLOOKUP(HLOOKUP($B$2,DB_Artikel,ROW()-1,FALSE),Auswahlfelder!$D$36:$E$38,2,FALSE),Auswahlfelder!$A$36:$B$38,2,FALSE)</f>
        <v>#N/A</v>
      </c>
      <c r="C17" s="211" t="str">
        <f>'Quick Input'!I22</f>
        <v>Giesstechnik</v>
      </c>
      <c r="D17" s="192" t="s">
        <v>431</v>
      </c>
      <c r="E17" s="192" t="s">
        <v>431</v>
      </c>
      <c r="F17" s="192" t="s">
        <v>431</v>
      </c>
      <c r="G17" s="192" t="s">
        <v>431</v>
      </c>
      <c r="H17" s="192" t="s">
        <v>432</v>
      </c>
      <c r="I17" s="192" t="s">
        <v>432</v>
      </c>
      <c r="J17" s="192" t="s">
        <v>431</v>
      </c>
      <c r="K17" s="192" t="s">
        <v>431</v>
      </c>
      <c r="L17" s="192" t="s">
        <v>431</v>
      </c>
      <c r="M17" s="193" t="s">
        <v>431</v>
      </c>
      <c r="N17" s="192" t="s">
        <v>432</v>
      </c>
      <c r="O17" s="192" t="s">
        <v>432</v>
      </c>
      <c r="P17" s="192" t="s">
        <v>431</v>
      </c>
      <c r="Q17" s="192" t="s">
        <v>431</v>
      </c>
      <c r="R17" s="192" t="s">
        <v>432</v>
      </c>
      <c r="S17" s="192" t="s">
        <v>431</v>
      </c>
      <c r="T17" s="192" t="s">
        <v>431</v>
      </c>
      <c r="U17" s="192" t="s">
        <v>432</v>
      </c>
      <c r="EW17" s="244"/>
      <c r="EX17" s="244"/>
      <c r="EY17" s="244"/>
      <c r="EZ17" s="244"/>
      <c r="FA17" s="244"/>
      <c r="FB17" s="244"/>
      <c r="FC17" s="244"/>
      <c r="FD17" s="244"/>
      <c r="FE17" s="244"/>
      <c r="FF17" s="244"/>
      <c r="FG17" s="244"/>
      <c r="FH17" s="244"/>
      <c r="FI17" s="244"/>
      <c r="FJ17" s="244"/>
      <c r="FK17" s="244"/>
      <c r="FL17" s="244"/>
      <c r="FM17" s="244"/>
      <c r="FN17" s="244"/>
      <c r="FO17" s="244"/>
      <c r="FP17" s="244"/>
      <c r="FQ17" s="244"/>
      <c r="FR17" s="244"/>
      <c r="FS17" s="244"/>
      <c r="FT17" s="244"/>
      <c r="FU17" s="244"/>
      <c r="FV17" s="244"/>
      <c r="FW17" s="244"/>
      <c r="FX17" s="244"/>
      <c r="FY17" s="244"/>
      <c r="FZ17" s="244"/>
      <c r="GA17" s="244"/>
      <c r="GB17" s="244"/>
      <c r="GC17" s="244"/>
      <c r="GD17" s="244"/>
      <c r="GE17" s="244"/>
      <c r="GF17" s="244"/>
      <c r="GG17" s="244"/>
      <c r="GH17" s="244"/>
      <c r="GI17" s="244"/>
      <c r="GJ17" s="244"/>
      <c r="GK17" s="244"/>
      <c r="GL17" s="244"/>
      <c r="GM17" s="244"/>
      <c r="GN17" s="244"/>
      <c r="GO17" s="244"/>
      <c r="GP17" s="244"/>
      <c r="GQ17" s="244"/>
      <c r="GR17" s="244"/>
      <c r="GS17" s="244"/>
      <c r="GT17" s="244"/>
      <c r="GU17" s="244"/>
      <c r="GV17" s="244"/>
      <c r="GW17" s="244"/>
      <c r="GX17" s="244"/>
      <c r="GY17" s="244"/>
      <c r="GZ17" s="244"/>
      <c r="HA17" s="244"/>
      <c r="HB17" s="244"/>
      <c r="HC17" s="244"/>
      <c r="HD17" s="244"/>
      <c r="HE17" s="244"/>
      <c r="HF17" s="244"/>
      <c r="HG17" s="244"/>
      <c r="HH17" s="244"/>
      <c r="HI17" s="244"/>
      <c r="HJ17" s="244"/>
      <c r="HK17" s="244"/>
      <c r="HL17" s="244"/>
      <c r="HM17" s="244"/>
      <c r="HN17" s="244"/>
      <c r="HO17" s="244"/>
      <c r="HP17" s="244"/>
      <c r="HQ17" s="244"/>
      <c r="HR17" s="244"/>
      <c r="HS17" s="244"/>
      <c r="HT17" s="244"/>
      <c r="HU17" s="244"/>
      <c r="HV17" s="244"/>
      <c r="HW17" s="244"/>
      <c r="HX17" s="244"/>
      <c r="HY17" s="244"/>
      <c r="HZ17" s="244"/>
      <c r="IA17" s="244"/>
      <c r="IB17" s="244"/>
      <c r="IC17" s="244"/>
      <c r="ID17" s="244"/>
      <c r="IE17" s="244"/>
      <c r="IF17" s="244"/>
      <c r="IG17" s="244"/>
      <c r="IH17" s="244"/>
      <c r="II17" s="244"/>
      <c r="IJ17" s="244"/>
      <c r="IK17" s="244"/>
      <c r="IL17" s="244"/>
      <c r="IM17" s="244"/>
      <c r="IN17" s="244"/>
      <c r="IO17" s="244"/>
      <c r="IP17" s="244"/>
      <c r="IQ17" s="244"/>
      <c r="IR17" s="244"/>
      <c r="IS17" s="244"/>
      <c r="IT17" s="244"/>
      <c r="IU17" s="244"/>
      <c r="IV17" s="244"/>
    </row>
    <row r="18" spans="1:256" s="192" customFormat="1" ht="12.75" thickBot="1" x14ac:dyDescent="0.25">
      <c r="A18" s="244" t="s">
        <v>368</v>
      </c>
      <c r="B18" s="195" t="str">
        <f>VLOOKUP(VLOOKUP(HLOOKUP($B$2,DB_Artikel,ROW()-1,FALSE),Auswahlfelder!$D$49:$E$51,2,FALSE),Auswahlfelder!$A$49:$B$51,2,FALSE)</f>
        <v>Kernschießen</v>
      </c>
      <c r="C18" s="211" t="str">
        <f>'Quick Input'!I23</f>
        <v>Automatisierungsgrad</v>
      </c>
      <c r="D18" s="192" t="s">
        <v>367</v>
      </c>
      <c r="E18" s="192" t="s">
        <v>367</v>
      </c>
      <c r="F18" s="192" t="s">
        <v>367</v>
      </c>
      <c r="G18" s="192" t="s">
        <v>367</v>
      </c>
      <c r="H18" s="192" t="s">
        <v>368</v>
      </c>
      <c r="I18" s="192" t="s">
        <v>368</v>
      </c>
      <c r="J18" s="192" t="s">
        <v>368</v>
      </c>
      <c r="K18" s="192" t="s">
        <v>368</v>
      </c>
      <c r="L18" s="192" t="s">
        <v>368</v>
      </c>
      <c r="M18" s="193" t="s">
        <v>368</v>
      </c>
      <c r="N18" s="192" t="s">
        <v>368</v>
      </c>
      <c r="O18" s="192" t="s">
        <v>368</v>
      </c>
      <c r="P18" s="192" t="s">
        <v>368</v>
      </c>
      <c r="Q18" s="192" t="s">
        <v>368</v>
      </c>
      <c r="R18" s="192" t="s">
        <v>368</v>
      </c>
      <c r="S18" s="192" t="s">
        <v>367</v>
      </c>
      <c r="T18" s="192" t="s">
        <v>367</v>
      </c>
      <c r="U18" s="192" t="s">
        <v>368</v>
      </c>
      <c r="EW18" s="244"/>
      <c r="EX18" s="244"/>
      <c r="EY18" s="244"/>
      <c r="EZ18" s="244"/>
      <c r="FA18" s="244"/>
      <c r="FB18" s="244"/>
      <c r="FC18" s="244"/>
      <c r="FD18" s="244"/>
      <c r="FE18" s="244"/>
      <c r="FF18" s="244"/>
      <c r="FG18" s="244"/>
      <c r="FH18" s="244"/>
      <c r="FI18" s="244"/>
      <c r="FJ18" s="244"/>
      <c r="FK18" s="244"/>
      <c r="FL18" s="244"/>
      <c r="FM18" s="244"/>
      <c r="FN18" s="244"/>
      <c r="FO18" s="244"/>
      <c r="FP18" s="244"/>
      <c r="FQ18" s="244"/>
      <c r="FR18" s="244"/>
      <c r="FS18" s="244"/>
      <c r="FT18" s="244"/>
      <c r="FU18" s="244"/>
      <c r="FV18" s="244"/>
      <c r="FW18" s="244"/>
      <c r="FX18" s="244"/>
      <c r="FY18" s="244"/>
      <c r="FZ18" s="244"/>
      <c r="GA18" s="244"/>
      <c r="GB18" s="244"/>
      <c r="GC18" s="244"/>
      <c r="GD18" s="244"/>
      <c r="GE18" s="244"/>
      <c r="GF18" s="244"/>
      <c r="GG18" s="244"/>
      <c r="GH18" s="244"/>
      <c r="GI18" s="244"/>
      <c r="GJ18" s="244"/>
      <c r="GK18" s="244"/>
      <c r="GL18" s="244"/>
      <c r="GM18" s="244"/>
      <c r="GN18" s="244"/>
      <c r="GO18" s="244"/>
      <c r="GP18" s="244"/>
      <c r="GQ18" s="244"/>
      <c r="GR18" s="244"/>
      <c r="GS18" s="244"/>
      <c r="GT18" s="244"/>
      <c r="GU18" s="244"/>
      <c r="GV18" s="244"/>
      <c r="GW18" s="244"/>
      <c r="GX18" s="244"/>
      <c r="GY18" s="244"/>
      <c r="GZ18" s="244"/>
      <c r="HA18" s="244"/>
      <c r="HB18" s="244"/>
      <c r="HC18" s="244"/>
      <c r="HD18" s="244"/>
      <c r="HE18" s="244"/>
      <c r="HF18" s="244"/>
      <c r="HG18" s="244"/>
      <c r="HH18" s="244"/>
      <c r="HI18" s="244"/>
      <c r="HJ18" s="244"/>
      <c r="HK18" s="244"/>
      <c r="HL18" s="244"/>
      <c r="HM18" s="244"/>
      <c r="HN18" s="244"/>
      <c r="HO18" s="244"/>
      <c r="HP18" s="244"/>
      <c r="HQ18" s="244"/>
      <c r="HR18" s="244"/>
      <c r="HS18" s="244"/>
      <c r="HT18" s="244"/>
      <c r="HU18" s="244"/>
      <c r="HV18" s="244"/>
      <c r="HW18" s="244"/>
      <c r="HX18" s="244"/>
      <c r="HY18" s="244"/>
      <c r="HZ18" s="244"/>
      <c r="IA18" s="244"/>
      <c r="IB18" s="244"/>
      <c r="IC18" s="244"/>
      <c r="ID18" s="244"/>
      <c r="IE18" s="244"/>
      <c r="IF18" s="244"/>
      <c r="IG18" s="244"/>
      <c r="IH18" s="244"/>
      <c r="II18" s="244"/>
      <c r="IJ18" s="244"/>
      <c r="IK18" s="244"/>
      <c r="IL18" s="244"/>
      <c r="IM18" s="244"/>
      <c r="IN18" s="244"/>
      <c r="IO18" s="244"/>
      <c r="IP18" s="244"/>
      <c r="IQ18" s="244"/>
      <c r="IR18" s="244"/>
      <c r="IS18" s="244"/>
      <c r="IT18" s="244"/>
      <c r="IU18" s="244"/>
      <c r="IV18" s="244"/>
    </row>
    <row r="19" spans="1:256" s="192" customFormat="1" ht="12.75" thickBot="1" x14ac:dyDescent="0.25">
      <c r="A19" s="244" t="s">
        <v>714</v>
      </c>
      <c r="B19" s="195" t="str">
        <f>VLOOKUP(VLOOKUP(HLOOKUP($B$2,DB_Artikel,ROW()-1,FALSE),Auswahlfelder!$D$54:$E$57,2,FALSE),Auswahlfelder!$A$54:$B$57,2,FALSE)</f>
        <v>Hot Box</v>
      </c>
      <c r="C19" s="211" t="str">
        <f>'Quick Input'!I25</f>
        <v>Kernherstellverfahren</v>
      </c>
      <c r="D19" s="192" t="s">
        <v>716</v>
      </c>
      <c r="E19" s="192" t="s">
        <v>716</v>
      </c>
      <c r="F19" s="192" t="s">
        <v>714</v>
      </c>
      <c r="G19" s="192" t="s">
        <v>714</v>
      </c>
      <c r="H19" s="192" t="s">
        <v>714</v>
      </c>
      <c r="I19" s="192" t="s">
        <v>714</v>
      </c>
      <c r="J19" s="192" t="s">
        <v>714</v>
      </c>
      <c r="K19" s="192" t="s">
        <v>714</v>
      </c>
      <c r="L19" s="192" t="s">
        <v>714</v>
      </c>
      <c r="M19" s="193" t="s">
        <v>714</v>
      </c>
      <c r="N19" s="192" t="s">
        <v>716</v>
      </c>
      <c r="O19" s="192" t="s">
        <v>716</v>
      </c>
      <c r="P19" s="192" t="s">
        <v>714</v>
      </c>
      <c r="Q19" s="192" t="s">
        <v>714</v>
      </c>
      <c r="R19" s="192" t="s">
        <v>716</v>
      </c>
      <c r="S19" s="192" t="s">
        <v>716</v>
      </c>
      <c r="T19" s="192" t="s">
        <v>714</v>
      </c>
      <c r="U19" s="192" t="s">
        <v>714</v>
      </c>
      <c r="EW19" s="244"/>
      <c r="EX19" s="244"/>
      <c r="EY19" s="244"/>
      <c r="EZ19" s="244"/>
      <c r="FA19" s="244"/>
      <c r="FB19" s="244"/>
      <c r="FC19" s="244"/>
      <c r="FD19" s="244"/>
      <c r="FE19" s="244"/>
      <c r="FF19" s="244"/>
      <c r="FG19" s="244"/>
      <c r="FH19" s="244"/>
      <c r="FI19" s="244"/>
      <c r="FJ19" s="244"/>
      <c r="FK19" s="244"/>
      <c r="FL19" s="244"/>
      <c r="FM19" s="244"/>
      <c r="FN19" s="244"/>
      <c r="FO19" s="244"/>
      <c r="FP19" s="244"/>
      <c r="FQ19" s="244"/>
      <c r="FR19" s="244"/>
      <c r="FS19" s="244"/>
      <c r="FT19" s="244"/>
      <c r="FU19" s="244"/>
      <c r="FV19" s="244"/>
      <c r="FW19" s="244"/>
      <c r="FX19" s="244"/>
      <c r="FY19" s="244"/>
      <c r="FZ19" s="244"/>
      <c r="GA19" s="244"/>
      <c r="GB19" s="244"/>
      <c r="GC19" s="244"/>
      <c r="GD19" s="244"/>
      <c r="GE19" s="244"/>
      <c r="GF19" s="244"/>
      <c r="GG19" s="244"/>
      <c r="GH19" s="244"/>
      <c r="GI19" s="244"/>
      <c r="GJ19" s="244"/>
      <c r="GK19" s="244"/>
      <c r="GL19" s="244"/>
      <c r="GM19" s="244"/>
      <c r="GN19" s="244"/>
      <c r="GO19" s="244"/>
      <c r="GP19" s="244"/>
      <c r="GQ19" s="244"/>
      <c r="GR19" s="244"/>
      <c r="GS19" s="244"/>
      <c r="GT19" s="244"/>
      <c r="GU19" s="244"/>
      <c r="GV19" s="244"/>
      <c r="GW19" s="244"/>
      <c r="GX19" s="244"/>
      <c r="GY19" s="244"/>
      <c r="GZ19" s="244"/>
      <c r="HA19" s="244"/>
      <c r="HB19" s="244"/>
      <c r="HC19" s="244"/>
      <c r="HD19" s="244"/>
      <c r="HE19" s="244"/>
      <c r="HF19" s="244"/>
      <c r="HG19" s="244"/>
      <c r="HH19" s="244"/>
      <c r="HI19" s="244"/>
      <c r="HJ19" s="244"/>
      <c r="HK19" s="244"/>
      <c r="HL19" s="244"/>
      <c r="HM19" s="244"/>
      <c r="HN19" s="244"/>
      <c r="HO19" s="244"/>
      <c r="HP19" s="244"/>
      <c r="HQ19" s="244"/>
      <c r="HR19" s="244"/>
      <c r="HS19" s="244"/>
      <c r="HT19" s="244"/>
      <c r="HU19" s="244"/>
      <c r="HV19" s="244"/>
      <c r="HW19" s="244"/>
      <c r="HX19" s="244"/>
      <c r="HY19" s="244"/>
      <c r="HZ19" s="244"/>
      <c r="IA19" s="244"/>
      <c r="IB19" s="244"/>
      <c r="IC19" s="244"/>
      <c r="ID19" s="244"/>
      <c r="IE19" s="244"/>
      <c r="IF19" s="244"/>
      <c r="IG19" s="244"/>
      <c r="IH19" s="244"/>
      <c r="II19" s="244"/>
      <c r="IJ19" s="244"/>
      <c r="IK19" s="244"/>
      <c r="IL19" s="244"/>
      <c r="IM19" s="244"/>
      <c r="IN19" s="244"/>
      <c r="IO19" s="244"/>
      <c r="IP19" s="244"/>
      <c r="IQ19" s="244"/>
      <c r="IR19" s="244"/>
      <c r="IS19" s="244"/>
      <c r="IT19" s="244"/>
      <c r="IU19" s="244"/>
      <c r="IV19" s="244"/>
    </row>
    <row r="20" spans="1:256" s="192" customFormat="1" ht="12.75" thickBot="1" x14ac:dyDescent="0.25">
      <c r="A20" s="244" t="s">
        <v>44</v>
      </c>
      <c r="B20" s="195" t="str">
        <f>VLOOKUP(VLOOKUP(HLOOKUP($B$2,DB_Artikel,ROW()-1,FALSE),Auswahlfelder!$D$22:$E$23,2,FALSE),Auswahlfelder!$A$22:$B$23,2,FALSE)</f>
        <v>nein</v>
      </c>
      <c r="C20" s="211" t="str">
        <f>'Quick Input'!I26</f>
        <v>Oberfläche Sandstrahlen</v>
      </c>
      <c r="D20" s="192" t="s">
        <v>44</v>
      </c>
      <c r="E20" s="192" t="s">
        <v>44</v>
      </c>
      <c r="F20" s="192" t="s">
        <v>44</v>
      </c>
      <c r="G20" s="192" t="s">
        <v>44</v>
      </c>
      <c r="H20" s="192" t="s">
        <v>44</v>
      </c>
      <c r="I20" s="192" t="s">
        <v>44</v>
      </c>
      <c r="J20" s="192" t="s">
        <v>43</v>
      </c>
      <c r="K20" s="192" t="s">
        <v>43</v>
      </c>
      <c r="L20" s="192" t="s">
        <v>43</v>
      </c>
      <c r="M20" s="193" t="s">
        <v>43</v>
      </c>
      <c r="N20" s="192" t="s">
        <v>43</v>
      </c>
      <c r="O20" s="192" t="s">
        <v>43</v>
      </c>
      <c r="P20" s="192" t="s">
        <v>43</v>
      </c>
      <c r="Q20" s="192" t="s">
        <v>43</v>
      </c>
      <c r="R20" s="192" t="s">
        <v>43</v>
      </c>
      <c r="S20" s="192" t="s">
        <v>44</v>
      </c>
      <c r="T20" s="192" t="s">
        <v>44</v>
      </c>
      <c r="U20" s="192" t="s">
        <v>44</v>
      </c>
      <c r="EW20" s="244"/>
      <c r="EX20" s="244"/>
      <c r="EY20" s="244"/>
      <c r="EZ20" s="244"/>
      <c r="FA20" s="244"/>
      <c r="FB20" s="244"/>
      <c r="FC20" s="244"/>
      <c r="FD20" s="244"/>
      <c r="FE20" s="244"/>
      <c r="FF20" s="244"/>
      <c r="FG20" s="244"/>
      <c r="FH20" s="244"/>
      <c r="FI20" s="244"/>
      <c r="FJ20" s="244"/>
      <c r="FK20" s="244"/>
      <c r="FL20" s="244"/>
      <c r="FM20" s="244"/>
      <c r="FN20" s="244"/>
      <c r="FO20" s="244"/>
      <c r="FP20" s="244"/>
      <c r="FQ20" s="244"/>
      <c r="FR20" s="244"/>
      <c r="FS20" s="244"/>
      <c r="FT20" s="244"/>
      <c r="FU20" s="244"/>
      <c r="FV20" s="244"/>
      <c r="FW20" s="244"/>
      <c r="FX20" s="244"/>
      <c r="FY20" s="244"/>
      <c r="FZ20" s="244"/>
      <c r="GA20" s="244"/>
      <c r="GB20" s="244"/>
      <c r="GC20" s="244"/>
      <c r="GD20" s="244"/>
      <c r="GE20" s="244"/>
      <c r="GF20" s="244"/>
      <c r="GG20" s="244"/>
      <c r="GH20" s="244"/>
      <c r="GI20" s="244"/>
      <c r="GJ20" s="244"/>
      <c r="GK20" s="244"/>
      <c r="GL20" s="244"/>
      <c r="GM20" s="244"/>
      <c r="GN20" s="244"/>
      <c r="GO20" s="244"/>
      <c r="GP20" s="244"/>
      <c r="GQ20" s="244"/>
      <c r="GR20" s="244"/>
      <c r="GS20" s="244"/>
      <c r="GT20" s="244"/>
      <c r="GU20" s="244"/>
      <c r="GV20" s="244"/>
      <c r="GW20" s="244"/>
      <c r="GX20" s="244"/>
      <c r="GY20" s="244"/>
      <c r="GZ20" s="244"/>
      <c r="HA20" s="244"/>
      <c r="HB20" s="244"/>
      <c r="HC20" s="244"/>
      <c r="HD20" s="244"/>
      <c r="HE20" s="244"/>
      <c r="HF20" s="244"/>
      <c r="HG20" s="244"/>
      <c r="HH20" s="244"/>
      <c r="HI20" s="244"/>
      <c r="HJ20" s="244"/>
      <c r="HK20" s="244"/>
      <c r="HL20" s="244"/>
      <c r="HM20" s="244"/>
      <c r="HN20" s="244"/>
      <c r="HO20" s="244"/>
      <c r="HP20" s="244"/>
      <c r="HQ20" s="244"/>
      <c r="HR20" s="244"/>
      <c r="HS20" s="244"/>
      <c r="HT20" s="244"/>
      <c r="HU20" s="244"/>
      <c r="HV20" s="244"/>
      <c r="HW20" s="244"/>
      <c r="HX20" s="244"/>
      <c r="HY20" s="244"/>
      <c r="HZ20" s="244"/>
      <c r="IA20" s="244"/>
      <c r="IB20" s="244"/>
      <c r="IC20" s="244"/>
      <c r="ID20" s="244"/>
      <c r="IE20" s="244"/>
      <c r="IF20" s="244"/>
      <c r="IG20" s="244"/>
      <c r="IH20" s="244"/>
      <c r="II20" s="244"/>
      <c r="IJ20" s="244"/>
      <c r="IK20" s="244"/>
      <c r="IL20" s="244"/>
      <c r="IM20" s="244"/>
      <c r="IN20" s="244"/>
      <c r="IO20" s="244"/>
      <c r="IP20" s="244"/>
      <c r="IQ20" s="244"/>
      <c r="IR20" s="244"/>
      <c r="IS20" s="244"/>
      <c r="IT20" s="244"/>
      <c r="IU20" s="244"/>
      <c r="IV20" s="244"/>
    </row>
    <row r="21" spans="1:256" s="192" customFormat="1" ht="12.75" thickBot="1" x14ac:dyDescent="0.25">
      <c r="A21" s="244" t="s">
        <v>43</v>
      </c>
      <c r="B21" s="195" t="str">
        <f>VLOOKUP(VLOOKUP(HLOOKUP($B$2,DB_Artikel,ROW()-1,FALSE),Auswahlfelder!$D$22:$E$23,2,FALSE),Auswahlfelder!$A$22:$B$23,2,FALSE)</f>
        <v>ja</v>
      </c>
      <c r="C21" s="211" t="str">
        <f>'Quick Input'!I27</f>
        <v>Oberfläche Gleitschleifen</v>
      </c>
      <c r="D21" s="192" t="s">
        <v>43</v>
      </c>
      <c r="E21" s="192" t="s">
        <v>43</v>
      </c>
      <c r="F21" s="192" t="s">
        <v>44</v>
      </c>
      <c r="G21" s="192" t="s">
        <v>44</v>
      </c>
      <c r="H21" s="192" t="s">
        <v>43</v>
      </c>
      <c r="I21" s="192" t="s">
        <v>43</v>
      </c>
      <c r="J21" s="192" t="s">
        <v>44</v>
      </c>
      <c r="K21" s="192" t="s">
        <v>44</v>
      </c>
      <c r="L21" s="192" t="s">
        <v>43</v>
      </c>
      <c r="M21" s="193" t="s">
        <v>43</v>
      </c>
      <c r="N21" s="192" t="s">
        <v>43</v>
      </c>
      <c r="O21" s="192" t="s">
        <v>43</v>
      </c>
      <c r="P21" s="192" t="s">
        <v>44</v>
      </c>
      <c r="Q21" s="192" t="s">
        <v>43</v>
      </c>
      <c r="R21" s="192" t="s">
        <v>43</v>
      </c>
      <c r="S21" s="192" t="s">
        <v>43</v>
      </c>
      <c r="T21" s="192" t="s">
        <v>44</v>
      </c>
      <c r="U21" s="192" t="s">
        <v>43</v>
      </c>
      <c r="EW21" s="244"/>
      <c r="EX21" s="244"/>
      <c r="EY21" s="244"/>
      <c r="EZ21" s="244"/>
      <c r="FA21" s="244"/>
      <c r="FB21" s="244"/>
      <c r="FC21" s="244"/>
      <c r="FD21" s="244"/>
      <c r="FE21" s="244"/>
      <c r="FF21" s="244"/>
      <c r="FG21" s="244"/>
      <c r="FH21" s="244"/>
      <c r="FI21" s="244"/>
      <c r="FJ21" s="244"/>
      <c r="FK21" s="244"/>
      <c r="FL21" s="244"/>
      <c r="FM21" s="244"/>
      <c r="FN21" s="244"/>
      <c r="FO21" s="244"/>
      <c r="FP21" s="244"/>
      <c r="FQ21" s="244"/>
      <c r="FR21" s="244"/>
      <c r="FS21" s="244"/>
      <c r="FT21" s="244"/>
      <c r="FU21" s="244"/>
      <c r="FV21" s="244"/>
      <c r="FW21" s="244"/>
      <c r="FX21" s="244"/>
      <c r="FY21" s="244"/>
      <c r="FZ21" s="244"/>
      <c r="GA21" s="244"/>
      <c r="GB21" s="244"/>
      <c r="GC21" s="244"/>
      <c r="GD21" s="244"/>
      <c r="GE21" s="244"/>
      <c r="GF21" s="244"/>
      <c r="GG21" s="244"/>
      <c r="GH21" s="244"/>
      <c r="GI21" s="244"/>
      <c r="GJ21" s="244"/>
      <c r="GK21" s="244"/>
      <c r="GL21" s="244"/>
      <c r="GM21" s="244"/>
      <c r="GN21" s="244"/>
      <c r="GO21" s="244"/>
      <c r="GP21" s="244"/>
      <c r="GQ21" s="244"/>
      <c r="GR21" s="244"/>
      <c r="GS21" s="244"/>
      <c r="GT21" s="244"/>
      <c r="GU21" s="244"/>
      <c r="GV21" s="244"/>
      <c r="GW21" s="244"/>
      <c r="GX21" s="244"/>
      <c r="GY21" s="244"/>
      <c r="GZ21" s="244"/>
      <c r="HA21" s="244"/>
      <c r="HB21" s="244"/>
      <c r="HC21" s="244"/>
      <c r="HD21" s="244"/>
      <c r="HE21" s="244"/>
      <c r="HF21" s="244"/>
      <c r="HG21" s="244"/>
      <c r="HH21" s="244"/>
      <c r="HI21" s="244"/>
      <c r="HJ21" s="244"/>
      <c r="HK21" s="244"/>
      <c r="HL21" s="244"/>
      <c r="HM21" s="244"/>
      <c r="HN21" s="244"/>
      <c r="HO21" s="244"/>
      <c r="HP21" s="244"/>
      <c r="HQ21" s="244"/>
      <c r="HR21" s="244"/>
      <c r="HS21" s="244"/>
      <c r="HT21" s="244"/>
      <c r="HU21" s="244"/>
      <c r="HV21" s="244"/>
      <c r="HW21" s="244"/>
      <c r="HX21" s="244"/>
      <c r="HY21" s="244"/>
      <c r="HZ21" s="244"/>
      <c r="IA21" s="244"/>
      <c r="IB21" s="244"/>
      <c r="IC21" s="244"/>
      <c r="ID21" s="244"/>
      <c r="IE21" s="244"/>
      <c r="IF21" s="244"/>
      <c r="IG21" s="244"/>
      <c r="IH21" s="244"/>
      <c r="II21" s="244"/>
      <c r="IJ21" s="244"/>
      <c r="IK21" s="244"/>
      <c r="IL21" s="244"/>
      <c r="IM21" s="244"/>
      <c r="IN21" s="244"/>
      <c r="IO21" s="244"/>
      <c r="IP21" s="244"/>
      <c r="IQ21" s="244"/>
      <c r="IR21" s="244"/>
      <c r="IS21" s="244"/>
      <c r="IT21" s="244"/>
      <c r="IU21" s="244"/>
      <c r="IV21" s="244"/>
    </row>
    <row r="22" spans="1:256" s="192" customFormat="1" ht="12.75" thickBot="1" x14ac:dyDescent="0.25">
      <c r="A22" s="244" t="s">
        <v>43</v>
      </c>
      <c r="B22" s="195" t="str">
        <f>VLOOKUP(VLOOKUP(HLOOKUP($B$2,DB_Artikel,ROW()-1,FALSE),Auswahlfelder!$D$22:$E$23,2,FALSE),Auswahlfelder!$A$22:$B$23,2,FALSE)</f>
        <v>ja</v>
      </c>
      <c r="C22" s="211" t="str">
        <f>'Quick Input'!I28</f>
        <v>Oberfläche Feinputzen</v>
      </c>
      <c r="D22" s="192" t="s">
        <v>44</v>
      </c>
      <c r="E22" s="192" t="s">
        <v>44</v>
      </c>
      <c r="F22" s="192" t="s">
        <v>43</v>
      </c>
      <c r="G22" s="192" t="s">
        <v>43</v>
      </c>
      <c r="H22" s="192" t="s">
        <v>43</v>
      </c>
      <c r="I22" s="192" t="s">
        <v>43</v>
      </c>
      <c r="J22" s="192" t="s">
        <v>44</v>
      </c>
      <c r="K22" s="192" t="s">
        <v>44</v>
      </c>
      <c r="L22" s="192" t="s">
        <v>43</v>
      </c>
      <c r="M22" s="193" t="s">
        <v>43</v>
      </c>
      <c r="N22" s="192" t="s">
        <v>43</v>
      </c>
      <c r="O22" s="192" t="s">
        <v>43</v>
      </c>
      <c r="P22" s="192" t="s">
        <v>44</v>
      </c>
      <c r="Q22" s="192" t="s">
        <v>43</v>
      </c>
      <c r="R22" s="192" t="s">
        <v>43</v>
      </c>
      <c r="S22" s="192" t="s">
        <v>44</v>
      </c>
      <c r="T22" s="192" t="s">
        <v>43</v>
      </c>
      <c r="U22" s="192" t="s">
        <v>43</v>
      </c>
      <c r="EW22" s="244"/>
      <c r="EX22" s="244"/>
      <c r="EY22" s="244"/>
      <c r="EZ22" s="244"/>
      <c r="FA22" s="244"/>
      <c r="FB22" s="244"/>
      <c r="FC22" s="244"/>
      <c r="FD22" s="244"/>
      <c r="FE22" s="244"/>
      <c r="FF22" s="244"/>
      <c r="FG22" s="244"/>
      <c r="FH22" s="244"/>
      <c r="FI22" s="244"/>
      <c r="FJ22" s="244"/>
      <c r="FK22" s="244"/>
      <c r="FL22" s="244"/>
      <c r="FM22" s="244"/>
      <c r="FN22" s="244"/>
      <c r="FO22" s="244"/>
      <c r="FP22" s="244"/>
      <c r="FQ22" s="244"/>
      <c r="FR22" s="244"/>
      <c r="FS22" s="244"/>
      <c r="FT22" s="244"/>
      <c r="FU22" s="244"/>
      <c r="FV22" s="244"/>
      <c r="FW22" s="244"/>
      <c r="FX22" s="244"/>
      <c r="FY22" s="244"/>
      <c r="FZ22" s="244"/>
      <c r="GA22" s="244"/>
      <c r="GB22" s="244"/>
      <c r="GC22" s="244"/>
      <c r="GD22" s="244"/>
      <c r="GE22" s="244"/>
      <c r="GF22" s="244"/>
      <c r="GG22" s="244"/>
      <c r="GH22" s="244"/>
      <c r="GI22" s="244"/>
      <c r="GJ22" s="244"/>
      <c r="GK22" s="244"/>
      <c r="GL22" s="244"/>
      <c r="GM22" s="244"/>
      <c r="GN22" s="244"/>
      <c r="GO22" s="244"/>
      <c r="GP22" s="244"/>
      <c r="GQ22" s="244"/>
      <c r="GR22" s="244"/>
      <c r="GS22" s="244"/>
      <c r="GT22" s="244"/>
      <c r="GU22" s="244"/>
      <c r="GV22" s="244"/>
      <c r="GW22" s="244"/>
      <c r="GX22" s="244"/>
      <c r="GY22" s="244"/>
      <c r="GZ22" s="244"/>
      <c r="HA22" s="244"/>
      <c r="HB22" s="244"/>
      <c r="HC22" s="244"/>
      <c r="HD22" s="244"/>
      <c r="HE22" s="244"/>
      <c r="HF22" s="244"/>
      <c r="HG22" s="244"/>
      <c r="HH22" s="244"/>
      <c r="HI22" s="244"/>
      <c r="HJ22" s="244"/>
      <c r="HK22" s="244"/>
      <c r="HL22" s="244"/>
      <c r="HM22" s="244"/>
      <c r="HN22" s="244"/>
      <c r="HO22" s="244"/>
      <c r="HP22" s="244"/>
      <c r="HQ22" s="244"/>
      <c r="HR22" s="244"/>
      <c r="HS22" s="244"/>
      <c r="HT22" s="244"/>
      <c r="HU22" s="244"/>
      <c r="HV22" s="244"/>
      <c r="HW22" s="244"/>
      <c r="HX22" s="244"/>
      <c r="HY22" s="244"/>
      <c r="HZ22" s="244"/>
      <c r="IA22" s="244"/>
      <c r="IB22" s="244"/>
      <c r="IC22" s="244"/>
      <c r="ID22" s="244"/>
      <c r="IE22" s="244"/>
      <c r="IF22" s="244"/>
      <c r="IG22" s="244"/>
      <c r="IH22" s="244"/>
      <c r="II22" s="244"/>
      <c r="IJ22" s="244"/>
      <c r="IK22" s="244"/>
      <c r="IL22" s="244"/>
      <c r="IM22" s="244"/>
      <c r="IN22" s="244"/>
      <c r="IO22" s="244"/>
      <c r="IP22" s="244"/>
      <c r="IQ22" s="244"/>
      <c r="IR22" s="244"/>
      <c r="IS22" s="244"/>
      <c r="IT22" s="244"/>
      <c r="IU22" s="244"/>
      <c r="IV22" s="244"/>
    </row>
    <row r="23" spans="1:256" s="192" customFormat="1" ht="12.75" thickBot="1" x14ac:dyDescent="0.25">
      <c r="A23" s="244" t="s">
        <v>44</v>
      </c>
      <c r="B23" s="195" t="str">
        <f>VLOOKUP(VLOOKUP(HLOOKUP($B$2,DB_Artikel,ROW()-1,FALSE),Auswahlfelder!$D$22:$E$23,2,FALSE),Auswahlfelder!$A$22:$B$23,2,FALSE)</f>
        <v>nein</v>
      </c>
      <c r="C23" s="211" t="str">
        <f>'Quick Input'!I29</f>
        <v>Ultraschall Prüfung</v>
      </c>
      <c r="D23" s="192" t="s">
        <v>43</v>
      </c>
      <c r="E23" s="192" t="s">
        <v>43</v>
      </c>
      <c r="F23" s="192" t="s">
        <v>44</v>
      </c>
      <c r="G23" s="192" t="s">
        <v>44</v>
      </c>
      <c r="H23" s="192" t="s">
        <v>44</v>
      </c>
      <c r="I23" s="192" t="s">
        <v>44</v>
      </c>
      <c r="J23" s="192" t="s">
        <v>44</v>
      </c>
      <c r="K23" s="192" t="s">
        <v>44</v>
      </c>
      <c r="L23" s="192" t="s">
        <v>43</v>
      </c>
      <c r="M23" s="193" t="s">
        <v>43</v>
      </c>
      <c r="N23" s="192" t="s">
        <v>43</v>
      </c>
      <c r="O23" s="192" t="s">
        <v>43</v>
      </c>
      <c r="P23" s="192" t="s">
        <v>44</v>
      </c>
      <c r="Q23" s="192" t="s">
        <v>43</v>
      </c>
      <c r="R23" s="192" t="s">
        <v>43</v>
      </c>
      <c r="S23" s="192" t="s">
        <v>43</v>
      </c>
      <c r="T23" s="192" t="s">
        <v>44</v>
      </c>
      <c r="U23" s="192" t="s">
        <v>44</v>
      </c>
      <c r="EW23" s="244"/>
      <c r="EX23" s="244"/>
      <c r="EY23" s="244"/>
      <c r="EZ23" s="244"/>
      <c r="FA23" s="244"/>
      <c r="FB23" s="244"/>
      <c r="FC23" s="244"/>
      <c r="FD23" s="244"/>
      <c r="FE23" s="244"/>
      <c r="FF23" s="244"/>
      <c r="FG23" s="244"/>
      <c r="FH23" s="244"/>
      <c r="FI23" s="244"/>
      <c r="FJ23" s="244"/>
      <c r="FK23" s="244"/>
      <c r="FL23" s="244"/>
      <c r="FM23" s="244"/>
      <c r="FN23" s="244"/>
      <c r="FO23" s="244"/>
      <c r="FP23" s="244"/>
      <c r="FQ23" s="244"/>
      <c r="FR23" s="244"/>
      <c r="FS23" s="244"/>
      <c r="FT23" s="244"/>
      <c r="FU23" s="244"/>
      <c r="FV23" s="244"/>
      <c r="FW23" s="244"/>
      <c r="FX23" s="244"/>
      <c r="FY23" s="244"/>
      <c r="FZ23" s="244"/>
      <c r="GA23" s="244"/>
      <c r="GB23" s="244"/>
      <c r="GC23" s="244"/>
      <c r="GD23" s="244"/>
      <c r="GE23" s="244"/>
      <c r="GF23" s="244"/>
      <c r="GG23" s="244"/>
      <c r="GH23" s="244"/>
      <c r="GI23" s="244"/>
      <c r="GJ23" s="244"/>
      <c r="GK23" s="244"/>
      <c r="GL23" s="244"/>
      <c r="GM23" s="244"/>
      <c r="GN23" s="244"/>
      <c r="GO23" s="244"/>
      <c r="GP23" s="244"/>
      <c r="GQ23" s="244"/>
      <c r="GR23" s="244"/>
      <c r="GS23" s="244"/>
      <c r="GT23" s="244"/>
      <c r="GU23" s="244"/>
      <c r="GV23" s="244"/>
      <c r="GW23" s="244"/>
      <c r="GX23" s="244"/>
      <c r="GY23" s="244"/>
      <c r="GZ23" s="244"/>
      <c r="HA23" s="244"/>
      <c r="HB23" s="244"/>
      <c r="HC23" s="244"/>
      <c r="HD23" s="244"/>
      <c r="HE23" s="244"/>
      <c r="HF23" s="244"/>
      <c r="HG23" s="244"/>
      <c r="HH23" s="244"/>
      <c r="HI23" s="244"/>
      <c r="HJ23" s="244"/>
      <c r="HK23" s="244"/>
      <c r="HL23" s="244"/>
      <c r="HM23" s="244"/>
      <c r="HN23" s="244"/>
      <c r="HO23" s="244"/>
      <c r="HP23" s="244"/>
      <c r="HQ23" s="244"/>
      <c r="HR23" s="244"/>
      <c r="HS23" s="244"/>
      <c r="HT23" s="244"/>
      <c r="HU23" s="244"/>
      <c r="HV23" s="244"/>
      <c r="HW23" s="244"/>
      <c r="HX23" s="244"/>
      <c r="HY23" s="244"/>
      <c r="HZ23" s="244"/>
      <c r="IA23" s="244"/>
      <c r="IB23" s="244"/>
      <c r="IC23" s="244"/>
      <c r="ID23" s="244"/>
      <c r="IE23" s="244"/>
      <c r="IF23" s="244"/>
      <c r="IG23" s="244"/>
      <c r="IH23" s="244"/>
      <c r="II23" s="244"/>
      <c r="IJ23" s="244"/>
      <c r="IK23" s="244"/>
      <c r="IL23" s="244"/>
      <c r="IM23" s="244"/>
      <c r="IN23" s="244"/>
      <c r="IO23" s="244"/>
      <c r="IP23" s="244"/>
      <c r="IQ23" s="244"/>
      <c r="IR23" s="244"/>
      <c r="IS23" s="244"/>
      <c r="IT23" s="244"/>
      <c r="IU23" s="244"/>
      <c r="IV23" s="244"/>
    </row>
    <row r="24" spans="1:256" s="192" customFormat="1" ht="12.75" thickBot="1" x14ac:dyDescent="0.25">
      <c r="A24" s="244" t="s">
        <v>43</v>
      </c>
      <c r="B24" s="195" t="str">
        <f>VLOOKUP(VLOOKUP(HLOOKUP($B$2,DB_Artikel,ROW()-1,FALSE),Auswahlfelder!$D$22:$E$23,2,FALSE),Auswahlfelder!$A$22:$B$23,2,FALSE)</f>
        <v>ja</v>
      </c>
      <c r="C24" s="211" t="str">
        <f>'Quick Input'!I30</f>
        <v>Farbeindringprüfung/PT</v>
      </c>
      <c r="D24" s="192" t="s">
        <v>43</v>
      </c>
      <c r="E24" s="192" t="s">
        <v>43</v>
      </c>
      <c r="F24" s="192" t="s">
        <v>44</v>
      </c>
      <c r="G24" s="192" t="s">
        <v>44</v>
      </c>
      <c r="H24" s="192" t="s">
        <v>43</v>
      </c>
      <c r="I24" s="192" t="s">
        <v>43</v>
      </c>
      <c r="J24" s="192" t="s">
        <v>44</v>
      </c>
      <c r="K24" s="192" t="s">
        <v>44</v>
      </c>
      <c r="L24" s="192" t="s">
        <v>43</v>
      </c>
      <c r="M24" s="193" t="s">
        <v>43</v>
      </c>
      <c r="N24" s="192" t="s">
        <v>43</v>
      </c>
      <c r="O24" s="192" t="s">
        <v>43</v>
      </c>
      <c r="P24" s="192" t="s">
        <v>44</v>
      </c>
      <c r="Q24" s="192" t="s">
        <v>43</v>
      </c>
      <c r="R24" s="192" t="s">
        <v>43</v>
      </c>
      <c r="S24" s="192" t="s">
        <v>43</v>
      </c>
      <c r="T24" s="192" t="s">
        <v>44</v>
      </c>
      <c r="U24" s="192" t="s">
        <v>43</v>
      </c>
      <c r="EW24" s="244"/>
      <c r="EX24" s="244"/>
      <c r="EY24" s="244"/>
      <c r="EZ24" s="244"/>
      <c r="FA24" s="244"/>
      <c r="FB24" s="244"/>
      <c r="FC24" s="244"/>
      <c r="FD24" s="244"/>
      <c r="FE24" s="244"/>
      <c r="FF24" s="244"/>
      <c r="FG24" s="244"/>
      <c r="FH24" s="244"/>
      <c r="FI24" s="244"/>
      <c r="FJ24" s="244"/>
      <c r="FK24" s="244"/>
      <c r="FL24" s="244"/>
      <c r="FM24" s="244"/>
      <c r="FN24" s="244"/>
      <c r="FO24" s="244"/>
      <c r="FP24" s="244"/>
      <c r="FQ24" s="244"/>
      <c r="FR24" s="244"/>
      <c r="FS24" s="244"/>
      <c r="FT24" s="244"/>
      <c r="FU24" s="244"/>
      <c r="FV24" s="244"/>
      <c r="FW24" s="244"/>
      <c r="FX24" s="244"/>
      <c r="FY24" s="244"/>
      <c r="FZ24" s="244"/>
      <c r="GA24" s="244"/>
      <c r="GB24" s="244"/>
      <c r="GC24" s="244"/>
      <c r="GD24" s="244"/>
      <c r="GE24" s="244"/>
      <c r="GF24" s="244"/>
      <c r="GG24" s="244"/>
      <c r="GH24" s="244"/>
      <c r="GI24" s="244"/>
      <c r="GJ24" s="244"/>
      <c r="GK24" s="244"/>
      <c r="GL24" s="244"/>
      <c r="GM24" s="244"/>
      <c r="GN24" s="244"/>
      <c r="GO24" s="244"/>
      <c r="GP24" s="244"/>
      <c r="GQ24" s="244"/>
      <c r="GR24" s="244"/>
      <c r="GS24" s="244"/>
      <c r="GT24" s="244"/>
      <c r="GU24" s="244"/>
      <c r="GV24" s="244"/>
      <c r="GW24" s="244"/>
      <c r="GX24" s="244"/>
      <c r="GY24" s="244"/>
      <c r="GZ24" s="244"/>
      <c r="HA24" s="244"/>
      <c r="HB24" s="244"/>
      <c r="HC24" s="244"/>
      <c r="HD24" s="244"/>
      <c r="HE24" s="244"/>
      <c r="HF24" s="244"/>
      <c r="HG24" s="244"/>
      <c r="HH24" s="244"/>
      <c r="HI24" s="244"/>
      <c r="HJ24" s="244"/>
      <c r="HK24" s="244"/>
      <c r="HL24" s="244"/>
      <c r="HM24" s="244"/>
      <c r="HN24" s="244"/>
      <c r="HO24" s="244"/>
      <c r="HP24" s="244"/>
      <c r="HQ24" s="244"/>
      <c r="HR24" s="244"/>
      <c r="HS24" s="244"/>
      <c r="HT24" s="244"/>
      <c r="HU24" s="244"/>
      <c r="HV24" s="244"/>
      <c r="HW24" s="244"/>
      <c r="HX24" s="244"/>
      <c r="HY24" s="244"/>
      <c r="HZ24" s="244"/>
      <c r="IA24" s="244"/>
      <c r="IB24" s="244"/>
      <c r="IC24" s="244"/>
      <c r="ID24" s="244"/>
      <c r="IE24" s="244"/>
      <c r="IF24" s="244"/>
      <c r="IG24" s="244"/>
      <c r="IH24" s="244"/>
      <c r="II24" s="244"/>
      <c r="IJ24" s="244"/>
      <c r="IK24" s="244"/>
      <c r="IL24" s="244"/>
      <c r="IM24" s="244"/>
      <c r="IN24" s="244"/>
      <c r="IO24" s="244"/>
      <c r="IP24" s="244"/>
      <c r="IQ24" s="244"/>
      <c r="IR24" s="244"/>
      <c r="IS24" s="244"/>
      <c r="IT24" s="244"/>
      <c r="IU24" s="244"/>
      <c r="IV24" s="244"/>
    </row>
    <row r="25" spans="1:256" s="192" customFormat="1" ht="12.75" thickBot="1" x14ac:dyDescent="0.25">
      <c r="A25" s="244" t="s">
        <v>43</v>
      </c>
      <c r="B25" s="195" t="str">
        <f>VLOOKUP(VLOOKUP(HLOOKUP($B$2,DB_Artikel,ROW()-1,FALSE),Auswahlfelder!$D$22:$E$23,2,FALSE),Auswahlfelder!$A$22:$B$23,2,FALSE)</f>
        <v>ja</v>
      </c>
      <c r="C25" s="211" t="str">
        <f>'Quick Input'!I31</f>
        <v>Röntgen Prüfung</v>
      </c>
      <c r="D25" s="192" t="s">
        <v>44</v>
      </c>
      <c r="E25" s="192" t="s">
        <v>44</v>
      </c>
      <c r="F25" s="192" t="s">
        <v>43</v>
      </c>
      <c r="G25" s="192" t="s">
        <v>43</v>
      </c>
      <c r="H25" s="192" t="s">
        <v>43</v>
      </c>
      <c r="I25" s="192" t="s">
        <v>43</v>
      </c>
      <c r="J25" s="192" t="s">
        <v>44</v>
      </c>
      <c r="K25" s="192" t="s">
        <v>44</v>
      </c>
      <c r="L25" s="192" t="s">
        <v>43</v>
      </c>
      <c r="M25" s="193" t="s">
        <v>43</v>
      </c>
      <c r="N25" s="192" t="s">
        <v>43</v>
      </c>
      <c r="O25" s="192" t="s">
        <v>43</v>
      </c>
      <c r="P25" s="192" t="s">
        <v>44</v>
      </c>
      <c r="Q25" s="192" t="s">
        <v>43</v>
      </c>
      <c r="R25" s="192" t="s">
        <v>43</v>
      </c>
      <c r="S25" s="192" t="s">
        <v>44</v>
      </c>
      <c r="T25" s="192" t="s">
        <v>43</v>
      </c>
      <c r="U25" s="192" t="s">
        <v>43</v>
      </c>
      <c r="EW25" s="244"/>
      <c r="EX25" s="244"/>
      <c r="EY25" s="244"/>
      <c r="EZ25" s="244"/>
      <c r="FA25" s="244"/>
      <c r="FB25" s="244"/>
      <c r="FC25" s="244"/>
      <c r="FD25" s="244"/>
      <c r="FE25" s="244"/>
      <c r="FF25" s="244"/>
      <c r="FG25" s="244"/>
      <c r="FH25" s="244"/>
      <c r="FI25" s="244"/>
      <c r="FJ25" s="244"/>
      <c r="FK25" s="244"/>
      <c r="FL25" s="244"/>
      <c r="FM25" s="244"/>
      <c r="FN25" s="244"/>
      <c r="FO25" s="244"/>
      <c r="FP25" s="244"/>
      <c r="FQ25" s="244"/>
      <c r="FR25" s="244"/>
      <c r="FS25" s="244"/>
      <c r="FT25" s="244"/>
      <c r="FU25" s="244"/>
      <c r="FV25" s="244"/>
      <c r="FW25" s="244"/>
      <c r="FX25" s="244"/>
      <c r="FY25" s="244"/>
      <c r="FZ25" s="244"/>
      <c r="GA25" s="244"/>
      <c r="GB25" s="244"/>
      <c r="GC25" s="244"/>
      <c r="GD25" s="244"/>
      <c r="GE25" s="244"/>
      <c r="GF25" s="244"/>
      <c r="GG25" s="244"/>
      <c r="GH25" s="244"/>
      <c r="GI25" s="244"/>
      <c r="GJ25" s="244"/>
      <c r="GK25" s="244"/>
      <c r="GL25" s="244"/>
      <c r="GM25" s="244"/>
      <c r="GN25" s="244"/>
      <c r="GO25" s="244"/>
      <c r="GP25" s="244"/>
      <c r="GQ25" s="244"/>
      <c r="GR25" s="244"/>
      <c r="GS25" s="244"/>
      <c r="GT25" s="244"/>
      <c r="GU25" s="244"/>
      <c r="GV25" s="244"/>
      <c r="GW25" s="244"/>
      <c r="GX25" s="244"/>
      <c r="GY25" s="244"/>
      <c r="GZ25" s="244"/>
      <c r="HA25" s="244"/>
      <c r="HB25" s="244"/>
      <c r="HC25" s="244"/>
      <c r="HD25" s="244"/>
      <c r="HE25" s="244"/>
      <c r="HF25" s="244"/>
      <c r="HG25" s="244"/>
      <c r="HH25" s="244"/>
      <c r="HI25" s="244"/>
      <c r="HJ25" s="244"/>
      <c r="HK25" s="244"/>
      <c r="HL25" s="244"/>
      <c r="HM25" s="244"/>
      <c r="HN25" s="244"/>
      <c r="HO25" s="244"/>
      <c r="HP25" s="244"/>
      <c r="HQ25" s="244"/>
      <c r="HR25" s="244"/>
      <c r="HS25" s="244"/>
      <c r="HT25" s="244"/>
      <c r="HU25" s="244"/>
      <c r="HV25" s="244"/>
      <c r="HW25" s="244"/>
      <c r="HX25" s="244"/>
      <c r="HY25" s="244"/>
      <c r="HZ25" s="244"/>
      <c r="IA25" s="244"/>
      <c r="IB25" s="244"/>
      <c r="IC25" s="244"/>
      <c r="ID25" s="244"/>
      <c r="IE25" s="244"/>
      <c r="IF25" s="244"/>
      <c r="IG25" s="244"/>
      <c r="IH25" s="244"/>
      <c r="II25" s="244"/>
      <c r="IJ25" s="244"/>
      <c r="IK25" s="244"/>
      <c r="IL25" s="244"/>
      <c r="IM25" s="244"/>
      <c r="IN25" s="244"/>
      <c r="IO25" s="244"/>
      <c r="IP25" s="244"/>
      <c r="IQ25" s="244"/>
      <c r="IR25" s="244"/>
      <c r="IS25" s="244"/>
      <c r="IT25" s="244"/>
      <c r="IU25" s="244"/>
      <c r="IV25" s="244"/>
    </row>
    <row r="26" spans="1:256" s="192" customFormat="1" ht="12.75" thickBot="1" x14ac:dyDescent="0.25">
      <c r="A26" s="244" t="s">
        <v>407</v>
      </c>
      <c r="B26" s="195" t="str">
        <f>VLOOKUP(VLOOKUP(HLOOKUP($B$2,DB_Artikel,ROW()-1,FALSE),Auswahlfelder!$D$31:$E$33,2,FALSE),Auswahlfelder!$A$31:$B$33,2,FALSE)</f>
        <v>Abnahmeprüfzeugnis 3.1</v>
      </c>
      <c r="C26" s="211" t="str">
        <f>'Quick Input'!I32</f>
        <v>Materialprüfzertifikat</v>
      </c>
      <c r="D26" s="192" t="s">
        <v>407</v>
      </c>
      <c r="E26" s="192" t="s">
        <v>407</v>
      </c>
      <c r="F26" s="192" t="s">
        <v>407</v>
      </c>
      <c r="G26" s="192" t="s">
        <v>407</v>
      </c>
      <c r="H26" s="192" t="s">
        <v>407</v>
      </c>
      <c r="I26" s="192" t="s">
        <v>407</v>
      </c>
      <c r="J26" s="192" t="s">
        <v>261</v>
      </c>
      <c r="K26" s="192" t="s">
        <v>261</v>
      </c>
      <c r="L26" s="192" t="s">
        <v>261</v>
      </c>
      <c r="M26" s="193" t="s">
        <v>261</v>
      </c>
      <c r="N26" s="192" t="s">
        <v>261</v>
      </c>
      <c r="O26" s="192" t="s">
        <v>261</v>
      </c>
      <c r="P26" s="192" t="s">
        <v>261</v>
      </c>
      <c r="Q26" s="192" t="s">
        <v>261</v>
      </c>
      <c r="R26" s="192" t="s">
        <v>261</v>
      </c>
      <c r="S26" s="192" t="s">
        <v>407</v>
      </c>
      <c r="T26" s="192" t="s">
        <v>407</v>
      </c>
      <c r="U26" s="192" t="s">
        <v>407</v>
      </c>
      <c r="EW26" s="244"/>
      <c r="EX26" s="244"/>
      <c r="EY26" s="244"/>
      <c r="EZ26" s="244"/>
      <c r="FA26" s="244"/>
      <c r="FB26" s="244"/>
      <c r="FC26" s="244"/>
      <c r="FD26" s="244"/>
      <c r="FE26" s="244"/>
      <c r="FF26" s="244"/>
      <c r="FG26" s="244"/>
      <c r="FH26" s="244"/>
      <c r="FI26" s="244"/>
      <c r="FJ26" s="244"/>
      <c r="FK26" s="244"/>
      <c r="FL26" s="244"/>
      <c r="FM26" s="244"/>
      <c r="FN26" s="244"/>
      <c r="FO26" s="244"/>
      <c r="FP26" s="244"/>
      <c r="FQ26" s="244"/>
      <c r="FR26" s="244"/>
      <c r="FS26" s="244"/>
      <c r="FT26" s="244"/>
      <c r="FU26" s="244"/>
      <c r="FV26" s="244"/>
      <c r="FW26" s="244"/>
      <c r="FX26" s="244"/>
      <c r="FY26" s="244"/>
      <c r="FZ26" s="244"/>
      <c r="GA26" s="244"/>
      <c r="GB26" s="244"/>
      <c r="GC26" s="244"/>
      <c r="GD26" s="244"/>
      <c r="GE26" s="244"/>
      <c r="GF26" s="244"/>
      <c r="GG26" s="244"/>
      <c r="GH26" s="244"/>
      <c r="GI26" s="244"/>
      <c r="GJ26" s="244"/>
      <c r="GK26" s="244"/>
      <c r="GL26" s="244"/>
      <c r="GM26" s="244"/>
      <c r="GN26" s="244"/>
      <c r="GO26" s="244"/>
      <c r="GP26" s="244"/>
      <c r="GQ26" s="244"/>
      <c r="GR26" s="244"/>
      <c r="GS26" s="244"/>
      <c r="GT26" s="244"/>
      <c r="GU26" s="244"/>
      <c r="GV26" s="244"/>
      <c r="GW26" s="244"/>
      <c r="GX26" s="244"/>
      <c r="GY26" s="244"/>
      <c r="GZ26" s="244"/>
      <c r="HA26" s="244"/>
      <c r="HB26" s="244"/>
      <c r="HC26" s="244"/>
      <c r="HD26" s="244"/>
      <c r="HE26" s="244"/>
      <c r="HF26" s="244"/>
      <c r="HG26" s="244"/>
      <c r="HH26" s="244"/>
      <c r="HI26" s="244"/>
      <c r="HJ26" s="244"/>
      <c r="HK26" s="244"/>
      <c r="HL26" s="244"/>
      <c r="HM26" s="244"/>
      <c r="HN26" s="244"/>
      <c r="HO26" s="244"/>
      <c r="HP26" s="244"/>
      <c r="HQ26" s="244"/>
      <c r="HR26" s="244"/>
      <c r="HS26" s="244"/>
      <c r="HT26" s="244"/>
      <c r="HU26" s="244"/>
      <c r="HV26" s="244"/>
      <c r="HW26" s="244"/>
      <c r="HX26" s="244"/>
      <c r="HY26" s="244"/>
      <c r="HZ26" s="244"/>
      <c r="IA26" s="244"/>
      <c r="IB26" s="244"/>
      <c r="IC26" s="244"/>
      <c r="ID26" s="244"/>
      <c r="IE26" s="244"/>
      <c r="IF26" s="244"/>
      <c r="IG26" s="244"/>
      <c r="IH26" s="244"/>
      <c r="II26" s="244"/>
      <c r="IJ26" s="244"/>
      <c r="IK26" s="244"/>
      <c r="IL26" s="244"/>
      <c r="IM26" s="244"/>
      <c r="IN26" s="244"/>
      <c r="IO26" s="244"/>
      <c r="IP26" s="244"/>
      <c r="IQ26" s="244"/>
      <c r="IR26" s="244"/>
      <c r="IS26" s="244"/>
      <c r="IT26" s="244"/>
      <c r="IU26" s="244"/>
      <c r="IV26" s="244"/>
    </row>
    <row r="27" spans="1:256" s="192" customFormat="1" ht="12.75" thickBot="1" x14ac:dyDescent="0.25">
      <c r="A27" s="244" t="s">
        <v>522</v>
      </c>
      <c r="B27" s="195" t="str">
        <f>VLOOKUP(VLOOKUP(HLOOKUP($B$2,DB_Artikel,ROW()-1,FALSE),Auswahlfelder!$D$41:$E$46,2,FALSE),Auswahlfelder!$A$41:$B$46,2,FALSE)</f>
        <v>T7</v>
      </c>
      <c r="C27" s="211" t="str">
        <f>'Quick Input'!I33</f>
        <v>Wärmebehandlung</v>
      </c>
      <c r="D27" s="192" t="s">
        <v>295</v>
      </c>
      <c r="E27" s="192" t="s">
        <v>295</v>
      </c>
      <c r="F27" s="192" t="s">
        <v>294</v>
      </c>
      <c r="G27" s="192" t="s">
        <v>294</v>
      </c>
      <c r="H27" s="192" t="s">
        <v>522</v>
      </c>
      <c r="I27" s="192" t="s">
        <v>522</v>
      </c>
      <c r="J27" s="192" t="s">
        <v>524</v>
      </c>
      <c r="K27" s="192" t="s">
        <v>524</v>
      </c>
      <c r="L27" s="192" t="s">
        <v>523</v>
      </c>
      <c r="M27" s="193" t="s">
        <v>523</v>
      </c>
      <c r="N27" s="192" t="s">
        <v>293</v>
      </c>
      <c r="O27" s="192" t="s">
        <v>293</v>
      </c>
      <c r="P27" s="192" t="s">
        <v>524</v>
      </c>
      <c r="Q27" s="192" t="s">
        <v>523</v>
      </c>
      <c r="R27" s="192" t="s">
        <v>293</v>
      </c>
      <c r="S27" s="192" t="s">
        <v>295</v>
      </c>
      <c r="T27" s="192" t="s">
        <v>294</v>
      </c>
      <c r="U27" s="192" t="s">
        <v>522</v>
      </c>
      <c r="EW27" s="244"/>
      <c r="EX27" s="244"/>
      <c r="EY27" s="244"/>
      <c r="EZ27" s="244"/>
      <c r="FA27" s="244"/>
      <c r="FB27" s="244"/>
      <c r="FC27" s="244"/>
      <c r="FD27" s="244"/>
      <c r="FE27" s="244"/>
      <c r="FF27" s="244"/>
      <c r="FG27" s="244"/>
      <c r="FH27" s="244"/>
      <c r="FI27" s="244"/>
      <c r="FJ27" s="244"/>
      <c r="FK27" s="244"/>
      <c r="FL27" s="244"/>
      <c r="FM27" s="244"/>
      <c r="FN27" s="244"/>
      <c r="FO27" s="244"/>
      <c r="FP27" s="244"/>
      <c r="FQ27" s="244"/>
      <c r="FR27" s="244"/>
      <c r="FS27" s="244"/>
      <c r="FT27" s="244"/>
      <c r="FU27" s="244"/>
      <c r="FV27" s="244"/>
      <c r="FW27" s="244"/>
      <c r="FX27" s="244"/>
      <c r="FY27" s="244"/>
      <c r="FZ27" s="244"/>
      <c r="GA27" s="244"/>
      <c r="GB27" s="244"/>
      <c r="GC27" s="244"/>
      <c r="GD27" s="244"/>
      <c r="GE27" s="244"/>
      <c r="GF27" s="244"/>
      <c r="GG27" s="244"/>
      <c r="GH27" s="244"/>
      <c r="GI27" s="244"/>
      <c r="GJ27" s="244"/>
      <c r="GK27" s="244"/>
      <c r="GL27" s="244"/>
      <c r="GM27" s="244"/>
      <c r="GN27" s="244"/>
      <c r="GO27" s="244"/>
      <c r="GP27" s="244"/>
      <c r="GQ27" s="244"/>
      <c r="GR27" s="244"/>
      <c r="GS27" s="244"/>
      <c r="GT27" s="244"/>
      <c r="GU27" s="244"/>
      <c r="GV27" s="244"/>
      <c r="GW27" s="244"/>
      <c r="GX27" s="244"/>
      <c r="GY27" s="244"/>
      <c r="GZ27" s="244"/>
      <c r="HA27" s="244"/>
      <c r="HB27" s="244"/>
      <c r="HC27" s="244"/>
      <c r="HD27" s="244"/>
      <c r="HE27" s="244"/>
      <c r="HF27" s="244"/>
      <c r="HG27" s="244"/>
      <c r="HH27" s="244"/>
      <c r="HI27" s="244"/>
      <c r="HJ27" s="244"/>
      <c r="HK27" s="244"/>
      <c r="HL27" s="244"/>
      <c r="HM27" s="244"/>
      <c r="HN27" s="244"/>
      <c r="HO27" s="244"/>
      <c r="HP27" s="244"/>
      <c r="HQ27" s="244"/>
      <c r="HR27" s="244"/>
      <c r="HS27" s="244"/>
      <c r="HT27" s="244"/>
      <c r="HU27" s="244"/>
      <c r="HV27" s="244"/>
      <c r="HW27" s="244"/>
      <c r="HX27" s="244"/>
      <c r="HY27" s="244"/>
      <c r="HZ27" s="244"/>
      <c r="IA27" s="244"/>
      <c r="IB27" s="244"/>
      <c r="IC27" s="244"/>
      <c r="ID27" s="244"/>
      <c r="IE27" s="244"/>
      <c r="IF27" s="244"/>
      <c r="IG27" s="244"/>
      <c r="IH27" s="244"/>
      <c r="II27" s="244"/>
      <c r="IJ27" s="244"/>
      <c r="IK27" s="244"/>
      <c r="IL27" s="244"/>
      <c r="IM27" s="244"/>
      <c r="IN27" s="244"/>
      <c r="IO27" s="244"/>
      <c r="IP27" s="244"/>
      <c r="IQ27" s="244"/>
      <c r="IR27" s="244"/>
      <c r="IS27" s="244"/>
      <c r="IT27" s="244"/>
      <c r="IU27" s="244"/>
      <c r="IV27" s="244"/>
    </row>
    <row r="28" spans="1:256" s="192" customFormat="1" ht="12.75" thickBot="1" x14ac:dyDescent="0.25">
      <c r="A28" s="244" t="s">
        <v>261</v>
      </c>
      <c r="B28" s="195" t="str">
        <f>VLOOKUP(VLOOKUP(HLOOKUP($B$2,DB_Artikel,ROW()-1,FALSE),Auswahlfelder!$D$60:$E$62,2,FALSE),Auswahlfelder!$A$60:$B$62,2,FALSE)</f>
        <v>ohne</v>
      </c>
      <c r="C28" s="211" t="str">
        <f>'Quick Input'!I34</f>
        <v>Reparaturschweißung</v>
      </c>
      <c r="D28" s="192" t="s">
        <v>418</v>
      </c>
      <c r="E28" s="192" t="s">
        <v>418</v>
      </c>
      <c r="F28" s="192" t="s">
        <v>418</v>
      </c>
      <c r="G28" s="192" t="s">
        <v>418</v>
      </c>
      <c r="H28" s="192" t="s">
        <v>261</v>
      </c>
      <c r="I28" s="192" t="s">
        <v>261</v>
      </c>
      <c r="J28" s="192" t="s">
        <v>261</v>
      </c>
      <c r="K28" s="192" t="s">
        <v>261</v>
      </c>
      <c r="L28" s="192" t="s">
        <v>261</v>
      </c>
      <c r="M28" s="193" t="s">
        <v>261</v>
      </c>
      <c r="N28" s="192" t="s">
        <v>261</v>
      </c>
      <c r="O28" s="192" t="s">
        <v>261</v>
      </c>
      <c r="P28" s="192" t="s">
        <v>261</v>
      </c>
      <c r="Q28" s="192" t="s">
        <v>261</v>
      </c>
      <c r="R28" s="192" t="s">
        <v>261</v>
      </c>
      <c r="S28" s="192" t="s">
        <v>418</v>
      </c>
      <c r="T28" s="192" t="s">
        <v>418</v>
      </c>
      <c r="U28" s="192" t="s">
        <v>261</v>
      </c>
      <c r="EW28" s="244"/>
      <c r="EX28" s="244"/>
      <c r="EY28" s="244"/>
      <c r="EZ28" s="244"/>
      <c r="FA28" s="244"/>
      <c r="FB28" s="244"/>
      <c r="FC28" s="244"/>
      <c r="FD28" s="244"/>
      <c r="FE28" s="244"/>
      <c r="FF28" s="244"/>
      <c r="FG28" s="244"/>
      <c r="FH28" s="244"/>
      <c r="FI28" s="244"/>
      <c r="FJ28" s="244"/>
      <c r="FK28" s="244"/>
      <c r="FL28" s="244"/>
      <c r="FM28" s="244"/>
      <c r="FN28" s="244"/>
      <c r="FO28" s="244"/>
      <c r="FP28" s="244"/>
      <c r="FQ28" s="244"/>
      <c r="FR28" s="244"/>
      <c r="FS28" s="244"/>
      <c r="FT28" s="244"/>
      <c r="FU28" s="244"/>
      <c r="FV28" s="244"/>
      <c r="FW28" s="244"/>
      <c r="FX28" s="244"/>
      <c r="FY28" s="244"/>
      <c r="FZ28" s="244"/>
      <c r="GA28" s="244"/>
      <c r="GB28" s="244"/>
      <c r="GC28" s="244"/>
      <c r="GD28" s="244"/>
      <c r="GE28" s="244"/>
      <c r="GF28" s="244"/>
      <c r="GG28" s="244"/>
      <c r="GH28" s="244"/>
      <c r="GI28" s="244"/>
      <c r="GJ28" s="244"/>
      <c r="GK28" s="244"/>
      <c r="GL28" s="244"/>
      <c r="GM28" s="244"/>
      <c r="GN28" s="244"/>
      <c r="GO28" s="244"/>
      <c r="GP28" s="244"/>
      <c r="GQ28" s="244"/>
      <c r="GR28" s="244"/>
      <c r="GS28" s="244"/>
      <c r="GT28" s="244"/>
      <c r="GU28" s="244"/>
      <c r="GV28" s="244"/>
      <c r="GW28" s="244"/>
      <c r="GX28" s="244"/>
      <c r="GY28" s="244"/>
      <c r="GZ28" s="244"/>
      <c r="HA28" s="244"/>
      <c r="HB28" s="244"/>
      <c r="HC28" s="244"/>
      <c r="HD28" s="244"/>
      <c r="HE28" s="244"/>
      <c r="HF28" s="244"/>
      <c r="HG28" s="244"/>
      <c r="HH28" s="244"/>
      <c r="HI28" s="244"/>
      <c r="HJ28" s="244"/>
      <c r="HK28" s="244"/>
      <c r="HL28" s="244"/>
      <c r="HM28" s="244"/>
      <c r="HN28" s="244"/>
      <c r="HO28" s="244"/>
      <c r="HP28" s="244"/>
      <c r="HQ28" s="244"/>
      <c r="HR28" s="244"/>
      <c r="HS28" s="244"/>
      <c r="HT28" s="244"/>
      <c r="HU28" s="244"/>
      <c r="HV28" s="244"/>
      <c r="HW28" s="244"/>
      <c r="HX28" s="244"/>
      <c r="HY28" s="244"/>
      <c r="HZ28" s="244"/>
      <c r="IA28" s="244"/>
      <c r="IB28" s="244"/>
      <c r="IC28" s="244"/>
      <c r="ID28" s="244"/>
      <c r="IE28" s="244"/>
      <c r="IF28" s="244"/>
      <c r="IG28" s="244"/>
      <c r="IH28" s="244"/>
      <c r="II28" s="244"/>
      <c r="IJ28" s="244"/>
      <c r="IK28" s="244"/>
      <c r="IL28" s="244"/>
      <c r="IM28" s="244"/>
      <c r="IN28" s="244"/>
      <c r="IO28" s="244"/>
      <c r="IP28" s="244"/>
      <c r="IQ28" s="244"/>
      <c r="IR28" s="244"/>
      <c r="IS28" s="244"/>
      <c r="IT28" s="244"/>
      <c r="IU28" s="244"/>
      <c r="IV28" s="244"/>
    </row>
    <row r="29" spans="1:256" s="192" customFormat="1" ht="12" thickBot="1" x14ac:dyDescent="0.25">
      <c r="A29" s="645">
        <v>42947</v>
      </c>
      <c r="B29" s="645">
        <f t="shared" ref="B29:B39" si="12">HLOOKUP($B$2,DB_Artikel,ROW()-1,FALSE)</f>
        <v>42947</v>
      </c>
      <c r="C29" s="211" t="str">
        <f>'Quick Input'!I35</f>
        <v>Datum</v>
      </c>
      <c r="D29" s="197">
        <v>42947</v>
      </c>
      <c r="E29" s="197">
        <v>42936</v>
      </c>
      <c r="F29" s="197">
        <v>42936</v>
      </c>
      <c r="G29" s="197">
        <v>42936</v>
      </c>
      <c r="H29" s="197">
        <v>42936</v>
      </c>
      <c r="I29" s="197">
        <v>42936</v>
      </c>
      <c r="J29" s="197">
        <v>42936</v>
      </c>
      <c r="K29" s="197">
        <v>42936</v>
      </c>
      <c r="L29" s="197">
        <v>42936</v>
      </c>
      <c r="M29" s="197">
        <v>42936</v>
      </c>
      <c r="N29" s="197">
        <v>42936</v>
      </c>
      <c r="O29" s="197">
        <v>42936</v>
      </c>
      <c r="P29" s="197">
        <v>42936</v>
      </c>
      <c r="Q29" s="197">
        <v>42936</v>
      </c>
      <c r="R29" s="197">
        <v>42947</v>
      </c>
      <c r="S29" s="197">
        <v>42936</v>
      </c>
      <c r="T29" s="197">
        <v>42936</v>
      </c>
      <c r="U29" s="197">
        <v>42947</v>
      </c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7"/>
      <c r="AP29" s="197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7"/>
      <c r="CD29" s="197"/>
      <c r="CE29" s="197"/>
      <c r="CF29" s="197"/>
      <c r="CG29" s="197"/>
      <c r="CH29" s="197"/>
      <c r="CI29" s="197"/>
      <c r="CJ29" s="197"/>
      <c r="CK29" s="197"/>
      <c r="CL29" s="197"/>
      <c r="CM29" s="197"/>
      <c r="CN29" s="197"/>
      <c r="CO29" s="197"/>
      <c r="CP29" s="197"/>
      <c r="CQ29" s="197"/>
      <c r="CR29" s="197"/>
      <c r="CS29" s="197"/>
      <c r="CT29" s="197"/>
      <c r="CU29" s="197"/>
      <c r="CV29" s="197"/>
      <c r="CW29" s="197"/>
      <c r="CX29" s="197"/>
      <c r="CY29" s="197"/>
      <c r="CZ29" s="197"/>
      <c r="DA29" s="197"/>
      <c r="DB29" s="197"/>
      <c r="DC29" s="197"/>
      <c r="DD29" s="197"/>
      <c r="DE29" s="197"/>
      <c r="DF29" s="197"/>
      <c r="DG29" s="197"/>
      <c r="DH29" s="197"/>
      <c r="DI29" s="197"/>
      <c r="DJ29" s="197"/>
      <c r="DK29" s="197"/>
      <c r="DL29" s="197"/>
      <c r="DM29" s="197"/>
      <c r="DN29" s="197"/>
      <c r="DO29" s="197"/>
      <c r="DP29" s="197"/>
      <c r="DQ29" s="197"/>
      <c r="DR29" s="197"/>
      <c r="DS29" s="197"/>
      <c r="DT29" s="197"/>
      <c r="DU29" s="197"/>
      <c r="DV29" s="197"/>
      <c r="DW29" s="197"/>
      <c r="DX29" s="197"/>
      <c r="DY29" s="197"/>
      <c r="DZ29" s="197"/>
      <c r="EA29" s="197"/>
      <c r="EB29" s="197"/>
      <c r="EC29" s="197"/>
      <c r="ED29" s="197"/>
      <c r="EE29" s="197"/>
      <c r="EF29" s="197"/>
      <c r="EG29" s="197"/>
      <c r="EH29" s="197"/>
      <c r="EI29" s="197"/>
      <c r="EJ29" s="197"/>
      <c r="EK29" s="197"/>
      <c r="EL29" s="197"/>
      <c r="EM29" s="197"/>
      <c r="EN29" s="197"/>
      <c r="EO29" s="197"/>
      <c r="EP29" s="197"/>
      <c r="EQ29" s="197"/>
      <c r="ER29" s="197"/>
      <c r="ES29" s="197"/>
      <c r="ET29" s="197"/>
      <c r="EU29" s="197"/>
      <c r="EV29" s="197"/>
      <c r="EW29" s="197"/>
      <c r="EX29" s="197"/>
      <c r="EY29" s="197"/>
      <c r="EZ29" s="197"/>
      <c r="FA29" s="197"/>
      <c r="FB29" s="197"/>
      <c r="FC29" s="197"/>
      <c r="FD29" s="197"/>
      <c r="FE29" s="197"/>
      <c r="FF29" s="197"/>
      <c r="FG29" s="197"/>
      <c r="FH29" s="197"/>
      <c r="FI29" s="197"/>
      <c r="FJ29" s="197"/>
      <c r="FK29" s="197"/>
      <c r="FL29" s="197"/>
      <c r="FM29" s="197"/>
      <c r="FN29" s="197"/>
      <c r="FO29" s="197"/>
      <c r="FP29" s="197"/>
      <c r="FQ29" s="197"/>
      <c r="FR29" s="197"/>
      <c r="FS29" s="197"/>
      <c r="FT29" s="197"/>
      <c r="FU29" s="197"/>
      <c r="FV29" s="197"/>
      <c r="FW29" s="197"/>
      <c r="FX29" s="197"/>
      <c r="FY29" s="197"/>
      <c r="FZ29" s="197"/>
      <c r="GA29" s="197"/>
      <c r="GB29" s="197"/>
      <c r="GC29" s="197"/>
      <c r="GD29" s="197"/>
      <c r="GE29" s="197"/>
      <c r="GF29" s="197"/>
      <c r="GG29" s="197"/>
      <c r="GH29" s="197"/>
      <c r="GI29" s="197"/>
      <c r="GJ29" s="197"/>
      <c r="GK29" s="197"/>
      <c r="GL29" s="197"/>
      <c r="GM29" s="197"/>
      <c r="GN29" s="197"/>
      <c r="GO29" s="197"/>
      <c r="GP29" s="197"/>
      <c r="GQ29" s="197"/>
      <c r="GR29" s="197"/>
      <c r="GS29" s="197"/>
      <c r="GT29" s="197"/>
      <c r="GU29" s="197"/>
      <c r="GV29" s="197"/>
      <c r="GW29" s="197"/>
      <c r="GX29" s="197"/>
      <c r="GY29" s="197"/>
      <c r="GZ29" s="197"/>
      <c r="HA29" s="197"/>
      <c r="HB29" s="197"/>
      <c r="HC29" s="197"/>
      <c r="HD29" s="197"/>
      <c r="HE29" s="197"/>
      <c r="HF29" s="197"/>
      <c r="HG29" s="197"/>
      <c r="HH29" s="197"/>
      <c r="HI29" s="197"/>
      <c r="HJ29" s="197"/>
      <c r="HK29" s="197"/>
      <c r="HL29" s="197"/>
      <c r="HM29" s="197"/>
      <c r="HN29" s="197"/>
      <c r="HO29" s="197"/>
      <c r="HP29" s="197"/>
      <c r="HQ29" s="197"/>
      <c r="HR29" s="197"/>
      <c r="HS29" s="197"/>
      <c r="HT29" s="197"/>
      <c r="HU29" s="197"/>
      <c r="HV29" s="197"/>
      <c r="HW29" s="197"/>
      <c r="HX29" s="197"/>
      <c r="HY29" s="197"/>
      <c r="HZ29" s="197"/>
      <c r="IA29" s="197"/>
      <c r="IB29" s="197"/>
      <c r="IC29" s="197"/>
      <c r="ID29" s="197"/>
      <c r="IE29" s="197"/>
      <c r="IF29" s="197"/>
      <c r="IG29" s="197"/>
      <c r="IH29" s="197"/>
      <c r="II29" s="197"/>
      <c r="IJ29" s="197"/>
      <c r="IK29" s="197"/>
      <c r="IL29" s="197"/>
      <c r="IM29" s="197"/>
      <c r="IN29" s="197"/>
      <c r="IO29" s="197"/>
      <c r="IP29" s="197"/>
      <c r="IQ29" s="197"/>
      <c r="IR29" s="197"/>
      <c r="IS29" s="197"/>
      <c r="IT29" s="197"/>
      <c r="IU29" s="197"/>
      <c r="IV29" s="197"/>
    </row>
    <row r="30" spans="1:256" s="192" customFormat="1" ht="12.75" thickBot="1" x14ac:dyDescent="0.25">
      <c r="A30" s="244">
        <v>6</v>
      </c>
      <c r="B30" s="195">
        <f t="shared" si="12"/>
        <v>6</v>
      </c>
      <c r="C30" s="211" t="str">
        <f>'Quick Input'!I36</f>
        <v>Laufzeit (Jahre)</v>
      </c>
      <c r="D30" s="192">
        <v>6</v>
      </c>
      <c r="E30" s="192">
        <v>6</v>
      </c>
      <c r="F30" s="192">
        <v>6</v>
      </c>
      <c r="G30" s="192">
        <v>6</v>
      </c>
      <c r="H30" s="192">
        <v>6</v>
      </c>
      <c r="I30" s="192">
        <v>6</v>
      </c>
      <c r="J30" s="192">
        <v>6</v>
      </c>
      <c r="K30" s="192">
        <v>6</v>
      </c>
      <c r="L30" s="192">
        <v>6</v>
      </c>
      <c r="M30" s="193">
        <v>6</v>
      </c>
      <c r="N30" s="192">
        <v>6</v>
      </c>
      <c r="O30" s="192">
        <v>6</v>
      </c>
      <c r="P30" s="192">
        <v>6</v>
      </c>
      <c r="Q30" s="192">
        <v>6</v>
      </c>
      <c r="R30" s="192">
        <v>6</v>
      </c>
      <c r="S30" s="192">
        <v>6</v>
      </c>
      <c r="T30" s="192">
        <v>6</v>
      </c>
      <c r="U30" s="192">
        <v>6</v>
      </c>
      <c r="EW30" s="244"/>
      <c r="EX30" s="244"/>
      <c r="EY30" s="244"/>
      <c r="EZ30" s="244"/>
      <c r="FA30" s="244"/>
      <c r="FB30" s="244"/>
      <c r="FC30" s="244"/>
      <c r="FD30" s="244"/>
      <c r="FE30" s="244"/>
      <c r="FF30" s="244"/>
      <c r="FG30" s="244"/>
      <c r="FH30" s="244"/>
      <c r="FI30" s="244"/>
      <c r="FJ30" s="244"/>
      <c r="FK30" s="244"/>
      <c r="FL30" s="244"/>
      <c r="FM30" s="244"/>
      <c r="FN30" s="244"/>
      <c r="FO30" s="244"/>
      <c r="FP30" s="244"/>
      <c r="FQ30" s="244"/>
      <c r="FR30" s="244"/>
      <c r="FS30" s="244"/>
      <c r="FT30" s="244"/>
      <c r="FU30" s="244"/>
      <c r="FV30" s="244"/>
      <c r="FW30" s="244"/>
      <c r="FX30" s="244"/>
      <c r="FY30" s="244"/>
      <c r="FZ30" s="244"/>
      <c r="GA30" s="244"/>
      <c r="GB30" s="244"/>
      <c r="GC30" s="244"/>
      <c r="GD30" s="244"/>
      <c r="GE30" s="244"/>
      <c r="GF30" s="244"/>
      <c r="GG30" s="244"/>
      <c r="GH30" s="244"/>
      <c r="GI30" s="244"/>
      <c r="GJ30" s="244"/>
      <c r="GK30" s="244"/>
      <c r="GL30" s="244"/>
      <c r="GM30" s="244"/>
      <c r="GN30" s="244"/>
      <c r="GO30" s="244"/>
      <c r="GP30" s="244"/>
      <c r="GQ30" s="244"/>
      <c r="GR30" s="244"/>
      <c r="GS30" s="244"/>
      <c r="GT30" s="244"/>
      <c r="GU30" s="244"/>
      <c r="GV30" s="244"/>
      <c r="GW30" s="244"/>
      <c r="GX30" s="244"/>
      <c r="GY30" s="244"/>
      <c r="GZ30" s="244"/>
      <c r="HA30" s="244"/>
      <c r="HB30" s="244"/>
      <c r="HC30" s="244"/>
      <c r="HD30" s="244"/>
      <c r="HE30" s="244"/>
      <c r="HF30" s="244"/>
      <c r="HG30" s="244"/>
      <c r="HH30" s="244"/>
      <c r="HI30" s="244"/>
      <c r="HJ30" s="244"/>
      <c r="HK30" s="244"/>
      <c r="HL30" s="244"/>
      <c r="HM30" s="244"/>
      <c r="HN30" s="244"/>
      <c r="HO30" s="244"/>
      <c r="HP30" s="244"/>
      <c r="HQ30" s="244"/>
      <c r="HR30" s="244"/>
      <c r="HS30" s="244"/>
      <c r="HT30" s="244"/>
      <c r="HU30" s="244"/>
      <c r="HV30" s="244"/>
      <c r="HW30" s="244"/>
      <c r="HX30" s="244"/>
      <c r="HY30" s="244"/>
      <c r="HZ30" s="244"/>
      <c r="IA30" s="244"/>
      <c r="IB30" s="244"/>
      <c r="IC30" s="244"/>
      <c r="ID30" s="244"/>
      <c r="IE30" s="244"/>
      <c r="IF30" s="244"/>
      <c r="IG30" s="244"/>
      <c r="IH30" s="244"/>
      <c r="II30" s="244"/>
      <c r="IJ30" s="244"/>
      <c r="IK30" s="244"/>
      <c r="IL30" s="244"/>
      <c r="IM30" s="244"/>
      <c r="IN30" s="244"/>
      <c r="IO30" s="244"/>
      <c r="IP30" s="244"/>
      <c r="IQ30" s="244"/>
      <c r="IR30" s="244"/>
      <c r="IS30" s="244"/>
      <c r="IT30" s="244"/>
      <c r="IU30" s="244"/>
      <c r="IV30" s="244"/>
    </row>
    <row r="31" spans="1:256" s="192" customFormat="1" ht="12.75" thickBot="1" x14ac:dyDescent="0.25">
      <c r="A31" s="244">
        <v>500</v>
      </c>
      <c r="B31" s="195">
        <f t="shared" si="12"/>
        <v>500</v>
      </c>
      <c r="C31" s="211" t="str">
        <f>'Quick Input'!I37</f>
        <v>Stückzahl pa (peak)</v>
      </c>
      <c r="D31" s="192">
        <v>500</v>
      </c>
      <c r="E31" s="192">
        <v>500</v>
      </c>
      <c r="F31" s="192">
        <v>500</v>
      </c>
      <c r="G31" s="192">
        <v>500</v>
      </c>
      <c r="H31" s="192">
        <v>500</v>
      </c>
      <c r="I31" s="192">
        <v>500</v>
      </c>
      <c r="J31" s="192">
        <v>5000</v>
      </c>
      <c r="K31" s="192">
        <v>5000</v>
      </c>
      <c r="L31" s="192">
        <v>5000</v>
      </c>
      <c r="M31" s="193">
        <v>5000</v>
      </c>
      <c r="N31" s="192">
        <v>5000</v>
      </c>
      <c r="O31" s="192">
        <v>5000</v>
      </c>
      <c r="P31" s="192">
        <v>5000</v>
      </c>
      <c r="Q31" s="192">
        <v>5000</v>
      </c>
      <c r="R31" s="192">
        <v>5000</v>
      </c>
      <c r="S31" s="192">
        <v>500</v>
      </c>
      <c r="T31" s="192">
        <v>500</v>
      </c>
      <c r="U31" s="192">
        <v>500</v>
      </c>
      <c r="EW31" s="244"/>
      <c r="EX31" s="244"/>
      <c r="EY31" s="244"/>
      <c r="EZ31" s="244"/>
      <c r="FA31" s="244"/>
      <c r="FB31" s="244"/>
      <c r="FC31" s="244"/>
      <c r="FD31" s="244"/>
      <c r="FE31" s="244"/>
      <c r="FF31" s="244"/>
      <c r="FG31" s="244"/>
      <c r="FH31" s="244"/>
      <c r="FI31" s="244"/>
      <c r="FJ31" s="244"/>
      <c r="FK31" s="244"/>
      <c r="FL31" s="244"/>
      <c r="FM31" s="244"/>
      <c r="FN31" s="244"/>
      <c r="FO31" s="244"/>
      <c r="FP31" s="244"/>
      <c r="FQ31" s="244"/>
      <c r="FR31" s="244"/>
      <c r="FS31" s="244"/>
      <c r="FT31" s="244"/>
      <c r="FU31" s="244"/>
      <c r="FV31" s="244"/>
      <c r="FW31" s="244"/>
      <c r="FX31" s="244"/>
      <c r="FY31" s="244"/>
      <c r="FZ31" s="244"/>
      <c r="GA31" s="244"/>
      <c r="GB31" s="244"/>
      <c r="GC31" s="244"/>
      <c r="GD31" s="244"/>
      <c r="GE31" s="244"/>
      <c r="GF31" s="244"/>
      <c r="GG31" s="244"/>
      <c r="GH31" s="244"/>
      <c r="GI31" s="244"/>
      <c r="GJ31" s="244"/>
      <c r="GK31" s="244"/>
      <c r="GL31" s="244"/>
      <c r="GM31" s="244"/>
      <c r="GN31" s="244"/>
      <c r="GO31" s="244"/>
      <c r="GP31" s="244"/>
      <c r="GQ31" s="244"/>
      <c r="GR31" s="244"/>
      <c r="GS31" s="244"/>
      <c r="GT31" s="244"/>
      <c r="GU31" s="244"/>
      <c r="GV31" s="244"/>
      <c r="GW31" s="244"/>
      <c r="GX31" s="244"/>
      <c r="GY31" s="244"/>
      <c r="GZ31" s="244"/>
      <c r="HA31" s="244"/>
      <c r="HB31" s="244"/>
      <c r="HC31" s="244"/>
      <c r="HD31" s="244"/>
      <c r="HE31" s="244"/>
      <c r="HF31" s="244"/>
      <c r="HG31" s="244"/>
      <c r="HH31" s="244"/>
      <c r="HI31" s="244"/>
      <c r="HJ31" s="244"/>
      <c r="HK31" s="244"/>
      <c r="HL31" s="244"/>
      <c r="HM31" s="244"/>
      <c r="HN31" s="244"/>
      <c r="HO31" s="244"/>
      <c r="HP31" s="244"/>
      <c r="HQ31" s="244"/>
      <c r="HR31" s="244"/>
      <c r="HS31" s="244"/>
      <c r="HT31" s="244"/>
      <c r="HU31" s="244"/>
      <c r="HV31" s="244"/>
      <c r="HW31" s="244"/>
      <c r="HX31" s="244"/>
      <c r="HY31" s="244"/>
      <c r="HZ31" s="244"/>
      <c r="IA31" s="244"/>
      <c r="IB31" s="244"/>
      <c r="IC31" s="244"/>
      <c r="ID31" s="244"/>
      <c r="IE31" s="244"/>
      <c r="IF31" s="244"/>
      <c r="IG31" s="244"/>
      <c r="IH31" s="244"/>
      <c r="II31" s="244"/>
      <c r="IJ31" s="244"/>
      <c r="IK31" s="244"/>
      <c r="IL31" s="244"/>
      <c r="IM31" s="244"/>
      <c r="IN31" s="244"/>
      <c r="IO31" s="244"/>
      <c r="IP31" s="244"/>
      <c r="IQ31" s="244"/>
      <c r="IR31" s="244"/>
      <c r="IS31" s="244"/>
      <c r="IT31" s="244"/>
      <c r="IU31" s="244"/>
      <c r="IV31" s="244"/>
    </row>
    <row r="32" spans="1:256" s="192" customFormat="1" ht="12.75" thickBot="1" x14ac:dyDescent="0.25">
      <c r="A32" s="244">
        <v>250</v>
      </c>
      <c r="B32" s="195">
        <f t="shared" si="12"/>
        <v>250</v>
      </c>
      <c r="C32" s="211" t="str">
        <f ca="1">'Quick Input'!I38</f>
        <v>FY 21/22</v>
      </c>
      <c r="D32" s="192">
        <v>250</v>
      </c>
      <c r="E32" s="192">
        <v>250</v>
      </c>
      <c r="F32" s="192">
        <v>250</v>
      </c>
      <c r="G32" s="192">
        <v>250</v>
      </c>
      <c r="H32" s="192">
        <v>250</v>
      </c>
      <c r="I32" s="192">
        <v>250</v>
      </c>
      <c r="J32" s="192">
        <v>2500</v>
      </c>
      <c r="K32" s="192">
        <v>2500</v>
      </c>
      <c r="L32" s="192">
        <v>2500</v>
      </c>
      <c r="M32" s="193">
        <v>2500</v>
      </c>
      <c r="N32" s="192">
        <v>2500</v>
      </c>
      <c r="O32" s="192">
        <v>2500</v>
      </c>
      <c r="P32" s="192">
        <v>2500</v>
      </c>
      <c r="Q32" s="192">
        <v>2500</v>
      </c>
      <c r="R32" s="192">
        <v>2500</v>
      </c>
      <c r="S32" s="192">
        <v>250</v>
      </c>
      <c r="T32" s="192">
        <v>250</v>
      </c>
      <c r="U32" s="192">
        <v>250</v>
      </c>
      <c r="EW32" s="244"/>
      <c r="EX32" s="244"/>
      <c r="EY32" s="244"/>
      <c r="EZ32" s="244"/>
      <c r="FA32" s="244"/>
      <c r="FB32" s="244"/>
      <c r="FC32" s="244"/>
      <c r="FD32" s="244"/>
      <c r="FE32" s="244"/>
      <c r="FF32" s="244"/>
      <c r="FG32" s="244"/>
      <c r="FH32" s="244"/>
      <c r="FI32" s="244"/>
      <c r="FJ32" s="244"/>
      <c r="FK32" s="244"/>
      <c r="FL32" s="244"/>
      <c r="FM32" s="244"/>
      <c r="FN32" s="244"/>
      <c r="FO32" s="244"/>
      <c r="FP32" s="244"/>
      <c r="FQ32" s="244"/>
      <c r="FR32" s="244"/>
      <c r="FS32" s="244"/>
      <c r="FT32" s="244"/>
      <c r="FU32" s="244"/>
      <c r="FV32" s="244"/>
      <c r="FW32" s="244"/>
      <c r="FX32" s="244"/>
      <c r="FY32" s="244"/>
      <c r="FZ32" s="244"/>
      <c r="GA32" s="244"/>
      <c r="GB32" s="244"/>
      <c r="GC32" s="244"/>
      <c r="GD32" s="244"/>
      <c r="GE32" s="244"/>
      <c r="GF32" s="244"/>
      <c r="GG32" s="244"/>
      <c r="GH32" s="244"/>
      <c r="GI32" s="244"/>
      <c r="GJ32" s="244"/>
      <c r="GK32" s="244"/>
      <c r="GL32" s="244"/>
      <c r="GM32" s="244"/>
      <c r="GN32" s="244"/>
      <c r="GO32" s="244"/>
      <c r="GP32" s="244"/>
      <c r="GQ32" s="244"/>
      <c r="GR32" s="244"/>
      <c r="GS32" s="244"/>
      <c r="GT32" s="244"/>
      <c r="GU32" s="244"/>
      <c r="GV32" s="244"/>
      <c r="GW32" s="244"/>
      <c r="GX32" s="244"/>
      <c r="GY32" s="244"/>
      <c r="GZ32" s="244"/>
      <c r="HA32" s="244"/>
      <c r="HB32" s="244"/>
      <c r="HC32" s="244"/>
      <c r="HD32" s="244"/>
      <c r="HE32" s="244"/>
      <c r="HF32" s="244"/>
      <c r="HG32" s="244"/>
      <c r="HH32" s="244"/>
      <c r="HI32" s="244"/>
      <c r="HJ32" s="244"/>
      <c r="HK32" s="244"/>
      <c r="HL32" s="244"/>
      <c r="HM32" s="244"/>
      <c r="HN32" s="244"/>
      <c r="HO32" s="244"/>
      <c r="HP32" s="244"/>
      <c r="HQ32" s="244"/>
      <c r="HR32" s="244"/>
      <c r="HS32" s="244"/>
      <c r="HT32" s="244"/>
      <c r="HU32" s="244"/>
      <c r="HV32" s="244"/>
      <c r="HW32" s="244"/>
      <c r="HX32" s="244"/>
      <c r="HY32" s="244"/>
      <c r="HZ32" s="244"/>
      <c r="IA32" s="244"/>
      <c r="IB32" s="244"/>
      <c r="IC32" s="244"/>
      <c r="ID32" s="244"/>
      <c r="IE32" s="244"/>
      <c r="IF32" s="244"/>
      <c r="IG32" s="244"/>
      <c r="IH32" s="244"/>
      <c r="II32" s="244"/>
      <c r="IJ32" s="244"/>
      <c r="IK32" s="244"/>
      <c r="IL32" s="244"/>
      <c r="IM32" s="244"/>
      <c r="IN32" s="244"/>
      <c r="IO32" s="244"/>
      <c r="IP32" s="244"/>
      <c r="IQ32" s="244"/>
      <c r="IR32" s="244"/>
      <c r="IS32" s="244"/>
      <c r="IT32" s="244"/>
      <c r="IU32" s="244"/>
      <c r="IV32" s="244"/>
    </row>
    <row r="33" spans="1:256" s="192" customFormat="1" ht="12.75" thickBot="1" x14ac:dyDescent="0.25">
      <c r="A33" s="244">
        <v>500</v>
      </c>
      <c r="B33" s="195">
        <f t="shared" si="12"/>
        <v>500</v>
      </c>
      <c r="C33" s="211" t="str">
        <f ca="1">'Quick Input'!I39</f>
        <v>FY 22/23</v>
      </c>
      <c r="D33" s="192">
        <v>500</v>
      </c>
      <c r="E33" s="192">
        <v>500</v>
      </c>
      <c r="F33" s="192">
        <v>500</v>
      </c>
      <c r="G33" s="192">
        <v>500</v>
      </c>
      <c r="H33" s="192">
        <v>500</v>
      </c>
      <c r="I33" s="192">
        <v>500</v>
      </c>
      <c r="J33" s="192">
        <v>5000</v>
      </c>
      <c r="K33" s="192">
        <v>5000</v>
      </c>
      <c r="L33" s="192">
        <v>5000</v>
      </c>
      <c r="M33" s="192">
        <v>5000</v>
      </c>
      <c r="N33" s="192">
        <v>5000</v>
      </c>
      <c r="O33" s="192">
        <v>5000</v>
      </c>
      <c r="P33" s="192">
        <v>5000</v>
      </c>
      <c r="Q33" s="192">
        <v>5000</v>
      </c>
      <c r="R33" s="192">
        <v>5000</v>
      </c>
      <c r="S33" s="192">
        <v>500</v>
      </c>
      <c r="T33" s="192">
        <v>500</v>
      </c>
      <c r="U33" s="192">
        <v>500</v>
      </c>
      <c r="EW33" s="244"/>
      <c r="EX33" s="244"/>
      <c r="EY33" s="244"/>
      <c r="EZ33" s="244"/>
      <c r="FA33" s="244"/>
      <c r="FB33" s="244"/>
      <c r="FC33" s="244"/>
      <c r="FD33" s="244"/>
      <c r="FE33" s="244"/>
      <c r="FF33" s="244"/>
      <c r="FG33" s="244"/>
      <c r="FH33" s="244"/>
      <c r="FI33" s="244"/>
      <c r="FJ33" s="244"/>
      <c r="FK33" s="244"/>
      <c r="FL33" s="244"/>
      <c r="FM33" s="244"/>
      <c r="FN33" s="244"/>
      <c r="FO33" s="244"/>
      <c r="FP33" s="244"/>
      <c r="FQ33" s="244"/>
      <c r="FR33" s="244"/>
      <c r="FS33" s="244"/>
      <c r="FT33" s="244"/>
      <c r="FU33" s="244"/>
      <c r="FV33" s="244"/>
      <c r="FW33" s="244"/>
      <c r="FX33" s="244"/>
      <c r="FY33" s="244"/>
      <c r="FZ33" s="244"/>
      <c r="GA33" s="244"/>
      <c r="GB33" s="244"/>
      <c r="GC33" s="244"/>
      <c r="GD33" s="244"/>
      <c r="GE33" s="244"/>
      <c r="GF33" s="244"/>
      <c r="GG33" s="244"/>
      <c r="GH33" s="244"/>
      <c r="GI33" s="244"/>
      <c r="GJ33" s="244"/>
      <c r="GK33" s="244"/>
      <c r="GL33" s="244"/>
      <c r="GM33" s="244"/>
      <c r="GN33" s="244"/>
      <c r="GO33" s="244"/>
      <c r="GP33" s="244"/>
      <c r="GQ33" s="244"/>
      <c r="GR33" s="244"/>
      <c r="GS33" s="244"/>
      <c r="GT33" s="244"/>
      <c r="GU33" s="244"/>
      <c r="GV33" s="244"/>
      <c r="GW33" s="244"/>
      <c r="GX33" s="244"/>
      <c r="GY33" s="244"/>
      <c r="GZ33" s="244"/>
      <c r="HA33" s="244"/>
      <c r="HB33" s="244"/>
      <c r="HC33" s="244"/>
      <c r="HD33" s="244"/>
      <c r="HE33" s="244"/>
      <c r="HF33" s="244"/>
      <c r="HG33" s="244"/>
      <c r="HH33" s="244"/>
      <c r="HI33" s="244"/>
      <c r="HJ33" s="244"/>
      <c r="HK33" s="244"/>
      <c r="HL33" s="244"/>
      <c r="HM33" s="244"/>
      <c r="HN33" s="244"/>
      <c r="HO33" s="244"/>
      <c r="HP33" s="244"/>
      <c r="HQ33" s="244"/>
      <c r="HR33" s="244"/>
      <c r="HS33" s="244"/>
      <c r="HT33" s="244"/>
      <c r="HU33" s="244"/>
      <c r="HV33" s="244"/>
      <c r="HW33" s="244"/>
      <c r="HX33" s="244"/>
      <c r="HY33" s="244"/>
      <c r="HZ33" s="244"/>
      <c r="IA33" s="244"/>
      <c r="IB33" s="244"/>
      <c r="IC33" s="244"/>
      <c r="ID33" s="244"/>
      <c r="IE33" s="244"/>
      <c r="IF33" s="244"/>
      <c r="IG33" s="244"/>
      <c r="IH33" s="244"/>
      <c r="II33" s="244"/>
      <c r="IJ33" s="244"/>
      <c r="IK33" s="244"/>
      <c r="IL33" s="244"/>
      <c r="IM33" s="244"/>
      <c r="IN33" s="244"/>
      <c r="IO33" s="244"/>
      <c r="IP33" s="244"/>
      <c r="IQ33" s="244"/>
      <c r="IR33" s="244"/>
      <c r="IS33" s="244"/>
      <c r="IT33" s="244"/>
      <c r="IU33" s="244"/>
      <c r="IV33" s="244"/>
    </row>
    <row r="34" spans="1:256" s="192" customFormat="1" ht="12.75" thickBot="1" x14ac:dyDescent="0.25">
      <c r="A34" s="244">
        <v>500</v>
      </c>
      <c r="B34" s="195">
        <f t="shared" si="12"/>
        <v>500</v>
      </c>
      <c r="C34" s="211" t="str">
        <f ca="1">'Quick Input'!I40</f>
        <v>FY 23/24</v>
      </c>
      <c r="D34" s="192">
        <v>500</v>
      </c>
      <c r="E34" s="192">
        <v>500</v>
      </c>
      <c r="F34" s="192">
        <v>500</v>
      </c>
      <c r="G34" s="192">
        <v>500</v>
      </c>
      <c r="H34" s="192">
        <v>500</v>
      </c>
      <c r="I34" s="192">
        <v>500</v>
      </c>
      <c r="J34" s="192">
        <v>5000</v>
      </c>
      <c r="K34" s="192">
        <v>5000</v>
      </c>
      <c r="L34" s="192">
        <v>5000</v>
      </c>
      <c r="M34" s="192">
        <v>5000</v>
      </c>
      <c r="N34" s="192">
        <v>5000</v>
      </c>
      <c r="O34" s="192">
        <v>5000</v>
      </c>
      <c r="P34" s="192">
        <v>5000</v>
      </c>
      <c r="Q34" s="192">
        <v>5000</v>
      </c>
      <c r="R34" s="192">
        <v>5000</v>
      </c>
      <c r="S34" s="192">
        <v>500</v>
      </c>
      <c r="T34" s="192">
        <v>500</v>
      </c>
      <c r="U34" s="192">
        <v>500</v>
      </c>
      <c r="EW34" s="244"/>
      <c r="EX34" s="244"/>
      <c r="EY34" s="244"/>
      <c r="EZ34" s="244"/>
      <c r="FA34" s="244"/>
      <c r="FB34" s="244"/>
      <c r="FC34" s="244"/>
      <c r="FD34" s="244"/>
      <c r="FE34" s="244"/>
      <c r="FF34" s="244"/>
      <c r="FG34" s="244"/>
      <c r="FH34" s="244"/>
      <c r="FI34" s="244"/>
      <c r="FJ34" s="244"/>
      <c r="FK34" s="244"/>
      <c r="FL34" s="244"/>
      <c r="FM34" s="244"/>
      <c r="FN34" s="244"/>
      <c r="FO34" s="244"/>
      <c r="FP34" s="244"/>
      <c r="FQ34" s="244"/>
      <c r="FR34" s="244"/>
      <c r="FS34" s="244"/>
      <c r="FT34" s="244"/>
      <c r="FU34" s="244"/>
      <c r="FV34" s="244"/>
      <c r="FW34" s="244"/>
      <c r="FX34" s="244"/>
      <c r="FY34" s="244"/>
      <c r="FZ34" s="244"/>
      <c r="GA34" s="244"/>
      <c r="GB34" s="244"/>
      <c r="GC34" s="244"/>
      <c r="GD34" s="244"/>
      <c r="GE34" s="244"/>
      <c r="GF34" s="244"/>
      <c r="GG34" s="244"/>
      <c r="GH34" s="244"/>
      <c r="GI34" s="244"/>
      <c r="GJ34" s="244"/>
      <c r="GK34" s="244"/>
      <c r="GL34" s="244"/>
      <c r="GM34" s="244"/>
      <c r="GN34" s="244"/>
      <c r="GO34" s="244"/>
      <c r="GP34" s="244"/>
      <c r="GQ34" s="244"/>
      <c r="GR34" s="244"/>
      <c r="GS34" s="244"/>
      <c r="GT34" s="244"/>
      <c r="GU34" s="244"/>
      <c r="GV34" s="244"/>
      <c r="GW34" s="244"/>
      <c r="GX34" s="244"/>
      <c r="GY34" s="244"/>
      <c r="GZ34" s="244"/>
      <c r="HA34" s="244"/>
      <c r="HB34" s="244"/>
      <c r="HC34" s="244"/>
      <c r="HD34" s="244"/>
      <c r="HE34" s="244"/>
      <c r="HF34" s="244"/>
      <c r="HG34" s="244"/>
      <c r="HH34" s="244"/>
      <c r="HI34" s="244"/>
      <c r="HJ34" s="244"/>
      <c r="HK34" s="244"/>
      <c r="HL34" s="244"/>
      <c r="HM34" s="244"/>
      <c r="HN34" s="244"/>
      <c r="HO34" s="244"/>
      <c r="HP34" s="244"/>
      <c r="HQ34" s="244"/>
      <c r="HR34" s="244"/>
      <c r="HS34" s="244"/>
      <c r="HT34" s="244"/>
      <c r="HU34" s="244"/>
      <c r="HV34" s="244"/>
      <c r="HW34" s="244"/>
      <c r="HX34" s="244"/>
      <c r="HY34" s="244"/>
      <c r="HZ34" s="244"/>
      <c r="IA34" s="244"/>
      <c r="IB34" s="244"/>
      <c r="IC34" s="244"/>
      <c r="ID34" s="244"/>
      <c r="IE34" s="244"/>
      <c r="IF34" s="244"/>
      <c r="IG34" s="244"/>
      <c r="IH34" s="244"/>
      <c r="II34" s="244"/>
      <c r="IJ34" s="244"/>
      <c r="IK34" s="244"/>
      <c r="IL34" s="244"/>
      <c r="IM34" s="244"/>
      <c r="IN34" s="244"/>
      <c r="IO34" s="244"/>
      <c r="IP34" s="244"/>
      <c r="IQ34" s="244"/>
      <c r="IR34" s="244"/>
      <c r="IS34" s="244"/>
      <c r="IT34" s="244"/>
      <c r="IU34" s="244"/>
      <c r="IV34" s="244"/>
    </row>
    <row r="35" spans="1:256" s="192" customFormat="1" ht="12.75" thickBot="1" x14ac:dyDescent="0.25">
      <c r="A35" s="244">
        <v>500</v>
      </c>
      <c r="B35" s="195">
        <f t="shared" si="12"/>
        <v>500</v>
      </c>
      <c r="C35" s="211" t="str">
        <f ca="1">'Quick Input'!I41</f>
        <v>FY 24/25</v>
      </c>
      <c r="D35" s="192">
        <v>500</v>
      </c>
      <c r="E35" s="192">
        <v>500</v>
      </c>
      <c r="F35" s="192">
        <v>500</v>
      </c>
      <c r="G35" s="192">
        <v>500</v>
      </c>
      <c r="H35" s="192">
        <v>500</v>
      </c>
      <c r="I35" s="192">
        <v>500</v>
      </c>
      <c r="J35" s="192">
        <v>5000</v>
      </c>
      <c r="K35" s="192">
        <v>5000</v>
      </c>
      <c r="L35" s="192">
        <v>5000</v>
      </c>
      <c r="M35" s="192">
        <v>5000</v>
      </c>
      <c r="N35" s="192">
        <v>5000</v>
      </c>
      <c r="O35" s="192">
        <v>5000</v>
      </c>
      <c r="P35" s="192">
        <v>5000</v>
      </c>
      <c r="Q35" s="192">
        <v>5000</v>
      </c>
      <c r="R35" s="192">
        <v>5000</v>
      </c>
      <c r="S35" s="192">
        <v>500</v>
      </c>
      <c r="T35" s="192">
        <v>500</v>
      </c>
      <c r="U35" s="192">
        <v>500</v>
      </c>
      <c r="EW35" s="244"/>
      <c r="EX35" s="244"/>
      <c r="EY35" s="244"/>
      <c r="EZ35" s="244"/>
      <c r="FA35" s="244"/>
      <c r="FB35" s="244"/>
      <c r="FC35" s="244"/>
      <c r="FD35" s="244"/>
      <c r="FE35" s="244"/>
      <c r="FF35" s="244"/>
      <c r="FG35" s="244"/>
      <c r="FH35" s="244"/>
      <c r="FI35" s="244"/>
      <c r="FJ35" s="244"/>
      <c r="FK35" s="244"/>
      <c r="FL35" s="244"/>
      <c r="FM35" s="244"/>
      <c r="FN35" s="244"/>
      <c r="FO35" s="244"/>
      <c r="FP35" s="244"/>
      <c r="FQ35" s="244"/>
      <c r="FR35" s="244"/>
      <c r="FS35" s="244"/>
      <c r="FT35" s="244"/>
      <c r="FU35" s="244"/>
      <c r="FV35" s="244"/>
      <c r="FW35" s="244"/>
      <c r="FX35" s="244"/>
      <c r="FY35" s="244"/>
      <c r="FZ35" s="244"/>
      <c r="GA35" s="244"/>
      <c r="GB35" s="244"/>
      <c r="GC35" s="244"/>
      <c r="GD35" s="244"/>
      <c r="GE35" s="244"/>
      <c r="GF35" s="244"/>
      <c r="GG35" s="244"/>
      <c r="GH35" s="244"/>
      <c r="GI35" s="244"/>
      <c r="GJ35" s="244"/>
      <c r="GK35" s="244"/>
      <c r="GL35" s="244"/>
      <c r="GM35" s="244"/>
      <c r="GN35" s="244"/>
      <c r="GO35" s="244"/>
      <c r="GP35" s="244"/>
      <c r="GQ35" s="244"/>
      <c r="GR35" s="244"/>
      <c r="GS35" s="244"/>
      <c r="GT35" s="244"/>
      <c r="GU35" s="244"/>
      <c r="GV35" s="244"/>
      <c r="GW35" s="244"/>
      <c r="GX35" s="244"/>
      <c r="GY35" s="244"/>
      <c r="GZ35" s="244"/>
      <c r="HA35" s="244"/>
      <c r="HB35" s="244"/>
      <c r="HC35" s="244"/>
      <c r="HD35" s="244"/>
      <c r="HE35" s="244"/>
      <c r="HF35" s="244"/>
      <c r="HG35" s="244"/>
      <c r="HH35" s="244"/>
      <c r="HI35" s="244"/>
      <c r="HJ35" s="244"/>
      <c r="HK35" s="244"/>
      <c r="HL35" s="244"/>
      <c r="HM35" s="244"/>
      <c r="HN35" s="244"/>
      <c r="HO35" s="244"/>
      <c r="HP35" s="244"/>
      <c r="HQ35" s="244"/>
      <c r="HR35" s="244"/>
      <c r="HS35" s="244"/>
      <c r="HT35" s="244"/>
      <c r="HU35" s="244"/>
      <c r="HV35" s="244"/>
      <c r="HW35" s="244"/>
      <c r="HX35" s="244"/>
      <c r="HY35" s="244"/>
      <c r="HZ35" s="244"/>
      <c r="IA35" s="244"/>
      <c r="IB35" s="244"/>
      <c r="IC35" s="244"/>
      <c r="ID35" s="244"/>
      <c r="IE35" s="244"/>
      <c r="IF35" s="244"/>
      <c r="IG35" s="244"/>
      <c r="IH35" s="244"/>
      <c r="II35" s="244"/>
      <c r="IJ35" s="244"/>
      <c r="IK35" s="244"/>
      <c r="IL35" s="244"/>
      <c r="IM35" s="244"/>
      <c r="IN35" s="244"/>
      <c r="IO35" s="244"/>
      <c r="IP35" s="244"/>
      <c r="IQ35" s="244"/>
      <c r="IR35" s="244"/>
      <c r="IS35" s="244"/>
      <c r="IT35" s="244"/>
      <c r="IU35" s="244"/>
      <c r="IV35" s="244"/>
    </row>
    <row r="36" spans="1:256" s="192" customFormat="1" ht="12.75" thickBot="1" x14ac:dyDescent="0.25">
      <c r="A36" s="244">
        <v>500</v>
      </c>
      <c r="B36" s="195">
        <f t="shared" si="12"/>
        <v>500</v>
      </c>
      <c r="C36" s="211" t="str">
        <f ca="1">'Quick Input'!I42</f>
        <v>FY 25/26</v>
      </c>
      <c r="D36" s="192">
        <v>500</v>
      </c>
      <c r="E36" s="192">
        <v>500</v>
      </c>
      <c r="F36" s="192">
        <v>500</v>
      </c>
      <c r="G36" s="192">
        <v>500</v>
      </c>
      <c r="H36" s="192">
        <v>500</v>
      </c>
      <c r="I36" s="192">
        <v>500</v>
      </c>
      <c r="J36" s="192">
        <v>5000</v>
      </c>
      <c r="K36" s="192">
        <v>5000</v>
      </c>
      <c r="L36" s="192">
        <v>5000</v>
      </c>
      <c r="M36" s="192">
        <v>5000</v>
      </c>
      <c r="N36" s="192">
        <v>5000</v>
      </c>
      <c r="O36" s="192">
        <v>5000</v>
      </c>
      <c r="P36" s="192">
        <v>5000</v>
      </c>
      <c r="Q36" s="192">
        <v>5000</v>
      </c>
      <c r="R36" s="192">
        <v>5000</v>
      </c>
      <c r="S36" s="192">
        <v>500</v>
      </c>
      <c r="T36" s="192">
        <v>500</v>
      </c>
      <c r="U36" s="192">
        <v>500</v>
      </c>
      <c r="EW36" s="244"/>
      <c r="EX36" s="244"/>
      <c r="EY36" s="244"/>
      <c r="EZ36" s="244"/>
      <c r="FA36" s="244"/>
      <c r="FB36" s="244"/>
      <c r="FC36" s="244"/>
      <c r="FD36" s="244"/>
      <c r="FE36" s="244"/>
      <c r="FF36" s="244"/>
      <c r="FG36" s="244"/>
      <c r="FH36" s="244"/>
      <c r="FI36" s="244"/>
      <c r="FJ36" s="244"/>
      <c r="FK36" s="244"/>
      <c r="FL36" s="244"/>
      <c r="FM36" s="244"/>
      <c r="FN36" s="244"/>
      <c r="FO36" s="244"/>
      <c r="FP36" s="244"/>
      <c r="FQ36" s="244"/>
      <c r="FR36" s="244"/>
      <c r="FS36" s="244"/>
      <c r="FT36" s="244"/>
      <c r="FU36" s="244"/>
      <c r="FV36" s="244"/>
      <c r="FW36" s="244"/>
      <c r="FX36" s="244"/>
      <c r="FY36" s="244"/>
      <c r="FZ36" s="244"/>
      <c r="GA36" s="244"/>
      <c r="GB36" s="244"/>
      <c r="GC36" s="244"/>
      <c r="GD36" s="244"/>
      <c r="GE36" s="244"/>
      <c r="GF36" s="244"/>
      <c r="GG36" s="244"/>
      <c r="GH36" s="244"/>
      <c r="GI36" s="244"/>
      <c r="GJ36" s="244"/>
      <c r="GK36" s="244"/>
      <c r="GL36" s="244"/>
      <c r="GM36" s="244"/>
      <c r="GN36" s="244"/>
      <c r="GO36" s="244"/>
      <c r="GP36" s="244"/>
      <c r="GQ36" s="244"/>
      <c r="GR36" s="244"/>
      <c r="GS36" s="244"/>
      <c r="GT36" s="244"/>
      <c r="GU36" s="244"/>
      <c r="GV36" s="244"/>
      <c r="GW36" s="244"/>
      <c r="GX36" s="244"/>
      <c r="GY36" s="244"/>
      <c r="GZ36" s="244"/>
      <c r="HA36" s="244"/>
      <c r="HB36" s="244"/>
      <c r="HC36" s="244"/>
      <c r="HD36" s="244"/>
      <c r="HE36" s="244"/>
      <c r="HF36" s="244"/>
      <c r="HG36" s="244"/>
      <c r="HH36" s="244"/>
      <c r="HI36" s="244"/>
      <c r="HJ36" s="244"/>
      <c r="HK36" s="244"/>
      <c r="HL36" s="244"/>
      <c r="HM36" s="244"/>
      <c r="HN36" s="244"/>
      <c r="HO36" s="244"/>
      <c r="HP36" s="244"/>
      <c r="HQ36" s="244"/>
      <c r="HR36" s="244"/>
      <c r="HS36" s="244"/>
      <c r="HT36" s="244"/>
      <c r="HU36" s="244"/>
      <c r="HV36" s="244"/>
      <c r="HW36" s="244"/>
      <c r="HX36" s="244"/>
      <c r="HY36" s="244"/>
      <c r="HZ36" s="244"/>
      <c r="IA36" s="244"/>
      <c r="IB36" s="244"/>
      <c r="IC36" s="244"/>
      <c r="ID36" s="244"/>
      <c r="IE36" s="244"/>
      <c r="IF36" s="244"/>
      <c r="IG36" s="244"/>
      <c r="IH36" s="244"/>
      <c r="II36" s="244"/>
      <c r="IJ36" s="244"/>
      <c r="IK36" s="244"/>
      <c r="IL36" s="244"/>
      <c r="IM36" s="244"/>
      <c r="IN36" s="244"/>
      <c r="IO36" s="244"/>
      <c r="IP36" s="244"/>
      <c r="IQ36" s="244"/>
      <c r="IR36" s="244"/>
      <c r="IS36" s="244"/>
      <c r="IT36" s="244"/>
      <c r="IU36" s="244"/>
      <c r="IV36" s="244"/>
    </row>
    <row r="37" spans="1:256" s="192" customFormat="1" ht="12.75" thickBot="1" x14ac:dyDescent="0.25">
      <c r="A37" s="244">
        <v>500</v>
      </c>
      <c r="B37" s="195">
        <f t="shared" si="12"/>
        <v>500</v>
      </c>
      <c r="C37" s="211" t="str">
        <f ca="1">'Quick Input'!I43</f>
        <v>FY 26/27</v>
      </c>
      <c r="D37" s="192">
        <v>500</v>
      </c>
      <c r="E37" s="192">
        <v>500</v>
      </c>
      <c r="F37" s="192">
        <v>500</v>
      </c>
      <c r="G37" s="192">
        <v>500</v>
      </c>
      <c r="H37" s="192">
        <v>500</v>
      </c>
      <c r="I37" s="192">
        <v>500</v>
      </c>
      <c r="J37" s="192">
        <v>5000</v>
      </c>
      <c r="K37" s="192">
        <v>5000</v>
      </c>
      <c r="L37" s="192">
        <v>5000</v>
      </c>
      <c r="M37" s="192">
        <v>5000</v>
      </c>
      <c r="N37" s="192">
        <v>5000</v>
      </c>
      <c r="O37" s="192">
        <v>5000</v>
      </c>
      <c r="P37" s="192">
        <v>5000</v>
      </c>
      <c r="Q37" s="192">
        <v>5000</v>
      </c>
      <c r="R37" s="192">
        <v>5000</v>
      </c>
      <c r="S37" s="192">
        <v>500</v>
      </c>
      <c r="T37" s="192">
        <v>500</v>
      </c>
      <c r="U37" s="192">
        <v>500</v>
      </c>
      <c r="EW37" s="244"/>
      <c r="EX37" s="244"/>
      <c r="EY37" s="244"/>
      <c r="EZ37" s="244"/>
      <c r="FA37" s="244"/>
      <c r="FB37" s="244"/>
      <c r="FC37" s="244"/>
      <c r="FD37" s="244"/>
      <c r="FE37" s="244"/>
      <c r="FF37" s="244"/>
      <c r="FG37" s="244"/>
      <c r="FH37" s="244"/>
      <c r="FI37" s="244"/>
      <c r="FJ37" s="244"/>
      <c r="FK37" s="244"/>
      <c r="FL37" s="244"/>
      <c r="FM37" s="244"/>
      <c r="FN37" s="244"/>
      <c r="FO37" s="244"/>
      <c r="FP37" s="244"/>
      <c r="FQ37" s="244"/>
      <c r="FR37" s="244"/>
      <c r="FS37" s="244"/>
      <c r="FT37" s="244"/>
      <c r="FU37" s="244"/>
      <c r="FV37" s="244"/>
      <c r="FW37" s="244"/>
      <c r="FX37" s="244"/>
      <c r="FY37" s="244"/>
      <c r="FZ37" s="244"/>
      <c r="GA37" s="244"/>
      <c r="GB37" s="244"/>
      <c r="GC37" s="244"/>
      <c r="GD37" s="244"/>
      <c r="GE37" s="244"/>
      <c r="GF37" s="244"/>
      <c r="GG37" s="244"/>
      <c r="GH37" s="244"/>
      <c r="GI37" s="244"/>
      <c r="GJ37" s="244"/>
      <c r="GK37" s="244"/>
      <c r="GL37" s="244"/>
      <c r="GM37" s="244"/>
      <c r="GN37" s="244"/>
      <c r="GO37" s="244"/>
      <c r="GP37" s="244"/>
      <c r="GQ37" s="244"/>
      <c r="GR37" s="244"/>
      <c r="GS37" s="244"/>
      <c r="GT37" s="244"/>
      <c r="GU37" s="244"/>
      <c r="GV37" s="244"/>
      <c r="GW37" s="244"/>
      <c r="GX37" s="244"/>
      <c r="GY37" s="244"/>
      <c r="GZ37" s="244"/>
      <c r="HA37" s="244"/>
      <c r="HB37" s="244"/>
      <c r="HC37" s="244"/>
      <c r="HD37" s="244"/>
      <c r="HE37" s="244"/>
      <c r="HF37" s="244"/>
      <c r="HG37" s="244"/>
      <c r="HH37" s="244"/>
      <c r="HI37" s="244"/>
      <c r="HJ37" s="244"/>
      <c r="HK37" s="244"/>
      <c r="HL37" s="244"/>
      <c r="HM37" s="244"/>
      <c r="HN37" s="244"/>
      <c r="HO37" s="244"/>
      <c r="HP37" s="244"/>
      <c r="HQ37" s="244"/>
      <c r="HR37" s="244"/>
      <c r="HS37" s="244"/>
      <c r="HT37" s="244"/>
      <c r="HU37" s="244"/>
      <c r="HV37" s="244"/>
      <c r="HW37" s="244"/>
      <c r="HX37" s="244"/>
      <c r="HY37" s="244"/>
      <c r="HZ37" s="244"/>
      <c r="IA37" s="244"/>
      <c r="IB37" s="244"/>
      <c r="IC37" s="244"/>
      <c r="ID37" s="244"/>
      <c r="IE37" s="244"/>
      <c r="IF37" s="244"/>
      <c r="IG37" s="244"/>
      <c r="IH37" s="244"/>
      <c r="II37" s="244"/>
      <c r="IJ37" s="244"/>
      <c r="IK37" s="244"/>
      <c r="IL37" s="244"/>
      <c r="IM37" s="244"/>
      <c r="IN37" s="244"/>
      <c r="IO37" s="244"/>
      <c r="IP37" s="244"/>
      <c r="IQ37" s="244"/>
      <c r="IR37" s="244"/>
      <c r="IS37" s="244"/>
      <c r="IT37" s="244"/>
      <c r="IU37" s="244"/>
      <c r="IV37" s="244"/>
    </row>
    <row r="38" spans="1:256" s="192" customFormat="1" ht="12.75" thickBot="1" x14ac:dyDescent="0.25">
      <c r="A38" s="244">
        <v>187.5</v>
      </c>
      <c r="B38" s="195">
        <f t="shared" si="12"/>
        <v>187.5</v>
      </c>
      <c r="C38" s="211" t="str">
        <f ca="1">'Quick Input'!I44</f>
        <v>FY 27/28</v>
      </c>
      <c r="D38" s="192">
        <v>187.5</v>
      </c>
      <c r="E38" s="192">
        <v>187.5</v>
      </c>
      <c r="F38" s="192">
        <v>187.5</v>
      </c>
      <c r="G38" s="192">
        <v>187.5</v>
      </c>
      <c r="H38" s="192">
        <v>187.5</v>
      </c>
      <c r="I38" s="192">
        <v>187.5</v>
      </c>
      <c r="J38" s="192">
        <v>1875</v>
      </c>
      <c r="K38" s="192">
        <v>1875</v>
      </c>
      <c r="L38" s="192">
        <v>1875</v>
      </c>
      <c r="M38" s="192">
        <v>1875</v>
      </c>
      <c r="N38" s="192">
        <v>1875</v>
      </c>
      <c r="O38" s="192">
        <v>1875</v>
      </c>
      <c r="P38" s="192">
        <v>1875</v>
      </c>
      <c r="Q38" s="192">
        <v>1875</v>
      </c>
      <c r="R38" s="192">
        <v>1875</v>
      </c>
      <c r="S38" s="192">
        <v>187.5</v>
      </c>
      <c r="T38" s="192">
        <v>187.5</v>
      </c>
      <c r="U38" s="192">
        <v>187.5</v>
      </c>
      <c r="EW38" s="244"/>
      <c r="EX38" s="244"/>
      <c r="EY38" s="244"/>
      <c r="EZ38" s="244"/>
      <c r="FA38" s="244"/>
      <c r="FB38" s="244"/>
      <c r="FC38" s="244"/>
      <c r="FD38" s="244"/>
      <c r="FE38" s="244"/>
      <c r="FF38" s="244"/>
      <c r="FG38" s="244"/>
      <c r="FH38" s="244"/>
      <c r="FI38" s="244"/>
      <c r="FJ38" s="244"/>
      <c r="FK38" s="244"/>
      <c r="FL38" s="244"/>
      <c r="FM38" s="244"/>
      <c r="FN38" s="244"/>
      <c r="FO38" s="244"/>
      <c r="FP38" s="244"/>
      <c r="FQ38" s="244"/>
      <c r="FR38" s="244"/>
      <c r="FS38" s="244"/>
      <c r="FT38" s="244"/>
      <c r="FU38" s="244"/>
      <c r="FV38" s="244"/>
      <c r="FW38" s="244"/>
      <c r="FX38" s="244"/>
      <c r="FY38" s="244"/>
      <c r="FZ38" s="244"/>
      <c r="GA38" s="244"/>
      <c r="GB38" s="244"/>
      <c r="GC38" s="244"/>
      <c r="GD38" s="244"/>
      <c r="GE38" s="244"/>
      <c r="GF38" s="244"/>
      <c r="GG38" s="244"/>
      <c r="GH38" s="244"/>
      <c r="GI38" s="244"/>
      <c r="GJ38" s="244"/>
      <c r="GK38" s="244"/>
      <c r="GL38" s="244"/>
      <c r="GM38" s="244"/>
      <c r="GN38" s="244"/>
      <c r="GO38" s="244"/>
      <c r="GP38" s="244"/>
      <c r="GQ38" s="244"/>
      <c r="GR38" s="244"/>
      <c r="GS38" s="244"/>
      <c r="GT38" s="244"/>
      <c r="GU38" s="244"/>
      <c r="GV38" s="244"/>
      <c r="GW38" s="244"/>
      <c r="GX38" s="244"/>
      <c r="GY38" s="244"/>
      <c r="GZ38" s="244"/>
      <c r="HA38" s="244"/>
      <c r="HB38" s="244"/>
      <c r="HC38" s="244"/>
      <c r="HD38" s="244"/>
      <c r="HE38" s="244"/>
      <c r="HF38" s="244"/>
      <c r="HG38" s="244"/>
      <c r="HH38" s="244"/>
      <c r="HI38" s="244"/>
      <c r="HJ38" s="244"/>
      <c r="HK38" s="244"/>
      <c r="HL38" s="244"/>
      <c r="HM38" s="244"/>
      <c r="HN38" s="244"/>
      <c r="HO38" s="244"/>
      <c r="HP38" s="244"/>
      <c r="HQ38" s="244"/>
      <c r="HR38" s="244"/>
      <c r="HS38" s="244"/>
      <c r="HT38" s="244"/>
      <c r="HU38" s="244"/>
      <c r="HV38" s="244"/>
      <c r="HW38" s="244"/>
      <c r="HX38" s="244"/>
      <c r="HY38" s="244"/>
      <c r="HZ38" s="244"/>
      <c r="IA38" s="244"/>
      <c r="IB38" s="244"/>
      <c r="IC38" s="244"/>
      <c r="ID38" s="244"/>
      <c r="IE38" s="244"/>
      <c r="IF38" s="244"/>
      <c r="IG38" s="244"/>
      <c r="IH38" s="244"/>
      <c r="II38" s="244"/>
      <c r="IJ38" s="244"/>
      <c r="IK38" s="244"/>
      <c r="IL38" s="244"/>
      <c r="IM38" s="244"/>
      <c r="IN38" s="244"/>
      <c r="IO38" s="244"/>
      <c r="IP38" s="244"/>
      <c r="IQ38" s="244"/>
      <c r="IR38" s="244"/>
      <c r="IS38" s="244"/>
      <c r="IT38" s="244"/>
      <c r="IU38" s="244"/>
      <c r="IV38" s="244"/>
    </row>
    <row r="39" spans="1:256" s="192" customFormat="1" ht="12.75" thickBot="1" x14ac:dyDescent="0.25">
      <c r="A39" s="244">
        <v>3000</v>
      </c>
      <c r="B39" s="195">
        <f t="shared" si="12"/>
        <v>3000</v>
      </c>
      <c r="C39" s="211" t="str">
        <f>'Quick Input'!I45</f>
        <v>Gesamt</v>
      </c>
      <c r="D39" s="192">
        <v>3000</v>
      </c>
      <c r="E39" s="192">
        <v>3000</v>
      </c>
      <c r="F39" s="192">
        <v>3000</v>
      </c>
      <c r="G39" s="192">
        <v>3000</v>
      </c>
      <c r="H39" s="192">
        <v>3000</v>
      </c>
      <c r="I39" s="192">
        <v>3000</v>
      </c>
      <c r="J39" s="192">
        <v>30000</v>
      </c>
      <c r="K39" s="192">
        <v>30000</v>
      </c>
      <c r="L39" s="192">
        <v>30000</v>
      </c>
      <c r="M39" s="192">
        <v>30000</v>
      </c>
      <c r="N39" s="192">
        <v>30000</v>
      </c>
      <c r="O39" s="192">
        <v>30000</v>
      </c>
      <c r="P39" s="192">
        <v>30000</v>
      </c>
      <c r="Q39" s="192">
        <v>30000</v>
      </c>
      <c r="R39" s="192">
        <v>30000</v>
      </c>
      <c r="S39" s="192">
        <v>3000</v>
      </c>
      <c r="T39" s="192">
        <v>3000</v>
      </c>
      <c r="U39" s="192">
        <v>3000</v>
      </c>
      <c r="EW39" s="244"/>
      <c r="EX39" s="244"/>
      <c r="EY39" s="244"/>
      <c r="EZ39" s="244"/>
      <c r="FA39" s="244"/>
      <c r="FB39" s="244"/>
      <c r="FC39" s="244"/>
      <c r="FD39" s="244"/>
      <c r="FE39" s="244"/>
      <c r="FF39" s="244"/>
      <c r="FG39" s="244"/>
      <c r="FH39" s="244"/>
      <c r="FI39" s="244"/>
      <c r="FJ39" s="244"/>
      <c r="FK39" s="244"/>
      <c r="FL39" s="244"/>
      <c r="FM39" s="244"/>
      <c r="FN39" s="244"/>
      <c r="FO39" s="244"/>
      <c r="FP39" s="244"/>
      <c r="FQ39" s="244"/>
      <c r="FR39" s="244"/>
      <c r="FS39" s="244"/>
      <c r="FT39" s="244"/>
      <c r="FU39" s="244"/>
      <c r="FV39" s="244"/>
      <c r="FW39" s="244"/>
      <c r="FX39" s="244"/>
      <c r="FY39" s="244"/>
      <c r="FZ39" s="244"/>
      <c r="GA39" s="244"/>
      <c r="GB39" s="244"/>
      <c r="GC39" s="244"/>
      <c r="GD39" s="244"/>
      <c r="GE39" s="244"/>
      <c r="GF39" s="244"/>
      <c r="GG39" s="244"/>
      <c r="GH39" s="244"/>
      <c r="GI39" s="244"/>
      <c r="GJ39" s="244"/>
      <c r="GK39" s="244"/>
      <c r="GL39" s="244"/>
      <c r="GM39" s="244"/>
      <c r="GN39" s="244"/>
      <c r="GO39" s="244"/>
      <c r="GP39" s="244"/>
      <c r="GQ39" s="244"/>
      <c r="GR39" s="244"/>
      <c r="GS39" s="244"/>
      <c r="GT39" s="244"/>
      <c r="GU39" s="244"/>
      <c r="GV39" s="244"/>
      <c r="GW39" s="244"/>
      <c r="GX39" s="244"/>
      <c r="GY39" s="244"/>
      <c r="GZ39" s="244"/>
      <c r="HA39" s="244"/>
      <c r="HB39" s="244"/>
      <c r="HC39" s="244"/>
      <c r="HD39" s="244"/>
      <c r="HE39" s="244"/>
      <c r="HF39" s="244"/>
      <c r="HG39" s="244"/>
      <c r="HH39" s="244"/>
      <c r="HI39" s="244"/>
      <c r="HJ39" s="244"/>
      <c r="HK39" s="244"/>
      <c r="HL39" s="244"/>
      <c r="HM39" s="244"/>
      <c r="HN39" s="244"/>
      <c r="HO39" s="244"/>
      <c r="HP39" s="244"/>
      <c r="HQ39" s="244"/>
      <c r="HR39" s="244"/>
      <c r="HS39" s="244"/>
      <c r="HT39" s="244"/>
      <c r="HU39" s="244"/>
      <c r="HV39" s="244"/>
      <c r="HW39" s="244"/>
      <c r="HX39" s="244"/>
      <c r="HY39" s="244"/>
      <c r="HZ39" s="244"/>
      <c r="IA39" s="244"/>
      <c r="IB39" s="244"/>
      <c r="IC39" s="244"/>
      <c r="ID39" s="244"/>
      <c r="IE39" s="244"/>
      <c r="IF39" s="244"/>
      <c r="IG39" s="244"/>
      <c r="IH39" s="244"/>
      <c r="II39" s="244"/>
      <c r="IJ39" s="244"/>
      <c r="IK39" s="244"/>
      <c r="IL39" s="244"/>
      <c r="IM39" s="244"/>
      <c r="IN39" s="244"/>
      <c r="IO39" s="244"/>
      <c r="IP39" s="244"/>
      <c r="IQ39" s="244"/>
      <c r="IR39" s="244"/>
      <c r="IS39" s="244"/>
      <c r="IT39" s="244"/>
      <c r="IU39" s="244"/>
      <c r="IV39" s="244"/>
    </row>
    <row r="40" spans="1:256" s="192" customFormat="1" ht="12.75" thickBot="1" x14ac:dyDescent="0.25">
      <c r="A40" s="244" t="s">
        <v>18</v>
      </c>
      <c r="B40" s="195" t="str">
        <f>VLOOKUP(HLOOKUP($B$2,DB_Artikel,ROW()-1,FALSE),DB_Länder,IF(Deutsch,1,2),FALSE)</f>
        <v>Rumänien</v>
      </c>
      <c r="C40" s="211" t="str">
        <f>'Quick Input'!I46</f>
        <v>Produktionsregion</v>
      </c>
      <c r="D40" s="192" t="s">
        <v>554</v>
      </c>
      <c r="E40" s="192" t="s">
        <v>554</v>
      </c>
      <c r="F40" s="192" t="s">
        <v>14</v>
      </c>
      <c r="G40" s="192" t="s">
        <v>14</v>
      </c>
      <c r="H40" s="192" t="s">
        <v>18</v>
      </c>
      <c r="I40" s="192" t="s">
        <v>18</v>
      </c>
      <c r="J40" s="192" t="s">
        <v>14</v>
      </c>
      <c r="K40" s="192" t="s">
        <v>14</v>
      </c>
      <c r="L40" s="192" t="s">
        <v>14</v>
      </c>
      <c r="M40" s="192" t="s">
        <v>14</v>
      </c>
      <c r="N40" s="192" t="s">
        <v>14</v>
      </c>
      <c r="O40" s="192" t="s">
        <v>14</v>
      </c>
      <c r="P40" s="192" t="s">
        <v>14</v>
      </c>
      <c r="Q40" s="192" t="s">
        <v>14</v>
      </c>
      <c r="R40" s="192" t="s">
        <v>14</v>
      </c>
      <c r="S40" s="192" t="s">
        <v>554</v>
      </c>
      <c r="T40" s="192" t="s">
        <v>14</v>
      </c>
      <c r="U40" s="192" t="s">
        <v>18</v>
      </c>
      <c r="EW40" s="244"/>
      <c r="EX40" s="244"/>
      <c r="EY40" s="244"/>
      <c r="EZ40" s="244"/>
      <c r="FA40" s="244"/>
      <c r="FB40" s="244"/>
      <c r="FC40" s="244"/>
      <c r="FD40" s="244"/>
      <c r="FE40" s="244"/>
      <c r="FF40" s="244"/>
      <c r="FG40" s="244"/>
      <c r="FH40" s="244"/>
      <c r="FI40" s="244"/>
      <c r="FJ40" s="244"/>
      <c r="FK40" s="244"/>
      <c r="FL40" s="244"/>
      <c r="FM40" s="244"/>
      <c r="FN40" s="244"/>
      <c r="FO40" s="244"/>
      <c r="FP40" s="244"/>
      <c r="FQ40" s="244"/>
      <c r="FR40" s="244"/>
      <c r="FS40" s="244"/>
      <c r="FT40" s="244"/>
      <c r="FU40" s="244"/>
      <c r="FV40" s="244"/>
      <c r="FW40" s="244"/>
      <c r="FX40" s="244"/>
      <c r="FY40" s="244"/>
      <c r="FZ40" s="244"/>
      <c r="GA40" s="244"/>
      <c r="GB40" s="244"/>
      <c r="GC40" s="244"/>
      <c r="GD40" s="244"/>
      <c r="GE40" s="244"/>
      <c r="GF40" s="244"/>
      <c r="GG40" s="244"/>
      <c r="GH40" s="244"/>
      <c r="GI40" s="244"/>
      <c r="GJ40" s="244"/>
      <c r="GK40" s="244"/>
      <c r="GL40" s="244"/>
      <c r="GM40" s="244"/>
      <c r="GN40" s="244"/>
      <c r="GO40" s="244"/>
      <c r="GP40" s="244"/>
      <c r="GQ40" s="244"/>
      <c r="GR40" s="244"/>
      <c r="GS40" s="244"/>
      <c r="GT40" s="244"/>
      <c r="GU40" s="244"/>
      <c r="GV40" s="244"/>
      <c r="GW40" s="244"/>
      <c r="GX40" s="244"/>
      <c r="GY40" s="244"/>
      <c r="GZ40" s="244"/>
      <c r="HA40" s="244"/>
      <c r="HB40" s="244"/>
      <c r="HC40" s="244"/>
      <c r="HD40" s="244"/>
      <c r="HE40" s="244"/>
      <c r="HF40" s="244"/>
      <c r="HG40" s="244"/>
      <c r="HH40" s="244"/>
      <c r="HI40" s="244"/>
      <c r="HJ40" s="244"/>
      <c r="HK40" s="244"/>
      <c r="HL40" s="244"/>
      <c r="HM40" s="244"/>
      <c r="HN40" s="244"/>
      <c r="HO40" s="244"/>
      <c r="HP40" s="244"/>
      <c r="HQ40" s="244"/>
      <c r="HR40" s="244"/>
      <c r="HS40" s="244"/>
      <c r="HT40" s="244"/>
      <c r="HU40" s="244"/>
      <c r="HV40" s="244"/>
      <c r="HW40" s="244"/>
      <c r="HX40" s="244"/>
      <c r="HY40" s="244"/>
      <c r="HZ40" s="244"/>
      <c r="IA40" s="244"/>
      <c r="IB40" s="244"/>
      <c r="IC40" s="244"/>
      <c r="ID40" s="244"/>
      <c r="IE40" s="244"/>
      <c r="IF40" s="244"/>
      <c r="IG40" s="244"/>
      <c r="IH40" s="244"/>
      <c r="II40" s="244"/>
      <c r="IJ40" s="244"/>
      <c r="IK40" s="244"/>
      <c r="IL40" s="244"/>
      <c r="IM40" s="244"/>
      <c r="IN40" s="244"/>
      <c r="IO40" s="244"/>
      <c r="IP40" s="244"/>
      <c r="IQ40" s="244"/>
      <c r="IR40" s="244"/>
      <c r="IS40" s="244"/>
      <c r="IT40" s="244"/>
      <c r="IU40" s="244"/>
      <c r="IV40" s="244"/>
    </row>
    <row r="41" spans="1:256" s="192" customFormat="1" ht="12.75" thickBot="1" x14ac:dyDescent="0.25">
      <c r="A41" s="244" t="s">
        <v>21</v>
      </c>
      <c r="B41" s="195" t="str">
        <f>VLOOKUP(VLOOKUP(HLOOKUP($B$2,DB_Artikel,ROW()-1,FALSE),Auswahlfelder!$D$7:$E$9,2,FALSE),Auswahlfelder!$A$7:$B$9,2,FALSE)</f>
        <v>3-Schicht</v>
      </c>
      <c r="C41" s="211" t="str">
        <f>'Quick Input'!I47</f>
        <v>Schichtmodel</v>
      </c>
      <c r="D41" s="192" t="s">
        <v>19</v>
      </c>
      <c r="E41" s="192" t="s">
        <v>19</v>
      </c>
      <c r="F41" s="192" t="s">
        <v>20</v>
      </c>
      <c r="G41" s="192" t="s">
        <v>20</v>
      </c>
      <c r="H41" s="192" t="s">
        <v>21</v>
      </c>
      <c r="I41" s="192" t="s">
        <v>21</v>
      </c>
      <c r="J41" s="192" t="s">
        <v>20</v>
      </c>
      <c r="K41" s="192" t="s">
        <v>20</v>
      </c>
      <c r="L41" s="192" t="s">
        <v>20</v>
      </c>
      <c r="M41" s="192" t="s">
        <v>20</v>
      </c>
      <c r="N41" s="192" t="s">
        <v>20</v>
      </c>
      <c r="O41" s="192" t="s">
        <v>20</v>
      </c>
      <c r="P41" s="192" t="s">
        <v>20</v>
      </c>
      <c r="Q41" s="192" t="s">
        <v>20</v>
      </c>
      <c r="R41" s="192" t="s">
        <v>20</v>
      </c>
      <c r="S41" s="192" t="s">
        <v>19</v>
      </c>
      <c r="T41" s="192" t="s">
        <v>20</v>
      </c>
      <c r="U41" s="192" t="s">
        <v>21</v>
      </c>
      <c r="EW41" s="244"/>
      <c r="EX41" s="244"/>
      <c r="EY41" s="244"/>
      <c r="EZ41" s="244"/>
      <c r="FA41" s="244"/>
      <c r="FB41" s="244"/>
      <c r="FC41" s="244"/>
      <c r="FD41" s="244"/>
      <c r="FE41" s="244"/>
      <c r="FF41" s="244"/>
      <c r="FG41" s="244"/>
      <c r="FH41" s="244"/>
      <c r="FI41" s="244"/>
      <c r="FJ41" s="244"/>
      <c r="FK41" s="244"/>
      <c r="FL41" s="244"/>
      <c r="FM41" s="244"/>
      <c r="FN41" s="244"/>
      <c r="FO41" s="244"/>
      <c r="FP41" s="244"/>
      <c r="FQ41" s="244"/>
      <c r="FR41" s="244"/>
      <c r="FS41" s="244"/>
      <c r="FT41" s="244"/>
      <c r="FU41" s="244"/>
      <c r="FV41" s="244"/>
      <c r="FW41" s="244"/>
      <c r="FX41" s="244"/>
      <c r="FY41" s="244"/>
      <c r="FZ41" s="244"/>
      <c r="GA41" s="244"/>
      <c r="GB41" s="244"/>
      <c r="GC41" s="244"/>
      <c r="GD41" s="244"/>
      <c r="GE41" s="244"/>
      <c r="GF41" s="244"/>
      <c r="GG41" s="244"/>
      <c r="GH41" s="244"/>
      <c r="GI41" s="244"/>
      <c r="GJ41" s="244"/>
      <c r="GK41" s="244"/>
      <c r="GL41" s="244"/>
      <c r="GM41" s="244"/>
      <c r="GN41" s="244"/>
      <c r="GO41" s="244"/>
      <c r="GP41" s="244"/>
      <c r="GQ41" s="244"/>
      <c r="GR41" s="244"/>
      <c r="GS41" s="244"/>
      <c r="GT41" s="244"/>
      <c r="GU41" s="244"/>
      <c r="GV41" s="244"/>
      <c r="GW41" s="244"/>
      <c r="GX41" s="244"/>
      <c r="GY41" s="244"/>
      <c r="GZ41" s="244"/>
      <c r="HA41" s="244"/>
      <c r="HB41" s="244"/>
      <c r="HC41" s="244"/>
      <c r="HD41" s="244"/>
      <c r="HE41" s="244"/>
      <c r="HF41" s="244"/>
      <c r="HG41" s="244"/>
      <c r="HH41" s="244"/>
      <c r="HI41" s="244"/>
      <c r="HJ41" s="244"/>
      <c r="HK41" s="244"/>
      <c r="HL41" s="244"/>
      <c r="HM41" s="244"/>
      <c r="HN41" s="244"/>
      <c r="HO41" s="244"/>
      <c r="HP41" s="244"/>
      <c r="HQ41" s="244"/>
      <c r="HR41" s="244"/>
      <c r="HS41" s="244"/>
      <c r="HT41" s="244"/>
      <c r="HU41" s="244"/>
      <c r="HV41" s="244"/>
      <c r="HW41" s="244"/>
      <c r="HX41" s="244"/>
      <c r="HY41" s="244"/>
      <c r="HZ41" s="244"/>
      <c r="IA41" s="244"/>
      <c r="IB41" s="244"/>
      <c r="IC41" s="244"/>
      <c r="ID41" s="244"/>
      <c r="IE41" s="244"/>
      <c r="IF41" s="244"/>
      <c r="IG41" s="244"/>
      <c r="IH41" s="244"/>
      <c r="II41" s="244"/>
      <c r="IJ41" s="244"/>
      <c r="IK41" s="244"/>
      <c r="IL41" s="244"/>
      <c r="IM41" s="244"/>
      <c r="IN41" s="244"/>
      <c r="IO41" s="244"/>
      <c r="IP41" s="244"/>
      <c r="IQ41" s="244"/>
      <c r="IR41" s="244"/>
      <c r="IS41" s="244"/>
      <c r="IT41" s="244"/>
      <c r="IU41" s="244"/>
      <c r="IV41" s="244"/>
    </row>
    <row r="42" spans="1:256" s="192" customFormat="1" ht="12.75" thickBot="1" x14ac:dyDescent="0.25">
      <c r="A42" s="244">
        <v>5</v>
      </c>
      <c r="B42" s="195">
        <f>HLOOKUP($B$2,DB_Artikel,ROW()-1,FALSE)</f>
        <v>5</v>
      </c>
      <c r="C42" s="211" t="str">
        <f>'Quick Input'!I48</f>
        <v>Wochenarbeitstage</v>
      </c>
      <c r="D42" s="192">
        <v>5</v>
      </c>
      <c r="E42" s="192">
        <v>5</v>
      </c>
      <c r="F42" s="192">
        <v>5</v>
      </c>
      <c r="G42" s="192">
        <v>5</v>
      </c>
      <c r="H42" s="192">
        <v>5</v>
      </c>
      <c r="I42" s="192">
        <v>5</v>
      </c>
      <c r="J42" s="192">
        <v>5</v>
      </c>
      <c r="K42" s="192">
        <v>5</v>
      </c>
      <c r="L42" s="192">
        <v>5</v>
      </c>
      <c r="M42" s="192">
        <v>5</v>
      </c>
      <c r="N42" s="192">
        <v>5</v>
      </c>
      <c r="O42" s="192">
        <v>5</v>
      </c>
      <c r="P42" s="192">
        <v>5</v>
      </c>
      <c r="Q42" s="192">
        <v>5</v>
      </c>
      <c r="R42" s="192">
        <v>5</v>
      </c>
      <c r="S42" s="192">
        <v>5</v>
      </c>
      <c r="T42" s="192">
        <v>5</v>
      </c>
      <c r="U42" s="192">
        <v>5</v>
      </c>
      <c r="EW42" s="244"/>
      <c r="EX42" s="244"/>
      <c r="EY42" s="244"/>
      <c r="EZ42" s="244"/>
      <c r="FA42" s="244"/>
      <c r="FB42" s="244"/>
      <c r="FC42" s="244"/>
      <c r="FD42" s="244"/>
      <c r="FE42" s="244"/>
      <c r="FF42" s="244"/>
      <c r="FG42" s="244"/>
      <c r="FH42" s="244"/>
      <c r="FI42" s="244"/>
      <c r="FJ42" s="244"/>
      <c r="FK42" s="244"/>
      <c r="FL42" s="244"/>
      <c r="FM42" s="244"/>
      <c r="FN42" s="244"/>
      <c r="FO42" s="244"/>
      <c r="FP42" s="244"/>
      <c r="FQ42" s="244"/>
      <c r="FR42" s="244"/>
      <c r="FS42" s="244"/>
      <c r="FT42" s="244"/>
      <c r="FU42" s="244"/>
      <c r="FV42" s="244"/>
      <c r="FW42" s="244"/>
      <c r="FX42" s="244"/>
      <c r="FY42" s="244"/>
      <c r="FZ42" s="244"/>
      <c r="GA42" s="244"/>
      <c r="GB42" s="244"/>
      <c r="GC42" s="244"/>
      <c r="GD42" s="244"/>
      <c r="GE42" s="244"/>
      <c r="GF42" s="244"/>
      <c r="GG42" s="244"/>
      <c r="GH42" s="244"/>
      <c r="GI42" s="244"/>
      <c r="GJ42" s="244"/>
      <c r="GK42" s="244"/>
      <c r="GL42" s="244"/>
      <c r="GM42" s="244"/>
      <c r="GN42" s="244"/>
      <c r="GO42" s="244"/>
      <c r="GP42" s="244"/>
      <c r="GQ42" s="244"/>
      <c r="GR42" s="244"/>
      <c r="GS42" s="244"/>
      <c r="GT42" s="244"/>
      <c r="GU42" s="244"/>
      <c r="GV42" s="244"/>
      <c r="GW42" s="244"/>
      <c r="GX42" s="244"/>
      <c r="GY42" s="244"/>
      <c r="GZ42" s="244"/>
      <c r="HA42" s="244"/>
      <c r="HB42" s="244"/>
      <c r="HC42" s="244"/>
      <c r="HD42" s="244"/>
      <c r="HE42" s="244"/>
      <c r="HF42" s="244"/>
      <c r="HG42" s="244"/>
      <c r="HH42" s="244"/>
      <c r="HI42" s="244"/>
      <c r="HJ42" s="244"/>
      <c r="HK42" s="244"/>
      <c r="HL42" s="244"/>
      <c r="HM42" s="244"/>
      <c r="HN42" s="244"/>
      <c r="HO42" s="244"/>
      <c r="HP42" s="244"/>
      <c r="HQ42" s="244"/>
      <c r="HR42" s="244"/>
      <c r="HS42" s="244"/>
      <c r="HT42" s="244"/>
      <c r="HU42" s="244"/>
      <c r="HV42" s="244"/>
      <c r="HW42" s="244"/>
      <c r="HX42" s="244"/>
      <c r="HY42" s="244"/>
      <c r="HZ42" s="244"/>
      <c r="IA42" s="244"/>
      <c r="IB42" s="244"/>
      <c r="IC42" s="244"/>
      <c r="ID42" s="244"/>
      <c r="IE42" s="244"/>
      <c r="IF42" s="244"/>
      <c r="IG42" s="244"/>
      <c r="IH42" s="244"/>
      <c r="II42" s="244"/>
      <c r="IJ42" s="244"/>
      <c r="IK42" s="244"/>
      <c r="IL42" s="244"/>
      <c r="IM42" s="244"/>
      <c r="IN42" s="244"/>
      <c r="IO42" s="244"/>
      <c r="IP42" s="244"/>
      <c r="IQ42" s="244"/>
      <c r="IR42" s="244"/>
      <c r="IS42" s="244"/>
      <c r="IT42" s="244"/>
      <c r="IU42" s="244"/>
      <c r="IV42" s="244"/>
    </row>
    <row r="43" spans="1:256" s="192" customFormat="1" ht="12.75" thickBot="1" x14ac:dyDescent="0.25">
      <c r="A43" s="244">
        <v>48</v>
      </c>
      <c r="B43" s="195">
        <f>HLOOKUP($B$2,DB_Artikel,ROW()-1,FALSE)</f>
        <v>48</v>
      </c>
      <c r="C43" s="211" t="str">
        <f>'Quick Input'!I49</f>
        <v>Wochen/Jahr</v>
      </c>
      <c r="D43" s="192">
        <v>48</v>
      </c>
      <c r="E43" s="192">
        <v>48</v>
      </c>
      <c r="F43" s="192">
        <v>48</v>
      </c>
      <c r="G43" s="192">
        <v>48</v>
      </c>
      <c r="H43" s="192">
        <v>48</v>
      </c>
      <c r="I43" s="192">
        <v>48</v>
      </c>
      <c r="J43" s="192">
        <v>48</v>
      </c>
      <c r="K43" s="192">
        <v>48</v>
      </c>
      <c r="L43" s="192">
        <v>48</v>
      </c>
      <c r="M43" s="192">
        <v>48</v>
      </c>
      <c r="N43" s="192">
        <v>48</v>
      </c>
      <c r="O43" s="192">
        <v>48</v>
      </c>
      <c r="P43" s="192">
        <v>48</v>
      </c>
      <c r="Q43" s="192">
        <v>48</v>
      </c>
      <c r="R43" s="192">
        <v>48</v>
      </c>
      <c r="S43" s="192">
        <v>48</v>
      </c>
      <c r="T43" s="192">
        <v>48</v>
      </c>
      <c r="U43" s="192">
        <v>48</v>
      </c>
      <c r="EW43" s="244"/>
      <c r="EX43" s="244"/>
      <c r="EY43" s="244"/>
      <c r="EZ43" s="244"/>
      <c r="FA43" s="244"/>
      <c r="FB43" s="244"/>
      <c r="FC43" s="244"/>
      <c r="FD43" s="244"/>
      <c r="FE43" s="244"/>
      <c r="FF43" s="244"/>
      <c r="FG43" s="244"/>
      <c r="FH43" s="244"/>
      <c r="FI43" s="244"/>
      <c r="FJ43" s="244"/>
      <c r="FK43" s="244"/>
      <c r="FL43" s="244"/>
      <c r="FM43" s="244"/>
      <c r="FN43" s="244"/>
      <c r="FO43" s="244"/>
      <c r="FP43" s="244"/>
      <c r="FQ43" s="244"/>
      <c r="FR43" s="244"/>
      <c r="FS43" s="244"/>
      <c r="FT43" s="244"/>
      <c r="FU43" s="244"/>
      <c r="FV43" s="244"/>
      <c r="FW43" s="244"/>
      <c r="FX43" s="244"/>
      <c r="FY43" s="244"/>
      <c r="FZ43" s="244"/>
      <c r="GA43" s="244"/>
      <c r="GB43" s="244"/>
      <c r="GC43" s="244"/>
      <c r="GD43" s="244"/>
      <c r="GE43" s="244"/>
      <c r="GF43" s="244"/>
      <c r="GG43" s="244"/>
      <c r="GH43" s="244"/>
      <c r="GI43" s="244"/>
      <c r="GJ43" s="244"/>
      <c r="GK43" s="244"/>
      <c r="GL43" s="244"/>
      <c r="GM43" s="244"/>
      <c r="GN43" s="244"/>
      <c r="GO43" s="244"/>
      <c r="GP43" s="244"/>
      <c r="GQ43" s="244"/>
      <c r="GR43" s="244"/>
      <c r="GS43" s="244"/>
      <c r="GT43" s="244"/>
      <c r="GU43" s="244"/>
      <c r="GV43" s="244"/>
      <c r="GW43" s="244"/>
      <c r="GX43" s="244"/>
      <c r="GY43" s="244"/>
      <c r="GZ43" s="244"/>
      <c r="HA43" s="244"/>
      <c r="HB43" s="244"/>
      <c r="HC43" s="244"/>
      <c r="HD43" s="244"/>
      <c r="HE43" s="244"/>
      <c r="HF43" s="244"/>
      <c r="HG43" s="244"/>
      <c r="HH43" s="244"/>
      <c r="HI43" s="244"/>
      <c r="HJ43" s="244"/>
      <c r="HK43" s="244"/>
      <c r="HL43" s="244"/>
      <c r="HM43" s="244"/>
      <c r="HN43" s="244"/>
      <c r="HO43" s="244"/>
      <c r="HP43" s="244"/>
      <c r="HQ43" s="244"/>
      <c r="HR43" s="244"/>
      <c r="HS43" s="244"/>
      <c r="HT43" s="244"/>
      <c r="HU43" s="244"/>
      <c r="HV43" s="244"/>
      <c r="HW43" s="244"/>
      <c r="HX43" s="244"/>
      <c r="HY43" s="244"/>
      <c r="HZ43" s="244"/>
      <c r="IA43" s="244"/>
      <c r="IB43" s="244"/>
      <c r="IC43" s="244"/>
      <c r="ID43" s="244"/>
      <c r="IE43" s="244"/>
      <c r="IF43" s="244"/>
      <c r="IG43" s="244"/>
      <c r="IH43" s="244"/>
      <c r="II43" s="244"/>
      <c r="IJ43" s="244"/>
      <c r="IK43" s="244"/>
      <c r="IL43" s="244"/>
      <c r="IM43" s="244"/>
      <c r="IN43" s="244"/>
      <c r="IO43" s="244"/>
      <c r="IP43" s="244"/>
      <c r="IQ43" s="244"/>
      <c r="IR43" s="244"/>
      <c r="IS43" s="244"/>
      <c r="IT43" s="244"/>
      <c r="IU43" s="244"/>
      <c r="IV43" s="244"/>
    </row>
    <row r="44" spans="1:256" s="192" customFormat="1" ht="12.75" thickBot="1" x14ac:dyDescent="0.25">
      <c r="A44" s="244" t="s">
        <v>117</v>
      </c>
      <c r="B44" s="195" t="str">
        <f>VLOOKUP(VLOOKUP(HLOOKUP($B$2,DB_Artikel,ROW()-1,FALSE),Auswahlfelder!$D$26:$E$28,2,FALSE),Auswahlfelder!$A$26:$B$28,2,FALSE)</f>
        <v>klein</v>
      </c>
      <c r="C44" s="211" t="str">
        <f>'Quick Input'!I50</f>
        <v>Firmengröße</v>
      </c>
      <c r="D44" s="192" t="s">
        <v>117</v>
      </c>
      <c r="E44" s="192" t="s">
        <v>117</v>
      </c>
      <c r="F44" s="192" t="s">
        <v>117</v>
      </c>
      <c r="G44" s="192" t="s">
        <v>117</v>
      </c>
      <c r="H44" s="192" t="s">
        <v>117</v>
      </c>
      <c r="I44" s="192" t="s">
        <v>117</v>
      </c>
      <c r="J44" s="192" t="s">
        <v>27</v>
      </c>
      <c r="K44" s="192" t="s">
        <v>27</v>
      </c>
      <c r="L44" s="192" t="s">
        <v>27</v>
      </c>
      <c r="M44" s="192" t="s">
        <v>27</v>
      </c>
      <c r="N44" s="192" t="s">
        <v>27</v>
      </c>
      <c r="O44" s="192" t="s">
        <v>27</v>
      </c>
      <c r="P44" s="192" t="s">
        <v>27</v>
      </c>
      <c r="Q44" s="192" t="s">
        <v>27</v>
      </c>
      <c r="R44" s="192" t="s">
        <v>27</v>
      </c>
      <c r="S44" s="192" t="s">
        <v>117</v>
      </c>
      <c r="T44" s="192" t="s">
        <v>117</v>
      </c>
      <c r="U44" s="192" t="s">
        <v>117</v>
      </c>
      <c r="EW44" s="244"/>
      <c r="EX44" s="244"/>
      <c r="EY44" s="244"/>
      <c r="EZ44" s="244"/>
      <c r="FA44" s="244"/>
      <c r="FB44" s="244"/>
      <c r="FC44" s="244"/>
      <c r="FD44" s="244"/>
      <c r="FE44" s="244"/>
      <c r="FF44" s="244"/>
      <c r="FG44" s="244"/>
      <c r="FH44" s="244"/>
      <c r="FI44" s="244"/>
      <c r="FJ44" s="244"/>
      <c r="FK44" s="244"/>
      <c r="FL44" s="244"/>
      <c r="FM44" s="244"/>
      <c r="FN44" s="244"/>
      <c r="FO44" s="244"/>
      <c r="FP44" s="244"/>
      <c r="FQ44" s="244"/>
      <c r="FR44" s="244"/>
      <c r="FS44" s="244"/>
      <c r="FT44" s="244"/>
      <c r="FU44" s="244"/>
      <c r="FV44" s="244"/>
      <c r="FW44" s="244"/>
      <c r="FX44" s="244"/>
      <c r="FY44" s="244"/>
      <c r="FZ44" s="244"/>
      <c r="GA44" s="244"/>
      <c r="GB44" s="244"/>
      <c r="GC44" s="244"/>
      <c r="GD44" s="244"/>
      <c r="GE44" s="244"/>
      <c r="GF44" s="244"/>
      <c r="GG44" s="244"/>
      <c r="GH44" s="244"/>
      <c r="GI44" s="244"/>
      <c r="GJ44" s="244"/>
      <c r="GK44" s="244"/>
      <c r="GL44" s="244"/>
      <c r="GM44" s="244"/>
      <c r="GN44" s="244"/>
      <c r="GO44" s="244"/>
      <c r="GP44" s="244"/>
      <c r="GQ44" s="244"/>
      <c r="GR44" s="244"/>
      <c r="GS44" s="244"/>
      <c r="GT44" s="244"/>
      <c r="GU44" s="244"/>
      <c r="GV44" s="244"/>
      <c r="GW44" s="244"/>
      <c r="GX44" s="244"/>
      <c r="GY44" s="244"/>
      <c r="GZ44" s="244"/>
      <c r="HA44" s="244"/>
      <c r="HB44" s="244"/>
      <c r="HC44" s="244"/>
      <c r="HD44" s="244"/>
      <c r="HE44" s="244"/>
      <c r="HF44" s="244"/>
      <c r="HG44" s="244"/>
      <c r="HH44" s="244"/>
      <c r="HI44" s="244"/>
      <c r="HJ44" s="244"/>
      <c r="HK44" s="244"/>
      <c r="HL44" s="244"/>
      <c r="HM44" s="244"/>
      <c r="HN44" s="244"/>
      <c r="HO44" s="244"/>
      <c r="HP44" s="244"/>
      <c r="HQ44" s="244"/>
      <c r="HR44" s="244"/>
      <c r="HS44" s="244"/>
      <c r="HT44" s="244"/>
      <c r="HU44" s="244"/>
      <c r="HV44" s="244"/>
      <c r="HW44" s="244"/>
      <c r="HX44" s="244"/>
      <c r="HY44" s="244"/>
      <c r="HZ44" s="244"/>
      <c r="IA44" s="244"/>
      <c r="IB44" s="244"/>
      <c r="IC44" s="244"/>
      <c r="ID44" s="244"/>
      <c r="IE44" s="244"/>
      <c r="IF44" s="244"/>
      <c r="IG44" s="244"/>
      <c r="IH44" s="244"/>
      <c r="II44" s="244"/>
      <c r="IJ44" s="244"/>
      <c r="IK44" s="244"/>
      <c r="IL44" s="244"/>
      <c r="IM44" s="244"/>
      <c r="IN44" s="244"/>
      <c r="IO44" s="244"/>
      <c r="IP44" s="244"/>
      <c r="IQ44" s="244"/>
      <c r="IR44" s="244"/>
      <c r="IS44" s="244"/>
      <c r="IT44" s="244"/>
      <c r="IU44" s="244"/>
      <c r="IV44" s="244"/>
    </row>
    <row r="45" spans="1:256" s="192" customFormat="1" ht="12.75" thickBot="1" x14ac:dyDescent="0.25">
      <c r="A45" s="247">
        <v>0.85</v>
      </c>
      <c r="B45" s="213">
        <f t="shared" ref="B45:B55" si="13">HLOOKUP($B$2,DB_Artikel,ROW()-1,FALSE)</f>
        <v>0.85</v>
      </c>
      <c r="C45" s="211" t="str">
        <f>'Quick Input'!I51</f>
        <v>Mittl. Maschinennutzung (%)</v>
      </c>
      <c r="D45" s="213">
        <v>0.85</v>
      </c>
      <c r="E45" s="213">
        <v>0.85</v>
      </c>
      <c r="F45" s="213">
        <v>0.85</v>
      </c>
      <c r="G45" s="213">
        <v>0.85</v>
      </c>
      <c r="H45" s="213">
        <v>0.85</v>
      </c>
      <c r="I45" s="213">
        <v>0.85</v>
      </c>
      <c r="J45" s="213">
        <v>0.8</v>
      </c>
      <c r="K45" s="213">
        <v>0.8</v>
      </c>
      <c r="L45" s="213">
        <v>0.8</v>
      </c>
      <c r="M45" s="213">
        <v>0.8</v>
      </c>
      <c r="N45" s="213">
        <v>0.8</v>
      </c>
      <c r="O45" s="213">
        <v>0.8</v>
      </c>
      <c r="P45" s="213">
        <v>0.8</v>
      </c>
      <c r="Q45" s="213">
        <v>0.8</v>
      </c>
      <c r="R45" s="213">
        <v>0.8</v>
      </c>
      <c r="S45" s="213">
        <v>0.85</v>
      </c>
      <c r="T45" s="213">
        <v>0.85</v>
      </c>
      <c r="U45" s="213">
        <v>0.85</v>
      </c>
      <c r="V45" s="213"/>
      <c r="W45" s="213"/>
      <c r="X45" s="213"/>
      <c r="Y45" s="213"/>
      <c r="Z45" s="213"/>
      <c r="AA45" s="213"/>
      <c r="AB45" s="213"/>
      <c r="AC45" s="213"/>
      <c r="AD45" s="213"/>
      <c r="AE45" s="213"/>
      <c r="AF45" s="213"/>
      <c r="AG45" s="213"/>
      <c r="AH45" s="213"/>
      <c r="AI45" s="213"/>
      <c r="AJ45" s="213"/>
      <c r="AK45" s="213"/>
      <c r="AL45" s="213"/>
      <c r="AM45" s="213"/>
      <c r="AN45" s="213"/>
      <c r="AO45" s="213"/>
      <c r="AP45" s="213"/>
      <c r="AQ45" s="213"/>
      <c r="AR45" s="213"/>
      <c r="AS45" s="213"/>
      <c r="AT45" s="213"/>
      <c r="AU45" s="213"/>
      <c r="AV45" s="213"/>
      <c r="AW45" s="213"/>
      <c r="AX45" s="213"/>
      <c r="AY45" s="213"/>
      <c r="AZ45" s="213"/>
      <c r="BA45" s="213"/>
      <c r="BB45" s="213"/>
      <c r="BC45" s="213"/>
      <c r="BD45" s="213"/>
      <c r="BE45" s="213"/>
      <c r="BF45" s="213"/>
      <c r="BG45" s="213"/>
      <c r="BH45" s="213"/>
      <c r="BI45" s="213"/>
      <c r="BJ45" s="213"/>
      <c r="BK45" s="213"/>
      <c r="BL45" s="213"/>
      <c r="BM45" s="213"/>
      <c r="BN45" s="213"/>
      <c r="BO45" s="213"/>
      <c r="BP45" s="213"/>
      <c r="BQ45" s="213"/>
      <c r="BR45" s="213"/>
      <c r="BS45" s="213"/>
      <c r="BT45" s="213"/>
      <c r="BU45" s="213"/>
      <c r="BV45" s="213"/>
      <c r="BW45" s="213"/>
      <c r="BX45" s="213"/>
      <c r="BY45" s="213"/>
      <c r="BZ45" s="213"/>
      <c r="CA45" s="213"/>
      <c r="CB45" s="213"/>
      <c r="CC45" s="213"/>
      <c r="CD45" s="213"/>
      <c r="CE45" s="213"/>
      <c r="CF45" s="213"/>
      <c r="CG45" s="213"/>
      <c r="CH45" s="213"/>
      <c r="CI45" s="213"/>
      <c r="CJ45" s="213"/>
      <c r="CK45" s="213"/>
      <c r="CL45" s="213"/>
      <c r="CM45" s="213"/>
      <c r="CN45" s="213"/>
      <c r="CO45" s="213"/>
      <c r="CP45" s="213"/>
      <c r="CQ45" s="213"/>
      <c r="CR45" s="213"/>
      <c r="CS45" s="213"/>
      <c r="CT45" s="213"/>
      <c r="CU45" s="213"/>
      <c r="CV45" s="213"/>
      <c r="CW45" s="213"/>
      <c r="CX45" s="213"/>
      <c r="CY45" s="213"/>
      <c r="CZ45" s="213"/>
      <c r="DA45" s="213"/>
      <c r="DB45" s="213"/>
      <c r="DC45" s="213"/>
      <c r="DD45" s="213"/>
      <c r="DE45" s="213"/>
      <c r="DF45" s="213"/>
      <c r="DG45" s="213"/>
      <c r="DH45" s="213"/>
      <c r="DI45" s="213"/>
      <c r="DJ45" s="213"/>
      <c r="DK45" s="213"/>
      <c r="DL45" s="213"/>
      <c r="DM45" s="213"/>
      <c r="DN45" s="213"/>
      <c r="DO45" s="213"/>
      <c r="DP45" s="213"/>
      <c r="DQ45" s="213"/>
      <c r="DR45" s="213"/>
      <c r="DS45" s="213"/>
      <c r="DT45" s="213"/>
      <c r="DU45" s="213"/>
      <c r="DV45" s="213"/>
      <c r="DW45" s="213"/>
      <c r="DX45" s="213"/>
      <c r="DY45" s="213"/>
      <c r="DZ45" s="213"/>
      <c r="EA45" s="213"/>
      <c r="EB45" s="213"/>
      <c r="EC45" s="213"/>
      <c r="ED45" s="213"/>
      <c r="EE45" s="213"/>
      <c r="EF45" s="213"/>
      <c r="EG45" s="213"/>
      <c r="EH45" s="213"/>
      <c r="EI45" s="213"/>
      <c r="EJ45" s="213"/>
      <c r="EK45" s="213"/>
      <c r="EL45" s="213"/>
      <c r="EM45" s="213"/>
      <c r="EN45" s="213"/>
      <c r="EO45" s="213"/>
      <c r="EP45" s="213"/>
      <c r="EQ45" s="213"/>
      <c r="ER45" s="213"/>
      <c r="ES45" s="213"/>
      <c r="ET45" s="213"/>
      <c r="EU45" s="213"/>
      <c r="EV45" s="213"/>
      <c r="EW45" s="213"/>
      <c r="EX45" s="213"/>
      <c r="EY45" s="213"/>
      <c r="EZ45" s="213"/>
      <c r="FA45" s="213"/>
      <c r="FB45" s="213"/>
      <c r="FC45" s="213"/>
      <c r="FD45" s="213"/>
      <c r="FE45" s="213"/>
      <c r="FF45" s="213"/>
      <c r="FG45" s="213"/>
      <c r="FH45" s="213"/>
      <c r="FI45" s="213"/>
      <c r="FJ45" s="213"/>
      <c r="FK45" s="213"/>
      <c r="FL45" s="213"/>
      <c r="FM45" s="213"/>
      <c r="FN45" s="213"/>
      <c r="FO45" s="213"/>
      <c r="FP45" s="213"/>
      <c r="FQ45" s="213"/>
      <c r="FR45" s="213"/>
      <c r="FS45" s="213"/>
      <c r="FT45" s="213"/>
      <c r="FU45" s="213"/>
      <c r="FV45" s="213"/>
      <c r="FW45" s="213"/>
      <c r="FX45" s="213"/>
      <c r="FY45" s="213"/>
      <c r="FZ45" s="213"/>
      <c r="GA45" s="213"/>
      <c r="GB45" s="213"/>
      <c r="GC45" s="213"/>
      <c r="GD45" s="213"/>
      <c r="GE45" s="213"/>
      <c r="GF45" s="213"/>
      <c r="GG45" s="213"/>
      <c r="GH45" s="213"/>
      <c r="GI45" s="213"/>
      <c r="GJ45" s="213"/>
      <c r="GK45" s="213"/>
      <c r="GL45" s="213"/>
      <c r="GM45" s="213"/>
      <c r="GN45" s="213"/>
      <c r="GO45" s="213"/>
      <c r="GP45" s="213"/>
      <c r="GQ45" s="213"/>
      <c r="GR45" s="213"/>
      <c r="GS45" s="213"/>
      <c r="GT45" s="213"/>
      <c r="GU45" s="213"/>
      <c r="GV45" s="213"/>
      <c r="GW45" s="213"/>
      <c r="GX45" s="213"/>
      <c r="GY45" s="213"/>
      <c r="GZ45" s="213"/>
      <c r="HA45" s="213"/>
      <c r="HB45" s="213"/>
      <c r="HC45" s="213"/>
      <c r="HD45" s="213"/>
      <c r="HE45" s="213"/>
      <c r="HF45" s="213"/>
      <c r="HG45" s="213"/>
      <c r="HH45" s="213"/>
      <c r="HI45" s="213"/>
      <c r="HJ45" s="213"/>
      <c r="HK45" s="213"/>
      <c r="HL45" s="213"/>
      <c r="HM45" s="213"/>
      <c r="HN45" s="213"/>
      <c r="HO45" s="213"/>
      <c r="HP45" s="213"/>
      <c r="HQ45" s="213"/>
      <c r="HR45" s="213"/>
      <c r="HS45" s="213"/>
      <c r="HT45" s="213"/>
      <c r="HU45" s="213"/>
      <c r="HV45" s="213"/>
      <c r="HW45" s="213"/>
      <c r="HX45" s="213"/>
      <c r="HY45" s="213"/>
      <c r="HZ45" s="213"/>
      <c r="IA45" s="213"/>
      <c r="IB45" s="213"/>
      <c r="IC45" s="213"/>
      <c r="ID45" s="213"/>
      <c r="IE45" s="213"/>
      <c r="IF45" s="213"/>
      <c r="IG45" s="213"/>
      <c r="IH45" s="213"/>
      <c r="II45" s="213"/>
      <c r="IJ45" s="213"/>
      <c r="IK45" s="213"/>
      <c r="IL45" s="213"/>
      <c r="IM45" s="213"/>
      <c r="IN45" s="213"/>
      <c r="IO45" s="213"/>
      <c r="IP45" s="213"/>
      <c r="IQ45" s="213"/>
      <c r="IR45" s="213"/>
      <c r="IS45" s="213"/>
      <c r="IT45" s="213"/>
      <c r="IU45" s="213"/>
      <c r="IV45" s="213"/>
    </row>
    <row r="46" spans="1:256" s="192" customFormat="1" ht="12.75" thickBot="1" x14ac:dyDescent="0.25">
      <c r="A46" s="244" t="s">
        <v>790</v>
      </c>
      <c r="B46" s="213" t="str">
        <f t="shared" si="13"/>
        <v>FY 17/18</v>
      </c>
      <c r="C46" s="211" t="str">
        <f>CONCATENATE('Quick Input'!I52,"/start")</f>
        <v>Zielpreis Bauteil/start</v>
      </c>
      <c r="D46" s="192" t="s">
        <v>790</v>
      </c>
      <c r="E46" s="192" t="s">
        <v>790</v>
      </c>
      <c r="F46" s="192" t="s">
        <v>790</v>
      </c>
      <c r="G46" s="192" t="s">
        <v>790</v>
      </c>
      <c r="H46" s="192" t="s">
        <v>790</v>
      </c>
      <c r="I46" s="192" t="s">
        <v>790</v>
      </c>
      <c r="J46" s="192" t="s">
        <v>790</v>
      </c>
      <c r="K46" s="192" t="s">
        <v>790</v>
      </c>
      <c r="L46" s="192" t="s">
        <v>790</v>
      </c>
      <c r="M46" s="192" t="s">
        <v>790</v>
      </c>
      <c r="N46" s="192" t="s">
        <v>790</v>
      </c>
      <c r="O46" s="192" t="s">
        <v>790</v>
      </c>
      <c r="P46" s="192" t="s">
        <v>790</v>
      </c>
      <c r="Q46" s="192" t="s">
        <v>790</v>
      </c>
      <c r="R46" s="192" t="s">
        <v>790</v>
      </c>
      <c r="S46" s="192" t="s">
        <v>790</v>
      </c>
      <c r="T46" s="192" t="s">
        <v>790</v>
      </c>
      <c r="U46" s="192" t="s">
        <v>790</v>
      </c>
      <c r="EW46" s="244"/>
      <c r="EX46" s="244"/>
      <c r="EY46" s="244"/>
      <c r="EZ46" s="244"/>
      <c r="FA46" s="244"/>
      <c r="FB46" s="244"/>
      <c r="FC46" s="244"/>
      <c r="FD46" s="244"/>
      <c r="FE46" s="244"/>
      <c r="FF46" s="244"/>
      <c r="FG46" s="244"/>
      <c r="FH46" s="244"/>
      <c r="FI46" s="244"/>
      <c r="FJ46" s="244"/>
      <c r="FK46" s="244"/>
      <c r="FL46" s="244"/>
      <c r="FM46" s="244"/>
      <c r="FN46" s="244"/>
      <c r="FO46" s="244"/>
      <c r="FP46" s="244"/>
      <c r="FQ46" s="244"/>
      <c r="FR46" s="244"/>
      <c r="FS46" s="244"/>
      <c r="FT46" s="244"/>
      <c r="FU46" s="244"/>
      <c r="FV46" s="244"/>
      <c r="FW46" s="244"/>
      <c r="FX46" s="244"/>
      <c r="FY46" s="244"/>
      <c r="FZ46" s="244"/>
      <c r="GA46" s="244"/>
      <c r="GB46" s="244"/>
      <c r="GC46" s="244"/>
      <c r="GD46" s="244"/>
      <c r="GE46" s="244"/>
      <c r="GF46" s="244"/>
      <c r="GG46" s="244"/>
      <c r="GH46" s="244"/>
      <c r="GI46" s="244"/>
      <c r="GJ46" s="244"/>
      <c r="GK46" s="244"/>
      <c r="GL46" s="244"/>
      <c r="GM46" s="244"/>
      <c r="GN46" s="244"/>
      <c r="GO46" s="244"/>
      <c r="GP46" s="244"/>
      <c r="GQ46" s="244"/>
      <c r="GR46" s="244"/>
      <c r="GS46" s="244"/>
      <c r="GT46" s="244"/>
      <c r="GU46" s="244"/>
      <c r="GV46" s="244"/>
      <c r="GW46" s="244"/>
      <c r="GX46" s="244"/>
      <c r="GY46" s="244"/>
      <c r="GZ46" s="244"/>
      <c r="HA46" s="244"/>
      <c r="HB46" s="244"/>
      <c r="HC46" s="244"/>
      <c r="HD46" s="244"/>
      <c r="HE46" s="244"/>
      <c r="HF46" s="244"/>
      <c r="HG46" s="244"/>
      <c r="HH46" s="244"/>
      <c r="HI46" s="244"/>
      <c r="HJ46" s="244"/>
      <c r="HK46" s="244"/>
      <c r="HL46" s="244"/>
      <c r="HM46" s="244"/>
      <c r="HN46" s="244"/>
      <c r="HO46" s="244"/>
      <c r="HP46" s="244"/>
      <c r="HQ46" s="244"/>
      <c r="HR46" s="244"/>
      <c r="HS46" s="244"/>
      <c r="HT46" s="244"/>
      <c r="HU46" s="244"/>
      <c r="HV46" s="244"/>
      <c r="HW46" s="244"/>
      <c r="HX46" s="244"/>
      <c r="HY46" s="244"/>
      <c r="HZ46" s="244"/>
      <c r="IA46" s="244"/>
      <c r="IB46" s="244"/>
      <c r="IC46" s="244"/>
      <c r="ID46" s="244"/>
      <c r="IE46" s="244"/>
      <c r="IF46" s="244"/>
      <c r="IG46" s="244"/>
      <c r="IH46" s="244"/>
      <c r="II46" s="244"/>
      <c r="IJ46" s="244"/>
      <c r="IK46" s="244"/>
      <c r="IL46" s="244"/>
      <c r="IM46" s="244"/>
      <c r="IN46" s="244"/>
      <c r="IO46" s="244"/>
      <c r="IP46" s="244"/>
      <c r="IQ46" s="244"/>
      <c r="IR46" s="244"/>
      <c r="IS46" s="244"/>
      <c r="IT46" s="244"/>
      <c r="IU46" s="244"/>
      <c r="IV46" s="244"/>
    </row>
    <row r="47" spans="1:256" s="192" customFormat="1" ht="14.25" customHeight="1" thickBot="1" x14ac:dyDescent="0.25">
      <c r="A47" s="244">
        <v>300</v>
      </c>
      <c r="B47" s="195">
        <f t="shared" si="13"/>
        <v>300</v>
      </c>
      <c r="C47" s="211" t="str">
        <f ca="1">'Quick Input'!I53</f>
        <v>FY 21/22</v>
      </c>
      <c r="D47" s="192">
        <v>300</v>
      </c>
      <c r="E47" s="192">
        <v>300</v>
      </c>
      <c r="F47" s="192">
        <v>300</v>
      </c>
      <c r="G47" s="192">
        <v>300</v>
      </c>
      <c r="H47" s="192">
        <v>300</v>
      </c>
      <c r="I47" s="192">
        <v>300</v>
      </c>
      <c r="J47" s="192">
        <v>270</v>
      </c>
      <c r="K47" s="192">
        <v>270</v>
      </c>
      <c r="L47" s="192">
        <v>270</v>
      </c>
      <c r="M47" s="192">
        <v>270</v>
      </c>
      <c r="N47" s="192">
        <v>270</v>
      </c>
      <c r="O47" s="192">
        <v>270</v>
      </c>
      <c r="P47" s="192">
        <v>270</v>
      </c>
      <c r="Q47" s="192">
        <v>270</v>
      </c>
      <c r="R47" s="192">
        <v>270</v>
      </c>
      <c r="S47" s="192">
        <v>300</v>
      </c>
      <c r="T47" s="192">
        <v>300</v>
      </c>
      <c r="U47" s="192">
        <v>300</v>
      </c>
      <c r="EW47" s="244"/>
      <c r="EX47" s="244"/>
      <c r="EY47" s="244"/>
      <c r="EZ47" s="244"/>
      <c r="FA47" s="244"/>
      <c r="FB47" s="244"/>
      <c r="FC47" s="244"/>
      <c r="FD47" s="244"/>
      <c r="FE47" s="244"/>
      <c r="FF47" s="244"/>
      <c r="FG47" s="244"/>
      <c r="FH47" s="244"/>
      <c r="FI47" s="244"/>
      <c r="FJ47" s="244"/>
      <c r="FK47" s="244"/>
      <c r="FL47" s="244"/>
      <c r="FM47" s="244"/>
      <c r="FN47" s="244"/>
      <c r="FO47" s="244"/>
      <c r="FP47" s="244"/>
      <c r="FQ47" s="244"/>
      <c r="FR47" s="244"/>
      <c r="FS47" s="244"/>
      <c r="FT47" s="244"/>
      <c r="FU47" s="244"/>
      <c r="FV47" s="244"/>
      <c r="FW47" s="244"/>
      <c r="FX47" s="244"/>
      <c r="FY47" s="244"/>
      <c r="FZ47" s="244"/>
      <c r="GA47" s="244"/>
      <c r="GB47" s="244"/>
      <c r="GC47" s="244"/>
      <c r="GD47" s="244"/>
      <c r="GE47" s="244"/>
      <c r="GF47" s="244"/>
      <c r="GG47" s="244"/>
      <c r="GH47" s="244"/>
      <c r="GI47" s="244"/>
      <c r="GJ47" s="244"/>
      <c r="GK47" s="244"/>
      <c r="GL47" s="244"/>
      <c r="GM47" s="244"/>
      <c r="GN47" s="244"/>
      <c r="GO47" s="244"/>
      <c r="GP47" s="244"/>
      <c r="GQ47" s="244"/>
      <c r="GR47" s="244"/>
      <c r="GS47" s="244"/>
      <c r="GT47" s="244"/>
      <c r="GU47" s="244"/>
      <c r="GV47" s="244"/>
      <c r="GW47" s="244"/>
      <c r="GX47" s="244"/>
      <c r="GY47" s="244"/>
      <c r="GZ47" s="244"/>
      <c r="HA47" s="244"/>
      <c r="HB47" s="244"/>
      <c r="HC47" s="244"/>
      <c r="HD47" s="244"/>
      <c r="HE47" s="244"/>
      <c r="HF47" s="244"/>
      <c r="HG47" s="244"/>
      <c r="HH47" s="244"/>
      <c r="HI47" s="244"/>
      <c r="HJ47" s="244"/>
      <c r="HK47" s="244"/>
      <c r="HL47" s="244"/>
      <c r="HM47" s="244"/>
      <c r="HN47" s="244"/>
      <c r="HO47" s="244"/>
      <c r="HP47" s="244"/>
      <c r="HQ47" s="244"/>
      <c r="HR47" s="244"/>
      <c r="HS47" s="244"/>
      <c r="HT47" s="244"/>
      <c r="HU47" s="244"/>
      <c r="HV47" s="244"/>
      <c r="HW47" s="244"/>
      <c r="HX47" s="244"/>
      <c r="HY47" s="244"/>
      <c r="HZ47" s="244"/>
      <c r="IA47" s="244"/>
      <c r="IB47" s="244"/>
      <c r="IC47" s="244"/>
      <c r="ID47" s="244"/>
      <c r="IE47" s="244"/>
      <c r="IF47" s="244"/>
      <c r="IG47" s="244"/>
      <c r="IH47" s="244"/>
      <c r="II47" s="244"/>
      <c r="IJ47" s="244"/>
      <c r="IK47" s="244"/>
      <c r="IL47" s="244"/>
      <c r="IM47" s="244"/>
      <c r="IN47" s="244"/>
      <c r="IO47" s="244"/>
      <c r="IP47" s="244"/>
      <c r="IQ47" s="244"/>
      <c r="IR47" s="244"/>
      <c r="IS47" s="244"/>
      <c r="IT47" s="244"/>
      <c r="IU47" s="244"/>
      <c r="IV47" s="244"/>
    </row>
    <row r="48" spans="1:256" s="192" customFormat="1" ht="12.75" thickBot="1" x14ac:dyDescent="0.25">
      <c r="A48" s="244">
        <v>300</v>
      </c>
      <c r="B48" s="195">
        <f t="shared" si="13"/>
        <v>300</v>
      </c>
      <c r="C48" s="211" t="str">
        <f ca="1">'Quick Input'!I54</f>
        <v>FY 22/23</v>
      </c>
      <c r="D48" s="192">
        <v>300</v>
      </c>
      <c r="E48" s="192">
        <v>300</v>
      </c>
      <c r="F48" s="192">
        <v>300</v>
      </c>
      <c r="G48" s="192">
        <v>300</v>
      </c>
      <c r="H48" s="192">
        <v>300</v>
      </c>
      <c r="I48" s="192">
        <v>300</v>
      </c>
      <c r="J48" s="192">
        <v>270</v>
      </c>
      <c r="K48" s="192">
        <v>270</v>
      </c>
      <c r="L48" s="192">
        <v>270</v>
      </c>
      <c r="M48" s="192">
        <v>270</v>
      </c>
      <c r="N48" s="192">
        <v>270</v>
      </c>
      <c r="O48" s="192">
        <v>270</v>
      </c>
      <c r="P48" s="192">
        <v>270</v>
      </c>
      <c r="Q48" s="192">
        <v>270</v>
      </c>
      <c r="R48" s="192">
        <v>270</v>
      </c>
      <c r="S48" s="192">
        <v>300</v>
      </c>
      <c r="T48" s="192">
        <v>300</v>
      </c>
      <c r="U48" s="192">
        <v>300</v>
      </c>
      <c r="EW48" s="244"/>
      <c r="EX48" s="244"/>
      <c r="EY48" s="244"/>
      <c r="EZ48" s="244"/>
      <c r="FA48" s="244"/>
      <c r="FB48" s="244"/>
      <c r="FC48" s="244"/>
      <c r="FD48" s="244"/>
      <c r="FE48" s="244"/>
      <c r="FF48" s="244"/>
      <c r="FG48" s="244"/>
      <c r="FH48" s="244"/>
      <c r="FI48" s="244"/>
      <c r="FJ48" s="244"/>
      <c r="FK48" s="244"/>
      <c r="FL48" s="244"/>
      <c r="FM48" s="244"/>
      <c r="FN48" s="244"/>
      <c r="FO48" s="244"/>
      <c r="FP48" s="244"/>
      <c r="FQ48" s="244"/>
      <c r="FR48" s="244"/>
      <c r="FS48" s="244"/>
      <c r="FT48" s="244"/>
      <c r="FU48" s="244"/>
      <c r="FV48" s="244"/>
      <c r="FW48" s="244"/>
      <c r="FX48" s="244"/>
      <c r="FY48" s="244"/>
      <c r="FZ48" s="244"/>
      <c r="GA48" s="244"/>
      <c r="GB48" s="244"/>
      <c r="GC48" s="244"/>
      <c r="GD48" s="244"/>
      <c r="GE48" s="244"/>
      <c r="GF48" s="244"/>
      <c r="GG48" s="244"/>
      <c r="GH48" s="244"/>
      <c r="GI48" s="244"/>
      <c r="GJ48" s="244"/>
      <c r="GK48" s="244"/>
      <c r="GL48" s="244"/>
      <c r="GM48" s="244"/>
      <c r="GN48" s="244"/>
      <c r="GO48" s="244"/>
      <c r="GP48" s="244"/>
      <c r="GQ48" s="244"/>
      <c r="GR48" s="244"/>
      <c r="GS48" s="244"/>
      <c r="GT48" s="244"/>
      <c r="GU48" s="244"/>
      <c r="GV48" s="244"/>
      <c r="GW48" s="244"/>
      <c r="GX48" s="244"/>
      <c r="GY48" s="244"/>
      <c r="GZ48" s="244"/>
      <c r="HA48" s="244"/>
      <c r="HB48" s="244"/>
      <c r="HC48" s="244"/>
      <c r="HD48" s="244"/>
      <c r="HE48" s="244"/>
      <c r="HF48" s="244"/>
      <c r="HG48" s="244"/>
      <c r="HH48" s="244"/>
      <c r="HI48" s="244"/>
      <c r="HJ48" s="244"/>
      <c r="HK48" s="244"/>
      <c r="HL48" s="244"/>
      <c r="HM48" s="244"/>
      <c r="HN48" s="244"/>
      <c r="HO48" s="244"/>
      <c r="HP48" s="244"/>
      <c r="HQ48" s="244"/>
      <c r="HR48" s="244"/>
      <c r="HS48" s="244"/>
      <c r="HT48" s="244"/>
      <c r="HU48" s="244"/>
      <c r="HV48" s="244"/>
      <c r="HW48" s="244"/>
      <c r="HX48" s="244"/>
      <c r="HY48" s="244"/>
      <c r="HZ48" s="244"/>
      <c r="IA48" s="244"/>
      <c r="IB48" s="244"/>
      <c r="IC48" s="244"/>
      <c r="ID48" s="244"/>
      <c r="IE48" s="244"/>
      <c r="IF48" s="244"/>
      <c r="IG48" s="244"/>
      <c r="IH48" s="244"/>
      <c r="II48" s="244"/>
      <c r="IJ48" s="244"/>
      <c r="IK48" s="244"/>
      <c r="IL48" s="244"/>
      <c r="IM48" s="244"/>
      <c r="IN48" s="244"/>
      <c r="IO48" s="244"/>
      <c r="IP48" s="244"/>
      <c r="IQ48" s="244"/>
      <c r="IR48" s="244"/>
      <c r="IS48" s="244"/>
      <c r="IT48" s="244"/>
      <c r="IU48" s="244"/>
      <c r="IV48" s="244"/>
    </row>
    <row r="49" spans="1:256" s="192" customFormat="1" ht="12.75" thickBot="1" x14ac:dyDescent="0.25">
      <c r="A49" s="244">
        <v>300</v>
      </c>
      <c r="B49" s="195">
        <f t="shared" si="13"/>
        <v>300</v>
      </c>
      <c r="C49" s="211" t="str">
        <f ca="1">'Quick Input'!I55</f>
        <v>FY 23/24</v>
      </c>
      <c r="D49" s="192">
        <v>300</v>
      </c>
      <c r="E49" s="192">
        <v>300</v>
      </c>
      <c r="F49" s="192">
        <v>300</v>
      </c>
      <c r="G49" s="192">
        <v>300</v>
      </c>
      <c r="H49" s="192">
        <v>300</v>
      </c>
      <c r="I49" s="192">
        <v>300</v>
      </c>
      <c r="J49" s="192">
        <v>270</v>
      </c>
      <c r="K49" s="192">
        <v>270</v>
      </c>
      <c r="L49" s="192">
        <v>270</v>
      </c>
      <c r="M49" s="192">
        <v>270</v>
      </c>
      <c r="N49" s="192">
        <v>270</v>
      </c>
      <c r="O49" s="192">
        <v>270</v>
      </c>
      <c r="P49" s="192">
        <v>270</v>
      </c>
      <c r="Q49" s="192">
        <v>270</v>
      </c>
      <c r="R49" s="192">
        <v>270</v>
      </c>
      <c r="S49" s="192">
        <v>300</v>
      </c>
      <c r="T49" s="192">
        <v>300</v>
      </c>
      <c r="U49" s="192">
        <v>300</v>
      </c>
      <c r="EW49" s="244"/>
      <c r="EX49" s="244"/>
      <c r="EY49" s="244"/>
      <c r="EZ49" s="244"/>
      <c r="FA49" s="244"/>
      <c r="FB49" s="244"/>
      <c r="FC49" s="244"/>
      <c r="FD49" s="244"/>
      <c r="FE49" s="244"/>
      <c r="FF49" s="244"/>
      <c r="FG49" s="244"/>
      <c r="FH49" s="244"/>
      <c r="FI49" s="244"/>
      <c r="FJ49" s="244"/>
      <c r="FK49" s="244"/>
      <c r="FL49" s="244"/>
      <c r="FM49" s="244"/>
      <c r="FN49" s="244"/>
      <c r="FO49" s="244"/>
      <c r="FP49" s="244"/>
      <c r="FQ49" s="244"/>
      <c r="FR49" s="244"/>
      <c r="FS49" s="244"/>
      <c r="FT49" s="244"/>
      <c r="FU49" s="244"/>
      <c r="FV49" s="244"/>
      <c r="FW49" s="244"/>
      <c r="FX49" s="244"/>
      <c r="FY49" s="244"/>
      <c r="FZ49" s="244"/>
      <c r="GA49" s="244"/>
      <c r="GB49" s="244"/>
      <c r="GC49" s="244"/>
      <c r="GD49" s="244"/>
      <c r="GE49" s="244"/>
      <c r="GF49" s="244"/>
      <c r="GG49" s="244"/>
      <c r="GH49" s="244"/>
      <c r="GI49" s="244"/>
      <c r="GJ49" s="244"/>
      <c r="GK49" s="244"/>
      <c r="GL49" s="244"/>
      <c r="GM49" s="244"/>
      <c r="GN49" s="244"/>
      <c r="GO49" s="244"/>
      <c r="GP49" s="244"/>
      <c r="GQ49" s="244"/>
      <c r="GR49" s="244"/>
      <c r="GS49" s="244"/>
      <c r="GT49" s="244"/>
      <c r="GU49" s="244"/>
      <c r="GV49" s="244"/>
      <c r="GW49" s="244"/>
      <c r="GX49" s="244"/>
      <c r="GY49" s="244"/>
      <c r="GZ49" s="244"/>
      <c r="HA49" s="244"/>
      <c r="HB49" s="244"/>
      <c r="HC49" s="244"/>
      <c r="HD49" s="244"/>
      <c r="HE49" s="244"/>
      <c r="HF49" s="244"/>
      <c r="HG49" s="244"/>
      <c r="HH49" s="244"/>
      <c r="HI49" s="244"/>
      <c r="HJ49" s="244"/>
      <c r="HK49" s="244"/>
      <c r="HL49" s="244"/>
      <c r="HM49" s="244"/>
      <c r="HN49" s="244"/>
      <c r="HO49" s="244"/>
      <c r="HP49" s="244"/>
      <c r="HQ49" s="244"/>
      <c r="HR49" s="244"/>
      <c r="HS49" s="244"/>
      <c r="HT49" s="244"/>
      <c r="HU49" s="244"/>
      <c r="HV49" s="244"/>
      <c r="HW49" s="244"/>
      <c r="HX49" s="244"/>
      <c r="HY49" s="244"/>
      <c r="HZ49" s="244"/>
      <c r="IA49" s="244"/>
      <c r="IB49" s="244"/>
      <c r="IC49" s="244"/>
      <c r="ID49" s="244"/>
      <c r="IE49" s="244"/>
      <c r="IF49" s="244"/>
      <c r="IG49" s="244"/>
      <c r="IH49" s="244"/>
      <c r="II49" s="244"/>
      <c r="IJ49" s="244"/>
      <c r="IK49" s="244"/>
      <c r="IL49" s="244"/>
      <c r="IM49" s="244"/>
      <c r="IN49" s="244"/>
      <c r="IO49" s="244"/>
      <c r="IP49" s="244"/>
      <c r="IQ49" s="244"/>
      <c r="IR49" s="244"/>
      <c r="IS49" s="244"/>
      <c r="IT49" s="244"/>
      <c r="IU49" s="244"/>
      <c r="IV49" s="244"/>
    </row>
    <row r="50" spans="1:256" s="192" customFormat="1" ht="12.75" thickBot="1" x14ac:dyDescent="0.25">
      <c r="A50" s="244">
        <v>300</v>
      </c>
      <c r="B50" s="195">
        <f t="shared" si="13"/>
        <v>300</v>
      </c>
      <c r="C50" s="211" t="str">
        <f ca="1">'Quick Input'!I56</f>
        <v>FY 24/25</v>
      </c>
      <c r="D50" s="192">
        <v>300</v>
      </c>
      <c r="E50" s="192">
        <v>300</v>
      </c>
      <c r="F50" s="192">
        <v>300</v>
      </c>
      <c r="G50" s="192">
        <v>300</v>
      </c>
      <c r="H50" s="192">
        <v>300</v>
      </c>
      <c r="I50" s="192">
        <v>300</v>
      </c>
      <c r="J50" s="192">
        <v>270</v>
      </c>
      <c r="K50" s="192">
        <v>270</v>
      </c>
      <c r="L50" s="192">
        <v>270</v>
      </c>
      <c r="M50" s="192">
        <v>270</v>
      </c>
      <c r="N50" s="192">
        <v>270</v>
      </c>
      <c r="O50" s="192">
        <v>270</v>
      </c>
      <c r="P50" s="192">
        <v>270</v>
      </c>
      <c r="Q50" s="192">
        <v>270</v>
      </c>
      <c r="R50" s="192">
        <v>270</v>
      </c>
      <c r="S50" s="192">
        <v>300</v>
      </c>
      <c r="T50" s="192">
        <v>300</v>
      </c>
      <c r="U50" s="192">
        <v>300</v>
      </c>
      <c r="EW50" s="244"/>
      <c r="EX50" s="244"/>
      <c r="EY50" s="244"/>
      <c r="EZ50" s="244"/>
      <c r="FA50" s="244"/>
      <c r="FB50" s="244"/>
      <c r="FC50" s="244"/>
      <c r="FD50" s="244"/>
      <c r="FE50" s="244"/>
      <c r="FF50" s="244"/>
      <c r="FG50" s="244"/>
      <c r="FH50" s="244"/>
      <c r="FI50" s="244"/>
      <c r="FJ50" s="244"/>
      <c r="FK50" s="244"/>
      <c r="FL50" s="244"/>
      <c r="FM50" s="244"/>
      <c r="FN50" s="244"/>
      <c r="FO50" s="244"/>
      <c r="FP50" s="244"/>
      <c r="FQ50" s="244"/>
      <c r="FR50" s="244"/>
      <c r="FS50" s="244"/>
      <c r="FT50" s="244"/>
      <c r="FU50" s="244"/>
      <c r="FV50" s="244"/>
      <c r="FW50" s="244"/>
      <c r="FX50" s="244"/>
      <c r="FY50" s="244"/>
      <c r="FZ50" s="244"/>
      <c r="GA50" s="244"/>
      <c r="GB50" s="244"/>
      <c r="GC50" s="244"/>
      <c r="GD50" s="244"/>
      <c r="GE50" s="244"/>
      <c r="GF50" s="244"/>
      <c r="GG50" s="244"/>
      <c r="GH50" s="244"/>
      <c r="GI50" s="244"/>
      <c r="GJ50" s="244"/>
      <c r="GK50" s="244"/>
      <c r="GL50" s="244"/>
      <c r="GM50" s="244"/>
      <c r="GN50" s="244"/>
      <c r="GO50" s="244"/>
      <c r="GP50" s="244"/>
      <c r="GQ50" s="244"/>
      <c r="GR50" s="244"/>
      <c r="GS50" s="244"/>
      <c r="GT50" s="244"/>
      <c r="GU50" s="244"/>
      <c r="GV50" s="244"/>
      <c r="GW50" s="244"/>
      <c r="GX50" s="244"/>
      <c r="GY50" s="244"/>
      <c r="GZ50" s="244"/>
      <c r="HA50" s="244"/>
      <c r="HB50" s="244"/>
      <c r="HC50" s="244"/>
      <c r="HD50" s="244"/>
      <c r="HE50" s="244"/>
      <c r="HF50" s="244"/>
      <c r="HG50" s="244"/>
      <c r="HH50" s="244"/>
      <c r="HI50" s="244"/>
      <c r="HJ50" s="244"/>
      <c r="HK50" s="244"/>
      <c r="HL50" s="244"/>
      <c r="HM50" s="244"/>
      <c r="HN50" s="244"/>
      <c r="HO50" s="244"/>
      <c r="HP50" s="244"/>
      <c r="HQ50" s="244"/>
      <c r="HR50" s="244"/>
      <c r="HS50" s="244"/>
      <c r="HT50" s="244"/>
      <c r="HU50" s="244"/>
      <c r="HV50" s="244"/>
      <c r="HW50" s="244"/>
      <c r="HX50" s="244"/>
      <c r="HY50" s="244"/>
      <c r="HZ50" s="244"/>
      <c r="IA50" s="244"/>
      <c r="IB50" s="244"/>
      <c r="IC50" s="244"/>
      <c r="ID50" s="244"/>
      <c r="IE50" s="244"/>
      <c r="IF50" s="244"/>
      <c r="IG50" s="244"/>
      <c r="IH50" s="244"/>
      <c r="II50" s="244"/>
      <c r="IJ50" s="244"/>
      <c r="IK50" s="244"/>
      <c r="IL50" s="244"/>
      <c r="IM50" s="244"/>
      <c r="IN50" s="244"/>
      <c r="IO50" s="244"/>
      <c r="IP50" s="244"/>
      <c r="IQ50" s="244"/>
      <c r="IR50" s="244"/>
      <c r="IS50" s="244"/>
      <c r="IT50" s="244"/>
      <c r="IU50" s="244"/>
      <c r="IV50" s="244"/>
    </row>
    <row r="51" spans="1:256" s="192" customFormat="1" ht="12.75" thickBot="1" x14ac:dyDescent="0.25">
      <c r="A51" s="244">
        <v>300</v>
      </c>
      <c r="B51" s="195">
        <f t="shared" si="13"/>
        <v>300</v>
      </c>
      <c r="C51" s="211" t="str">
        <f ca="1">'Quick Input'!I57</f>
        <v>FY 25/26</v>
      </c>
      <c r="D51" s="192">
        <v>300</v>
      </c>
      <c r="E51" s="192">
        <v>300</v>
      </c>
      <c r="F51" s="192">
        <v>300</v>
      </c>
      <c r="G51" s="192">
        <v>300</v>
      </c>
      <c r="H51" s="192">
        <v>300</v>
      </c>
      <c r="I51" s="192">
        <v>300</v>
      </c>
      <c r="J51" s="192">
        <v>270</v>
      </c>
      <c r="K51" s="192">
        <v>270</v>
      </c>
      <c r="L51" s="192">
        <v>270</v>
      </c>
      <c r="M51" s="192">
        <v>270</v>
      </c>
      <c r="N51" s="192">
        <v>270</v>
      </c>
      <c r="O51" s="192">
        <v>270</v>
      </c>
      <c r="P51" s="192">
        <v>270</v>
      </c>
      <c r="Q51" s="192">
        <v>270</v>
      </c>
      <c r="R51" s="192">
        <v>270</v>
      </c>
      <c r="S51" s="192">
        <v>300</v>
      </c>
      <c r="T51" s="192">
        <v>300</v>
      </c>
      <c r="U51" s="192">
        <v>300</v>
      </c>
      <c r="EW51" s="244"/>
      <c r="EX51" s="244"/>
      <c r="EY51" s="244"/>
      <c r="EZ51" s="244"/>
      <c r="FA51" s="244"/>
      <c r="FB51" s="244"/>
      <c r="FC51" s="244"/>
      <c r="FD51" s="244"/>
      <c r="FE51" s="244"/>
      <c r="FF51" s="244"/>
      <c r="FG51" s="244"/>
      <c r="FH51" s="244"/>
      <c r="FI51" s="244"/>
      <c r="FJ51" s="244"/>
      <c r="FK51" s="244"/>
      <c r="FL51" s="244"/>
      <c r="FM51" s="244"/>
      <c r="FN51" s="244"/>
      <c r="FO51" s="244"/>
      <c r="FP51" s="244"/>
      <c r="FQ51" s="244"/>
      <c r="FR51" s="244"/>
      <c r="FS51" s="244"/>
      <c r="FT51" s="244"/>
      <c r="FU51" s="244"/>
      <c r="FV51" s="244"/>
      <c r="FW51" s="244"/>
      <c r="FX51" s="244"/>
      <c r="FY51" s="244"/>
      <c r="FZ51" s="244"/>
      <c r="GA51" s="244"/>
      <c r="GB51" s="244"/>
      <c r="GC51" s="244"/>
      <c r="GD51" s="244"/>
      <c r="GE51" s="244"/>
      <c r="GF51" s="244"/>
      <c r="GG51" s="244"/>
      <c r="GH51" s="244"/>
      <c r="GI51" s="244"/>
      <c r="GJ51" s="244"/>
      <c r="GK51" s="244"/>
      <c r="GL51" s="244"/>
      <c r="GM51" s="244"/>
      <c r="GN51" s="244"/>
      <c r="GO51" s="244"/>
      <c r="GP51" s="244"/>
      <c r="GQ51" s="244"/>
      <c r="GR51" s="244"/>
      <c r="GS51" s="244"/>
      <c r="GT51" s="244"/>
      <c r="GU51" s="244"/>
      <c r="GV51" s="244"/>
      <c r="GW51" s="244"/>
      <c r="GX51" s="244"/>
      <c r="GY51" s="244"/>
      <c r="GZ51" s="244"/>
      <c r="HA51" s="244"/>
      <c r="HB51" s="244"/>
      <c r="HC51" s="244"/>
      <c r="HD51" s="244"/>
      <c r="HE51" s="244"/>
      <c r="HF51" s="244"/>
      <c r="HG51" s="244"/>
      <c r="HH51" s="244"/>
      <c r="HI51" s="244"/>
      <c r="HJ51" s="244"/>
      <c r="HK51" s="244"/>
      <c r="HL51" s="244"/>
      <c r="HM51" s="244"/>
      <c r="HN51" s="244"/>
      <c r="HO51" s="244"/>
      <c r="HP51" s="244"/>
      <c r="HQ51" s="244"/>
      <c r="HR51" s="244"/>
      <c r="HS51" s="244"/>
      <c r="HT51" s="244"/>
      <c r="HU51" s="244"/>
      <c r="HV51" s="244"/>
      <c r="HW51" s="244"/>
      <c r="HX51" s="244"/>
      <c r="HY51" s="244"/>
      <c r="HZ51" s="244"/>
      <c r="IA51" s="244"/>
      <c r="IB51" s="244"/>
      <c r="IC51" s="244"/>
      <c r="ID51" s="244"/>
      <c r="IE51" s="244"/>
      <c r="IF51" s="244"/>
      <c r="IG51" s="244"/>
      <c r="IH51" s="244"/>
      <c r="II51" s="244"/>
      <c r="IJ51" s="244"/>
      <c r="IK51" s="244"/>
      <c r="IL51" s="244"/>
      <c r="IM51" s="244"/>
      <c r="IN51" s="244"/>
      <c r="IO51" s="244"/>
      <c r="IP51" s="244"/>
      <c r="IQ51" s="244"/>
      <c r="IR51" s="244"/>
      <c r="IS51" s="244"/>
      <c r="IT51" s="244"/>
      <c r="IU51" s="244"/>
      <c r="IV51" s="244"/>
    </row>
    <row r="52" spans="1:256" s="192" customFormat="1" ht="12.75" thickBot="1" x14ac:dyDescent="0.25">
      <c r="A52" s="244">
        <v>13000</v>
      </c>
      <c r="B52" s="195">
        <f t="shared" si="13"/>
        <v>13000</v>
      </c>
      <c r="C52" s="211" t="str">
        <f>'Quick Input'!I58</f>
        <v>Modellkosten</v>
      </c>
      <c r="D52" s="192">
        <v>16000</v>
      </c>
      <c r="E52" s="192">
        <v>16000</v>
      </c>
      <c r="F52" s="192">
        <v>15000</v>
      </c>
      <c r="G52" s="192">
        <v>15000</v>
      </c>
      <c r="H52" s="192">
        <v>13000</v>
      </c>
      <c r="I52" s="192">
        <v>13000</v>
      </c>
      <c r="J52" s="192">
        <v>15000</v>
      </c>
      <c r="K52" s="192">
        <v>15000</v>
      </c>
      <c r="L52" s="192">
        <v>15000</v>
      </c>
      <c r="M52" s="192">
        <v>15000</v>
      </c>
      <c r="N52" s="192">
        <v>15000</v>
      </c>
      <c r="O52" s="192">
        <v>15000</v>
      </c>
      <c r="P52" s="192">
        <v>15000</v>
      </c>
      <c r="Q52" s="192">
        <v>15000</v>
      </c>
      <c r="R52" s="192">
        <v>15000</v>
      </c>
      <c r="S52" s="192">
        <v>16000</v>
      </c>
      <c r="T52" s="192">
        <v>15000</v>
      </c>
      <c r="U52" s="192">
        <v>13000</v>
      </c>
      <c r="EW52" s="244"/>
      <c r="EX52" s="244"/>
      <c r="EY52" s="244"/>
      <c r="EZ52" s="244"/>
      <c r="FA52" s="244"/>
      <c r="FB52" s="244"/>
      <c r="FC52" s="244"/>
      <c r="FD52" s="244"/>
      <c r="FE52" s="244"/>
      <c r="FF52" s="244"/>
      <c r="FG52" s="244"/>
      <c r="FH52" s="244"/>
      <c r="FI52" s="244"/>
      <c r="FJ52" s="244"/>
      <c r="FK52" s="244"/>
      <c r="FL52" s="244"/>
      <c r="FM52" s="244"/>
      <c r="FN52" s="244"/>
      <c r="FO52" s="244"/>
      <c r="FP52" s="244"/>
      <c r="FQ52" s="244"/>
      <c r="FR52" s="244"/>
      <c r="FS52" s="244"/>
      <c r="FT52" s="244"/>
      <c r="FU52" s="244"/>
      <c r="FV52" s="244"/>
      <c r="FW52" s="244"/>
      <c r="FX52" s="244"/>
      <c r="FY52" s="244"/>
      <c r="FZ52" s="244"/>
      <c r="GA52" s="244"/>
      <c r="GB52" s="244"/>
      <c r="GC52" s="244"/>
      <c r="GD52" s="244"/>
      <c r="GE52" s="244"/>
      <c r="GF52" s="244"/>
      <c r="GG52" s="244"/>
      <c r="GH52" s="244"/>
      <c r="GI52" s="244"/>
      <c r="GJ52" s="244"/>
      <c r="GK52" s="244"/>
      <c r="GL52" s="244"/>
      <c r="GM52" s="244"/>
      <c r="GN52" s="244"/>
      <c r="GO52" s="244"/>
      <c r="GP52" s="244"/>
      <c r="GQ52" s="244"/>
      <c r="GR52" s="244"/>
      <c r="GS52" s="244"/>
      <c r="GT52" s="244"/>
      <c r="GU52" s="244"/>
      <c r="GV52" s="244"/>
      <c r="GW52" s="244"/>
      <c r="GX52" s="244"/>
      <c r="GY52" s="244"/>
      <c r="GZ52" s="244"/>
      <c r="HA52" s="244"/>
      <c r="HB52" s="244"/>
      <c r="HC52" s="244"/>
      <c r="HD52" s="244"/>
      <c r="HE52" s="244"/>
      <c r="HF52" s="244"/>
      <c r="HG52" s="244"/>
      <c r="HH52" s="244"/>
      <c r="HI52" s="244"/>
      <c r="HJ52" s="244"/>
      <c r="HK52" s="244"/>
      <c r="HL52" s="244"/>
      <c r="HM52" s="244"/>
      <c r="HN52" s="244"/>
      <c r="HO52" s="244"/>
      <c r="HP52" s="244"/>
      <c r="HQ52" s="244"/>
      <c r="HR52" s="244"/>
      <c r="HS52" s="244"/>
      <c r="HT52" s="244"/>
      <c r="HU52" s="244"/>
      <c r="HV52" s="244"/>
      <c r="HW52" s="244"/>
      <c r="HX52" s="244"/>
      <c r="HY52" s="244"/>
      <c r="HZ52" s="244"/>
      <c r="IA52" s="244"/>
      <c r="IB52" s="244"/>
      <c r="IC52" s="244"/>
      <c r="ID52" s="244"/>
      <c r="IE52" s="244"/>
      <c r="IF52" s="244"/>
      <c r="IG52" s="244"/>
      <c r="IH52" s="244"/>
      <c r="II52" s="244"/>
      <c r="IJ52" s="244"/>
      <c r="IK52" s="244"/>
      <c r="IL52" s="244"/>
      <c r="IM52" s="244"/>
      <c r="IN52" s="244"/>
      <c r="IO52" s="244"/>
      <c r="IP52" s="244"/>
      <c r="IQ52" s="244"/>
      <c r="IR52" s="244"/>
      <c r="IS52" s="244"/>
      <c r="IT52" s="244"/>
      <c r="IU52" s="244"/>
      <c r="IV52" s="244"/>
    </row>
    <row r="53" spans="1:256" s="192" customFormat="1" ht="12" x14ac:dyDescent="0.2">
      <c r="A53" s="244">
        <v>3200</v>
      </c>
      <c r="B53" s="195">
        <f t="shared" si="13"/>
        <v>3200</v>
      </c>
      <c r="C53" s="211" t="str">
        <f>'Quick Input'!I59</f>
        <v>Kosten Kernkästen</v>
      </c>
      <c r="D53" s="192">
        <v>4500</v>
      </c>
      <c r="E53" s="192">
        <v>0</v>
      </c>
      <c r="F53" s="192">
        <v>2000</v>
      </c>
      <c r="G53" s="192">
        <v>2000</v>
      </c>
      <c r="H53" s="192">
        <v>3200</v>
      </c>
      <c r="I53" s="192">
        <v>3200</v>
      </c>
      <c r="J53" s="192">
        <v>2000</v>
      </c>
      <c r="K53" s="192">
        <v>2000</v>
      </c>
      <c r="L53" s="192">
        <v>2000</v>
      </c>
      <c r="M53" s="192">
        <v>2000</v>
      </c>
      <c r="N53" s="192">
        <v>2000</v>
      </c>
      <c r="O53" s="192">
        <v>2000</v>
      </c>
      <c r="P53" s="192">
        <v>2000</v>
      </c>
      <c r="Q53" s="192">
        <v>2000</v>
      </c>
      <c r="R53" s="192">
        <v>2000</v>
      </c>
      <c r="S53" s="192">
        <v>0</v>
      </c>
      <c r="T53" s="192">
        <v>2000</v>
      </c>
      <c r="U53" s="192">
        <v>3200</v>
      </c>
      <c r="EW53" s="244"/>
      <c r="EX53" s="244"/>
      <c r="EY53" s="244"/>
      <c r="EZ53" s="244"/>
      <c r="FA53" s="244"/>
      <c r="FB53" s="244"/>
      <c r="FC53" s="244"/>
      <c r="FD53" s="244"/>
      <c r="FE53" s="244"/>
      <c r="FF53" s="244"/>
      <c r="FG53" s="244"/>
      <c r="FH53" s="244"/>
      <c r="FI53" s="244"/>
      <c r="FJ53" s="244"/>
      <c r="FK53" s="244"/>
      <c r="FL53" s="244"/>
      <c r="FM53" s="244"/>
      <c r="FN53" s="244"/>
      <c r="FO53" s="244"/>
      <c r="FP53" s="244"/>
      <c r="FQ53" s="244"/>
      <c r="FR53" s="244"/>
      <c r="FS53" s="244"/>
      <c r="FT53" s="244"/>
      <c r="FU53" s="244"/>
      <c r="FV53" s="244"/>
      <c r="FW53" s="244"/>
      <c r="FX53" s="244"/>
      <c r="FY53" s="244"/>
      <c r="FZ53" s="244"/>
      <c r="GA53" s="244"/>
      <c r="GB53" s="244"/>
      <c r="GC53" s="244"/>
      <c r="GD53" s="244"/>
      <c r="GE53" s="244"/>
      <c r="GF53" s="244"/>
      <c r="GG53" s="244"/>
      <c r="GH53" s="244"/>
      <c r="GI53" s="244"/>
      <c r="GJ53" s="244"/>
      <c r="GK53" s="244"/>
      <c r="GL53" s="244"/>
      <c r="GM53" s="244"/>
      <c r="GN53" s="244"/>
      <c r="GO53" s="244"/>
      <c r="GP53" s="244"/>
      <c r="GQ53" s="244"/>
      <c r="GR53" s="244"/>
      <c r="GS53" s="244"/>
      <c r="GT53" s="244"/>
      <c r="GU53" s="244"/>
      <c r="GV53" s="244"/>
      <c r="GW53" s="244"/>
      <c r="GX53" s="244"/>
      <c r="GY53" s="244"/>
      <c r="GZ53" s="244"/>
      <c r="HA53" s="244"/>
      <c r="HB53" s="244"/>
      <c r="HC53" s="244"/>
      <c r="HD53" s="244"/>
      <c r="HE53" s="244"/>
      <c r="HF53" s="244"/>
      <c r="HG53" s="244"/>
      <c r="HH53" s="244"/>
      <c r="HI53" s="244"/>
      <c r="HJ53" s="244"/>
      <c r="HK53" s="244"/>
      <c r="HL53" s="244"/>
      <c r="HM53" s="244"/>
      <c r="HN53" s="244"/>
      <c r="HO53" s="244"/>
      <c r="HP53" s="244"/>
      <c r="HQ53" s="244"/>
      <c r="HR53" s="244"/>
      <c r="HS53" s="244"/>
      <c r="HT53" s="244"/>
      <c r="HU53" s="244"/>
      <c r="HV53" s="244"/>
      <c r="HW53" s="244"/>
      <c r="HX53" s="244"/>
      <c r="HY53" s="244"/>
      <c r="HZ53" s="244"/>
      <c r="IA53" s="244"/>
      <c r="IB53" s="244"/>
      <c r="IC53" s="244"/>
      <c r="ID53" s="244"/>
      <c r="IE53" s="244"/>
      <c r="IF53" s="244"/>
      <c r="IG53" s="244"/>
      <c r="IH53" s="244"/>
      <c r="II53" s="244"/>
      <c r="IJ53" s="244"/>
      <c r="IK53" s="244"/>
      <c r="IL53" s="244"/>
      <c r="IM53" s="244"/>
      <c r="IN53" s="244"/>
      <c r="IO53" s="244"/>
      <c r="IP53" s="244"/>
      <c r="IQ53" s="244"/>
      <c r="IR53" s="244"/>
      <c r="IS53" s="244"/>
      <c r="IT53" s="244"/>
      <c r="IU53" s="244"/>
      <c r="IV53" s="244"/>
    </row>
    <row r="54" spans="1:256" s="214" customFormat="1" ht="13.5" customHeight="1" x14ac:dyDescent="0.2">
      <c r="A54" s="248">
        <v>7.0000000000000007E-2</v>
      </c>
      <c r="B54" s="451">
        <f t="shared" si="13"/>
        <v>7.0000000000000007E-2</v>
      </c>
      <c r="C54" s="449" t="str">
        <f>'Quick Input'!I60</f>
        <v>Schmelzverlust in %</v>
      </c>
      <c r="D54" s="214">
        <v>7.7000000000000013E-2</v>
      </c>
      <c r="E54" s="214">
        <v>7.7000000000000013E-2</v>
      </c>
      <c r="F54" s="214">
        <v>0.06</v>
      </c>
      <c r="G54" s="214">
        <v>0.06</v>
      </c>
      <c r="H54" s="214">
        <v>7.0000000000000007E-2</v>
      </c>
      <c r="I54" s="214">
        <v>7.0000000000000007E-2</v>
      </c>
      <c r="J54" s="214">
        <v>5.5500000000000001E-2</v>
      </c>
      <c r="K54" s="214">
        <v>5.5500000000000001E-2</v>
      </c>
      <c r="L54" s="214">
        <v>5.5500000000000001E-2</v>
      </c>
      <c r="M54" s="214">
        <v>5.5500000000000001E-2</v>
      </c>
      <c r="N54" s="214">
        <v>5.0500000000000003E-2</v>
      </c>
      <c r="O54" s="214">
        <v>5.0500000000000003E-2</v>
      </c>
      <c r="P54" s="214">
        <v>5.5500000000000001E-2</v>
      </c>
      <c r="Q54" s="214">
        <v>5.5500000000000001E-2</v>
      </c>
      <c r="R54" s="214">
        <v>5.2500000000000005E-2</v>
      </c>
      <c r="S54" s="214">
        <v>7.7000000000000013E-2</v>
      </c>
      <c r="T54" s="214">
        <v>0.06</v>
      </c>
      <c r="U54" s="214">
        <v>7.0000000000000007E-2</v>
      </c>
      <c r="EW54" s="248"/>
      <c r="EX54" s="248"/>
      <c r="EY54" s="248"/>
      <c r="EZ54" s="248"/>
      <c r="FA54" s="248"/>
      <c r="FB54" s="248"/>
      <c r="FC54" s="248"/>
      <c r="FD54" s="248"/>
      <c r="FE54" s="248"/>
      <c r="FF54" s="248"/>
      <c r="FG54" s="248"/>
      <c r="FH54" s="248"/>
      <c r="FI54" s="248"/>
      <c r="FJ54" s="248"/>
      <c r="FK54" s="248"/>
      <c r="FL54" s="248"/>
      <c r="FM54" s="248"/>
      <c r="FN54" s="248"/>
      <c r="FO54" s="248"/>
      <c r="FP54" s="248"/>
      <c r="FQ54" s="248"/>
      <c r="FR54" s="248"/>
      <c r="FS54" s="248"/>
      <c r="FT54" s="248"/>
      <c r="FU54" s="248"/>
      <c r="FV54" s="248"/>
      <c r="FW54" s="248"/>
      <c r="FX54" s="248"/>
      <c r="FY54" s="248"/>
      <c r="FZ54" s="248"/>
      <c r="GA54" s="248"/>
      <c r="GB54" s="248"/>
      <c r="GC54" s="248"/>
      <c r="GD54" s="248"/>
      <c r="GE54" s="248"/>
      <c r="GF54" s="248"/>
      <c r="GG54" s="248"/>
      <c r="GH54" s="248"/>
      <c r="GI54" s="248"/>
      <c r="GJ54" s="248"/>
      <c r="GK54" s="248"/>
      <c r="GL54" s="248"/>
      <c r="GM54" s="248"/>
      <c r="GN54" s="248"/>
      <c r="GO54" s="248"/>
      <c r="GP54" s="248"/>
      <c r="GQ54" s="248"/>
      <c r="GR54" s="248"/>
      <c r="GS54" s="248"/>
      <c r="GT54" s="248"/>
      <c r="GU54" s="248"/>
      <c r="GV54" s="248"/>
      <c r="GW54" s="248"/>
      <c r="GX54" s="248"/>
      <c r="GY54" s="248"/>
      <c r="GZ54" s="248"/>
      <c r="HA54" s="248"/>
      <c r="HB54" s="248"/>
      <c r="HC54" s="248"/>
      <c r="HD54" s="248"/>
      <c r="HE54" s="248"/>
      <c r="HF54" s="248"/>
      <c r="HG54" s="248"/>
      <c r="HH54" s="248"/>
      <c r="HI54" s="248"/>
      <c r="HJ54" s="248"/>
      <c r="HK54" s="248"/>
      <c r="HL54" s="248"/>
      <c r="HM54" s="248"/>
      <c r="HN54" s="248"/>
      <c r="HO54" s="248"/>
      <c r="HP54" s="248"/>
      <c r="HQ54" s="248"/>
      <c r="HR54" s="248"/>
      <c r="HS54" s="248"/>
      <c r="HT54" s="248"/>
      <c r="HU54" s="248"/>
      <c r="HV54" s="248"/>
      <c r="HW54" s="248"/>
      <c r="HX54" s="248"/>
      <c r="HY54" s="248"/>
      <c r="HZ54" s="248"/>
      <c r="IA54" s="248"/>
      <c r="IB54" s="248"/>
      <c r="IC54" s="248"/>
      <c r="ID54" s="248"/>
      <c r="IE54" s="248"/>
      <c r="IF54" s="248"/>
      <c r="IG54" s="248"/>
      <c r="IH54" s="248"/>
      <c r="II54" s="248"/>
      <c r="IJ54" s="248"/>
      <c r="IK54" s="248"/>
      <c r="IL54" s="248"/>
      <c r="IM54" s="248"/>
      <c r="IN54" s="248"/>
      <c r="IO54" s="248"/>
      <c r="IP54" s="248"/>
      <c r="IQ54" s="248"/>
      <c r="IR54" s="248"/>
      <c r="IS54" s="248"/>
      <c r="IT54" s="248"/>
      <c r="IU54" s="248"/>
      <c r="IV54" s="248"/>
    </row>
    <row r="55" spans="1:256" s="214" customFormat="1" ht="12" x14ac:dyDescent="0.2">
      <c r="A55" s="248">
        <v>7.0000000000000007E-2</v>
      </c>
      <c r="B55" s="451">
        <f t="shared" si="13"/>
        <v>7.0000000000000007E-2</v>
      </c>
      <c r="C55" s="449" t="str">
        <f>'Quick Input'!I61</f>
        <v>Materialgemeinkostensatz</v>
      </c>
      <c r="D55" s="214">
        <v>7.0000000000000007E-2</v>
      </c>
      <c r="E55" s="214">
        <v>7.0000000000000007E-2</v>
      </c>
      <c r="F55" s="214">
        <v>0.08</v>
      </c>
      <c r="G55" s="214">
        <v>0.08</v>
      </c>
      <c r="H55" s="214">
        <v>7.0000000000000007E-2</v>
      </c>
      <c r="I55" s="214">
        <v>7.0000000000000007E-2</v>
      </c>
      <c r="J55" s="214">
        <v>7.0000000000000007E-2</v>
      </c>
      <c r="K55" s="214">
        <v>7.0000000000000007E-2</v>
      </c>
      <c r="L55" s="214">
        <v>7.0000000000000007E-2</v>
      </c>
      <c r="M55" s="214">
        <v>7.0000000000000007E-2</v>
      </c>
      <c r="N55" s="214">
        <v>7.0000000000000007E-2</v>
      </c>
      <c r="O55" s="214">
        <v>7.0000000000000007E-2</v>
      </c>
      <c r="P55" s="214">
        <v>7.0000000000000007E-2</v>
      </c>
      <c r="Q55" s="214">
        <v>7.0000000000000007E-2</v>
      </c>
      <c r="R55" s="214">
        <v>7.0000000000000007E-2</v>
      </c>
      <c r="S55" s="214">
        <v>7.0000000000000007E-2</v>
      </c>
      <c r="T55" s="214">
        <v>0.08</v>
      </c>
      <c r="U55" s="214">
        <v>7.0000000000000007E-2</v>
      </c>
      <c r="EW55" s="248"/>
      <c r="EX55" s="248"/>
      <c r="EY55" s="248"/>
      <c r="EZ55" s="248"/>
      <c r="FA55" s="248"/>
      <c r="FB55" s="248"/>
      <c r="FC55" s="248"/>
      <c r="FD55" s="248"/>
      <c r="FE55" s="248"/>
      <c r="FF55" s="248"/>
      <c r="FG55" s="248"/>
      <c r="FH55" s="248"/>
      <c r="FI55" s="248"/>
      <c r="FJ55" s="248"/>
      <c r="FK55" s="248"/>
      <c r="FL55" s="248"/>
      <c r="FM55" s="248"/>
      <c r="FN55" s="248"/>
      <c r="FO55" s="248"/>
      <c r="FP55" s="248"/>
      <c r="FQ55" s="248"/>
      <c r="FR55" s="248"/>
      <c r="FS55" s="248"/>
      <c r="FT55" s="248"/>
      <c r="FU55" s="248"/>
      <c r="FV55" s="248"/>
      <c r="FW55" s="248"/>
      <c r="FX55" s="248"/>
      <c r="FY55" s="248"/>
      <c r="FZ55" s="248"/>
      <c r="GA55" s="248"/>
      <c r="GB55" s="248"/>
      <c r="GC55" s="248"/>
      <c r="GD55" s="248"/>
      <c r="GE55" s="248"/>
      <c r="GF55" s="248"/>
      <c r="GG55" s="248"/>
      <c r="GH55" s="248"/>
      <c r="GI55" s="248"/>
      <c r="GJ55" s="248"/>
      <c r="GK55" s="248"/>
      <c r="GL55" s="248"/>
      <c r="GM55" s="248"/>
      <c r="GN55" s="248"/>
      <c r="GO55" s="248"/>
      <c r="GP55" s="248"/>
      <c r="GQ55" s="248"/>
      <c r="GR55" s="248"/>
      <c r="GS55" s="248"/>
      <c r="GT55" s="248"/>
      <c r="GU55" s="248"/>
      <c r="GV55" s="248"/>
      <c r="GW55" s="248"/>
      <c r="GX55" s="248"/>
      <c r="GY55" s="248"/>
      <c r="GZ55" s="248"/>
      <c r="HA55" s="248"/>
      <c r="HB55" s="248"/>
      <c r="HC55" s="248"/>
      <c r="HD55" s="248"/>
      <c r="HE55" s="248"/>
      <c r="HF55" s="248"/>
      <c r="HG55" s="248"/>
      <c r="HH55" s="248"/>
      <c r="HI55" s="248"/>
      <c r="HJ55" s="248"/>
      <c r="HK55" s="248"/>
      <c r="HL55" s="248"/>
      <c r="HM55" s="248"/>
      <c r="HN55" s="248"/>
      <c r="HO55" s="248"/>
      <c r="HP55" s="248"/>
      <c r="HQ55" s="248"/>
      <c r="HR55" s="248"/>
      <c r="HS55" s="248"/>
      <c r="HT55" s="248"/>
      <c r="HU55" s="248"/>
      <c r="HV55" s="248"/>
      <c r="HW55" s="248"/>
      <c r="HX55" s="248"/>
      <c r="HY55" s="248"/>
      <c r="HZ55" s="248"/>
      <c r="IA55" s="248"/>
      <c r="IB55" s="248"/>
      <c r="IC55" s="248"/>
      <c r="ID55" s="248"/>
      <c r="IE55" s="248"/>
      <c r="IF55" s="248"/>
      <c r="IG55" s="248"/>
      <c r="IH55" s="248"/>
      <c r="II55" s="248"/>
      <c r="IJ55" s="248"/>
      <c r="IK55" s="248"/>
      <c r="IL55" s="248"/>
      <c r="IM55" s="248"/>
      <c r="IN55" s="248"/>
      <c r="IO55" s="248"/>
      <c r="IP55" s="248"/>
      <c r="IQ55" s="248"/>
      <c r="IR55" s="248"/>
      <c r="IS55" s="248"/>
      <c r="IT55" s="248"/>
      <c r="IU55" s="248"/>
      <c r="IV55" s="248"/>
    </row>
    <row r="56" spans="1:256" s="214" customFormat="1" ht="12" x14ac:dyDescent="0.2">
      <c r="A56" s="248" t="s">
        <v>761</v>
      </c>
      <c r="B56" s="451" t="str">
        <f>VLOOKUP(VLOOKUP(HLOOKUP($B$2,DB_Artikel,ROW()-1,FALSE),Auswahlfelder!$D$71:$E$73,2,FALSE),Auswahlfelder!$A$71:$B$73,2,FALSE)</f>
        <v>Heizöl</v>
      </c>
      <c r="C56" s="449" t="str">
        <f>'Quick Input'!I62</f>
        <v>Energieart</v>
      </c>
      <c r="D56" s="214" t="s">
        <v>109</v>
      </c>
      <c r="E56" s="214" t="s">
        <v>109</v>
      </c>
      <c r="F56" s="214" t="s">
        <v>109</v>
      </c>
      <c r="G56" s="214" t="s">
        <v>109</v>
      </c>
      <c r="H56" s="214" t="s">
        <v>109</v>
      </c>
      <c r="I56" s="214" t="s">
        <v>109</v>
      </c>
      <c r="J56" s="214" t="s">
        <v>109</v>
      </c>
      <c r="K56" s="214" t="s">
        <v>109</v>
      </c>
      <c r="L56" s="214" t="s">
        <v>109</v>
      </c>
      <c r="M56" s="214" t="s">
        <v>109</v>
      </c>
      <c r="N56" s="214" t="s">
        <v>109</v>
      </c>
      <c r="O56" s="214" t="s">
        <v>109</v>
      </c>
      <c r="P56" s="214" t="s">
        <v>109</v>
      </c>
      <c r="Q56" s="214" t="s">
        <v>109</v>
      </c>
      <c r="R56" s="214" t="s">
        <v>106</v>
      </c>
      <c r="S56" s="214" t="s">
        <v>109</v>
      </c>
      <c r="T56" s="214" t="s">
        <v>109</v>
      </c>
      <c r="U56" s="214" t="s">
        <v>761</v>
      </c>
      <c r="EW56" s="248"/>
      <c r="EX56" s="248"/>
      <c r="EY56" s="248"/>
      <c r="EZ56" s="248"/>
      <c r="FA56" s="248"/>
      <c r="FB56" s="248"/>
      <c r="FC56" s="248"/>
      <c r="FD56" s="248"/>
      <c r="FE56" s="248"/>
      <c r="FF56" s="248"/>
      <c r="FG56" s="248"/>
      <c r="FH56" s="248"/>
      <c r="FI56" s="248"/>
      <c r="FJ56" s="248"/>
      <c r="FK56" s="248"/>
      <c r="FL56" s="248"/>
      <c r="FM56" s="248"/>
      <c r="FN56" s="248"/>
      <c r="FO56" s="248"/>
      <c r="FP56" s="248"/>
      <c r="FQ56" s="248"/>
      <c r="FR56" s="248"/>
      <c r="FS56" s="248"/>
      <c r="FT56" s="248"/>
      <c r="FU56" s="248"/>
      <c r="FV56" s="248"/>
      <c r="FW56" s="248"/>
      <c r="FX56" s="248"/>
      <c r="FY56" s="248"/>
      <c r="FZ56" s="248"/>
      <c r="GA56" s="248"/>
      <c r="GB56" s="248"/>
      <c r="GC56" s="248"/>
      <c r="GD56" s="248"/>
      <c r="GE56" s="248"/>
      <c r="GF56" s="248"/>
      <c r="GG56" s="248"/>
      <c r="GH56" s="248"/>
      <c r="GI56" s="248"/>
      <c r="GJ56" s="248"/>
      <c r="GK56" s="248"/>
      <c r="GL56" s="248"/>
      <c r="GM56" s="248"/>
      <c r="GN56" s="248"/>
      <c r="GO56" s="248"/>
      <c r="GP56" s="248"/>
      <c r="GQ56" s="248"/>
      <c r="GR56" s="248"/>
      <c r="GS56" s="248"/>
      <c r="GT56" s="248"/>
      <c r="GU56" s="248"/>
      <c r="GV56" s="248"/>
      <c r="GW56" s="248"/>
      <c r="GX56" s="248"/>
      <c r="GY56" s="248"/>
      <c r="GZ56" s="248"/>
      <c r="HA56" s="248"/>
      <c r="HB56" s="248"/>
      <c r="HC56" s="248"/>
      <c r="HD56" s="248"/>
      <c r="HE56" s="248"/>
      <c r="HF56" s="248"/>
      <c r="HG56" s="248"/>
      <c r="HH56" s="248"/>
      <c r="HI56" s="248"/>
      <c r="HJ56" s="248"/>
      <c r="HK56" s="248"/>
      <c r="HL56" s="248"/>
      <c r="HM56" s="248"/>
      <c r="HN56" s="248"/>
      <c r="HO56" s="248"/>
      <c r="HP56" s="248"/>
      <c r="HQ56" s="248"/>
      <c r="HR56" s="248"/>
      <c r="HS56" s="248"/>
      <c r="HT56" s="248"/>
      <c r="HU56" s="248"/>
      <c r="HV56" s="248"/>
      <c r="HW56" s="248"/>
      <c r="HX56" s="248"/>
      <c r="HY56" s="248"/>
      <c r="HZ56" s="248"/>
      <c r="IA56" s="248"/>
      <c r="IB56" s="248"/>
      <c r="IC56" s="248"/>
      <c r="ID56" s="248"/>
      <c r="IE56" s="248"/>
      <c r="IF56" s="248"/>
      <c r="IG56" s="248"/>
      <c r="IH56" s="248"/>
      <c r="II56" s="248"/>
      <c r="IJ56" s="248"/>
      <c r="IK56" s="248"/>
      <c r="IL56" s="248"/>
      <c r="IM56" s="248"/>
      <c r="IN56" s="248"/>
      <c r="IO56" s="248"/>
      <c r="IP56" s="248"/>
      <c r="IQ56" s="248"/>
      <c r="IR56" s="248"/>
      <c r="IS56" s="248"/>
      <c r="IT56" s="248"/>
      <c r="IU56" s="248"/>
      <c r="IV56" s="248"/>
    </row>
    <row r="57" spans="1:256" s="244" customFormat="1" ht="12" x14ac:dyDescent="0.2">
      <c r="A57" s="244">
        <v>1400</v>
      </c>
      <c r="B57" s="244">
        <f>HLOOKUP($B$2,DB_Artikel,ROW()-1,FALSE)</f>
        <v>1400</v>
      </c>
      <c r="C57" s="449" t="str">
        <f>'Quick Input'!I63</f>
        <v>Ofenleistung</v>
      </c>
      <c r="D57" s="244">
        <v>3000</v>
      </c>
      <c r="R57" s="244">
        <v>2700</v>
      </c>
      <c r="U57" s="244">
        <v>1400</v>
      </c>
    </row>
    <row r="58" spans="1:256" s="214" customFormat="1" ht="12" x14ac:dyDescent="0.2">
      <c r="A58" s="244">
        <v>1</v>
      </c>
      <c r="B58" s="195">
        <f>HLOOKUP($B$2,DB_Artikel,ROW()-1,FALSE)</f>
        <v>1</v>
      </c>
      <c r="C58" s="449" t="str">
        <f>'Quick Input'!I64</f>
        <v>Modelle/Platte</v>
      </c>
      <c r="D58" s="192">
        <v>1</v>
      </c>
      <c r="E58" s="214">
        <v>1</v>
      </c>
      <c r="F58" s="214">
        <v>1</v>
      </c>
      <c r="G58" s="214">
        <v>1</v>
      </c>
      <c r="H58" s="214">
        <v>1</v>
      </c>
      <c r="I58" s="214">
        <v>1</v>
      </c>
      <c r="J58" s="214">
        <v>1</v>
      </c>
      <c r="K58" s="214">
        <v>1</v>
      </c>
      <c r="L58" s="214">
        <v>1</v>
      </c>
      <c r="M58" s="214">
        <v>1</v>
      </c>
      <c r="N58" s="214">
        <v>1</v>
      </c>
      <c r="O58" s="214">
        <v>1</v>
      </c>
      <c r="P58" s="214">
        <v>1</v>
      </c>
      <c r="Q58" s="214">
        <v>1</v>
      </c>
      <c r="R58" s="214">
        <v>1</v>
      </c>
      <c r="S58" s="214">
        <v>1</v>
      </c>
      <c r="T58" s="214">
        <v>1</v>
      </c>
      <c r="U58" s="214">
        <v>1</v>
      </c>
      <c r="EW58" s="248"/>
      <c r="EX58" s="248"/>
      <c r="EY58" s="248"/>
      <c r="EZ58" s="248"/>
      <c r="FA58" s="248"/>
      <c r="FB58" s="248"/>
      <c r="FC58" s="248"/>
      <c r="FD58" s="248"/>
      <c r="FE58" s="248"/>
      <c r="FF58" s="248"/>
      <c r="FG58" s="248"/>
      <c r="FH58" s="248"/>
      <c r="FI58" s="248"/>
      <c r="FJ58" s="248"/>
      <c r="FK58" s="248"/>
      <c r="FL58" s="248"/>
      <c r="FM58" s="248"/>
      <c r="FN58" s="248"/>
      <c r="FO58" s="248"/>
      <c r="FP58" s="248"/>
      <c r="FQ58" s="248"/>
      <c r="FR58" s="248"/>
      <c r="FS58" s="248"/>
      <c r="FT58" s="248"/>
      <c r="FU58" s="248"/>
      <c r="FV58" s="248"/>
      <c r="FW58" s="248"/>
      <c r="FX58" s="248"/>
      <c r="FY58" s="248"/>
      <c r="FZ58" s="248"/>
      <c r="GA58" s="248"/>
      <c r="GB58" s="248"/>
      <c r="GC58" s="248"/>
      <c r="GD58" s="248"/>
      <c r="GE58" s="248"/>
      <c r="GF58" s="248"/>
      <c r="GG58" s="248"/>
      <c r="GH58" s="248"/>
      <c r="GI58" s="248"/>
      <c r="GJ58" s="248"/>
      <c r="GK58" s="248"/>
      <c r="GL58" s="248"/>
      <c r="GM58" s="248"/>
      <c r="GN58" s="248"/>
      <c r="GO58" s="248"/>
      <c r="GP58" s="248"/>
      <c r="GQ58" s="248"/>
      <c r="GR58" s="248"/>
      <c r="GS58" s="248"/>
      <c r="GT58" s="248"/>
      <c r="GU58" s="248"/>
      <c r="GV58" s="248"/>
      <c r="GW58" s="248"/>
      <c r="GX58" s="248"/>
      <c r="GY58" s="248"/>
      <c r="GZ58" s="248"/>
      <c r="HA58" s="248"/>
      <c r="HB58" s="248"/>
      <c r="HC58" s="248"/>
      <c r="HD58" s="248"/>
      <c r="HE58" s="248"/>
      <c r="HF58" s="248"/>
      <c r="HG58" s="248"/>
      <c r="HH58" s="248"/>
      <c r="HI58" s="248"/>
      <c r="HJ58" s="248"/>
      <c r="HK58" s="248"/>
      <c r="HL58" s="248"/>
      <c r="HM58" s="248"/>
      <c r="HN58" s="248"/>
      <c r="HO58" s="248"/>
      <c r="HP58" s="248"/>
      <c r="HQ58" s="248"/>
      <c r="HR58" s="248"/>
      <c r="HS58" s="248"/>
      <c r="HT58" s="248"/>
      <c r="HU58" s="248"/>
      <c r="HV58" s="248"/>
      <c r="HW58" s="248"/>
      <c r="HX58" s="248"/>
      <c r="HY58" s="248"/>
      <c r="HZ58" s="248"/>
      <c r="IA58" s="248"/>
      <c r="IB58" s="248"/>
      <c r="IC58" s="248"/>
      <c r="ID58" s="248"/>
      <c r="IE58" s="248"/>
      <c r="IF58" s="248"/>
      <c r="IG58" s="248"/>
      <c r="IH58" s="248"/>
      <c r="II58" s="248"/>
      <c r="IJ58" s="248"/>
      <c r="IK58" s="248"/>
      <c r="IL58" s="248"/>
      <c r="IM58" s="248"/>
      <c r="IN58" s="248"/>
      <c r="IO58" s="248"/>
      <c r="IP58" s="248"/>
      <c r="IQ58" s="248"/>
      <c r="IR58" s="248"/>
      <c r="IS58" s="248"/>
      <c r="IT58" s="248"/>
      <c r="IU58" s="248"/>
      <c r="IV58" s="248"/>
    </row>
    <row r="59" spans="1:256" s="192" customFormat="1" ht="12" x14ac:dyDescent="0.2">
      <c r="A59" s="244">
        <v>1</v>
      </c>
      <c r="B59" s="195">
        <f>HLOOKUP($B$2,DB_Artikel,ROW()-1,FALSE)</f>
        <v>1</v>
      </c>
      <c r="C59" s="449" t="str">
        <f>'Quick Input'!I65</f>
        <v>Maschine Nr.</v>
      </c>
      <c r="D59" s="192">
        <v>11</v>
      </c>
      <c r="E59" s="192">
        <v>11</v>
      </c>
      <c r="F59" s="192">
        <v>11</v>
      </c>
      <c r="G59" s="192">
        <v>11</v>
      </c>
      <c r="H59" s="192">
        <v>1</v>
      </c>
      <c r="I59" s="192">
        <v>1</v>
      </c>
      <c r="J59" s="192">
        <v>9</v>
      </c>
      <c r="K59" s="192">
        <v>9</v>
      </c>
      <c r="L59" s="192">
        <v>9</v>
      </c>
      <c r="M59" s="192">
        <v>9</v>
      </c>
      <c r="N59" s="192">
        <v>7</v>
      </c>
      <c r="O59" s="192">
        <v>7</v>
      </c>
      <c r="P59" s="192">
        <v>9</v>
      </c>
      <c r="Q59" s="192">
        <v>9</v>
      </c>
      <c r="R59" s="192">
        <v>7</v>
      </c>
      <c r="S59" s="192">
        <v>11</v>
      </c>
      <c r="T59" s="192">
        <v>11</v>
      </c>
      <c r="U59" s="192">
        <v>1</v>
      </c>
      <c r="EW59" s="244"/>
      <c r="EX59" s="244"/>
      <c r="EY59" s="244"/>
      <c r="EZ59" s="244"/>
      <c r="FA59" s="244"/>
      <c r="FB59" s="244"/>
      <c r="FC59" s="244"/>
      <c r="FD59" s="244"/>
      <c r="FE59" s="244"/>
      <c r="FF59" s="244"/>
      <c r="FG59" s="244"/>
      <c r="FH59" s="244"/>
      <c r="FI59" s="244"/>
      <c r="FJ59" s="244"/>
      <c r="FK59" s="244"/>
      <c r="FL59" s="244"/>
      <c r="FM59" s="244"/>
      <c r="FN59" s="244"/>
      <c r="FO59" s="244"/>
      <c r="FP59" s="244"/>
      <c r="FQ59" s="244"/>
      <c r="FR59" s="244"/>
      <c r="FS59" s="244"/>
      <c r="FT59" s="244"/>
      <c r="FU59" s="244"/>
      <c r="FV59" s="244"/>
      <c r="FW59" s="244"/>
      <c r="FX59" s="244"/>
      <c r="FY59" s="244"/>
      <c r="FZ59" s="244"/>
      <c r="GA59" s="244"/>
      <c r="GB59" s="244"/>
      <c r="GC59" s="244"/>
      <c r="GD59" s="244"/>
      <c r="GE59" s="244"/>
      <c r="GF59" s="244"/>
      <c r="GG59" s="244"/>
      <c r="GH59" s="244"/>
      <c r="GI59" s="244"/>
      <c r="GJ59" s="244"/>
      <c r="GK59" s="244"/>
      <c r="GL59" s="244"/>
      <c r="GM59" s="244"/>
      <c r="GN59" s="244"/>
      <c r="GO59" s="244"/>
      <c r="GP59" s="244"/>
      <c r="GQ59" s="244"/>
      <c r="GR59" s="244"/>
      <c r="GS59" s="244"/>
      <c r="GT59" s="244"/>
      <c r="GU59" s="244"/>
      <c r="GV59" s="244"/>
      <c r="GW59" s="244"/>
      <c r="GX59" s="244"/>
      <c r="GY59" s="244"/>
      <c r="GZ59" s="244"/>
      <c r="HA59" s="244"/>
      <c r="HB59" s="244"/>
      <c r="HC59" s="244"/>
      <c r="HD59" s="244"/>
      <c r="HE59" s="244"/>
      <c r="HF59" s="244"/>
      <c r="HG59" s="244"/>
      <c r="HH59" s="244"/>
      <c r="HI59" s="244"/>
      <c r="HJ59" s="244"/>
      <c r="HK59" s="244"/>
      <c r="HL59" s="244"/>
      <c r="HM59" s="244"/>
      <c r="HN59" s="244"/>
      <c r="HO59" s="244"/>
      <c r="HP59" s="244"/>
      <c r="HQ59" s="244"/>
      <c r="HR59" s="244"/>
      <c r="HS59" s="244"/>
      <c r="HT59" s="244"/>
      <c r="HU59" s="244"/>
      <c r="HV59" s="244"/>
      <c r="HW59" s="244"/>
      <c r="HX59" s="244"/>
      <c r="HY59" s="244"/>
      <c r="HZ59" s="244"/>
      <c r="IA59" s="244"/>
      <c r="IB59" s="244"/>
      <c r="IC59" s="244"/>
      <c r="ID59" s="244"/>
      <c r="IE59" s="244"/>
      <c r="IF59" s="244"/>
      <c r="IG59" s="244"/>
      <c r="IH59" s="244"/>
      <c r="II59" s="244"/>
      <c r="IJ59" s="244"/>
      <c r="IK59" s="244"/>
      <c r="IL59" s="244"/>
      <c r="IM59" s="244"/>
      <c r="IN59" s="244"/>
      <c r="IO59" s="244"/>
      <c r="IP59" s="244"/>
      <c r="IQ59" s="244"/>
      <c r="IR59" s="244"/>
      <c r="IS59" s="244"/>
      <c r="IT59" s="244"/>
      <c r="IU59" s="244"/>
      <c r="IV59" s="244"/>
    </row>
    <row r="60" spans="1:256" s="214" customFormat="1" ht="12" x14ac:dyDescent="0.2">
      <c r="A60" s="247">
        <v>0.1</v>
      </c>
      <c r="B60" s="213">
        <f>VLOOKUP(VLOOKUP(HLOOKUP($B$2,DB_Artikel,ROW()-1,FALSE),Auswahlfelder!$D$65:$E$68,2,FALSE),Auswahlfelder!$A$65:$B$68,2,FALSE)</f>
        <v>0.1</v>
      </c>
      <c r="C60" s="719" t="str">
        <f>'Quick Input'!I66</f>
        <v>Anteil Kühleisen Volumen</v>
      </c>
      <c r="D60" s="720" t="s">
        <v>261</v>
      </c>
      <c r="E60" s="214" t="s">
        <v>261</v>
      </c>
      <c r="F60" s="214" t="s">
        <v>261</v>
      </c>
      <c r="G60" s="214" t="s">
        <v>261</v>
      </c>
      <c r="H60" s="214">
        <v>0.1</v>
      </c>
      <c r="I60" s="214">
        <v>0.1</v>
      </c>
      <c r="J60" s="214" t="s">
        <v>261</v>
      </c>
      <c r="K60" s="214" t="s">
        <v>261</v>
      </c>
      <c r="L60" s="214" t="s">
        <v>261</v>
      </c>
      <c r="M60" s="214" t="s">
        <v>261</v>
      </c>
      <c r="N60" s="214" t="s">
        <v>261</v>
      </c>
      <c r="O60" s="214" t="s">
        <v>261</v>
      </c>
      <c r="P60" s="214" t="s">
        <v>261</v>
      </c>
      <c r="Q60" s="214" t="s">
        <v>261</v>
      </c>
      <c r="R60" s="214" t="s">
        <v>261</v>
      </c>
      <c r="S60" s="214" t="s">
        <v>261</v>
      </c>
      <c r="T60" s="214" t="s">
        <v>261</v>
      </c>
      <c r="U60" s="214">
        <v>0.1</v>
      </c>
      <c r="EW60" s="247"/>
      <c r="EX60" s="247"/>
      <c r="EY60" s="247"/>
      <c r="EZ60" s="247"/>
      <c r="FA60" s="247"/>
      <c r="FB60" s="247"/>
      <c r="FC60" s="247"/>
      <c r="FD60" s="247"/>
      <c r="FE60" s="247"/>
      <c r="FF60" s="247"/>
      <c r="FG60" s="247"/>
      <c r="FH60" s="247"/>
      <c r="FI60" s="247"/>
      <c r="FJ60" s="247"/>
      <c r="FK60" s="247"/>
      <c r="FL60" s="247"/>
      <c r="FM60" s="247"/>
      <c r="FN60" s="247"/>
      <c r="FO60" s="247"/>
      <c r="FP60" s="247"/>
      <c r="FQ60" s="247"/>
      <c r="FR60" s="247"/>
      <c r="FS60" s="247"/>
      <c r="FT60" s="247"/>
      <c r="FU60" s="247"/>
      <c r="FV60" s="247"/>
      <c r="FW60" s="247"/>
      <c r="FX60" s="247"/>
      <c r="FY60" s="247"/>
      <c r="FZ60" s="247"/>
      <c r="GA60" s="247"/>
      <c r="GB60" s="247"/>
      <c r="GC60" s="247"/>
      <c r="GD60" s="247"/>
      <c r="GE60" s="247"/>
      <c r="GF60" s="247"/>
      <c r="GG60" s="247"/>
      <c r="GH60" s="247"/>
      <c r="GI60" s="247"/>
      <c r="GJ60" s="247"/>
      <c r="GK60" s="247"/>
      <c r="GL60" s="247"/>
      <c r="GM60" s="247"/>
      <c r="GN60" s="247"/>
      <c r="GO60" s="247"/>
      <c r="GP60" s="247"/>
      <c r="GQ60" s="247"/>
      <c r="GR60" s="247"/>
      <c r="GS60" s="247"/>
      <c r="GT60" s="247"/>
      <c r="GU60" s="247"/>
      <c r="GV60" s="247"/>
      <c r="GW60" s="247"/>
      <c r="GX60" s="247"/>
      <c r="GY60" s="247"/>
      <c r="GZ60" s="247"/>
      <c r="HA60" s="247"/>
      <c r="HB60" s="247"/>
      <c r="HC60" s="247"/>
      <c r="HD60" s="247"/>
      <c r="HE60" s="247"/>
      <c r="HF60" s="247"/>
      <c r="HG60" s="247"/>
      <c r="HH60" s="247"/>
      <c r="HI60" s="247"/>
      <c r="HJ60" s="247"/>
      <c r="HK60" s="247"/>
      <c r="HL60" s="247"/>
      <c r="HM60" s="247"/>
      <c r="HN60" s="247"/>
      <c r="HO60" s="247"/>
      <c r="HP60" s="247"/>
      <c r="HQ60" s="247"/>
      <c r="HR60" s="247"/>
      <c r="HS60" s="247"/>
      <c r="HT60" s="247"/>
      <c r="HU60" s="247"/>
      <c r="HV60" s="247"/>
      <c r="HW60" s="247"/>
      <c r="HX60" s="247"/>
      <c r="HY60" s="247"/>
      <c r="HZ60" s="247"/>
      <c r="IA60" s="247"/>
      <c r="IB60" s="247"/>
      <c r="IC60" s="247"/>
      <c r="ID60" s="247"/>
      <c r="IE60" s="247"/>
      <c r="IF60" s="247"/>
      <c r="IG60" s="247"/>
      <c r="IH60" s="247"/>
      <c r="II60" s="247"/>
      <c r="IJ60" s="247"/>
      <c r="IK60" s="247"/>
      <c r="IL60" s="247"/>
      <c r="IM60" s="247"/>
      <c r="IN60" s="247"/>
      <c r="IO60" s="247"/>
      <c r="IP60" s="247"/>
      <c r="IQ60" s="247"/>
      <c r="IR60" s="247"/>
      <c r="IS60" s="247"/>
      <c r="IT60" s="247"/>
      <c r="IU60" s="247"/>
      <c r="IV60" s="247"/>
    </row>
    <row r="61" spans="1:256" s="192" customFormat="1" ht="12" x14ac:dyDescent="0.2">
      <c r="A61" s="244">
        <v>125</v>
      </c>
      <c r="B61" s="195">
        <f t="shared" ref="B61:B78" si="14">HLOOKUP($B$2,DB_Artikel,ROW()-1,FALSE)</f>
        <v>125</v>
      </c>
      <c r="C61" s="449" t="str">
        <f>'Quick Input'!I67</f>
        <v>Fertigungslosgröße</v>
      </c>
      <c r="D61" s="192">
        <v>40</v>
      </c>
      <c r="E61" s="192">
        <v>40</v>
      </c>
      <c r="F61" s="192">
        <v>40</v>
      </c>
      <c r="G61" s="192">
        <v>40</v>
      </c>
      <c r="H61" s="192">
        <v>125</v>
      </c>
      <c r="I61" s="192">
        <v>125</v>
      </c>
      <c r="J61" s="192">
        <v>409</v>
      </c>
      <c r="K61" s="192">
        <v>409</v>
      </c>
      <c r="L61" s="192">
        <v>409</v>
      </c>
      <c r="M61" s="192">
        <v>409</v>
      </c>
      <c r="N61" s="192">
        <v>403</v>
      </c>
      <c r="O61" s="192">
        <v>403</v>
      </c>
      <c r="P61" s="192">
        <v>409</v>
      </c>
      <c r="Q61" s="192">
        <v>409</v>
      </c>
      <c r="R61" s="192">
        <v>403</v>
      </c>
      <c r="S61" s="192">
        <v>40</v>
      </c>
      <c r="T61" s="192">
        <v>40</v>
      </c>
      <c r="U61" s="192">
        <v>125</v>
      </c>
      <c r="EW61" s="244"/>
      <c r="EX61" s="244"/>
      <c r="EY61" s="244"/>
      <c r="EZ61" s="244"/>
      <c r="FA61" s="244"/>
      <c r="FB61" s="244"/>
      <c r="FC61" s="244"/>
      <c r="FD61" s="244"/>
      <c r="FE61" s="244"/>
      <c r="FF61" s="244"/>
      <c r="FG61" s="244"/>
      <c r="FH61" s="244"/>
      <c r="FI61" s="244"/>
      <c r="FJ61" s="244"/>
      <c r="FK61" s="244"/>
      <c r="FL61" s="244"/>
      <c r="FM61" s="244"/>
      <c r="FN61" s="244"/>
      <c r="FO61" s="244"/>
      <c r="FP61" s="244"/>
      <c r="FQ61" s="244"/>
      <c r="FR61" s="244"/>
      <c r="FS61" s="244"/>
      <c r="FT61" s="244"/>
      <c r="FU61" s="244"/>
      <c r="FV61" s="244"/>
      <c r="FW61" s="244"/>
      <c r="FX61" s="244"/>
      <c r="FY61" s="244"/>
      <c r="FZ61" s="244"/>
      <c r="GA61" s="244"/>
      <c r="GB61" s="244"/>
      <c r="GC61" s="244"/>
      <c r="GD61" s="244"/>
      <c r="GE61" s="244"/>
      <c r="GF61" s="244"/>
      <c r="GG61" s="244"/>
      <c r="GH61" s="244"/>
      <c r="GI61" s="244"/>
      <c r="GJ61" s="244"/>
      <c r="GK61" s="244"/>
      <c r="GL61" s="244"/>
      <c r="GM61" s="244"/>
      <c r="GN61" s="244"/>
      <c r="GO61" s="244"/>
      <c r="GP61" s="244"/>
      <c r="GQ61" s="244"/>
      <c r="GR61" s="244"/>
      <c r="GS61" s="244"/>
      <c r="GT61" s="244"/>
      <c r="GU61" s="244"/>
      <c r="GV61" s="244"/>
      <c r="GW61" s="244"/>
      <c r="GX61" s="244"/>
      <c r="GY61" s="244"/>
      <c r="GZ61" s="244"/>
      <c r="HA61" s="244"/>
      <c r="HB61" s="244"/>
      <c r="HC61" s="244"/>
      <c r="HD61" s="244"/>
      <c r="HE61" s="244"/>
      <c r="HF61" s="244"/>
      <c r="HG61" s="244"/>
      <c r="HH61" s="244"/>
      <c r="HI61" s="244"/>
      <c r="HJ61" s="244"/>
      <c r="HK61" s="244"/>
      <c r="HL61" s="244"/>
      <c r="HM61" s="244"/>
      <c r="HN61" s="244"/>
      <c r="HO61" s="244"/>
      <c r="HP61" s="244"/>
      <c r="HQ61" s="244"/>
      <c r="HR61" s="244"/>
      <c r="HS61" s="244"/>
      <c r="HT61" s="244"/>
      <c r="HU61" s="244"/>
      <c r="HV61" s="244"/>
      <c r="HW61" s="244"/>
      <c r="HX61" s="244"/>
      <c r="HY61" s="244"/>
      <c r="HZ61" s="244"/>
      <c r="IA61" s="244"/>
      <c r="IB61" s="244"/>
      <c r="IC61" s="244"/>
      <c r="ID61" s="244"/>
      <c r="IE61" s="244"/>
      <c r="IF61" s="244"/>
      <c r="IG61" s="244"/>
      <c r="IH61" s="244"/>
      <c r="II61" s="244"/>
      <c r="IJ61" s="244"/>
      <c r="IK61" s="244"/>
      <c r="IL61" s="244"/>
      <c r="IM61" s="244"/>
      <c r="IN61" s="244"/>
      <c r="IO61" s="244"/>
      <c r="IP61" s="244"/>
      <c r="IQ61" s="244"/>
      <c r="IR61" s="244"/>
      <c r="IS61" s="244"/>
      <c r="IT61" s="244"/>
      <c r="IU61" s="244"/>
      <c r="IV61" s="244"/>
    </row>
    <row r="62" spans="1:256" s="192" customFormat="1" ht="12" x14ac:dyDescent="0.2">
      <c r="A62" s="244">
        <v>0.7</v>
      </c>
      <c r="B62" s="195">
        <f t="shared" si="14"/>
        <v>0.7</v>
      </c>
      <c r="C62" s="449" t="str">
        <f>'Quick Input'!I68</f>
        <v>Kernvolumen (l)</v>
      </c>
      <c r="D62" s="192">
        <v>500</v>
      </c>
      <c r="E62" s="192">
        <v>500</v>
      </c>
      <c r="F62" s="192">
        <v>501.1</v>
      </c>
      <c r="G62" s="192">
        <v>501.1</v>
      </c>
      <c r="H62" s="192">
        <v>0.7</v>
      </c>
      <c r="I62" s="192">
        <v>0.7</v>
      </c>
      <c r="J62" s="192">
        <v>43.9</v>
      </c>
      <c r="K62" s="192">
        <v>43.9</v>
      </c>
      <c r="L62" s="192">
        <v>43.9</v>
      </c>
      <c r="M62" s="192">
        <v>43.9</v>
      </c>
      <c r="N62" s="192">
        <v>25.9</v>
      </c>
      <c r="O62" s="192">
        <v>25.9</v>
      </c>
      <c r="P62" s="192">
        <v>43.9</v>
      </c>
      <c r="Q62" s="192">
        <v>43.9</v>
      </c>
      <c r="R62" s="192">
        <v>25.9</v>
      </c>
      <c r="S62" s="192">
        <v>500</v>
      </c>
      <c r="T62" s="192">
        <v>501.1</v>
      </c>
      <c r="U62" s="192">
        <v>0.7</v>
      </c>
      <c r="EW62" s="244"/>
      <c r="EX62" s="244"/>
      <c r="EY62" s="244"/>
      <c r="EZ62" s="244"/>
      <c r="FA62" s="244"/>
      <c r="FB62" s="244"/>
      <c r="FC62" s="244"/>
      <c r="FD62" s="244"/>
      <c r="FE62" s="244"/>
      <c r="FF62" s="244"/>
      <c r="FG62" s="244"/>
      <c r="FH62" s="244"/>
      <c r="FI62" s="244"/>
      <c r="FJ62" s="244"/>
      <c r="FK62" s="244"/>
      <c r="FL62" s="244"/>
      <c r="FM62" s="244"/>
      <c r="FN62" s="244"/>
      <c r="FO62" s="244"/>
      <c r="FP62" s="244"/>
      <c r="FQ62" s="244"/>
      <c r="FR62" s="244"/>
      <c r="FS62" s="244"/>
      <c r="FT62" s="244"/>
      <c r="FU62" s="244"/>
      <c r="FV62" s="244"/>
      <c r="FW62" s="244"/>
      <c r="FX62" s="244"/>
      <c r="FY62" s="244"/>
      <c r="FZ62" s="244"/>
      <c r="GA62" s="244"/>
      <c r="GB62" s="244"/>
      <c r="GC62" s="244"/>
      <c r="GD62" s="244"/>
      <c r="GE62" s="244"/>
      <c r="GF62" s="244"/>
      <c r="GG62" s="244"/>
      <c r="GH62" s="244"/>
      <c r="GI62" s="244"/>
      <c r="GJ62" s="244"/>
      <c r="GK62" s="244"/>
      <c r="GL62" s="244"/>
      <c r="GM62" s="244"/>
      <c r="GN62" s="244"/>
      <c r="GO62" s="244"/>
      <c r="GP62" s="244"/>
      <c r="GQ62" s="244"/>
      <c r="GR62" s="244"/>
      <c r="GS62" s="244"/>
      <c r="GT62" s="244"/>
      <c r="GU62" s="244"/>
      <c r="GV62" s="244"/>
      <c r="GW62" s="244"/>
      <c r="GX62" s="244"/>
      <c r="GY62" s="244"/>
      <c r="GZ62" s="244"/>
      <c r="HA62" s="244"/>
      <c r="HB62" s="244"/>
      <c r="HC62" s="244"/>
      <c r="HD62" s="244"/>
      <c r="HE62" s="244"/>
      <c r="HF62" s="244"/>
      <c r="HG62" s="244"/>
      <c r="HH62" s="244"/>
      <c r="HI62" s="244"/>
      <c r="HJ62" s="244"/>
      <c r="HK62" s="244"/>
      <c r="HL62" s="244"/>
      <c r="HM62" s="244"/>
      <c r="HN62" s="244"/>
      <c r="HO62" s="244"/>
      <c r="HP62" s="244"/>
      <c r="HQ62" s="244"/>
      <c r="HR62" s="244"/>
      <c r="HS62" s="244"/>
      <c r="HT62" s="244"/>
      <c r="HU62" s="244"/>
      <c r="HV62" s="244"/>
      <c r="HW62" s="244"/>
      <c r="HX62" s="244"/>
      <c r="HY62" s="244"/>
      <c r="HZ62" s="244"/>
      <c r="IA62" s="244"/>
      <c r="IB62" s="244"/>
      <c r="IC62" s="244"/>
      <c r="ID62" s="244"/>
      <c r="IE62" s="244"/>
      <c r="IF62" s="244"/>
      <c r="IG62" s="244"/>
      <c r="IH62" s="244"/>
      <c r="II62" s="244"/>
      <c r="IJ62" s="244"/>
      <c r="IK62" s="244"/>
      <c r="IL62" s="244"/>
      <c r="IM62" s="244"/>
      <c r="IN62" s="244"/>
      <c r="IO62" s="244"/>
      <c r="IP62" s="244"/>
      <c r="IQ62" s="244"/>
      <c r="IR62" s="244"/>
      <c r="IS62" s="244"/>
      <c r="IT62" s="244"/>
      <c r="IU62" s="244"/>
      <c r="IV62" s="244"/>
    </row>
    <row r="63" spans="1:256" s="192" customFormat="1" ht="12" x14ac:dyDescent="0.2">
      <c r="A63" s="248">
        <v>3.8053333333333335E-2</v>
      </c>
      <c r="B63" s="451">
        <f t="shared" si="14"/>
        <v>3.8053333333333335E-2</v>
      </c>
      <c r="C63" s="449" t="str">
        <f>'Quick Input'!I69</f>
        <v>Fertigungsausschuss 1</v>
      </c>
      <c r="D63" s="248">
        <v>3.2250000000000001E-2</v>
      </c>
      <c r="E63" s="248">
        <v>3.2250000000000001E-2</v>
      </c>
      <c r="F63" s="248">
        <v>3.4049999999999997E-2</v>
      </c>
      <c r="G63" s="248">
        <v>3.4049999999999997E-2</v>
      </c>
      <c r="H63" s="248">
        <v>5.4720000000000005E-2</v>
      </c>
      <c r="I63" s="248">
        <v>5.4720000000000005E-2</v>
      </c>
      <c r="J63" s="248">
        <v>5.2720048899755505E-2</v>
      </c>
      <c r="K63" s="248">
        <v>5.2720048899755505E-2</v>
      </c>
      <c r="L63" s="248">
        <v>5.2720048899755505E-2</v>
      </c>
      <c r="M63" s="248">
        <v>5.2720048899755505E-2</v>
      </c>
      <c r="N63" s="248">
        <v>5.672332506203475E-2</v>
      </c>
      <c r="O63" s="248">
        <v>5.672332506203475E-2</v>
      </c>
      <c r="P63" s="248">
        <v>5.2720048899755505E-2</v>
      </c>
      <c r="Q63" s="248">
        <v>5.2720048899755505E-2</v>
      </c>
      <c r="R63" s="248">
        <v>4.0056658395368074E-2</v>
      </c>
      <c r="S63" s="248">
        <v>3.2250000000000001E-2</v>
      </c>
      <c r="T63" s="248">
        <v>3.4049999999999997E-2</v>
      </c>
      <c r="U63" s="248">
        <v>3.8053333333333335E-2</v>
      </c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I63" s="248"/>
      <c r="AJ63" s="248"/>
      <c r="AK63" s="248"/>
      <c r="AL63" s="248"/>
      <c r="AM63" s="248"/>
      <c r="AN63" s="248"/>
      <c r="AO63" s="248"/>
      <c r="AP63" s="248"/>
      <c r="AQ63" s="248"/>
      <c r="AR63" s="248"/>
      <c r="AS63" s="248"/>
      <c r="AT63" s="248"/>
      <c r="AU63" s="248"/>
      <c r="AV63" s="248"/>
      <c r="AW63" s="248"/>
      <c r="AX63" s="248"/>
      <c r="AY63" s="248"/>
      <c r="AZ63" s="248"/>
      <c r="BA63" s="248"/>
      <c r="BB63" s="248"/>
      <c r="BC63" s="248"/>
      <c r="BD63" s="248"/>
      <c r="BE63" s="248"/>
      <c r="BF63" s="248"/>
      <c r="BG63" s="248"/>
      <c r="BH63" s="248"/>
      <c r="BI63" s="248"/>
      <c r="BJ63" s="248"/>
      <c r="BK63" s="248"/>
      <c r="BL63" s="248"/>
      <c r="BM63" s="248"/>
      <c r="BN63" s="248"/>
      <c r="BO63" s="248"/>
      <c r="BP63" s="248"/>
      <c r="BQ63" s="248"/>
      <c r="BR63" s="248"/>
      <c r="BS63" s="248"/>
      <c r="BT63" s="248"/>
      <c r="BU63" s="248"/>
      <c r="BV63" s="248"/>
      <c r="BW63" s="248"/>
      <c r="BX63" s="248"/>
      <c r="BY63" s="248"/>
      <c r="BZ63" s="248"/>
      <c r="CA63" s="248"/>
      <c r="CB63" s="248"/>
      <c r="CC63" s="248"/>
      <c r="CD63" s="248"/>
      <c r="CE63" s="248"/>
      <c r="CF63" s="248"/>
      <c r="CG63" s="248"/>
      <c r="CH63" s="248"/>
      <c r="CI63" s="248"/>
      <c r="CJ63" s="248"/>
      <c r="CK63" s="248"/>
      <c r="CL63" s="248"/>
      <c r="CM63" s="248"/>
      <c r="CN63" s="248"/>
      <c r="CO63" s="248"/>
      <c r="CP63" s="248"/>
      <c r="CQ63" s="248"/>
      <c r="CR63" s="248"/>
      <c r="CS63" s="248"/>
      <c r="CT63" s="248"/>
      <c r="CU63" s="248"/>
      <c r="CV63" s="248"/>
      <c r="CW63" s="248"/>
      <c r="CX63" s="248"/>
      <c r="CY63" s="248"/>
      <c r="CZ63" s="248"/>
      <c r="DA63" s="248"/>
      <c r="DB63" s="248"/>
      <c r="DC63" s="248"/>
      <c r="DD63" s="248"/>
      <c r="DE63" s="248"/>
      <c r="DF63" s="248"/>
      <c r="DG63" s="248"/>
      <c r="DH63" s="248"/>
      <c r="DI63" s="248"/>
      <c r="DJ63" s="248"/>
      <c r="DK63" s="248"/>
      <c r="DL63" s="248"/>
      <c r="DM63" s="248"/>
      <c r="DN63" s="248"/>
      <c r="DO63" s="248"/>
      <c r="DP63" s="248"/>
      <c r="DQ63" s="248"/>
      <c r="DR63" s="248"/>
      <c r="DS63" s="248"/>
      <c r="DT63" s="248"/>
      <c r="DU63" s="248"/>
      <c r="DV63" s="248"/>
      <c r="DW63" s="248"/>
      <c r="DX63" s="248"/>
      <c r="DY63" s="248"/>
      <c r="DZ63" s="248"/>
      <c r="EA63" s="248"/>
      <c r="EB63" s="248"/>
      <c r="EC63" s="248"/>
      <c r="ED63" s="248"/>
      <c r="EE63" s="248"/>
      <c r="EF63" s="248"/>
      <c r="EG63" s="248"/>
      <c r="EH63" s="248"/>
      <c r="EI63" s="248"/>
      <c r="EJ63" s="248"/>
      <c r="EK63" s="248"/>
      <c r="EL63" s="248"/>
      <c r="EM63" s="248"/>
      <c r="EN63" s="248"/>
      <c r="EO63" s="248"/>
      <c r="EP63" s="248"/>
      <c r="EQ63" s="248"/>
      <c r="ER63" s="248"/>
      <c r="ES63" s="248"/>
      <c r="ET63" s="248"/>
      <c r="EU63" s="248"/>
      <c r="EV63" s="248"/>
      <c r="EW63" s="248"/>
      <c r="EX63" s="248"/>
      <c r="EY63" s="248"/>
      <c r="EZ63" s="248"/>
      <c r="FA63" s="248"/>
      <c r="FB63" s="248"/>
      <c r="FC63" s="248"/>
      <c r="FD63" s="248"/>
      <c r="FE63" s="248"/>
      <c r="FF63" s="248"/>
      <c r="FG63" s="248"/>
      <c r="FH63" s="248"/>
      <c r="FI63" s="248"/>
      <c r="FJ63" s="248"/>
      <c r="FK63" s="248"/>
      <c r="FL63" s="248"/>
      <c r="FM63" s="248"/>
      <c r="FN63" s="248"/>
      <c r="FO63" s="248"/>
      <c r="FP63" s="248"/>
      <c r="FQ63" s="248"/>
      <c r="FR63" s="248"/>
      <c r="FS63" s="248"/>
      <c r="FT63" s="248"/>
      <c r="FU63" s="248"/>
      <c r="FV63" s="248"/>
      <c r="FW63" s="248"/>
      <c r="FX63" s="248"/>
      <c r="FY63" s="248"/>
      <c r="FZ63" s="248"/>
      <c r="GA63" s="248"/>
      <c r="GB63" s="248"/>
      <c r="GC63" s="248"/>
      <c r="GD63" s="248"/>
      <c r="GE63" s="248"/>
      <c r="GF63" s="248"/>
      <c r="GG63" s="248"/>
      <c r="GH63" s="248"/>
      <c r="GI63" s="248"/>
      <c r="GJ63" s="248"/>
      <c r="GK63" s="248"/>
      <c r="GL63" s="248"/>
      <c r="GM63" s="248"/>
      <c r="GN63" s="248"/>
      <c r="GO63" s="248"/>
      <c r="GP63" s="248"/>
      <c r="GQ63" s="248"/>
      <c r="GR63" s="248"/>
      <c r="GS63" s="248"/>
      <c r="GT63" s="248"/>
      <c r="GU63" s="248"/>
      <c r="GV63" s="248"/>
      <c r="GW63" s="248"/>
      <c r="GX63" s="248"/>
      <c r="GY63" s="248"/>
      <c r="GZ63" s="248"/>
      <c r="HA63" s="248"/>
      <c r="HB63" s="248"/>
      <c r="HC63" s="248"/>
      <c r="HD63" s="248"/>
      <c r="HE63" s="248"/>
      <c r="HF63" s="248"/>
      <c r="HG63" s="248"/>
      <c r="HH63" s="248"/>
      <c r="HI63" s="248"/>
      <c r="HJ63" s="248"/>
      <c r="HK63" s="248"/>
      <c r="HL63" s="248"/>
      <c r="HM63" s="248"/>
      <c r="HN63" s="248"/>
      <c r="HO63" s="248"/>
      <c r="HP63" s="248"/>
      <c r="HQ63" s="248"/>
      <c r="HR63" s="248"/>
      <c r="HS63" s="248"/>
      <c r="HT63" s="248"/>
      <c r="HU63" s="248"/>
      <c r="HV63" s="248"/>
      <c r="HW63" s="248"/>
      <c r="HX63" s="248"/>
      <c r="HY63" s="248"/>
      <c r="HZ63" s="248"/>
      <c r="IA63" s="248"/>
      <c r="IB63" s="248"/>
      <c r="IC63" s="248"/>
      <c r="ID63" s="248"/>
      <c r="IE63" s="248"/>
      <c r="IF63" s="248"/>
      <c r="IG63" s="248"/>
      <c r="IH63" s="248"/>
      <c r="II63" s="248"/>
      <c r="IJ63" s="248"/>
      <c r="IK63" s="248"/>
      <c r="IL63" s="248"/>
      <c r="IM63" s="248"/>
      <c r="IN63" s="248"/>
      <c r="IO63" s="248"/>
      <c r="IP63" s="248"/>
      <c r="IQ63" s="248"/>
      <c r="IR63" s="248"/>
      <c r="IS63" s="248"/>
      <c r="IT63" s="248"/>
      <c r="IU63" s="248"/>
      <c r="IV63" s="248"/>
    </row>
    <row r="64" spans="1:256" s="192" customFormat="1" ht="12" x14ac:dyDescent="0.2">
      <c r="A64" s="244">
        <v>0</v>
      </c>
      <c r="B64" s="195">
        <f t="shared" si="14"/>
        <v>0</v>
      </c>
      <c r="C64" s="449" t="str">
        <f>'Quick Input'!I70</f>
        <v>Zeit Auspacken (min)</v>
      </c>
      <c r="D64" s="192">
        <v>1.3</v>
      </c>
      <c r="E64" s="248">
        <v>1.3</v>
      </c>
      <c r="F64" s="248">
        <v>1.3</v>
      </c>
      <c r="G64" s="248">
        <v>1.3</v>
      </c>
      <c r="H64" s="248">
        <v>0</v>
      </c>
      <c r="I64" s="248">
        <v>0</v>
      </c>
      <c r="J64" s="192">
        <v>0.8</v>
      </c>
      <c r="K64" s="248">
        <v>0.8</v>
      </c>
      <c r="L64" s="248">
        <v>0.8</v>
      </c>
      <c r="M64" s="248">
        <v>0.8</v>
      </c>
      <c r="N64" s="248">
        <v>0</v>
      </c>
      <c r="O64" s="248">
        <v>0</v>
      </c>
      <c r="P64" s="248">
        <v>0.8</v>
      </c>
      <c r="Q64" s="248">
        <v>0.8</v>
      </c>
      <c r="R64" s="248">
        <v>0</v>
      </c>
      <c r="S64" s="248">
        <v>1.3</v>
      </c>
      <c r="T64" s="248">
        <v>1.3</v>
      </c>
      <c r="U64" s="248">
        <v>0</v>
      </c>
      <c r="V64" s="248"/>
      <c r="W64" s="248"/>
      <c r="X64" s="248"/>
      <c r="Y64" s="248"/>
      <c r="Z64" s="248"/>
      <c r="AA64" s="248"/>
      <c r="AB64" s="248"/>
      <c r="AC64" s="248"/>
      <c r="AD64" s="248"/>
      <c r="AE64" s="248"/>
      <c r="AF64" s="248"/>
      <c r="AG64" s="248"/>
      <c r="AH64" s="248"/>
      <c r="AI64" s="248"/>
      <c r="AJ64" s="248"/>
      <c r="AK64" s="248"/>
      <c r="AL64" s="248"/>
      <c r="AM64" s="248"/>
      <c r="AN64" s="248"/>
      <c r="AO64" s="248"/>
      <c r="AP64" s="248"/>
      <c r="AQ64" s="248"/>
      <c r="AR64" s="248"/>
      <c r="AS64" s="248"/>
      <c r="AT64" s="248"/>
      <c r="AU64" s="248"/>
      <c r="AV64" s="248"/>
      <c r="AW64" s="248"/>
      <c r="AX64" s="248"/>
      <c r="AY64" s="248"/>
      <c r="AZ64" s="248"/>
      <c r="BA64" s="248"/>
      <c r="BB64" s="248"/>
      <c r="BC64" s="248"/>
      <c r="BD64" s="248"/>
      <c r="BE64" s="248"/>
      <c r="BF64" s="248"/>
      <c r="BG64" s="248"/>
      <c r="BH64" s="248"/>
      <c r="BI64" s="248"/>
      <c r="BJ64" s="248"/>
      <c r="BK64" s="248"/>
      <c r="BL64" s="248"/>
      <c r="BM64" s="248"/>
      <c r="BN64" s="248"/>
      <c r="BO64" s="248"/>
      <c r="BP64" s="248"/>
      <c r="BQ64" s="248"/>
      <c r="BR64" s="248"/>
      <c r="BS64" s="248"/>
      <c r="BT64" s="248"/>
      <c r="BU64" s="248"/>
      <c r="BV64" s="248"/>
      <c r="BW64" s="248"/>
      <c r="BX64" s="248"/>
      <c r="BY64" s="248"/>
      <c r="BZ64" s="248"/>
      <c r="CA64" s="248"/>
      <c r="CB64" s="248"/>
      <c r="CC64" s="248"/>
      <c r="CD64" s="248"/>
      <c r="CE64" s="248"/>
      <c r="CF64" s="248"/>
      <c r="CG64" s="248"/>
      <c r="CH64" s="248"/>
      <c r="CI64" s="248"/>
      <c r="CJ64" s="248"/>
      <c r="CK64" s="248"/>
      <c r="CL64" s="248"/>
      <c r="CM64" s="248"/>
      <c r="CN64" s="248"/>
      <c r="CO64" s="248"/>
      <c r="CP64" s="248"/>
      <c r="CQ64" s="248"/>
      <c r="CR64" s="248"/>
      <c r="CS64" s="248"/>
      <c r="CT64" s="248"/>
      <c r="CU64" s="248"/>
      <c r="CV64" s="248"/>
      <c r="CW64" s="248"/>
      <c r="CX64" s="248"/>
      <c r="CY64" s="248"/>
      <c r="CZ64" s="248"/>
      <c r="DA64" s="248"/>
      <c r="DB64" s="248"/>
      <c r="DC64" s="248"/>
      <c r="DD64" s="248"/>
      <c r="DE64" s="248"/>
      <c r="DF64" s="248"/>
      <c r="DG64" s="248"/>
      <c r="DH64" s="248"/>
      <c r="DI64" s="248"/>
      <c r="DJ64" s="248"/>
      <c r="DK64" s="248"/>
      <c r="DL64" s="248"/>
      <c r="DM64" s="248"/>
      <c r="DN64" s="248"/>
      <c r="DO64" s="248"/>
      <c r="DP64" s="248"/>
      <c r="DQ64" s="248"/>
      <c r="DR64" s="248"/>
      <c r="DS64" s="248"/>
      <c r="DT64" s="248"/>
      <c r="DU64" s="248"/>
      <c r="DV64" s="248"/>
      <c r="DW64" s="248"/>
      <c r="DX64" s="248"/>
      <c r="DY64" s="248"/>
      <c r="DZ64" s="248"/>
      <c r="EA64" s="248"/>
      <c r="EB64" s="248"/>
      <c r="EC64" s="248"/>
      <c r="ED64" s="248"/>
      <c r="EE64" s="248"/>
      <c r="EF64" s="248"/>
      <c r="EG64" s="248"/>
      <c r="EH64" s="248"/>
      <c r="EI64" s="248"/>
      <c r="EJ64" s="248"/>
      <c r="EK64" s="248"/>
      <c r="EL64" s="248"/>
      <c r="EM64" s="248"/>
      <c r="EN64" s="248"/>
      <c r="EO64" s="248"/>
      <c r="EP64" s="248"/>
      <c r="EQ64" s="248"/>
      <c r="ER64" s="248"/>
      <c r="ES64" s="248"/>
      <c r="ET64" s="248"/>
      <c r="EU64" s="248"/>
      <c r="EV64" s="248"/>
      <c r="EW64" s="248"/>
      <c r="EX64" s="248"/>
      <c r="EY64" s="248"/>
      <c r="EZ64" s="248"/>
      <c r="FA64" s="248"/>
      <c r="FB64" s="248"/>
      <c r="FC64" s="248"/>
      <c r="FD64" s="248"/>
      <c r="FE64" s="248"/>
      <c r="FF64" s="248"/>
      <c r="FG64" s="248"/>
      <c r="FH64" s="248"/>
      <c r="FI64" s="248"/>
      <c r="FJ64" s="248"/>
      <c r="FK64" s="248"/>
      <c r="FL64" s="248"/>
      <c r="FM64" s="248"/>
      <c r="FN64" s="248"/>
      <c r="FO64" s="248"/>
      <c r="FP64" s="248"/>
      <c r="FQ64" s="248"/>
      <c r="FR64" s="248"/>
      <c r="FS64" s="248"/>
      <c r="FT64" s="248"/>
      <c r="FU64" s="248"/>
      <c r="FV64" s="248"/>
      <c r="FW64" s="248"/>
      <c r="FX64" s="248"/>
      <c r="FY64" s="248"/>
      <c r="FZ64" s="248"/>
      <c r="GA64" s="248"/>
      <c r="GB64" s="248"/>
      <c r="GC64" s="248"/>
      <c r="GD64" s="248"/>
      <c r="GE64" s="248"/>
      <c r="GF64" s="248"/>
      <c r="GG64" s="248"/>
      <c r="GH64" s="248"/>
      <c r="GI64" s="248"/>
      <c r="GJ64" s="248"/>
      <c r="GK64" s="248"/>
      <c r="GL64" s="248"/>
      <c r="GM64" s="248"/>
      <c r="GN64" s="248"/>
      <c r="GO64" s="248"/>
      <c r="GP64" s="248"/>
      <c r="GQ64" s="248"/>
      <c r="GR64" s="248"/>
      <c r="GS64" s="248"/>
      <c r="GT64" s="248"/>
      <c r="GU64" s="248"/>
      <c r="GV64" s="248"/>
      <c r="GW64" s="248"/>
      <c r="GX64" s="248"/>
      <c r="GY64" s="248"/>
      <c r="GZ64" s="248"/>
      <c r="HA64" s="248"/>
      <c r="HB64" s="248"/>
      <c r="HC64" s="248"/>
      <c r="HD64" s="248"/>
      <c r="HE64" s="248"/>
      <c r="HF64" s="248"/>
      <c r="HG64" s="248"/>
      <c r="HH64" s="248"/>
      <c r="HI64" s="248"/>
      <c r="HJ64" s="248"/>
      <c r="HK64" s="248"/>
      <c r="HL64" s="248"/>
      <c r="HM64" s="248"/>
      <c r="HN64" s="248"/>
      <c r="HO64" s="248"/>
      <c r="HP64" s="248"/>
      <c r="HQ64" s="248"/>
      <c r="HR64" s="248"/>
      <c r="HS64" s="248"/>
      <c r="HT64" s="248"/>
      <c r="HU64" s="248"/>
      <c r="HV64" s="248"/>
      <c r="HW64" s="248"/>
      <c r="HX64" s="248"/>
      <c r="HY64" s="248"/>
      <c r="HZ64" s="248"/>
      <c r="IA64" s="248"/>
      <c r="IB64" s="248"/>
      <c r="IC64" s="248"/>
      <c r="ID64" s="248"/>
      <c r="IE64" s="248"/>
      <c r="IF64" s="248"/>
      <c r="IG64" s="248"/>
      <c r="IH64" s="248"/>
      <c r="II64" s="248"/>
      <c r="IJ64" s="248"/>
      <c r="IK64" s="248"/>
      <c r="IL64" s="248"/>
      <c r="IM64" s="248"/>
      <c r="IN64" s="248"/>
      <c r="IO64" s="248"/>
      <c r="IP64" s="248"/>
      <c r="IQ64" s="248"/>
      <c r="IR64" s="248"/>
      <c r="IS64" s="248"/>
      <c r="IT64" s="248"/>
      <c r="IU64" s="248"/>
      <c r="IV64" s="248"/>
    </row>
    <row r="65" spans="1:256" s="192" customFormat="1" ht="12" x14ac:dyDescent="0.2">
      <c r="A65" s="244">
        <v>0.3</v>
      </c>
      <c r="B65" s="195">
        <f t="shared" si="14"/>
        <v>0.3</v>
      </c>
      <c r="C65" s="449" t="str">
        <f>'Quick Input'!I71</f>
        <v>Anschnitt trennen (min)</v>
      </c>
      <c r="D65" s="192">
        <v>2.2000000000000002</v>
      </c>
      <c r="E65" s="248">
        <v>2.2000000000000002</v>
      </c>
      <c r="F65" s="248">
        <v>2.1</v>
      </c>
      <c r="G65" s="248">
        <v>2.1</v>
      </c>
      <c r="H65" s="248">
        <v>0.3</v>
      </c>
      <c r="I65" s="248">
        <v>0.3</v>
      </c>
      <c r="J65" s="192">
        <v>1.5</v>
      </c>
      <c r="K65" s="248">
        <v>1.5</v>
      </c>
      <c r="L65" s="248">
        <v>1.5</v>
      </c>
      <c r="M65" s="248">
        <v>1.5</v>
      </c>
      <c r="N65" s="248">
        <v>1.5</v>
      </c>
      <c r="O65" s="248">
        <v>1.5</v>
      </c>
      <c r="P65" s="248">
        <v>1.5</v>
      </c>
      <c r="Q65" s="248">
        <v>1.5</v>
      </c>
      <c r="R65" s="248">
        <v>1.5</v>
      </c>
      <c r="S65" s="248">
        <v>2.2000000000000002</v>
      </c>
      <c r="T65" s="248">
        <v>2.1</v>
      </c>
      <c r="U65" s="248">
        <v>0.3</v>
      </c>
      <c r="V65" s="248"/>
      <c r="W65" s="248"/>
      <c r="X65" s="248"/>
      <c r="Y65" s="248"/>
      <c r="Z65" s="248"/>
      <c r="AA65" s="248"/>
      <c r="AB65" s="248"/>
      <c r="AC65" s="248"/>
      <c r="AD65" s="248"/>
      <c r="AE65" s="248"/>
      <c r="AF65" s="248"/>
      <c r="AG65" s="248"/>
      <c r="AH65" s="248"/>
      <c r="AI65" s="248"/>
      <c r="AJ65" s="248"/>
      <c r="AK65" s="248"/>
      <c r="AL65" s="248"/>
      <c r="AM65" s="248"/>
      <c r="AN65" s="248"/>
      <c r="AO65" s="248"/>
      <c r="AP65" s="248"/>
      <c r="AQ65" s="248"/>
      <c r="AR65" s="248"/>
      <c r="AS65" s="248"/>
      <c r="AT65" s="248"/>
      <c r="AU65" s="248"/>
      <c r="AV65" s="248"/>
      <c r="AW65" s="248"/>
      <c r="AX65" s="248"/>
      <c r="AY65" s="248"/>
      <c r="AZ65" s="248"/>
      <c r="BA65" s="248"/>
      <c r="BB65" s="248"/>
      <c r="BC65" s="248"/>
      <c r="BD65" s="248"/>
      <c r="BE65" s="248"/>
      <c r="BF65" s="248"/>
      <c r="BG65" s="248"/>
      <c r="BH65" s="248"/>
      <c r="BI65" s="248"/>
      <c r="BJ65" s="248"/>
      <c r="BK65" s="248"/>
      <c r="BL65" s="248"/>
      <c r="BM65" s="248"/>
      <c r="BN65" s="248"/>
      <c r="BO65" s="248"/>
      <c r="BP65" s="248"/>
      <c r="BQ65" s="248"/>
      <c r="BR65" s="248"/>
      <c r="BS65" s="248"/>
      <c r="BT65" s="248"/>
      <c r="BU65" s="248"/>
      <c r="BV65" s="248"/>
      <c r="BW65" s="248"/>
      <c r="BX65" s="248"/>
      <c r="BY65" s="248"/>
      <c r="BZ65" s="248"/>
      <c r="CA65" s="248"/>
      <c r="CB65" s="248"/>
      <c r="CC65" s="248"/>
      <c r="CD65" s="248"/>
      <c r="CE65" s="248"/>
      <c r="CF65" s="248"/>
      <c r="CG65" s="248"/>
      <c r="CH65" s="248"/>
      <c r="CI65" s="248"/>
      <c r="CJ65" s="248"/>
      <c r="CK65" s="248"/>
      <c r="CL65" s="248"/>
      <c r="CM65" s="248"/>
      <c r="CN65" s="248"/>
      <c r="CO65" s="248"/>
      <c r="CP65" s="248"/>
      <c r="CQ65" s="248"/>
      <c r="CR65" s="248"/>
      <c r="CS65" s="248"/>
      <c r="CT65" s="248"/>
      <c r="CU65" s="248"/>
      <c r="CV65" s="248"/>
      <c r="CW65" s="248"/>
      <c r="CX65" s="248"/>
      <c r="CY65" s="248"/>
      <c r="CZ65" s="248"/>
      <c r="DA65" s="248"/>
      <c r="DB65" s="248"/>
      <c r="DC65" s="248"/>
      <c r="DD65" s="248"/>
      <c r="DE65" s="248"/>
      <c r="DF65" s="248"/>
      <c r="DG65" s="248"/>
      <c r="DH65" s="248"/>
      <c r="DI65" s="248"/>
      <c r="DJ65" s="248"/>
      <c r="DK65" s="248"/>
      <c r="DL65" s="248"/>
      <c r="DM65" s="248"/>
      <c r="DN65" s="248"/>
      <c r="DO65" s="248"/>
      <c r="DP65" s="248"/>
      <c r="DQ65" s="248"/>
      <c r="DR65" s="248"/>
      <c r="DS65" s="248"/>
      <c r="DT65" s="248"/>
      <c r="DU65" s="248"/>
      <c r="DV65" s="248"/>
      <c r="DW65" s="248"/>
      <c r="DX65" s="248"/>
      <c r="DY65" s="248"/>
      <c r="DZ65" s="248"/>
      <c r="EA65" s="248"/>
      <c r="EB65" s="248"/>
      <c r="EC65" s="248"/>
      <c r="ED65" s="248"/>
      <c r="EE65" s="248"/>
      <c r="EF65" s="248"/>
      <c r="EG65" s="248"/>
      <c r="EH65" s="248"/>
      <c r="EI65" s="248"/>
      <c r="EJ65" s="248"/>
      <c r="EK65" s="248"/>
      <c r="EL65" s="248"/>
      <c r="EM65" s="248"/>
      <c r="EN65" s="248"/>
      <c r="EO65" s="248"/>
      <c r="EP65" s="248"/>
      <c r="EQ65" s="248"/>
      <c r="ER65" s="248"/>
      <c r="ES65" s="248"/>
      <c r="ET65" s="248"/>
      <c r="EU65" s="248"/>
      <c r="EV65" s="248"/>
      <c r="EW65" s="248"/>
      <c r="EX65" s="248"/>
      <c r="EY65" s="248"/>
      <c r="EZ65" s="248"/>
      <c r="FA65" s="248"/>
      <c r="FB65" s="248"/>
      <c r="FC65" s="248"/>
      <c r="FD65" s="248"/>
      <c r="FE65" s="248"/>
      <c r="FF65" s="248"/>
      <c r="FG65" s="248"/>
      <c r="FH65" s="248"/>
      <c r="FI65" s="248"/>
      <c r="FJ65" s="248"/>
      <c r="FK65" s="248"/>
      <c r="FL65" s="248"/>
      <c r="FM65" s="248"/>
      <c r="FN65" s="248"/>
      <c r="FO65" s="248"/>
      <c r="FP65" s="248"/>
      <c r="FQ65" s="248"/>
      <c r="FR65" s="248"/>
      <c r="FS65" s="248"/>
      <c r="FT65" s="248"/>
      <c r="FU65" s="248"/>
      <c r="FV65" s="248"/>
      <c r="FW65" s="248"/>
      <c r="FX65" s="248"/>
      <c r="FY65" s="248"/>
      <c r="FZ65" s="248"/>
      <c r="GA65" s="248"/>
      <c r="GB65" s="248"/>
      <c r="GC65" s="248"/>
      <c r="GD65" s="248"/>
      <c r="GE65" s="248"/>
      <c r="GF65" s="248"/>
      <c r="GG65" s="248"/>
      <c r="GH65" s="248"/>
      <c r="GI65" s="248"/>
      <c r="GJ65" s="248"/>
      <c r="GK65" s="248"/>
      <c r="GL65" s="248"/>
      <c r="GM65" s="248"/>
      <c r="GN65" s="248"/>
      <c r="GO65" s="248"/>
      <c r="GP65" s="248"/>
      <c r="GQ65" s="248"/>
      <c r="GR65" s="248"/>
      <c r="GS65" s="248"/>
      <c r="GT65" s="248"/>
      <c r="GU65" s="248"/>
      <c r="GV65" s="248"/>
      <c r="GW65" s="248"/>
      <c r="GX65" s="248"/>
      <c r="GY65" s="248"/>
      <c r="GZ65" s="248"/>
      <c r="HA65" s="248"/>
      <c r="HB65" s="248"/>
      <c r="HC65" s="248"/>
      <c r="HD65" s="248"/>
      <c r="HE65" s="248"/>
      <c r="HF65" s="248"/>
      <c r="HG65" s="248"/>
      <c r="HH65" s="248"/>
      <c r="HI65" s="248"/>
      <c r="HJ65" s="248"/>
      <c r="HK65" s="248"/>
      <c r="HL65" s="248"/>
      <c r="HM65" s="248"/>
      <c r="HN65" s="248"/>
      <c r="HO65" s="248"/>
      <c r="HP65" s="248"/>
      <c r="HQ65" s="248"/>
      <c r="HR65" s="248"/>
      <c r="HS65" s="248"/>
      <c r="HT65" s="248"/>
      <c r="HU65" s="248"/>
      <c r="HV65" s="248"/>
      <c r="HW65" s="248"/>
      <c r="HX65" s="248"/>
      <c r="HY65" s="248"/>
      <c r="HZ65" s="248"/>
      <c r="IA65" s="248"/>
      <c r="IB65" s="248"/>
      <c r="IC65" s="248"/>
      <c r="ID65" s="248"/>
      <c r="IE65" s="248"/>
      <c r="IF65" s="248"/>
      <c r="IG65" s="248"/>
      <c r="IH65" s="248"/>
      <c r="II65" s="248"/>
      <c r="IJ65" s="248"/>
      <c r="IK65" s="248"/>
      <c r="IL65" s="248"/>
      <c r="IM65" s="248"/>
      <c r="IN65" s="248"/>
      <c r="IO65" s="248"/>
      <c r="IP65" s="248"/>
      <c r="IQ65" s="248"/>
      <c r="IR65" s="248"/>
      <c r="IS65" s="248"/>
      <c r="IT65" s="248"/>
      <c r="IU65" s="248"/>
      <c r="IV65" s="248"/>
    </row>
    <row r="66" spans="1:256" s="192" customFormat="1" ht="12" customHeight="1" x14ac:dyDescent="0.2">
      <c r="A66" s="244">
        <v>0.127</v>
      </c>
      <c r="B66" s="195">
        <f t="shared" si="14"/>
        <v>0.127</v>
      </c>
      <c r="C66" s="449" t="str">
        <f>'Quick Input'!I72</f>
        <v>Wärmebehandlung</v>
      </c>
      <c r="D66" s="192">
        <v>0.121</v>
      </c>
      <c r="E66" s="192">
        <v>0.121</v>
      </c>
      <c r="F66" s="192">
        <v>0.22600000000000001</v>
      </c>
      <c r="G66" s="192">
        <v>0.22600000000000001</v>
      </c>
      <c r="H66" s="192">
        <v>0.127</v>
      </c>
      <c r="I66" s="192">
        <v>0.127</v>
      </c>
      <c r="J66" s="192">
        <v>0</v>
      </c>
      <c r="K66" s="192">
        <v>0</v>
      </c>
      <c r="L66" s="192">
        <v>0</v>
      </c>
      <c r="M66" s="192">
        <v>0</v>
      </c>
      <c r="N66" s="192">
        <v>0.157</v>
      </c>
      <c r="O66" s="192">
        <v>0.157</v>
      </c>
      <c r="P66" s="192">
        <v>0</v>
      </c>
      <c r="Q66" s="192">
        <v>0</v>
      </c>
      <c r="R66" s="192">
        <v>0.157</v>
      </c>
      <c r="S66" s="192">
        <v>0.121</v>
      </c>
      <c r="T66" s="192">
        <v>0.22600000000000001</v>
      </c>
      <c r="U66" s="192">
        <v>0.127</v>
      </c>
      <c r="EW66" s="244"/>
      <c r="EX66" s="244"/>
      <c r="EY66" s="244"/>
      <c r="EZ66" s="244"/>
      <c r="FA66" s="244"/>
      <c r="FB66" s="244"/>
      <c r="FC66" s="244"/>
      <c r="FD66" s="244"/>
      <c r="FE66" s="244"/>
      <c r="FF66" s="244"/>
      <c r="FG66" s="244"/>
      <c r="FH66" s="244"/>
      <c r="FI66" s="244"/>
      <c r="FJ66" s="244"/>
      <c r="FK66" s="244"/>
      <c r="FL66" s="244"/>
      <c r="FM66" s="244"/>
      <c r="FN66" s="244"/>
      <c r="FO66" s="244"/>
      <c r="FP66" s="244"/>
      <c r="FQ66" s="244"/>
      <c r="FR66" s="244"/>
      <c r="FS66" s="244"/>
      <c r="FT66" s="244"/>
      <c r="FU66" s="244"/>
      <c r="FV66" s="244"/>
      <c r="FW66" s="244"/>
      <c r="FX66" s="244"/>
      <c r="FY66" s="244"/>
      <c r="FZ66" s="244"/>
      <c r="GA66" s="244"/>
      <c r="GB66" s="244"/>
      <c r="GC66" s="244"/>
      <c r="GD66" s="244"/>
      <c r="GE66" s="244"/>
      <c r="GF66" s="244"/>
      <c r="GG66" s="244"/>
      <c r="GH66" s="244"/>
      <c r="GI66" s="244"/>
      <c r="GJ66" s="244"/>
      <c r="GK66" s="244"/>
      <c r="GL66" s="244"/>
      <c r="GM66" s="244"/>
      <c r="GN66" s="244"/>
      <c r="GO66" s="244"/>
      <c r="GP66" s="244"/>
      <c r="GQ66" s="244"/>
      <c r="GR66" s="244"/>
      <c r="GS66" s="244"/>
      <c r="GT66" s="244"/>
      <c r="GU66" s="244"/>
      <c r="GV66" s="244"/>
      <c r="GW66" s="244"/>
      <c r="GX66" s="244"/>
      <c r="GY66" s="244"/>
      <c r="GZ66" s="244"/>
      <c r="HA66" s="244"/>
      <c r="HB66" s="244"/>
      <c r="HC66" s="244"/>
      <c r="HD66" s="244"/>
      <c r="HE66" s="244"/>
      <c r="HF66" s="244"/>
      <c r="HG66" s="244"/>
      <c r="HH66" s="244"/>
      <c r="HI66" s="244"/>
      <c r="HJ66" s="244"/>
      <c r="HK66" s="244"/>
      <c r="HL66" s="244"/>
      <c r="HM66" s="244"/>
      <c r="HN66" s="244"/>
      <c r="HO66" s="244"/>
      <c r="HP66" s="244"/>
      <c r="HQ66" s="244"/>
      <c r="HR66" s="244"/>
      <c r="HS66" s="244"/>
      <c r="HT66" s="244"/>
      <c r="HU66" s="244"/>
      <c r="HV66" s="244"/>
      <c r="HW66" s="244"/>
      <c r="HX66" s="244"/>
      <c r="HY66" s="244"/>
      <c r="HZ66" s="244"/>
      <c r="IA66" s="244"/>
      <c r="IB66" s="244"/>
      <c r="IC66" s="244"/>
      <c r="ID66" s="244"/>
      <c r="IE66" s="244"/>
      <c r="IF66" s="244"/>
      <c r="IG66" s="244"/>
      <c r="IH66" s="244"/>
      <c r="II66" s="244"/>
      <c r="IJ66" s="244"/>
      <c r="IK66" s="244"/>
      <c r="IL66" s="244"/>
      <c r="IM66" s="244"/>
      <c r="IN66" s="244"/>
      <c r="IO66" s="244"/>
      <c r="IP66" s="244"/>
      <c r="IQ66" s="244"/>
      <c r="IR66" s="244"/>
      <c r="IS66" s="244"/>
      <c r="IT66" s="244"/>
      <c r="IU66" s="244"/>
      <c r="IV66" s="244"/>
    </row>
    <row r="67" spans="1:256" s="192" customFormat="1" ht="12" x14ac:dyDescent="0.2">
      <c r="A67" s="248">
        <v>1.796E-2</v>
      </c>
      <c r="B67" s="451">
        <f t="shared" si="14"/>
        <v>1.796E-2</v>
      </c>
      <c r="C67" s="449" t="str">
        <f>'Quick Input'!I73</f>
        <v>Fertigungsausschuss 2</v>
      </c>
      <c r="D67" s="248">
        <v>1.4999999999999999E-2</v>
      </c>
      <c r="E67" s="248">
        <v>1.4999999999999999E-2</v>
      </c>
      <c r="F67" s="248">
        <v>1.95E-2</v>
      </c>
      <c r="G67" s="248">
        <v>1.95E-2</v>
      </c>
      <c r="H67" s="248">
        <v>1.8499999999999999E-2</v>
      </c>
      <c r="I67" s="248">
        <v>1.8499999999999999E-2</v>
      </c>
      <c r="J67" s="248">
        <v>1.3500000000000002E-2</v>
      </c>
      <c r="K67" s="248">
        <v>1.3500000000000002E-2</v>
      </c>
      <c r="L67" s="248">
        <v>1.3500000000000002E-2</v>
      </c>
      <c r="M67" s="248">
        <v>1.3500000000000002E-2</v>
      </c>
      <c r="N67" s="248">
        <v>1.8499999999999999E-2</v>
      </c>
      <c r="O67" s="248">
        <v>1.8499999999999999E-2</v>
      </c>
      <c r="P67" s="248">
        <v>1.3500000000000002E-2</v>
      </c>
      <c r="Q67" s="248">
        <v>1.3500000000000002E-2</v>
      </c>
      <c r="R67" s="248">
        <v>2.0297766749379654E-2</v>
      </c>
      <c r="S67" s="248">
        <v>1.4999999999999999E-2</v>
      </c>
      <c r="T67" s="248">
        <v>1.95E-2</v>
      </c>
      <c r="U67" s="248">
        <v>1.796E-2</v>
      </c>
      <c r="V67" s="248"/>
      <c r="W67" s="248"/>
      <c r="X67" s="248"/>
      <c r="Y67" s="248"/>
      <c r="Z67" s="248"/>
      <c r="AA67" s="248"/>
      <c r="AB67" s="248"/>
      <c r="AC67" s="248"/>
      <c r="AD67" s="248"/>
      <c r="AE67" s="248"/>
      <c r="AF67" s="248"/>
      <c r="AG67" s="248"/>
      <c r="AH67" s="248"/>
      <c r="AI67" s="248"/>
      <c r="AJ67" s="248"/>
      <c r="AK67" s="248"/>
      <c r="AL67" s="248"/>
      <c r="AM67" s="248"/>
      <c r="AN67" s="248"/>
      <c r="AO67" s="248"/>
      <c r="AP67" s="248"/>
      <c r="AQ67" s="248"/>
      <c r="AR67" s="248"/>
      <c r="AS67" s="248"/>
      <c r="AT67" s="248"/>
      <c r="AU67" s="248"/>
      <c r="AV67" s="248"/>
      <c r="AW67" s="248"/>
      <c r="AX67" s="248"/>
      <c r="AY67" s="248"/>
      <c r="AZ67" s="248"/>
      <c r="BA67" s="248"/>
      <c r="BB67" s="248"/>
      <c r="BC67" s="248"/>
      <c r="BD67" s="248"/>
      <c r="BE67" s="248"/>
      <c r="BF67" s="248"/>
      <c r="BG67" s="248"/>
      <c r="BH67" s="248"/>
      <c r="BI67" s="248"/>
      <c r="BJ67" s="248"/>
      <c r="BK67" s="248"/>
      <c r="BL67" s="248"/>
      <c r="BM67" s="248"/>
      <c r="BN67" s="248"/>
      <c r="BO67" s="248"/>
      <c r="BP67" s="248"/>
      <c r="BQ67" s="248"/>
      <c r="BR67" s="248"/>
      <c r="BS67" s="248"/>
      <c r="BT67" s="248"/>
      <c r="BU67" s="248"/>
      <c r="BV67" s="248"/>
      <c r="BW67" s="248"/>
      <c r="BX67" s="248"/>
      <c r="BY67" s="248"/>
      <c r="BZ67" s="248"/>
      <c r="CA67" s="248"/>
      <c r="CB67" s="248"/>
      <c r="CC67" s="248"/>
      <c r="CD67" s="248"/>
      <c r="CE67" s="248"/>
      <c r="CF67" s="248"/>
      <c r="CG67" s="248"/>
      <c r="CH67" s="248"/>
      <c r="CI67" s="248"/>
      <c r="CJ67" s="248"/>
      <c r="CK67" s="248"/>
      <c r="CL67" s="248"/>
      <c r="CM67" s="248"/>
      <c r="CN67" s="248"/>
      <c r="CO67" s="248"/>
      <c r="CP67" s="248"/>
      <c r="CQ67" s="248"/>
      <c r="CR67" s="248"/>
      <c r="CS67" s="248"/>
      <c r="CT67" s="248"/>
      <c r="CU67" s="248"/>
      <c r="CV67" s="248"/>
      <c r="CW67" s="248"/>
      <c r="CX67" s="248"/>
      <c r="CY67" s="248"/>
      <c r="CZ67" s="248"/>
      <c r="DA67" s="248"/>
      <c r="DB67" s="248"/>
      <c r="DC67" s="248"/>
      <c r="DD67" s="248"/>
      <c r="DE67" s="248"/>
      <c r="DF67" s="248"/>
      <c r="DG67" s="248"/>
      <c r="DH67" s="248"/>
      <c r="DI67" s="248"/>
      <c r="DJ67" s="248"/>
      <c r="DK67" s="248"/>
      <c r="DL67" s="248"/>
      <c r="DM67" s="248"/>
      <c r="DN67" s="248"/>
      <c r="DO67" s="248"/>
      <c r="DP67" s="248"/>
      <c r="DQ67" s="248"/>
      <c r="DR67" s="248"/>
      <c r="DS67" s="248"/>
      <c r="DT67" s="248"/>
      <c r="DU67" s="248"/>
      <c r="DV67" s="248"/>
      <c r="DW67" s="248"/>
      <c r="DX67" s="248"/>
      <c r="DY67" s="248"/>
      <c r="DZ67" s="248"/>
      <c r="EA67" s="248"/>
      <c r="EB67" s="248"/>
      <c r="EC67" s="248"/>
      <c r="ED67" s="248"/>
      <c r="EE67" s="248"/>
      <c r="EF67" s="248"/>
      <c r="EG67" s="248"/>
      <c r="EH67" s="248"/>
      <c r="EI67" s="248"/>
      <c r="EJ67" s="248"/>
      <c r="EK67" s="248"/>
      <c r="EL67" s="248"/>
      <c r="EM67" s="248"/>
      <c r="EN67" s="248"/>
      <c r="EO67" s="248"/>
      <c r="EP67" s="248"/>
      <c r="EQ67" s="248"/>
      <c r="ER67" s="248"/>
      <c r="ES67" s="248"/>
      <c r="ET67" s="248"/>
      <c r="EU67" s="248"/>
      <c r="EV67" s="248"/>
      <c r="EW67" s="248"/>
      <c r="EX67" s="248"/>
      <c r="EY67" s="248"/>
      <c r="EZ67" s="248"/>
      <c r="FA67" s="248"/>
      <c r="FB67" s="248"/>
      <c r="FC67" s="248"/>
      <c r="FD67" s="248"/>
      <c r="FE67" s="248"/>
      <c r="FF67" s="248"/>
      <c r="FG67" s="248"/>
      <c r="FH67" s="248"/>
      <c r="FI67" s="248"/>
      <c r="FJ67" s="248"/>
      <c r="FK67" s="248"/>
      <c r="FL67" s="248"/>
      <c r="FM67" s="248"/>
      <c r="FN67" s="248"/>
      <c r="FO67" s="248"/>
      <c r="FP67" s="248"/>
      <c r="FQ67" s="248"/>
      <c r="FR67" s="248"/>
      <c r="FS67" s="248"/>
      <c r="FT67" s="248"/>
      <c r="FU67" s="248"/>
      <c r="FV67" s="248"/>
      <c r="FW67" s="248"/>
      <c r="FX67" s="248"/>
      <c r="FY67" s="248"/>
      <c r="FZ67" s="248"/>
      <c r="GA67" s="248"/>
      <c r="GB67" s="248"/>
      <c r="GC67" s="248"/>
      <c r="GD67" s="248"/>
      <c r="GE67" s="248"/>
      <c r="GF67" s="248"/>
      <c r="GG67" s="248"/>
      <c r="GH67" s="248"/>
      <c r="GI67" s="248"/>
      <c r="GJ67" s="248"/>
      <c r="GK67" s="248"/>
      <c r="GL67" s="248"/>
      <c r="GM67" s="248"/>
      <c r="GN67" s="248"/>
      <c r="GO67" s="248"/>
      <c r="GP67" s="248"/>
      <c r="GQ67" s="248"/>
      <c r="GR67" s="248"/>
      <c r="GS67" s="248"/>
      <c r="GT67" s="248"/>
      <c r="GU67" s="248"/>
      <c r="GV67" s="248"/>
      <c r="GW67" s="248"/>
      <c r="GX67" s="248"/>
      <c r="GY67" s="248"/>
      <c r="GZ67" s="248"/>
      <c r="HA67" s="248"/>
      <c r="HB67" s="248"/>
      <c r="HC67" s="248"/>
      <c r="HD67" s="248"/>
      <c r="HE67" s="248"/>
      <c r="HF67" s="248"/>
      <c r="HG67" s="248"/>
      <c r="HH67" s="248"/>
      <c r="HI67" s="248"/>
      <c r="HJ67" s="248"/>
      <c r="HK67" s="248"/>
      <c r="HL67" s="248"/>
      <c r="HM67" s="248"/>
      <c r="HN67" s="248"/>
      <c r="HO67" s="248"/>
      <c r="HP67" s="248"/>
      <c r="HQ67" s="248"/>
      <c r="HR67" s="248"/>
      <c r="HS67" s="248"/>
      <c r="HT67" s="248"/>
      <c r="HU67" s="248"/>
      <c r="HV67" s="248"/>
      <c r="HW67" s="248"/>
      <c r="HX67" s="248"/>
      <c r="HY67" s="248"/>
      <c r="HZ67" s="248"/>
      <c r="IA67" s="248"/>
      <c r="IB67" s="248"/>
      <c r="IC67" s="248"/>
      <c r="ID67" s="248"/>
      <c r="IE67" s="248"/>
      <c r="IF67" s="248"/>
      <c r="IG67" s="248"/>
      <c r="IH67" s="248"/>
      <c r="II67" s="248"/>
      <c r="IJ67" s="248"/>
      <c r="IK67" s="248"/>
      <c r="IL67" s="248"/>
      <c r="IM67" s="248"/>
      <c r="IN67" s="248"/>
      <c r="IO67" s="248"/>
      <c r="IP67" s="248"/>
      <c r="IQ67" s="248"/>
      <c r="IR67" s="248"/>
      <c r="IS67" s="248"/>
      <c r="IT67" s="248"/>
      <c r="IU67" s="248"/>
      <c r="IV67" s="248"/>
    </row>
    <row r="68" spans="1:256" s="192" customFormat="1" ht="12" x14ac:dyDescent="0.2">
      <c r="A68" s="244">
        <v>43.4</v>
      </c>
      <c r="B68" s="195">
        <f t="shared" si="14"/>
        <v>43.4</v>
      </c>
      <c r="C68" s="449" t="str">
        <f>'Quick Input'!I74</f>
        <v>VT Prüfzeit/Teil (sec)</v>
      </c>
      <c r="D68" s="192">
        <v>61.2</v>
      </c>
      <c r="E68" s="192">
        <v>61.2</v>
      </c>
      <c r="F68" s="192">
        <v>44.2</v>
      </c>
      <c r="G68" s="192">
        <v>44.2</v>
      </c>
      <c r="H68" s="192">
        <v>43.4</v>
      </c>
      <c r="I68" s="192">
        <v>43.4</v>
      </c>
      <c r="J68" s="192">
        <v>37.9</v>
      </c>
      <c r="K68" s="192">
        <v>37.9</v>
      </c>
      <c r="L68" s="192">
        <v>37.9</v>
      </c>
      <c r="M68" s="192">
        <v>37.9</v>
      </c>
      <c r="N68" s="192">
        <v>45.7</v>
      </c>
      <c r="O68" s="192">
        <v>45.7</v>
      </c>
      <c r="P68" s="192">
        <v>37.9</v>
      </c>
      <c r="Q68" s="192">
        <v>37.9</v>
      </c>
      <c r="R68" s="192">
        <v>45.7</v>
      </c>
      <c r="S68" s="192">
        <v>61.2</v>
      </c>
      <c r="T68" s="192">
        <v>44.2</v>
      </c>
      <c r="U68" s="192">
        <v>43.4</v>
      </c>
      <c r="EW68" s="244"/>
      <c r="EX68" s="244"/>
      <c r="EY68" s="244"/>
      <c r="EZ68" s="244"/>
      <c r="FA68" s="244"/>
      <c r="FB68" s="244"/>
      <c r="FC68" s="244"/>
      <c r="FD68" s="244"/>
      <c r="FE68" s="244"/>
      <c r="FF68" s="244"/>
      <c r="FG68" s="244"/>
      <c r="FH68" s="244"/>
      <c r="FI68" s="244"/>
      <c r="FJ68" s="244"/>
      <c r="FK68" s="244"/>
      <c r="FL68" s="244"/>
      <c r="FM68" s="244"/>
      <c r="FN68" s="244"/>
      <c r="FO68" s="244"/>
      <c r="FP68" s="244"/>
      <c r="FQ68" s="244"/>
      <c r="FR68" s="244"/>
      <c r="FS68" s="244"/>
      <c r="FT68" s="244"/>
      <c r="FU68" s="244"/>
      <c r="FV68" s="244"/>
      <c r="FW68" s="244"/>
      <c r="FX68" s="244"/>
      <c r="FY68" s="244"/>
      <c r="FZ68" s="244"/>
      <c r="GA68" s="244"/>
      <c r="GB68" s="244"/>
      <c r="GC68" s="244"/>
      <c r="GD68" s="244"/>
      <c r="GE68" s="244"/>
      <c r="GF68" s="244"/>
      <c r="GG68" s="244"/>
      <c r="GH68" s="244"/>
      <c r="GI68" s="244"/>
      <c r="GJ68" s="244"/>
      <c r="GK68" s="244"/>
      <c r="GL68" s="244"/>
      <c r="GM68" s="244"/>
      <c r="GN68" s="244"/>
      <c r="GO68" s="244"/>
      <c r="GP68" s="244"/>
      <c r="GQ68" s="244"/>
      <c r="GR68" s="244"/>
      <c r="GS68" s="244"/>
      <c r="GT68" s="244"/>
      <c r="GU68" s="244"/>
      <c r="GV68" s="244"/>
      <c r="GW68" s="244"/>
      <c r="GX68" s="244"/>
      <c r="GY68" s="244"/>
      <c r="GZ68" s="244"/>
      <c r="HA68" s="244"/>
      <c r="HB68" s="244"/>
      <c r="HC68" s="244"/>
      <c r="HD68" s="244"/>
      <c r="HE68" s="244"/>
      <c r="HF68" s="244"/>
      <c r="HG68" s="244"/>
      <c r="HH68" s="244"/>
      <c r="HI68" s="244"/>
      <c r="HJ68" s="244"/>
      <c r="HK68" s="244"/>
      <c r="HL68" s="244"/>
      <c r="HM68" s="244"/>
      <c r="HN68" s="244"/>
      <c r="HO68" s="244"/>
      <c r="HP68" s="244"/>
      <c r="HQ68" s="244"/>
      <c r="HR68" s="244"/>
      <c r="HS68" s="244"/>
      <c r="HT68" s="244"/>
      <c r="HU68" s="244"/>
      <c r="HV68" s="244"/>
      <c r="HW68" s="244"/>
      <c r="HX68" s="244"/>
      <c r="HY68" s="244"/>
      <c r="HZ68" s="244"/>
      <c r="IA68" s="244"/>
      <c r="IB68" s="244"/>
      <c r="IC68" s="244"/>
      <c r="ID68" s="244"/>
      <c r="IE68" s="244"/>
      <c r="IF68" s="244"/>
      <c r="IG68" s="244"/>
      <c r="IH68" s="244"/>
      <c r="II68" s="244"/>
      <c r="IJ68" s="244"/>
      <c r="IK68" s="244"/>
      <c r="IL68" s="244"/>
      <c r="IM68" s="244"/>
      <c r="IN68" s="244"/>
      <c r="IO68" s="244"/>
      <c r="IP68" s="244"/>
      <c r="IQ68" s="244"/>
      <c r="IR68" s="244"/>
      <c r="IS68" s="244"/>
      <c r="IT68" s="244"/>
      <c r="IU68" s="244"/>
      <c r="IV68" s="244"/>
    </row>
    <row r="69" spans="1:256" s="192" customFormat="1" ht="12" x14ac:dyDescent="0.2">
      <c r="A69" s="244">
        <v>0</v>
      </c>
      <c r="B69" s="195">
        <f t="shared" si="14"/>
        <v>0</v>
      </c>
      <c r="C69" s="449" t="str">
        <f>'Quick Input'!I75</f>
        <v>Kosten US-Prüfung</v>
      </c>
      <c r="D69" s="723">
        <v>7.33</v>
      </c>
      <c r="E69" s="192">
        <v>7.33</v>
      </c>
      <c r="F69" s="192">
        <v>0</v>
      </c>
      <c r="G69" s="192">
        <v>0</v>
      </c>
      <c r="H69" s="192">
        <v>0</v>
      </c>
      <c r="I69" s="192">
        <v>0</v>
      </c>
      <c r="J69" s="192">
        <v>0</v>
      </c>
      <c r="K69" s="192">
        <v>0</v>
      </c>
      <c r="L69" s="192">
        <v>15.03</v>
      </c>
      <c r="M69" s="192">
        <v>15.03</v>
      </c>
      <c r="N69" s="192">
        <v>15.03</v>
      </c>
      <c r="O69" s="192">
        <v>15.03</v>
      </c>
      <c r="P69" s="192">
        <v>0</v>
      </c>
      <c r="Q69" s="192">
        <v>15.03</v>
      </c>
      <c r="R69" s="192">
        <v>15.03</v>
      </c>
      <c r="S69" s="192">
        <v>7.33</v>
      </c>
      <c r="T69" s="192">
        <v>0</v>
      </c>
      <c r="U69" s="192">
        <v>0</v>
      </c>
      <c r="EW69" s="244"/>
      <c r="EX69" s="244"/>
      <c r="EY69" s="244"/>
      <c r="EZ69" s="244"/>
      <c r="FA69" s="244"/>
      <c r="FB69" s="244"/>
      <c r="FC69" s="244"/>
      <c r="FD69" s="244"/>
      <c r="FE69" s="244"/>
      <c r="FF69" s="244"/>
      <c r="FG69" s="244"/>
      <c r="FH69" s="244"/>
      <c r="FI69" s="244"/>
      <c r="FJ69" s="244"/>
      <c r="FK69" s="244"/>
      <c r="FL69" s="244"/>
      <c r="FM69" s="244"/>
      <c r="FN69" s="244"/>
      <c r="FO69" s="244"/>
      <c r="FP69" s="244"/>
      <c r="FQ69" s="244"/>
      <c r="FR69" s="244"/>
      <c r="FS69" s="244"/>
      <c r="FT69" s="244"/>
      <c r="FU69" s="244"/>
      <c r="FV69" s="244"/>
      <c r="FW69" s="244"/>
      <c r="FX69" s="244"/>
      <c r="FY69" s="244"/>
      <c r="FZ69" s="244"/>
      <c r="GA69" s="244"/>
      <c r="GB69" s="244"/>
      <c r="GC69" s="244"/>
      <c r="GD69" s="244"/>
      <c r="GE69" s="244"/>
      <c r="GF69" s="244"/>
      <c r="GG69" s="244"/>
      <c r="GH69" s="244"/>
      <c r="GI69" s="244"/>
      <c r="GJ69" s="244"/>
      <c r="GK69" s="244"/>
      <c r="GL69" s="244"/>
      <c r="GM69" s="244"/>
      <c r="GN69" s="244"/>
      <c r="GO69" s="244"/>
      <c r="GP69" s="244"/>
      <c r="GQ69" s="244"/>
      <c r="GR69" s="244"/>
      <c r="GS69" s="244"/>
      <c r="GT69" s="244"/>
      <c r="GU69" s="244"/>
      <c r="GV69" s="244"/>
      <c r="GW69" s="244"/>
      <c r="GX69" s="244"/>
      <c r="GY69" s="244"/>
      <c r="GZ69" s="244"/>
      <c r="HA69" s="244"/>
      <c r="HB69" s="244"/>
      <c r="HC69" s="244"/>
      <c r="HD69" s="244"/>
      <c r="HE69" s="244"/>
      <c r="HF69" s="244"/>
      <c r="HG69" s="244"/>
      <c r="HH69" s="244"/>
      <c r="HI69" s="244"/>
      <c r="HJ69" s="244"/>
      <c r="HK69" s="244"/>
      <c r="HL69" s="244"/>
      <c r="HM69" s="244"/>
      <c r="HN69" s="244"/>
      <c r="HO69" s="244"/>
      <c r="HP69" s="244"/>
      <c r="HQ69" s="244"/>
      <c r="HR69" s="244"/>
      <c r="HS69" s="244"/>
      <c r="HT69" s="244"/>
      <c r="HU69" s="244"/>
      <c r="HV69" s="244"/>
      <c r="HW69" s="244"/>
      <c r="HX69" s="244"/>
      <c r="HY69" s="244"/>
      <c r="HZ69" s="244"/>
      <c r="IA69" s="244"/>
      <c r="IB69" s="244"/>
      <c r="IC69" s="244"/>
      <c r="ID69" s="244"/>
      <c r="IE69" s="244"/>
      <c r="IF69" s="244"/>
      <c r="IG69" s="244"/>
      <c r="IH69" s="244"/>
      <c r="II69" s="244"/>
      <c r="IJ69" s="244"/>
      <c r="IK69" s="244"/>
      <c r="IL69" s="244"/>
      <c r="IM69" s="244"/>
      <c r="IN69" s="244"/>
      <c r="IO69" s="244"/>
      <c r="IP69" s="244"/>
      <c r="IQ69" s="244"/>
      <c r="IR69" s="244"/>
      <c r="IS69" s="244"/>
      <c r="IT69" s="244"/>
      <c r="IU69" s="244"/>
      <c r="IV69" s="244"/>
    </row>
    <row r="70" spans="1:256" s="192" customFormat="1" ht="12" x14ac:dyDescent="0.2">
      <c r="A70" s="244">
        <v>5.45</v>
      </c>
      <c r="B70" s="195">
        <f t="shared" si="14"/>
        <v>5.45</v>
      </c>
      <c r="C70" s="449" t="str">
        <f>'Quick Input'!I76</f>
        <v>Kosten FE-Prüfung</v>
      </c>
      <c r="D70" s="723">
        <v>17.82</v>
      </c>
      <c r="E70" s="192">
        <v>17.82</v>
      </c>
      <c r="F70" s="192">
        <v>0</v>
      </c>
      <c r="G70" s="192">
        <v>0</v>
      </c>
      <c r="H70" s="192">
        <v>5.45</v>
      </c>
      <c r="I70" s="192">
        <v>5.45</v>
      </c>
      <c r="J70" s="192">
        <v>0</v>
      </c>
      <c r="K70" s="192">
        <v>0</v>
      </c>
      <c r="L70" s="192">
        <v>26.68</v>
      </c>
      <c r="M70" s="192">
        <v>26.68</v>
      </c>
      <c r="N70" s="192">
        <v>26.68</v>
      </c>
      <c r="O70" s="192">
        <v>26.68</v>
      </c>
      <c r="P70" s="192">
        <v>0</v>
      </c>
      <c r="Q70" s="192">
        <v>26.68</v>
      </c>
      <c r="R70" s="192">
        <v>26.68</v>
      </c>
      <c r="S70" s="192">
        <v>17.82</v>
      </c>
      <c r="T70" s="192">
        <v>0</v>
      </c>
      <c r="U70" s="192">
        <v>5.45</v>
      </c>
      <c r="EW70" s="244"/>
      <c r="EX70" s="244"/>
      <c r="EY70" s="244"/>
      <c r="EZ70" s="244"/>
      <c r="FA70" s="244"/>
      <c r="FB70" s="244"/>
      <c r="FC70" s="244"/>
      <c r="FD70" s="244"/>
      <c r="FE70" s="244"/>
      <c r="FF70" s="244"/>
      <c r="FG70" s="244"/>
      <c r="FH70" s="244"/>
      <c r="FI70" s="244"/>
      <c r="FJ70" s="244"/>
      <c r="FK70" s="244"/>
      <c r="FL70" s="244"/>
      <c r="FM70" s="244"/>
      <c r="FN70" s="244"/>
      <c r="FO70" s="244"/>
      <c r="FP70" s="244"/>
      <c r="FQ70" s="244"/>
      <c r="FR70" s="244"/>
      <c r="FS70" s="244"/>
      <c r="FT70" s="244"/>
      <c r="FU70" s="244"/>
      <c r="FV70" s="244"/>
      <c r="FW70" s="244"/>
      <c r="FX70" s="244"/>
      <c r="FY70" s="244"/>
      <c r="FZ70" s="244"/>
      <c r="GA70" s="244"/>
      <c r="GB70" s="244"/>
      <c r="GC70" s="244"/>
      <c r="GD70" s="244"/>
      <c r="GE70" s="244"/>
      <c r="GF70" s="244"/>
      <c r="GG70" s="244"/>
      <c r="GH70" s="244"/>
      <c r="GI70" s="244"/>
      <c r="GJ70" s="244"/>
      <c r="GK70" s="244"/>
      <c r="GL70" s="244"/>
      <c r="GM70" s="244"/>
      <c r="GN70" s="244"/>
      <c r="GO70" s="244"/>
      <c r="GP70" s="244"/>
      <c r="GQ70" s="244"/>
      <c r="GR70" s="244"/>
      <c r="GS70" s="244"/>
      <c r="GT70" s="244"/>
      <c r="GU70" s="244"/>
      <c r="GV70" s="244"/>
      <c r="GW70" s="244"/>
      <c r="GX70" s="244"/>
      <c r="GY70" s="244"/>
      <c r="GZ70" s="244"/>
      <c r="HA70" s="244"/>
      <c r="HB70" s="244"/>
      <c r="HC70" s="244"/>
      <c r="HD70" s="244"/>
      <c r="HE70" s="244"/>
      <c r="HF70" s="244"/>
      <c r="HG70" s="244"/>
      <c r="HH70" s="244"/>
      <c r="HI70" s="244"/>
      <c r="HJ70" s="244"/>
      <c r="HK70" s="244"/>
      <c r="HL70" s="244"/>
      <c r="HM70" s="244"/>
      <c r="HN70" s="244"/>
      <c r="HO70" s="244"/>
      <c r="HP70" s="244"/>
      <c r="HQ70" s="244"/>
      <c r="HR70" s="244"/>
      <c r="HS70" s="244"/>
      <c r="HT70" s="244"/>
      <c r="HU70" s="244"/>
      <c r="HV70" s="244"/>
      <c r="HW70" s="244"/>
      <c r="HX70" s="244"/>
      <c r="HY70" s="244"/>
      <c r="HZ70" s="244"/>
      <c r="IA70" s="244"/>
      <c r="IB70" s="244"/>
      <c r="IC70" s="244"/>
      <c r="ID70" s="244"/>
      <c r="IE70" s="244"/>
      <c r="IF70" s="244"/>
      <c r="IG70" s="244"/>
      <c r="IH70" s="244"/>
      <c r="II70" s="244"/>
      <c r="IJ70" s="244"/>
      <c r="IK70" s="244"/>
      <c r="IL70" s="244"/>
      <c r="IM70" s="244"/>
      <c r="IN70" s="244"/>
      <c r="IO70" s="244"/>
      <c r="IP70" s="244"/>
      <c r="IQ70" s="244"/>
      <c r="IR70" s="244"/>
      <c r="IS70" s="244"/>
      <c r="IT70" s="244"/>
      <c r="IU70" s="244"/>
      <c r="IV70" s="244"/>
    </row>
    <row r="71" spans="1:256" s="192" customFormat="1" ht="12" x14ac:dyDescent="0.2">
      <c r="A71" s="244">
        <v>10.54</v>
      </c>
      <c r="B71" s="195">
        <f t="shared" si="14"/>
        <v>10.54</v>
      </c>
      <c r="C71" s="449" t="str">
        <f>'Quick Input'!I77</f>
        <v>Kosten X-Prüfung</v>
      </c>
      <c r="D71" s="723">
        <v>0</v>
      </c>
      <c r="E71" s="192">
        <v>0</v>
      </c>
      <c r="F71" s="192">
        <v>36.19</v>
      </c>
      <c r="G71" s="192">
        <v>36.19</v>
      </c>
      <c r="H71" s="192">
        <v>10.54</v>
      </c>
      <c r="I71" s="192">
        <v>10.54</v>
      </c>
      <c r="J71" s="192">
        <v>0</v>
      </c>
      <c r="K71" s="192">
        <v>0</v>
      </c>
      <c r="L71" s="192">
        <v>30.71</v>
      </c>
      <c r="M71" s="192">
        <v>30.71</v>
      </c>
      <c r="N71" s="192">
        <v>30.71</v>
      </c>
      <c r="O71" s="192">
        <v>30.71</v>
      </c>
      <c r="P71" s="192">
        <v>0</v>
      </c>
      <c r="Q71" s="192">
        <v>30.71</v>
      </c>
      <c r="R71" s="192">
        <v>30.71</v>
      </c>
      <c r="S71" s="192">
        <v>0</v>
      </c>
      <c r="T71" s="192">
        <v>36.19</v>
      </c>
      <c r="U71" s="192">
        <v>10.54</v>
      </c>
      <c r="EW71" s="244"/>
      <c r="EX71" s="244"/>
      <c r="EY71" s="244"/>
      <c r="EZ71" s="244"/>
      <c r="FA71" s="244"/>
      <c r="FB71" s="244"/>
      <c r="FC71" s="244"/>
      <c r="FD71" s="244"/>
      <c r="FE71" s="244"/>
      <c r="FF71" s="244"/>
      <c r="FG71" s="244"/>
      <c r="FH71" s="244"/>
      <c r="FI71" s="244"/>
      <c r="FJ71" s="244"/>
      <c r="FK71" s="244"/>
      <c r="FL71" s="244"/>
      <c r="FM71" s="244"/>
      <c r="FN71" s="244"/>
      <c r="FO71" s="244"/>
      <c r="FP71" s="244"/>
      <c r="FQ71" s="244"/>
      <c r="FR71" s="244"/>
      <c r="FS71" s="244"/>
      <c r="FT71" s="244"/>
      <c r="FU71" s="244"/>
      <c r="FV71" s="244"/>
      <c r="FW71" s="244"/>
      <c r="FX71" s="244"/>
      <c r="FY71" s="244"/>
      <c r="FZ71" s="244"/>
      <c r="GA71" s="244"/>
      <c r="GB71" s="244"/>
      <c r="GC71" s="244"/>
      <c r="GD71" s="244"/>
      <c r="GE71" s="244"/>
      <c r="GF71" s="244"/>
      <c r="GG71" s="244"/>
      <c r="GH71" s="244"/>
      <c r="GI71" s="244"/>
      <c r="GJ71" s="244"/>
      <c r="GK71" s="244"/>
      <c r="GL71" s="244"/>
      <c r="GM71" s="244"/>
      <c r="GN71" s="244"/>
      <c r="GO71" s="244"/>
      <c r="GP71" s="244"/>
      <c r="GQ71" s="244"/>
      <c r="GR71" s="244"/>
      <c r="GS71" s="244"/>
      <c r="GT71" s="244"/>
      <c r="GU71" s="244"/>
      <c r="GV71" s="244"/>
      <c r="GW71" s="244"/>
      <c r="GX71" s="244"/>
      <c r="GY71" s="244"/>
      <c r="GZ71" s="244"/>
      <c r="HA71" s="244"/>
      <c r="HB71" s="244"/>
      <c r="HC71" s="244"/>
      <c r="HD71" s="244"/>
      <c r="HE71" s="244"/>
      <c r="HF71" s="244"/>
      <c r="HG71" s="244"/>
      <c r="HH71" s="244"/>
      <c r="HI71" s="244"/>
      <c r="HJ71" s="244"/>
      <c r="HK71" s="244"/>
      <c r="HL71" s="244"/>
      <c r="HM71" s="244"/>
      <c r="HN71" s="244"/>
      <c r="HO71" s="244"/>
      <c r="HP71" s="244"/>
      <c r="HQ71" s="244"/>
      <c r="HR71" s="244"/>
      <c r="HS71" s="244"/>
      <c r="HT71" s="244"/>
      <c r="HU71" s="244"/>
      <c r="HV71" s="244"/>
      <c r="HW71" s="244"/>
      <c r="HX71" s="244"/>
      <c r="HY71" s="244"/>
      <c r="HZ71" s="244"/>
      <c r="IA71" s="244"/>
      <c r="IB71" s="244"/>
      <c r="IC71" s="244"/>
      <c r="ID71" s="244"/>
      <c r="IE71" s="244"/>
      <c r="IF71" s="244"/>
      <c r="IG71" s="244"/>
      <c r="IH71" s="244"/>
      <c r="II71" s="244"/>
      <c r="IJ71" s="244"/>
      <c r="IK71" s="244"/>
      <c r="IL71" s="244"/>
      <c r="IM71" s="244"/>
      <c r="IN71" s="244"/>
      <c r="IO71" s="244"/>
      <c r="IP71" s="244"/>
      <c r="IQ71" s="244"/>
      <c r="IR71" s="244"/>
      <c r="IS71" s="244"/>
      <c r="IT71" s="244"/>
      <c r="IU71" s="244"/>
      <c r="IV71" s="244"/>
    </row>
    <row r="72" spans="1:256" s="722" customFormat="1" ht="12" x14ac:dyDescent="0.2">
      <c r="A72" s="720">
        <v>0</v>
      </c>
      <c r="B72" s="213">
        <f t="shared" si="14"/>
        <v>0</v>
      </c>
      <c r="C72" s="721" t="str">
        <f>'Quick Input'!I78</f>
        <v>Anteil Nachprüfung</v>
      </c>
      <c r="D72" s="720">
        <v>0.2</v>
      </c>
      <c r="E72" s="720">
        <v>0.2</v>
      </c>
      <c r="F72" s="720">
        <v>0</v>
      </c>
      <c r="G72" s="720">
        <v>0</v>
      </c>
      <c r="H72" s="720">
        <v>0</v>
      </c>
      <c r="I72" s="720">
        <v>0</v>
      </c>
      <c r="J72" s="720">
        <v>0</v>
      </c>
      <c r="K72" s="720">
        <v>0</v>
      </c>
      <c r="L72" s="720">
        <v>0.5</v>
      </c>
      <c r="M72" s="720">
        <v>0.5</v>
      </c>
      <c r="N72" s="720">
        <v>0</v>
      </c>
      <c r="O72" s="720">
        <v>0</v>
      </c>
      <c r="P72" s="720">
        <v>0</v>
      </c>
      <c r="Q72" s="720">
        <v>0.5</v>
      </c>
      <c r="R72" s="720">
        <v>0</v>
      </c>
      <c r="S72" s="720">
        <v>0.2</v>
      </c>
      <c r="T72" s="720">
        <v>0</v>
      </c>
      <c r="U72" s="720">
        <v>0</v>
      </c>
      <c r="V72" s="720"/>
      <c r="W72" s="720"/>
      <c r="X72" s="720"/>
      <c r="Y72" s="720"/>
      <c r="Z72" s="720"/>
      <c r="AA72" s="720"/>
      <c r="AB72" s="720"/>
      <c r="AC72" s="720"/>
      <c r="AD72" s="720"/>
      <c r="AE72" s="720"/>
      <c r="AF72" s="720"/>
      <c r="AG72" s="720"/>
      <c r="AH72" s="720"/>
      <c r="AI72" s="720"/>
      <c r="AJ72" s="720"/>
      <c r="AK72" s="720"/>
      <c r="AL72" s="720"/>
      <c r="AM72" s="720"/>
      <c r="AN72" s="720"/>
      <c r="AO72" s="720"/>
      <c r="AP72" s="720"/>
      <c r="AQ72" s="720"/>
      <c r="AR72" s="720"/>
      <c r="AS72" s="720"/>
      <c r="AT72" s="720"/>
      <c r="AU72" s="720"/>
      <c r="AV72" s="720"/>
      <c r="AW72" s="720"/>
      <c r="AX72" s="720"/>
      <c r="AY72" s="720"/>
      <c r="AZ72" s="720"/>
      <c r="BA72" s="720"/>
      <c r="BB72" s="720"/>
      <c r="BC72" s="720"/>
      <c r="BD72" s="720"/>
      <c r="BE72" s="720"/>
      <c r="BF72" s="720"/>
      <c r="BG72" s="720"/>
      <c r="BH72" s="720"/>
      <c r="BI72" s="720"/>
      <c r="BJ72" s="720"/>
      <c r="BK72" s="720"/>
      <c r="BL72" s="720"/>
      <c r="BM72" s="720"/>
      <c r="BN72" s="720"/>
      <c r="BO72" s="720"/>
      <c r="BP72" s="720"/>
      <c r="BQ72" s="720"/>
      <c r="BR72" s="720"/>
      <c r="BS72" s="720"/>
      <c r="BT72" s="720"/>
      <c r="BU72" s="720"/>
      <c r="BV72" s="720"/>
      <c r="BW72" s="720"/>
      <c r="BX72" s="720"/>
      <c r="BY72" s="720"/>
      <c r="BZ72" s="720"/>
      <c r="CA72" s="720"/>
      <c r="CB72" s="720"/>
      <c r="CC72" s="720"/>
      <c r="CD72" s="720"/>
      <c r="CE72" s="720"/>
      <c r="CF72" s="720"/>
      <c r="CG72" s="720"/>
      <c r="CH72" s="720"/>
      <c r="CI72" s="720"/>
      <c r="CJ72" s="720"/>
      <c r="CK72" s="720"/>
      <c r="CL72" s="720"/>
      <c r="CM72" s="720"/>
      <c r="CN72" s="720"/>
      <c r="CO72" s="720"/>
      <c r="CP72" s="720"/>
      <c r="CQ72" s="720"/>
      <c r="CR72" s="720"/>
      <c r="CS72" s="720"/>
      <c r="CT72" s="720"/>
      <c r="CU72" s="720"/>
      <c r="CV72" s="720"/>
      <c r="CW72" s="720"/>
      <c r="CX72" s="720"/>
      <c r="CY72" s="720"/>
      <c r="CZ72" s="720"/>
      <c r="DA72" s="720"/>
      <c r="DB72" s="720"/>
      <c r="DC72" s="720"/>
      <c r="DD72" s="720"/>
      <c r="DE72" s="720"/>
      <c r="DF72" s="720"/>
      <c r="DG72" s="720"/>
      <c r="DH72" s="720"/>
      <c r="DI72" s="720"/>
      <c r="DJ72" s="720"/>
      <c r="DK72" s="720"/>
      <c r="DL72" s="720"/>
      <c r="DM72" s="720"/>
      <c r="DN72" s="720"/>
      <c r="DO72" s="720"/>
      <c r="DP72" s="720"/>
      <c r="DQ72" s="720"/>
      <c r="DR72" s="720"/>
      <c r="DS72" s="720"/>
      <c r="DT72" s="720"/>
      <c r="DU72" s="720"/>
      <c r="DV72" s="720"/>
      <c r="DW72" s="720"/>
      <c r="DX72" s="720"/>
      <c r="DY72" s="720"/>
      <c r="DZ72" s="720"/>
      <c r="EA72" s="720"/>
      <c r="EB72" s="720"/>
      <c r="EC72" s="720"/>
      <c r="ED72" s="720"/>
      <c r="EE72" s="720"/>
      <c r="EF72" s="720"/>
      <c r="EG72" s="720"/>
      <c r="EH72" s="720"/>
      <c r="EI72" s="720"/>
      <c r="EJ72" s="720"/>
      <c r="EK72" s="720"/>
      <c r="EL72" s="720"/>
      <c r="EM72" s="720"/>
      <c r="EN72" s="720"/>
      <c r="EO72" s="720"/>
      <c r="EP72" s="720"/>
      <c r="EQ72" s="720"/>
      <c r="ER72" s="720"/>
      <c r="ES72" s="720"/>
      <c r="ET72" s="720"/>
      <c r="EU72" s="720"/>
      <c r="EV72" s="720"/>
      <c r="EW72" s="720"/>
      <c r="EX72" s="720"/>
      <c r="EY72" s="720"/>
      <c r="EZ72" s="720"/>
      <c r="FA72" s="720"/>
      <c r="FB72" s="720"/>
      <c r="FC72" s="720"/>
      <c r="FD72" s="720"/>
      <c r="FE72" s="720"/>
      <c r="FF72" s="720"/>
      <c r="FG72" s="720"/>
      <c r="FH72" s="720"/>
      <c r="FI72" s="720"/>
      <c r="FJ72" s="720"/>
      <c r="FK72" s="720"/>
      <c r="FL72" s="720"/>
      <c r="FM72" s="720"/>
      <c r="FN72" s="720"/>
      <c r="FO72" s="720"/>
      <c r="FP72" s="720"/>
      <c r="FQ72" s="720"/>
      <c r="FR72" s="720"/>
      <c r="FS72" s="720"/>
      <c r="FT72" s="720"/>
      <c r="FU72" s="720"/>
      <c r="FV72" s="720"/>
      <c r="FW72" s="720"/>
      <c r="FX72" s="720"/>
      <c r="FY72" s="720"/>
      <c r="FZ72" s="720"/>
      <c r="GA72" s="720"/>
      <c r="GB72" s="720"/>
      <c r="GC72" s="720"/>
      <c r="GD72" s="720"/>
      <c r="GE72" s="720"/>
      <c r="GF72" s="720"/>
      <c r="GG72" s="720"/>
      <c r="GH72" s="720"/>
      <c r="GI72" s="720"/>
      <c r="GJ72" s="720"/>
      <c r="GK72" s="720"/>
      <c r="GL72" s="720"/>
      <c r="GM72" s="720"/>
      <c r="GN72" s="720"/>
      <c r="GO72" s="720"/>
      <c r="GP72" s="720"/>
      <c r="GQ72" s="720"/>
      <c r="GR72" s="720"/>
      <c r="GS72" s="720"/>
      <c r="GT72" s="720"/>
      <c r="GU72" s="720"/>
      <c r="GV72" s="720"/>
      <c r="GW72" s="720"/>
      <c r="GX72" s="720"/>
      <c r="GY72" s="720"/>
      <c r="GZ72" s="720"/>
      <c r="HA72" s="720"/>
      <c r="HB72" s="720"/>
      <c r="HC72" s="720"/>
      <c r="HD72" s="720"/>
      <c r="HE72" s="720"/>
      <c r="HF72" s="720"/>
      <c r="HG72" s="720"/>
      <c r="HH72" s="720"/>
      <c r="HI72" s="720"/>
      <c r="HJ72" s="720"/>
      <c r="HK72" s="720"/>
      <c r="HL72" s="720"/>
      <c r="HM72" s="720"/>
      <c r="HN72" s="720"/>
      <c r="HO72" s="720"/>
      <c r="HP72" s="720"/>
      <c r="HQ72" s="720"/>
      <c r="HR72" s="720"/>
      <c r="HS72" s="720"/>
      <c r="HT72" s="720"/>
      <c r="HU72" s="720"/>
      <c r="HV72" s="720"/>
      <c r="HW72" s="720"/>
      <c r="HX72" s="720"/>
      <c r="HY72" s="720"/>
      <c r="HZ72" s="720"/>
      <c r="IA72" s="720"/>
      <c r="IB72" s="720"/>
      <c r="IC72" s="720"/>
      <c r="ID72" s="720"/>
      <c r="IE72" s="720"/>
      <c r="IF72" s="720"/>
      <c r="IG72" s="720"/>
      <c r="IH72" s="720"/>
      <c r="II72" s="720"/>
      <c r="IJ72" s="720"/>
      <c r="IK72" s="720"/>
      <c r="IL72" s="720"/>
      <c r="IM72" s="720"/>
      <c r="IN72" s="720"/>
      <c r="IO72" s="720"/>
      <c r="IP72" s="720"/>
      <c r="IQ72" s="720"/>
      <c r="IR72" s="720"/>
      <c r="IS72" s="720"/>
      <c r="IT72" s="720"/>
      <c r="IU72" s="720"/>
      <c r="IV72" s="720"/>
    </row>
    <row r="73" spans="1:256" s="192" customFormat="1" ht="12" x14ac:dyDescent="0.2">
      <c r="A73" s="720">
        <v>0</v>
      </c>
      <c r="B73" s="213">
        <f t="shared" si="14"/>
        <v>0</v>
      </c>
      <c r="C73" s="449" t="str">
        <f>'Quick Input'!I79</f>
        <v>Reparaturanteil (%)</v>
      </c>
      <c r="D73" s="720">
        <v>0.02</v>
      </c>
      <c r="E73" s="248">
        <v>0.02</v>
      </c>
      <c r="F73" s="248">
        <v>0.02</v>
      </c>
      <c r="G73" s="248">
        <v>0.02</v>
      </c>
      <c r="H73" s="248">
        <v>0</v>
      </c>
      <c r="I73" s="248">
        <v>0</v>
      </c>
      <c r="J73" s="720">
        <v>0</v>
      </c>
      <c r="K73" s="248">
        <v>0</v>
      </c>
      <c r="L73" s="248">
        <v>0</v>
      </c>
      <c r="M73" s="248">
        <v>0</v>
      </c>
      <c r="N73" s="248">
        <v>0</v>
      </c>
      <c r="O73" s="248">
        <v>0</v>
      </c>
      <c r="P73" s="248">
        <v>0</v>
      </c>
      <c r="Q73" s="248">
        <v>0</v>
      </c>
      <c r="R73" s="248">
        <v>0</v>
      </c>
      <c r="S73" s="248">
        <v>0.02</v>
      </c>
      <c r="T73" s="248">
        <v>0.02</v>
      </c>
      <c r="U73" s="248">
        <v>0</v>
      </c>
      <c r="V73" s="248"/>
      <c r="W73" s="248"/>
      <c r="X73" s="248"/>
      <c r="Y73" s="248"/>
      <c r="Z73" s="248"/>
      <c r="AA73" s="248"/>
      <c r="AB73" s="248"/>
      <c r="AC73" s="248"/>
      <c r="AD73" s="248"/>
      <c r="AE73" s="248"/>
      <c r="AF73" s="248"/>
      <c r="AG73" s="248"/>
      <c r="AH73" s="248"/>
      <c r="AI73" s="248"/>
      <c r="AJ73" s="248"/>
      <c r="AK73" s="248"/>
      <c r="AL73" s="248"/>
      <c r="AM73" s="248"/>
      <c r="AN73" s="248"/>
      <c r="AO73" s="248"/>
      <c r="AP73" s="248"/>
      <c r="AQ73" s="248"/>
      <c r="AR73" s="248"/>
      <c r="AS73" s="248"/>
      <c r="AT73" s="248"/>
      <c r="AU73" s="248"/>
      <c r="AV73" s="248"/>
      <c r="AW73" s="248"/>
      <c r="AX73" s="248"/>
      <c r="AY73" s="248"/>
      <c r="AZ73" s="248"/>
      <c r="BA73" s="248"/>
      <c r="BB73" s="248"/>
      <c r="BC73" s="248"/>
      <c r="BD73" s="248"/>
      <c r="BE73" s="248"/>
      <c r="BF73" s="248"/>
      <c r="BG73" s="248"/>
      <c r="BH73" s="248"/>
      <c r="BI73" s="248"/>
      <c r="BJ73" s="248"/>
      <c r="BK73" s="248"/>
      <c r="BL73" s="248"/>
      <c r="BM73" s="248"/>
      <c r="BN73" s="248"/>
      <c r="BO73" s="248"/>
      <c r="BP73" s="248"/>
      <c r="BQ73" s="248"/>
      <c r="BR73" s="248"/>
      <c r="BS73" s="248"/>
      <c r="BT73" s="248"/>
      <c r="BU73" s="248"/>
      <c r="BV73" s="248"/>
      <c r="BW73" s="248"/>
      <c r="BX73" s="248"/>
      <c r="BY73" s="248"/>
      <c r="BZ73" s="248"/>
      <c r="CA73" s="248"/>
      <c r="CB73" s="248"/>
      <c r="CC73" s="248"/>
      <c r="CD73" s="248"/>
      <c r="CE73" s="248"/>
      <c r="CF73" s="248"/>
      <c r="CG73" s="248"/>
      <c r="CH73" s="248"/>
      <c r="CI73" s="248"/>
      <c r="CJ73" s="248"/>
      <c r="CK73" s="248"/>
      <c r="CL73" s="248"/>
      <c r="CM73" s="248"/>
      <c r="CN73" s="248"/>
      <c r="CO73" s="248"/>
      <c r="CP73" s="248"/>
      <c r="CQ73" s="248"/>
      <c r="CR73" s="248"/>
      <c r="CS73" s="248"/>
      <c r="CT73" s="248"/>
      <c r="CU73" s="248"/>
      <c r="CV73" s="248"/>
      <c r="CW73" s="248"/>
      <c r="CX73" s="248"/>
      <c r="CY73" s="248"/>
      <c r="CZ73" s="248"/>
      <c r="DA73" s="248"/>
      <c r="DB73" s="248"/>
      <c r="DC73" s="248"/>
      <c r="DD73" s="248"/>
      <c r="DE73" s="248"/>
      <c r="DF73" s="248"/>
      <c r="DG73" s="248"/>
      <c r="DH73" s="248"/>
      <c r="DI73" s="248"/>
      <c r="DJ73" s="248"/>
      <c r="DK73" s="248"/>
      <c r="DL73" s="248"/>
      <c r="DM73" s="248"/>
      <c r="DN73" s="248"/>
      <c r="DO73" s="248"/>
      <c r="DP73" s="248"/>
      <c r="DQ73" s="248"/>
      <c r="DR73" s="248"/>
      <c r="DS73" s="248"/>
      <c r="DT73" s="248"/>
      <c r="DU73" s="248"/>
      <c r="DV73" s="248"/>
      <c r="DW73" s="248"/>
      <c r="DX73" s="248"/>
      <c r="DY73" s="248"/>
      <c r="DZ73" s="248"/>
      <c r="EA73" s="248"/>
      <c r="EB73" s="248"/>
      <c r="EC73" s="248"/>
      <c r="ED73" s="248"/>
      <c r="EE73" s="248"/>
      <c r="EF73" s="248"/>
      <c r="EG73" s="248"/>
      <c r="EH73" s="248"/>
      <c r="EI73" s="248"/>
      <c r="EJ73" s="248"/>
      <c r="EK73" s="248"/>
      <c r="EL73" s="248"/>
      <c r="EM73" s="248"/>
      <c r="EN73" s="248"/>
      <c r="EO73" s="248"/>
      <c r="EP73" s="248"/>
      <c r="EQ73" s="248"/>
      <c r="ER73" s="248"/>
      <c r="ES73" s="248"/>
      <c r="ET73" s="248"/>
      <c r="EU73" s="248"/>
      <c r="EV73" s="248"/>
      <c r="EW73" s="248"/>
      <c r="EX73" s="248"/>
      <c r="EY73" s="248"/>
      <c r="EZ73" s="248"/>
      <c r="FA73" s="248"/>
      <c r="FB73" s="248"/>
      <c r="FC73" s="248"/>
      <c r="FD73" s="248"/>
      <c r="FE73" s="248"/>
      <c r="FF73" s="248"/>
      <c r="FG73" s="248"/>
      <c r="FH73" s="248"/>
      <c r="FI73" s="248"/>
      <c r="FJ73" s="248"/>
      <c r="FK73" s="248"/>
      <c r="FL73" s="248"/>
      <c r="FM73" s="248"/>
      <c r="FN73" s="248"/>
      <c r="FO73" s="248"/>
      <c r="FP73" s="248"/>
      <c r="FQ73" s="248"/>
      <c r="FR73" s="248"/>
      <c r="FS73" s="248"/>
      <c r="FT73" s="248"/>
      <c r="FU73" s="248"/>
      <c r="FV73" s="248"/>
      <c r="FW73" s="248"/>
      <c r="FX73" s="248"/>
      <c r="FY73" s="248"/>
      <c r="FZ73" s="248"/>
      <c r="GA73" s="248"/>
      <c r="GB73" s="248"/>
      <c r="GC73" s="248"/>
      <c r="GD73" s="248"/>
      <c r="GE73" s="248"/>
      <c r="GF73" s="248"/>
      <c r="GG73" s="248"/>
      <c r="GH73" s="248"/>
      <c r="GI73" s="248"/>
      <c r="GJ73" s="248"/>
      <c r="GK73" s="248"/>
      <c r="GL73" s="248"/>
      <c r="GM73" s="248"/>
      <c r="GN73" s="248"/>
      <c r="GO73" s="248"/>
      <c r="GP73" s="248"/>
      <c r="GQ73" s="248"/>
      <c r="GR73" s="248"/>
      <c r="GS73" s="248"/>
      <c r="GT73" s="248"/>
      <c r="GU73" s="248"/>
      <c r="GV73" s="248"/>
      <c r="GW73" s="248"/>
      <c r="GX73" s="248"/>
      <c r="GY73" s="248"/>
      <c r="GZ73" s="248"/>
      <c r="HA73" s="248"/>
      <c r="HB73" s="248"/>
      <c r="HC73" s="248"/>
      <c r="HD73" s="248"/>
      <c r="HE73" s="248"/>
      <c r="HF73" s="248"/>
      <c r="HG73" s="248"/>
      <c r="HH73" s="248"/>
      <c r="HI73" s="248"/>
      <c r="HJ73" s="248"/>
      <c r="HK73" s="248"/>
      <c r="HL73" s="248"/>
      <c r="HM73" s="248"/>
      <c r="HN73" s="248"/>
      <c r="HO73" s="248"/>
      <c r="HP73" s="248"/>
      <c r="HQ73" s="248"/>
      <c r="HR73" s="248"/>
      <c r="HS73" s="248"/>
      <c r="HT73" s="248"/>
      <c r="HU73" s="248"/>
      <c r="HV73" s="248"/>
      <c r="HW73" s="248"/>
      <c r="HX73" s="248"/>
      <c r="HY73" s="248"/>
      <c r="HZ73" s="248"/>
      <c r="IA73" s="248"/>
      <c r="IB73" s="248"/>
      <c r="IC73" s="248"/>
      <c r="ID73" s="248"/>
      <c r="IE73" s="248"/>
      <c r="IF73" s="248"/>
      <c r="IG73" s="248"/>
      <c r="IH73" s="248"/>
      <c r="II73" s="248"/>
      <c r="IJ73" s="248"/>
      <c r="IK73" s="248"/>
      <c r="IL73" s="248"/>
      <c r="IM73" s="248"/>
      <c r="IN73" s="248"/>
      <c r="IO73" s="248"/>
      <c r="IP73" s="248"/>
      <c r="IQ73" s="248"/>
      <c r="IR73" s="248"/>
      <c r="IS73" s="248"/>
      <c r="IT73" s="248"/>
      <c r="IU73" s="248"/>
      <c r="IV73" s="248"/>
    </row>
    <row r="74" spans="1:256" s="192" customFormat="1" ht="12" x14ac:dyDescent="0.2">
      <c r="A74" s="248">
        <v>0.15740000000000001</v>
      </c>
      <c r="B74" s="213">
        <f t="shared" si="14"/>
        <v>0.15740000000000001</v>
      </c>
      <c r="C74" s="449" t="str">
        <f>'Quick Input'!I80</f>
        <v>Fertigungsgemeinkosten</v>
      </c>
      <c r="D74" s="248">
        <v>0.14660000000000001</v>
      </c>
      <c r="E74" s="248">
        <v>0.14660000000000001</v>
      </c>
      <c r="F74" s="248">
        <v>0.1666</v>
      </c>
      <c r="G74" s="248">
        <v>0.1666</v>
      </c>
      <c r="H74" s="248">
        <v>0.15740000000000001</v>
      </c>
      <c r="I74" s="248">
        <v>0.15740000000000001</v>
      </c>
      <c r="J74" s="248">
        <v>0.16800000000000001</v>
      </c>
      <c r="K74" s="248">
        <v>0.16800000000000001</v>
      </c>
      <c r="L74" s="248">
        <v>0.16800000000000001</v>
      </c>
      <c r="M74" s="248">
        <v>0.16800000000000001</v>
      </c>
      <c r="N74" s="248">
        <v>0.16800000000000001</v>
      </c>
      <c r="O74" s="248">
        <v>0.16800000000000001</v>
      </c>
      <c r="P74" s="248">
        <v>0.16800000000000001</v>
      </c>
      <c r="Q74" s="248">
        <v>0.16800000000000001</v>
      </c>
      <c r="R74" s="248">
        <v>0.16800000000000001</v>
      </c>
      <c r="S74" s="248">
        <v>0.14660000000000001</v>
      </c>
      <c r="T74" s="248">
        <v>0.1666</v>
      </c>
      <c r="U74" s="248">
        <v>0.15740000000000001</v>
      </c>
      <c r="V74" s="248"/>
      <c r="W74" s="248"/>
      <c r="X74" s="248"/>
      <c r="Y74" s="248"/>
      <c r="Z74" s="248"/>
      <c r="AA74" s="248"/>
      <c r="AB74" s="248"/>
      <c r="AC74" s="248"/>
      <c r="AD74" s="248"/>
      <c r="AE74" s="248"/>
      <c r="AF74" s="248"/>
      <c r="AG74" s="248"/>
      <c r="AH74" s="248"/>
      <c r="AI74" s="248"/>
      <c r="AJ74" s="248"/>
      <c r="AK74" s="248"/>
      <c r="AL74" s="248"/>
      <c r="AM74" s="248"/>
      <c r="AN74" s="248"/>
      <c r="AO74" s="248"/>
      <c r="AP74" s="248"/>
      <c r="AQ74" s="248"/>
      <c r="AR74" s="248"/>
      <c r="AS74" s="248"/>
      <c r="AT74" s="248"/>
      <c r="AU74" s="248"/>
      <c r="AV74" s="248"/>
      <c r="AW74" s="248"/>
      <c r="AX74" s="248"/>
      <c r="AY74" s="248"/>
      <c r="AZ74" s="248"/>
      <c r="BA74" s="248"/>
      <c r="BB74" s="248"/>
      <c r="BC74" s="248"/>
      <c r="BD74" s="248"/>
      <c r="BE74" s="248"/>
      <c r="BF74" s="248"/>
      <c r="BG74" s="248"/>
      <c r="BH74" s="248"/>
      <c r="BI74" s="248"/>
      <c r="BJ74" s="248"/>
      <c r="BK74" s="248"/>
      <c r="BL74" s="248"/>
      <c r="BM74" s="248"/>
      <c r="BN74" s="248"/>
      <c r="BO74" s="248"/>
      <c r="BP74" s="248"/>
      <c r="BQ74" s="248"/>
      <c r="BR74" s="248"/>
      <c r="BS74" s="248"/>
      <c r="BT74" s="248"/>
      <c r="BU74" s="248"/>
      <c r="BV74" s="248"/>
      <c r="BW74" s="248"/>
      <c r="BX74" s="248"/>
      <c r="BY74" s="248"/>
      <c r="BZ74" s="248"/>
      <c r="CA74" s="248"/>
      <c r="CB74" s="248"/>
      <c r="CC74" s="248"/>
      <c r="CD74" s="248"/>
      <c r="CE74" s="248"/>
      <c r="CF74" s="248"/>
      <c r="CG74" s="248"/>
      <c r="CH74" s="248"/>
      <c r="CI74" s="248"/>
      <c r="CJ74" s="248"/>
      <c r="CK74" s="248"/>
      <c r="CL74" s="248"/>
      <c r="CM74" s="248"/>
      <c r="CN74" s="248"/>
      <c r="CO74" s="248"/>
      <c r="CP74" s="248"/>
      <c r="CQ74" s="248"/>
      <c r="CR74" s="248"/>
      <c r="CS74" s="248"/>
      <c r="CT74" s="248"/>
      <c r="CU74" s="248"/>
      <c r="CV74" s="248"/>
      <c r="CW74" s="248"/>
      <c r="CX74" s="248"/>
      <c r="CY74" s="248"/>
      <c r="CZ74" s="248"/>
      <c r="DA74" s="248"/>
      <c r="DB74" s="248"/>
      <c r="DC74" s="248"/>
      <c r="DD74" s="248"/>
      <c r="DE74" s="248"/>
      <c r="DF74" s="248"/>
      <c r="DG74" s="248"/>
      <c r="DH74" s="248"/>
      <c r="DI74" s="248"/>
      <c r="DJ74" s="248"/>
      <c r="DK74" s="248"/>
      <c r="DL74" s="248"/>
      <c r="DM74" s="248"/>
      <c r="DN74" s="248"/>
      <c r="DO74" s="248"/>
      <c r="DP74" s="248"/>
      <c r="DQ74" s="248"/>
      <c r="DR74" s="248"/>
      <c r="DS74" s="248"/>
      <c r="DT74" s="248"/>
      <c r="DU74" s="248"/>
      <c r="DV74" s="248"/>
      <c r="DW74" s="248"/>
      <c r="DX74" s="248"/>
      <c r="DY74" s="248"/>
      <c r="DZ74" s="248"/>
      <c r="EA74" s="248"/>
      <c r="EB74" s="248"/>
      <c r="EC74" s="248"/>
      <c r="ED74" s="248"/>
      <c r="EE74" s="248"/>
      <c r="EF74" s="248"/>
      <c r="EG74" s="248"/>
      <c r="EH74" s="248"/>
      <c r="EI74" s="248"/>
      <c r="EJ74" s="248"/>
      <c r="EK74" s="248"/>
      <c r="EL74" s="248"/>
      <c r="EM74" s="248"/>
      <c r="EN74" s="248"/>
      <c r="EO74" s="248"/>
      <c r="EP74" s="248"/>
      <c r="EQ74" s="248"/>
      <c r="ER74" s="248"/>
      <c r="ES74" s="248"/>
      <c r="ET74" s="248"/>
      <c r="EU74" s="248"/>
      <c r="EV74" s="248"/>
      <c r="EW74" s="248"/>
      <c r="EX74" s="248"/>
      <c r="EY74" s="248"/>
      <c r="EZ74" s="248"/>
      <c r="FA74" s="248"/>
      <c r="FB74" s="248"/>
      <c r="FC74" s="248"/>
      <c r="FD74" s="248"/>
      <c r="FE74" s="248"/>
      <c r="FF74" s="248"/>
      <c r="FG74" s="248"/>
      <c r="FH74" s="248"/>
      <c r="FI74" s="248"/>
      <c r="FJ74" s="248"/>
      <c r="FK74" s="248"/>
      <c r="FL74" s="248"/>
      <c r="FM74" s="248"/>
      <c r="FN74" s="248"/>
      <c r="FO74" s="248"/>
      <c r="FP74" s="248"/>
      <c r="FQ74" s="248"/>
      <c r="FR74" s="248"/>
      <c r="FS74" s="248"/>
      <c r="FT74" s="248"/>
      <c r="FU74" s="248"/>
      <c r="FV74" s="248"/>
      <c r="FW74" s="248"/>
      <c r="FX74" s="248"/>
      <c r="FY74" s="248"/>
      <c r="FZ74" s="248"/>
      <c r="GA74" s="248"/>
      <c r="GB74" s="248"/>
      <c r="GC74" s="248"/>
      <c r="GD74" s="248"/>
      <c r="GE74" s="248"/>
      <c r="GF74" s="248"/>
      <c r="GG74" s="248"/>
      <c r="GH74" s="248"/>
      <c r="GI74" s="248"/>
      <c r="GJ74" s="248"/>
      <c r="GK74" s="248"/>
      <c r="GL74" s="248"/>
      <c r="GM74" s="248"/>
      <c r="GN74" s="248"/>
      <c r="GO74" s="248"/>
      <c r="GP74" s="248"/>
      <c r="GQ74" s="248"/>
      <c r="GR74" s="248"/>
      <c r="GS74" s="248"/>
      <c r="GT74" s="248"/>
      <c r="GU74" s="248"/>
      <c r="GV74" s="248"/>
      <c r="GW74" s="248"/>
      <c r="GX74" s="248"/>
      <c r="GY74" s="248"/>
      <c r="GZ74" s="248"/>
      <c r="HA74" s="248"/>
      <c r="HB74" s="248"/>
      <c r="HC74" s="248"/>
      <c r="HD74" s="248"/>
      <c r="HE74" s="248"/>
      <c r="HF74" s="248"/>
      <c r="HG74" s="248"/>
      <c r="HH74" s="248"/>
      <c r="HI74" s="248"/>
      <c r="HJ74" s="248"/>
      <c r="HK74" s="248"/>
      <c r="HL74" s="248"/>
      <c r="HM74" s="248"/>
      <c r="HN74" s="248"/>
      <c r="HO74" s="248"/>
      <c r="HP74" s="248"/>
      <c r="HQ74" s="248"/>
      <c r="HR74" s="248"/>
      <c r="HS74" s="248"/>
      <c r="HT74" s="248"/>
      <c r="HU74" s="248"/>
      <c r="HV74" s="248"/>
      <c r="HW74" s="248"/>
      <c r="HX74" s="248"/>
      <c r="HY74" s="248"/>
      <c r="HZ74" s="248"/>
      <c r="IA74" s="248"/>
      <c r="IB74" s="248"/>
      <c r="IC74" s="248"/>
      <c r="ID74" s="248"/>
      <c r="IE74" s="248"/>
      <c r="IF74" s="248"/>
      <c r="IG74" s="248"/>
      <c r="IH74" s="248"/>
      <c r="II74" s="248"/>
      <c r="IJ74" s="248"/>
      <c r="IK74" s="248"/>
      <c r="IL74" s="248"/>
      <c r="IM74" s="248"/>
      <c r="IN74" s="248"/>
      <c r="IO74" s="248"/>
      <c r="IP74" s="248"/>
      <c r="IQ74" s="248"/>
      <c r="IR74" s="248"/>
      <c r="IS74" s="248"/>
      <c r="IT74" s="248"/>
      <c r="IU74" s="248"/>
      <c r="IV74" s="248"/>
    </row>
    <row r="75" spans="1:256" s="192" customFormat="1" ht="12" x14ac:dyDescent="0.2">
      <c r="A75" s="248">
        <v>0.12</v>
      </c>
      <c r="B75" s="213">
        <f t="shared" si="14"/>
        <v>0.12</v>
      </c>
      <c r="C75" s="449" t="str">
        <f>'Quick Input'!I81</f>
        <v>Vertriebs- und Verw. GK satz</v>
      </c>
      <c r="D75" s="248">
        <v>0.12</v>
      </c>
      <c r="E75" s="248">
        <v>0.12</v>
      </c>
      <c r="F75" s="248">
        <v>0.12</v>
      </c>
      <c r="G75" s="248">
        <v>0.12</v>
      </c>
      <c r="H75" s="248">
        <v>0.12</v>
      </c>
      <c r="I75" s="248">
        <v>0.12</v>
      </c>
      <c r="J75" s="248">
        <v>0.12</v>
      </c>
      <c r="K75" s="248">
        <v>0.12</v>
      </c>
      <c r="L75" s="248">
        <v>0.12</v>
      </c>
      <c r="M75" s="248">
        <v>0.12</v>
      </c>
      <c r="N75" s="248">
        <v>0.12</v>
      </c>
      <c r="O75" s="248">
        <v>0.12</v>
      </c>
      <c r="P75" s="248">
        <v>0.12</v>
      </c>
      <c r="Q75" s="248">
        <v>0.12</v>
      </c>
      <c r="R75" s="248">
        <v>0.12</v>
      </c>
      <c r="S75" s="248">
        <v>0.12</v>
      </c>
      <c r="T75" s="248">
        <v>0.12</v>
      </c>
      <c r="U75" s="248">
        <v>0.12</v>
      </c>
      <c r="V75" s="248"/>
      <c r="W75" s="248"/>
      <c r="X75" s="248"/>
      <c r="Y75" s="248"/>
      <c r="Z75" s="248"/>
      <c r="AA75" s="248"/>
      <c r="AB75" s="248"/>
      <c r="AC75" s="248"/>
      <c r="AD75" s="248"/>
      <c r="AE75" s="248"/>
      <c r="AF75" s="248"/>
      <c r="AG75" s="248"/>
      <c r="AH75" s="248"/>
      <c r="AI75" s="248"/>
      <c r="AJ75" s="248"/>
      <c r="AK75" s="248"/>
      <c r="AL75" s="248"/>
      <c r="AM75" s="248"/>
      <c r="AN75" s="248"/>
      <c r="AO75" s="248"/>
      <c r="AP75" s="248"/>
      <c r="AQ75" s="248"/>
      <c r="AR75" s="248"/>
      <c r="AS75" s="248"/>
      <c r="AT75" s="248"/>
      <c r="AU75" s="248"/>
      <c r="AV75" s="248"/>
      <c r="AW75" s="248"/>
      <c r="AX75" s="248"/>
      <c r="AY75" s="248"/>
      <c r="AZ75" s="248"/>
      <c r="BA75" s="248"/>
      <c r="BB75" s="248"/>
      <c r="BC75" s="248"/>
      <c r="BD75" s="248"/>
      <c r="BE75" s="248"/>
      <c r="BF75" s="248"/>
      <c r="BG75" s="248"/>
      <c r="BH75" s="248"/>
      <c r="BI75" s="248"/>
      <c r="BJ75" s="248"/>
      <c r="BK75" s="248"/>
      <c r="BL75" s="248"/>
      <c r="BM75" s="248"/>
      <c r="BN75" s="248"/>
      <c r="BO75" s="248"/>
      <c r="BP75" s="248"/>
      <c r="BQ75" s="248"/>
      <c r="BR75" s="248"/>
      <c r="BS75" s="248"/>
      <c r="BT75" s="248"/>
      <c r="BU75" s="248"/>
      <c r="BV75" s="248"/>
      <c r="BW75" s="248"/>
      <c r="BX75" s="248"/>
      <c r="BY75" s="248"/>
      <c r="BZ75" s="248"/>
      <c r="CA75" s="248"/>
      <c r="CB75" s="248"/>
      <c r="CC75" s="248"/>
      <c r="CD75" s="248"/>
      <c r="CE75" s="248"/>
      <c r="CF75" s="248"/>
      <c r="CG75" s="248"/>
      <c r="CH75" s="248"/>
      <c r="CI75" s="248"/>
      <c r="CJ75" s="248"/>
      <c r="CK75" s="248"/>
      <c r="CL75" s="248"/>
      <c r="CM75" s="248"/>
      <c r="CN75" s="248"/>
      <c r="CO75" s="248"/>
      <c r="CP75" s="248"/>
      <c r="CQ75" s="248"/>
      <c r="CR75" s="248"/>
      <c r="CS75" s="248"/>
      <c r="CT75" s="248"/>
      <c r="CU75" s="248"/>
      <c r="CV75" s="248"/>
      <c r="CW75" s="248"/>
      <c r="CX75" s="248"/>
      <c r="CY75" s="248"/>
      <c r="CZ75" s="248"/>
      <c r="DA75" s="248"/>
      <c r="DB75" s="248"/>
      <c r="DC75" s="248"/>
      <c r="DD75" s="248"/>
      <c r="DE75" s="248"/>
      <c r="DF75" s="248"/>
      <c r="DG75" s="248"/>
      <c r="DH75" s="248"/>
      <c r="DI75" s="248"/>
      <c r="DJ75" s="248"/>
      <c r="DK75" s="248"/>
      <c r="DL75" s="248"/>
      <c r="DM75" s="248"/>
      <c r="DN75" s="248"/>
      <c r="DO75" s="248"/>
      <c r="DP75" s="248"/>
      <c r="DQ75" s="248"/>
      <c r="DR75" s="248"/>
      <c r="DS75" s="248"/>
      <c r="DT75" s="248"/>
      <c r="DU75" s="248"/>
      <c r="DV75" s="248"/>
      <c r="DW75" s="248"/>
      <c r="DX75" s="248"/>
      <c r="DY75" s="248"/>
      <c r="DZ75" s="248"/>
      <c r="EA75" s="248"/>
      <c r="EB75" s="248"/>
      <c r="EC75" s="248"/>
      <c r="ED75" s="248"/>
      <c r="EE75" s="248"/>
      <c r="EF75" s="248"/>
      <c r="EG75" s="248"/>
      <c r="EH75" s="248"/>
      <c r="EI75" s="248"/>
      <c r="EJ75" s="248"/>
      <c r="EK75" s="248"/>
      <c r="EL75" s="248"/>
      <c r="EM75" s="248"/>
      <c r="EN75" s="248"/>
      <c r="EO75" s="248"/>
      <c r="EP75" s="248"/>
      <c r="EQ75" s="248"/>
      <c r="ER75" s="248"/>
      <c r="ES75" s="248"/>
      <c r="ET75" s="248"/>
      <c r="EU75" s="248"/>
      <c r="EV75" s="248"/>
      <c r="EW75" s="248"/>
      <c r="EX75" s="248"/>
      <c r="EY75" s="248"/>
      <c r="EZ75" s="248"/>
      <c r="FA75" s="248"/>
      <c r="FB75" s="248"/>
      <c r="FC75" s="248"/>
      <c r="FD75" s="248"/>
      <c r="FE75" s="248"/>
      <c r="FF75" s="248"/>
      <c r="FG75" s="248"/>
      <c r="FH75" s="248"/>
      <c r="FI75" s="248"/>
      <c r="FJ75" s="248"/>
      <c r="FK75" s="248"/>
      <c r="FL75" s="248"/>
      <c r="FM75" s="248"/>
      <c r="FN75" s="248"/>
      <c r="FO75" s="248"/>
      <c r="FP75" s="248"/>
      <c r="FQ75" s="248"/>
      <c r="FR75" s="248"/>
      <c r="FS75" s="248"/>
      <c r="FT75" s="248"/>
      <c r="FU75" s="248"/>
      <c r="FV75" s="248"/>
      <c r="FW75" s="248"/>
      <c r="FX75" s="248"/>
      <c r="FY75" s="248"/>
      <c r="FZ75" s="248"/>
      <c r="GA75" s="248"/>
      <c r="GB75" s="248"/>
      <c r="GC75" s="248"/>
      <c r="GD75" s="248"/>
      <c r="GE75" s="248"/>
      <c r="GF75" s="248"/>
      <c r="GG75" s="248"/>
      <c r="GH75" s="248"/>
      <c r="GI75" s="248"/>
      <c r="GJ75" s="248"/>
      <c r="GK75" s="248"/>
      <c r="GL75" s="248"/>
      <c r="GM75" s="248"/>
      <c r="GN75" s="248"/>
      <c r="GO75" s="248"/>
      <c r="GP75" s="248"/>
      <c r="GQ75" s="248"/>
      <c r="GR75" s="248"/>
      <c r="GS75" s="248"/>
      <c r="GT75" s="248"/>
      <c r="GU75" s="248"/>
      <c r="GV75" s="248"/>
      <c r="GW75" s="248"/>
      <c r="GX75" s="248"/>
      <c r="GY75" s="248"/>
      <c r="GZ75" s="248"/>
      <c r="HA75" s="248"/>
      <c r="HB75" s="248"/>
      <c r="HC75" s="248"/>
      <c r="HD75" s="248"/>
      <c r="HE75" s="248"/>
      <c r="HF75" s="248"/>
      <c r="HG75" s="248"/>
      <c r="HH75" s="248"/>
      <c r="HI75" s="248"/>
      <c r="HJ75" s="248"/>
      <c r="HK75" s="248"/>
      <c r="HL75" s="248"/>
      <c r="HM75" s="248"/>
      <c r="HN75" s="248"/>
      <c r="HO75" s="248"/>
      <c r="HP75" s="248"/>
      <c r="HQ75" s="248"/>
      <c r="HR75" s="248"/>
      <c r="HS75" s="248"/>
      <c r="HT75" s="248"/>
      <c r="HU75" s="248"/>
      <c r="HV75" s="248"/>
      <c r="HW75" s="248"/>
      <c r="HX75" s="248"/>
      <c r="HY75" s="248"/>
      <c r="HZ75" s="248"/>
      <c r="IA75" s="248"/>
      <c r="IB75" s="248"/>
      <c r="IC75" s="248"/>
      <c r="ID75" s="248"/>
      <c r="IE75" s="248"/>
      <c r="IF75" s="248"/>
      <c r="IG75" s="248"/>
      <c r="IH75" s="248"/>
      <c r="II75" s="248"/>
      <c r="IJ75" s="248"/>
      <c r="IK75" s="248"/>
      <c r="IL75" s="248"/>
      <c r="IM75" s="248"/>
      <c r="IN75" s="248"/>
      <c r="IO75" s="248"/>
      <c r="IP75" s="248"/>
      <c r="IQ75" s="248"/>
      <c r="IR75" s="248"/>
      <c r="IS75" s="248"/>
      <c r="IT75" s="248"/>
      <c r="IU75" s="248"/>
      <c r="IV75" s="248"/>
    </row>
    <row r="76" spans="1:256" s="192" customFormat="1" ht="12" x14ac:dyDescent="0.2">
      <c r="A76" s="248">
        <v>0</v>
      </c>
      <c r="B76" s="213">
        <f t="shared" si="14"/>
        <v>0</v>
      </c>
      <c r="C76" s="449" t="str">
        <f>'Quick Input'!I82</f>
        <v>Gewinn auf Material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/>
      <c r="W76" s="248"/>
      <c r="X76" s="248"/>
      <c r="Y76" s="248"/>
      <c r="Z76" s="248"/>
      <c r="AA76" s="248"/>
      <c r="AB76" s="248"/>
      <c r="AC76" s="248"/>
      <c r="AD76" s="248"/>
      <c r="AE76" s="248"/>
      <c r="AF76" s="248"/>
      <c r="AG76" s="248"/>
      <c r="AH76" s="248"/>
      <c r="AI76" s="248"/>
      <c r="AJ76" s="248"/>
      <c r="AK76" s="248"/>
      <c r="AL76" s="248"/>
      <c r="AM76" s="248"/>
      <c r="AN76" s="248"/>
      <c r="AO76" s="248"/>
      <c r="AP76" s="248"/>
      <c r="AQ76" s="248"/>
      <c r="AR76" s="248"/>
      <c r="AS76" s="248"/>
      <c r="AT76" s="248"/>
      <c r="AU76" s="248"/>
      <c r="AV76" s="248"/>
      <c r="AW76" s="248"/>
      <c r="AX76" s="248"/>
      <c r="AY76" s="248"/>
      <c r="AZ76" s="248"/>
      <c r="BA76" s="248"/>
      <c r="BB76" s="248"/>
      <c r="BC76" s="248"/>
      <c r="BD76" s="248"/>
      <c r="BE76" s="248"/>
      <c r="BF76" s="248"/>
      <c r="BG76" s="248"/>
      <c r="BH76" s="248"/>
      <c r="BI76" s="248"/>
      <c r="BJ76" s="248"/>
      <c r="BK76" s="248"/>
      <c r="BL76" s="248"/>
      <c r="BM76" s="248"/>
      <c r="BN76" s="248"/>
      <c r="BO76" s="248"/>
      <c r="BP76" s="248"/>
      <c r="BQ76" s="248"/>
      <c r="BR76" s="248"/>
      <c r="BS76" s="248"/>
      <c r="BT76" s="248"/>
      <c r="BU76" s="248"/>
      <c r="BV76" s="248"/>
      <c r="BW76" s="248"/>
      <c r="BX76" s="248"/>
      <c r="BY76" s="248"/>
      <c r="BZ76" s="248"/>
      <c r="CA76" s="248"/>
      <c r="CB76" s="248"/>
      <c r="CC76" s="248"/>
      <c r="CD76" s="248"/>
      <c r="CE76" s="248"/>
      <c r="CF76" s="248"/>
      <c r="CG76" s="248"/>
      <c r="CH76" s="248"/>
      <c r="CI76" s="248"/>
      <c r="CJ76" s="248"/>
      <c r="CK76" s="248"/>
      <c r="CL76" s="248"/>
      <c r="CM76" s="248"/>
      <c r="CN76" s="248"/>
      <c r="CO76" s="248"/>
      <c r="CP76" s="248"/>
      <c r="CQ76" s="248"/>
      <c r="CR76" s="248"/>
      <c r="CS76" s="248"/>
      <c r="CT76" s="248"/>
      <c r="CU76" s="248"/>
      <c r="CV76" s="248"/>
      <c r="CW76" s="248"/>
      <c r="CX76" s="248"/>
      <c r="CY76" s="248"/>
      <c r="CZ76" s="248"/>
      <c r="DA76" s="248"/>
      <c r="DB76" s="248"/>
      <c r="DC76" s="248"/>
      <c r="DD76" s="248"/>
      <c r="DE76" s="248"/>
      <c r="DF76" s="248"/>
      <c r="DG76" s="248"/>
      <c r="DH76" s="248"/>
      <c r="DI76" s="248"/>
      <c r="DJ76" s="248"/>
      <c r="DK76" s="248"/>
      <c r="DL76" s="248"/>
      <c r="DM76" s="248"/>
      <c r="DN76" s="248"/>
      <c r="DO76" s="248"/>
      <c r="DP76" s="248"/>
      <c r="DQ76" s="248"/>
      <c r="DR76" s="248"/>
      <c r="DS76" s="248"/>
      <c r="DT76" s="248"/>
      <c r="DU76" s="248"/>
      <c r="DV76" s="248"/>
      <c r="DW76" s="248"/>
      <c r="DX76" s="248"/>
      <c r="DY76" s="248"/>
      <c r="DZ76" s="248"/>
      <c r="EA76" s="248"/>
      <c r="EB76" s="248"/>
      <c r="EC76" s="248"/>
      <c r="ED76" s="248"/>
      <c r="EE76" s="248"/>
      <c r="EF76" s="248"/>
      <c r="EG76" s="248"/>
      <c r="EH76" s="248"/>
      <c r="EI76" s="248"/>
      <c r="EJ76" s="248"/>
      <c r="EK76" s="248"/>
      <c r="EL76" s="248"/>
      <c r="EM76" s="248"/>
      <c r="EN76" s="248"/>
      <c r="EO76" s="248"/>
      <c r="EP76" s="248"/>
      <c r="EQ76" s="248"/>
      <c r="ER76" s="248"/>
      <c r="ES76" s="248"/>
      <c r="ET76" s="248"/>
      <c r="EU76" s="248"/>
      <c r="EV76" s="248"/>
      <c r="EW76" s="248"/>
      <c r="EX76" s="248"/>
      <c r="EY76" s="248"/>
      <c r="EZ76" s="248"/>
      <c r="FA76" s="248"/>
      <c r="FB76" s="248"/>
      <c r="FC76" s="248"/>
      <c r="FD76" s="248"/>
      <c r="FE76" s="248"/>
      <c r="FF76" s="248"/>
      <c r="FG76" s="248"/>
      <c r="FH76" s="248"/>
      <c r="FI76" s="248"/>
      <c r="FJ76" s="248"/>
      <c r="FK76" s="248"/>
      <c r="FL76" s="248"/>
      <c r="FM76" s="248"/>
      <c r="FN76" s="248"/>
      <c r="FO76" s="248"/>
      <c r="FP76" s="248"/>
      <c r="FQ76" s="248"/>
      <c r="FR76" s="248"/>
      <c r="FS76" s="248"/>
      <c r="FT76" s="248"/>
      <c r="FU76" s="248"/>
      <c r="FV76" s="248"/>
      <c r="FW76" s="248"/>
      <c r="FX76" s="248"/>
      <c r="FY76" s="248"/>
      <c r="FZ76" s="248"/>
      <c r="GA76" s="248"/>
      <c r="GB76" s="248"/>
      <c r="GC76" s="248"/>
      <c r="GD76" s="248"/>
      <c r="GE76" s="248"/>
      <c r="GF76" s="248"/>
      <c r="GG76" s="248"/>
      <c r="GH76" s="248"/>
      <c r="GI76" s="248"/>
      <c r="GJ76" s="248"/>
      <c r="GK76" s="248"/>
      <c r="GL76" s="248"/>
      <c r="GM76" s="248"/>
      <c r="GN76" s="248"/>
      <c r="GO76" s="248"/>
      <c r="GP76" s="248"/>
      <c r="GQ76" s="248"/>
      <c r="GR76" s="248"/>
      <c r="GS76" s="248"/>
      <c r="GT76" s="248"/>
      <c r="GU76" s="248"/>
      <c r="GV76" s="248"/>
      <c r="GW76" s="248"/>
      <c r="GX76" s="248"/>
      <c r="GY76" s="248"/>
      <c r="GZ76" s="248"/>
      <c r="HA76" s="248"/>
      <c r="HB76" s="248"/>
      <c r="HC76" s="248"/>
      <c r="HD76" s="248"/>
      <c r="HE76" s="248"/>
      <c r="HF76" s="248"/>
      <c r="HG76" s="248"/>
      <c r="HH76" s="248"/>
      <c r="HI76" s="248"/>
      <c r="HJ76" s="248"/>
      <c r="HK76" s="248"/>
      <c r="HL76" s="248"/>
      <c r="HM76" s="248"/>
      <c r="HN76" s="248"/>
      <c r="HO76" s="248"/>
      <c r="HP76" s="248"/>
      <c r="HQ76" s="248"/>
      <c r="HR76" s="248"/>
      <c r="HS76" s="248"/>
      <c r="HT76" s="248"/>
      <c r="HU76" s="248"/>
      <c r="HV76" s="248"/>
      <c r="HW76" s="248"/>
      <c r="HX76" s="248"/>
      <c r="HY76" s="248"/>
      <c r="HZ76" s="248"/>
      <c r="IA76" s="248"/>
      <c r="IB76" s="248"/>
      <c r="IC76" s="248"/>
      <c r="ID76" s="248"/>
      <c r="IE76" s="248"/>
      <c r="IF76" s="248"/>
      <c r="IG76" s="248"/>
      <c r="IH76" s="248"/>
      <c r="II76" s="248"/>
      <c r="IJ76" s="248"/>
      <c r="IK76" s="248"/>
      <c r="IL76" s="248"/>
      <c r="IM76" s="248"/>
      <c r="IN76" s="248"/>
      <c r="IO76" s="248"/>
      <c r="IP76" s="248"/>
      <c r="IQ76" s="248"/>
      <c r="IR76" s="248"/>
      <c r="IS76" s="248"/>
      <c r="IT76" s="248"/>
      <c r="IU76" s="248"/>
      <c r="IV76" s="248"/>
    </row>
    <row r="77" spans="1:256" s="194" customFormat="1" ht="12" x14ac:dyDescent="0.2">
      <c r="A77" s="248">
        <v>0.115</v>
      </c>
      <c r="B77" s="213">
        <f t="shared" si="14"/>
        <v>0.115</v>
      </c>
      <c r="C77" s="449" t="str">
        <f>'Quick Input'!I83</f>
        <v>Gewinn auf Wertschöpfung</v>
      </c>
      <c r="D77" s="248">
        <v>0.115</v>
      </c>
      <c r="E77" s="248">
        <v>0.115</v>
      </c>
      <c r="F77" s="248">
        <v>0.1</v>
      </c>
      <c r="G77" s="248">
        <v>0.1</v>
      </c>
      <c r="H77" s="248">
        <v>0.115</v>
      </c>
      <c r="I77" s="248">
        <v>0.115</v>
      </c>
      <c r="J77" s="248">
        <v>0.08</v>
      </c>
      <c r="K77" s="248">
        <v>0.08</v>
      </c>
      <c r="L77" s="248">
        <v>0.08</v>
      </c>
      <c r="M77" s="248">
        <v>0.08</v>
      </c>
      <c r="N77" s="248">
        <v>0.08</v>
      </c>
      <c r="O77" s="248">
        <v>0.08</v>
      </c>
      <c r="P77" s="248">
        <v>0.08</v>
      </c>
      <c r="Q77" s="248">
        <v>0.08</v>
      </c>
      <c r="R77" s="248">
        <v>0.08</v>
      </c>
      <c r="S77" s="248">
        <v>0.115</v>
      </c>
      <c r="T77" s="248">
        <v>0.1</v>
      </c>
      <c r="U77" s="248">
        <v>0.115</v>
      </c>
      <c r="V77" s="248"/>
      <c r="W77" s="248"/>
      <c r="X77" s="248"/>
      <c r="Y77" s="248"/>
      <c r="Z77" s="248"/>
      <c r="AA77" s="248"/>
      <c r="AB77" s="248"/>
      <c r="AC77" s="248"/>
      <c r="AD77" s="248"/>
      <c r="AE77" s="248"/>
      <c r="AF77" s="248"/>
      <c r="AG77" s="248"/>
      <c r="AH77" s="248"/>
      <c r="AI77" s="248"/>
      <c r="AJ77" s="248"/>
      <c r="AK77" s="248"/>
      <c r="AL77" s="248"/>
      <c r="AM77" s="248"/>
      <c r="AN77" s="248"/>
      <c r="AO77" s="248"/>
      <c r="AP77" s="248"/>
      <c r="AQ77" s="248"/>
      <c r="AR77" s="248"/>
      <c r="AS77" s="248"/>
      <c r="AT77" s="248"/>
      <c r="AU77" s="248"/>
      <c r="AV77" s="248"/>
      <c r="AW77" s="248"/>
      <c r="AX77" s="248"/>
      <c r="AY77" s="248"/>
      <c r="AZ77" s="248"/>
      <c r="BA77" s="248"/>
      <c r="BB77" s="248"/>
      <c r="BC77" s="248"/>
      <c r="BD77" s="248"/>
      <c r="BE77" s="248"/>
      <c r="BF77" s="248"/>
      <c r="BG77" s="248"/>
      <c r="BH77" s="248"/>
      <c r="BI77" s="248"/>
      <c r="BJ77" s="248"/>
      <c r="BK77" s="248"/>
      <c r="BL77" s="248"/>
      <c r="BM77" s="248"/>
      <c r="BN77" s="248"/>
      <c r="BO77" s="248"/>
      <c r="BP77" s="248"/>
      <c r="BQ77" s="248"/>
      <c r="BR77" s="248"/>
      <c r="BS77" s="248"/>
      <c r="BT77" s="248"/>
      <c r="BU77" s="248"/>
      <c r="BV77" s="248"/>
      <c r="BW77" s="248"/>
      <c r="BX77" s="248"/>
      <c r="BY77" s="248"/>
      <c r="BZ77" s="248"/>
      <c r="CA77" s="248"/>
      <c r="CB77" s="248"/>
      <c r="CC77" s="248"/>
      <c r="CD77" s="248"/>
      <c r="CE77" s="248"/>
      <c r="CF77" s="248"/>
      <c r="CG77" s="248"/>
      <c r="CH77" s="248"/>
      <c r="CI77" s="248"/>
      <c r="CJ77" s="248"/>
      <c r="CK77" s="248"/>
      <c r="CL77" s="248"/>
      <c r="CM77" s="248"/>
      <c r="CN77" s="248"/>
      <c r="CO77" s="248"/>
      <c r="CP77" s="248"/>
      <c r="CQ77" s="248"/>
      <c r="CR77" s="248"/>
      <c r="CS77" s="248"/>
      <c r="CT77" s="248"/>
      <c r="CU77" s="248"/>
      <c r="CV77" s="248"/>
      <c r="CW77" s="248"/>
      <c r="CX77" s="248"/>
      <c r="CY77" s="248"/>
      <c r="CZ77" s="248"/>
      <c r="DA77" s="248"/>
      <c r="DB77" s="248"/>
      <c r="DC77" s="248"/>
      <c r="DD77" s="248"/>
      <c r="DE77" s="248"/>
      <c r="DF77" s="248"/>
      <c r="DG77" s="248"/>
      <c r="DH77" s="248"/>
      <c r="DI77" s="248"/>
      <c r="DJ77" s="248"/>
      <c r="DK77" s="248"/>
      <c r="DL77" s="248"/>
      <c r="DM77" s="248"/>
      <c r="DN77" s="248"/>
      <c r="DO77" s="248"/>
      <c r="DP77" s="248"/>
      <c r="DQ77" s="248"/>
      <c r="DR77" s="248"/>
      <c r="DS77" s="248"/>
      <c r="DT77" s="248"/>
      <c r="DU77" s="248"/>
      <c r="DV77" s="248"/>
      <c r="DW77" s="248"/>
      <c r="DX77" s="248"/>
      <c r="DY77" s="248"/>
      <c r="DZ77" s="248"/>
      <c r="EA77" s="248"/>
      <c r="EB77" s="248"/>
      <c r="EC77" s="248"/>
      <c r="ED77" s="248"/>
      <c r="EE77" s="248"/>
      <c r="EF77" s="248"/>
      <c r="EG77" s="248"/>
      <c r="EH77" s="248"/>
      <c r="EI77" s="248"/>
      <c r="EJ77" s="248"/>
      <c r="EK77" s="248"/>
      <c r="EL77" s="248"/>
      <c r="EM77" s="248"/>
      <c r="EN77" s="248"/>
      <c r="EO77" s="248"/>
      <c r="EP77" s="248"/>
      <c r="EQ77" s="248"/>
      <c r="ER77" s="248"/>
      <c r="ES77" s="248"/>
      <c r="ET77" s="248"/>
      <c r="EU77" s="248"/>
      <c r="EV77" s="248"/>
      <c r="EW77" s="248"/>
      <c r="EX77" s="248"/>
      <c r="EY77" s="248"/>
      <c r="EZ77" s="248"/>
      <c r="FA77" s="248"/>
      <c r="FB77" s="248"/>
      <c r="FC77" s="248"/>
      <c r="FD77" s="248"/>
      <c r="FE77" s="248"/>
      <c r="FF77" s="248"/>
      <c r="FG77" s="248"/>
      <c r="FH77" s="248"/>
      <c r="FI77" s="248"/>
      <c r="FJ77" s="248"/>
      <c r="FK77" s="248"/>
      <c r="FL77" s="248"/>
      <c r="FM77" s="248"/>
      <c r="FN77" s="248"/>
      <c r="FO77" s="248"/>
      <c r="FP77" s="248"/>
      <c r="FQ77" s="248"/>
      <c r="FR77" s="248"/>
      <c r="FS77" s="248"/>
      <c r="FT77" s="248"/>
      <c r="FU77" s="248"/>
      <c r="FV77" s="248"/>
      <c r="FW77" s="248"/>
      <c r="FX77" s="248"/>
      <c r="FY77" s="248"/>
      <c r="FZ77" s="248"/>
      <c r="GA77" s="248"/>
      <c r="GB77" s="248"/>
      <c r="GC77" s="248"/>
      <c r="GD77" s="248"/>
      <c r="GE77" s="248"/>
      <c r="GF77" s="248"/>
      <c r="GG77" s="248"/>
      <c r="GH77" s="248"/>
      <c r="GI77" s="248"/>
      <c r="GJ77" s="248"/>
      <c r="GK77" s="248"/>
      <c r="GL77" s="248"/>
      <c r="GM77" s="248"/>
      <c r="GN77" s="248"/>
      <c r="GO77" s="248"/>
      <c r="GP77" s="248"/>
      <c r="GQ77" s="248"/>
      <c r="GR77" s="248"/>
      <c r="GS77" s="248"/>
      <c r="GT77" s="248"/>
      <c r="GU77" s="248"/>
      <c r="GV77" s="248"/>
      <c r="GW77" s="248"/>
      <c r="GX77" s="248"/>
      <c r="GY77" s="248"/>
      <c r="GZ77" s="248"/>
      <c r="HA77" s="248"/>
      <c r="HB77" s="248"/>
      <c r="HC77" s="248"/>
      <c r="HD77" s="248"/>
      <c r="HE77" s="248"/>
      <c r="HF77" s="248"/>
      <c r="HG77" s="248"/>
      <c r="HH77" s="248"/>
      <c r="HI77" s="248"/>
      <c r="HJ77" s="248"/>
      <c r="HK77" s="248"/>
      <c r="HL77" s="248"/>
      <c r="HM77" s="248"/>
      <c r="HN77" s="248"/>
      <c r="HO77" s="248"/>
      <c r="HP77" s="248"/>
      <c r="HQ77" s="248"/>
      <c r="HR77" s="248"/>
      <c r="HS77" s="248"/>
      <c r="HT77" s="248"/>
      <c r="HU77" s="248"/>
      <c r="HV77" s="248"/>
      <c r="HW77" s="248"/>
      <c r="HX77" s="248"/>
      <c r="HY77" s="248"/>
      <c r="HZ77" s="248"/>
      <c r="IA77" s="248"/>
      <c r="IB77" s="248"/>
      <c r="IC77" s="248"/>
      <c r="ID77" s="248"/>
      <c r="IE77" s="248"/>
      <c r="IF77" s="248"/>
      <c r="IG77" s="248"/>
      <c r="IH77" s="248"/>
      <c r="II77" s="248"/>
      <c r="IJ77" s="248"/>
      <c r="IK77" s="248"/>
      <c r="IL77" s="248"/>
      <c r="IM77" s="248"/>
      <c r="IN77" s="248"/>
      <c r="IO77" s="248"/>
      <c r="IP77" s="248"/>
      <c r="IQ77" s="248"/>
      <c r="IR77" s="248"/>
      <c r="IS77" s="248"/>
      <c r="IT77" s="248"/>
      <c r="IU77" s="248"/>
      <c r="IV77" s="248"/>
    </row>
    <row r="78" spans="1:256" s="197" customFormat="1" ht="11.25" customHeight="1" x14ac:dyDescent="0.2">
      <c r="A78" s="246" t="s">
        <v>830</v>
      </c>
      <c r="B78" s="196" t="str">
        <f t="shared" si="14"/>
        <v>P. Pawar</v>
      </c>
      <c r="C78" s="449" t="str">
        <f>'Quick Input'!I84</f>
        <v>Bearbeiter</v>
      </c>
      <c r="D78" s="197" t="s">
        <v>830</v>
      </c>
      <c r="E78" s="197" t="s">
        <v>830</v>
      </c>
      <c r="F78" s="197" t="s">
        <v>830</v>
      </c>
      <c r="G78" s="197" t="s">
        <v>830</v>
      </c>
      <c r="H78" s="197" t="s">
        <v>830</v>
      </c>
      <c r="I78" s="197" t="s">
        <v>830</v>
      </c>
      <c r="J78" s="197" t="s">
        <v>830</v>
      </c>
      <c r="K78" s="197" t="s">
        <v>830</v>
      </c>
      <c r="L78" s="197" t="s">
        <v>830</v>
      </c>
      <c r="M78" s="198" t="s">
        <v>830</v>
      </c>
      <c r="N78" s="197" t="s">
        <v>830</v>
      </c>
      <c r="O78" s="197" t="s">
        <v>830</v>
      </c>
      <c r="P78" s="197" t="s">
        <v>830</v>
      </c>
      <c r="Q78" s="197" t="s">
        <v>830</v>
      </c>
      <c r="R78" s="197" t="s">
        <v>830</v>
      </c>
      <c r="S78" s="197" t="s">
        <v>830</v>
      </c>
      <c r="T78" s="197" t="s">
        <v>830</v>
      </c>
      <c r="U78" s="197" t="s">
        <v>830</v>
      </c>
      <c r="EW78" s="246"/>
      <c r="EX78" s="246"/>
      <c r="EY78" s="246"/>
      <c r="EZ78" s="246"/>
      <c r="FA78" s="246"/>
      <c r="FB78" s="246"/>
      <c r="FC78" s="246"/>
      <c r="FD78" s="246"/>
      <c r="FE78" s="246"/>
      <c r="FF78" s="246"/>
      <c r="FG78" s="246"/>
      <c r="FH78" s="246"/>
      <c r="FI78" s="246"/>
      <c r="FJ78" s="246"/>
      <c r="FK78" s="246"/>
      <c r="FL78" s="246"/>
      <c r="FM78" s="246"/>
      <c r="FN78" s="246"/>
      <c r="FO78" s="246"/>
      <c r="FP78" s="246"/>
      <c r="FQ78" s="246"/>
      <c r="FR78" s="246"/>
      <c r="FS78" s="246"/>
      <c r="FT78" s="246"/>
      <c r="FU78" s="246"/>
      <c r="FV78" s="246"/>
      <c r="FW78" s="246"/>
      <c r="FX78" s="246"/>
      <c r="FY78" s="246"/>
      <c r="FZ78" s="246"/>
      <c r="GA78" s="246"/>
      <c r="GB78" s="246"/>
      <c r="GC78" s="246"/>
      <c r="GD78" s="246"/>
      <c r="GE78" s="246"/>
      <c r="GF78" s="246"/>
      <c r="GG78" s="246"/>
      <c r="GH78" s="246"/>
      <c r="GI78" s="246"/>
      <c r="GJ78" s="246"/>
      <c r="GK78" s="246"/>
      <c r="GL78" s="246"/>
      <c r="GM78" s="246"/>
      <c r="GN78" s="246"/>
      <c r="GO78" s="246"/>
      <c r="GP78" s="246"/>
      <c r="GQ78" s="246"/>
      <c r="GR78" s="246"/>
      <c r="GS78" s="246"/>
      <c r="GT78" s="246"/>
      <c r="GU78" s="246"/>
      <c r="GV78" s="246"/>
      <c r="GW78" s="246"/>
      <c r="GX78" s="246"/>
      <c r="GY78" s="246"/>
      <c r="GZ78" s="246"/>
      <c r="HA78" s="246"/>
      <c r="HB78" s="246"/>
      <c r="HC78" s="246"/>
      <c r="HD78" s="246"/>
      <c r="HE78" s="246"/>
      <c r="HF78" s="246"/>
      <c r="HG78" s="246"/>
      <c r="HH78" s="246"/>
      <c r="HI78" s="246"/>
      <c r="HJ78" s="246"/>
      <c r="HK78" s="246"/>
      <c r="HL78" s="246"/>
      <c r="HM78" s="246"/>
      <c r="HN78" s="246"/>
      <c r="HO78" s="246"/>
      <c r="HP78" s="246"/>
      <c r="HQ78" s="246"/>
      <c r="HR78" s="246"/>
      <c r="HS78" s="246"/>
      <c r="HT78" s="246"/>
      <c r="HU78" s="246"/>
      <c r="HV78" s="246"/>
      <c r="HW78" s="246"/>
      <c r="HX78" s="246"/>
      <c r="HY78" s="246"/>
      <c r="HZ78" s="246"/>
      <c r="IA78" s="246"/>
      <c r="IB78" s="246"/>
      <c r="IC78" s="246"/>
      <c r="ID78" s="246"/>
      <c r="IE78" s="246"/>
      <c r="IF78" s="246"/>
      <c r="IG78" s="246"/>
      <c r="IH78" s="246"/>
      <c r="II78" s="246"/>
      <c r="IJ78" s="246"/>
      <c r="IK78" s="246"/>
      <c r="IL78" s="246"/>
      <c r="IM78" s="246"/>
      <c r="IN78" s="246"/>
      <c r="IO78" s="246"/>
      <c r="IP78" s="246"/>
      <c r="IQ78" s="246"/>
      <c r="IR78" s="246"/>
      <c r="IS78" s="246"/>
      <c r="IT78" s="246"/>
      <c r="IU78" s="246"/>
      <c r="IV78" s="246"/>
    </row>
    <row r="79" spans="1:256" s="252" customFormat="1" x14ac:dyDescent="0.2">
      <c r="A79" s="249"/>
      <c r="B79" s="249"/>
      <c r="C79" s="250"/>
      <c r="D79" s="251"/>
      <c r="E79" s="251"/>
      <c r="F79" s="251"/>
      <c r="G79" s="251"/>
      <c r="H79" s="251"/>
    </row>
    <row r="80" spans="1:256" s="252" customFormat="1" x14ac:dyDescent="0.2">
      <c r="A80" s="249"/>
      <c r="B80" s="249"/>
      <c r="C80" s="250"/>
    </row>
    <row r="81" spans="1:3" s="252" customFormat="1" x14ac:dyDescent="0.2">
      <c r="A81" s="249"/>
      <c r="B81" s="249"/>
      <c r="C81" s="250"/>
    </row>
    <row r="82" spans="1:3" s="252" customFormat="1" x14ac:dyDescent="0.2">
      <c r="A82" s="249"/>
      <c r="B82" s="249"/>
      <c r="C82" s="250"/>
    </row>
    <row r="83" spans="1:3" s="252" customFormat="1" x14ac:dyDescent="0.2">
      <c r="A83" s="249"/>
      <c r="B83" s="249"/>
      <c r="C83" s="250"/>
    </row>
    <row r="84" spans="1:3" s="252" customFormat="1" x14ac:dyDescent="0.2">
      <c r="A84" s="249"/>
      <c r="B84" s="249"/>
      <c r="C84" s="250"/>
    </row>
    <row r="85" spans="1:3" s="252" customFormat="1" x14ac:dyDescent="0.2">
      <c r="A85" s="249"/>
      <c r="B85" s="249"/>
      <c r="C85" s="250"/>
    </row>
    <row r="86" spans="1:3" s="252" customFormat="1" x14ac:dyDescent="0.2">
      <c r="A86" s="249"/>
      <c r="B86" s="249"/>
      <c r="C86" s="250"/>
    </row>
    <row r="87" spans="1:3" s="252" customFormat="1" x14ac:dyDescent="0.2">
      <c r="A87" s="249"/>
      <c r="B87" s="249"/>
      <c r="C87" s="250"/>
    </row>
    <row r="88" spans="1:3" s="252" customFormat="1" x14ac:dyDescent="0.2">
      <c r="A88" s="249"/>
      <c r="B88" s="249"/>
      <c r="C88" s="250"/>
    </row>
    <row r="89" spans="1:3" s="252" customFormat="1" x14ac:dyDescent="0.2">
      <c r="A89" s="249"/>
      <c r="B89" s="249"/>
      <c r="C89" s="250"/>
    </row>
    <row r="90" spans="1:3" s="252" customFormat="1" x14ac:dyDescent="0.2">
      <c r="A90" s="249"/>
      <c r="B90" s="249"/>
      <c r="C90" s="250"/>
    </row>
    <row r="91" spans="1:3" s="252" customFormat="1" x14ac:dyDescent="0.2">
      <c r="A91" s="249"/>
      <c r="B91" s="249"/>
      <c r="C91" s="250"/>
    </row>
    <row r="92" spans="1:3" s="252" customFormat="1" x14ac:dyDescent="0.2">
      <c r="A92" s="249"/>
      <c r="B92" s="249"/>
      <c r="C92" s="250"/>
    </row>
    <row r="93" spans="1:3" s="252" customFormat="1" x14ac:dyDescent="0.2">
      <c r="A93" s="249"/>
      <c r="B93" s="249"/>
      <c r="C93" s="250"/>
    </row>
    <row r="94" spans="1:3" s="252" customFormat="1" x14ac:dyDescent="0.2">
      <c r="A94" s="249"/>
      <c r="B94" s="249"/>
      <c r="C94" s="250"/>
    </row>
    <row r="95" spans="1:3" s="252" customFormat="1" x14ac:dyDescent="0.2">
      <c r="A95" s="249"/>
      <c r="B95" s="249"/>
      <c r="C95" s="250"/>
    </row>
    <row r="96" spans="1:3" s="252" customFormat="1" x14ac:dyDescent="0.2">
      <c r="A96" s="249"/>
      <c r="B96" s="249"/>
      <c r="C96" s="250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5">
    <tabColor rgb="FFFFCCCC"/>
  </sheetPr>
  <dimension ref="A1:AA315"/>
  <sheetViews>
    <sheetView tabSelected="1" workbookViewId="0">
      <pane xSplit="4" ySplit="3" topLeftCell="E43" activePane="bottomRight" state="frozenSplit"/>
      <selection activeCell="L30" sqref="L30"/>
      <selection pane="topRight" activeCell="L30" sqref="L30"/>
      <selection pane="bottomLeft" activeCell="L30" sqref="L30"/>
      <selection pane="bottomRight" activeCell="F47" sqref="F47"/>
    </sheetView>
  </sheetViews>
  <sheetFormatPr baseColWidth="10" defaultColWidth="11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4" width="0.5" hidden="1" customWidth="1"/>
    <col min="15" max="15" width="14.625" hidden="1" customWidth="1"/>
    <col min="16" max="16" width="1.5" hidden="1" customWidth="1"/>
    <col min="17" max="17" width="0.375" hidden="1" customWidth="1"/>
    <col min="18" max="18" width="14.625" hidden="1" customWidth="1"/>
    <col min="19" max="19" width="1.5" hidden="1" customWidth="1"/>
    <col min="20" max="20" width="0.375" hidden="1" customWidth="1"/>
    <col min="21" max="21" width="14.625" hidden="1" customWidth="1"/>
    <col min="22" max="22" width="1.3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29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135</v>
      </c>
      <c r="D3" s="19" t="s">
        <v>360</v>
      </c>
      <c r="E3" s="530" t="s">
        <v>454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/>
      <c r="P3" s="10"/>
      <c r="Q3" s="10"/>
      <c r="R3" s="147"/>
      <c r="S3" s="10"/>
      <c r="T3" s="10"/>
      <c r="U3" s="147"/>
      <c r="V3" s="11"/>
    </row>
    <row r="4" spans="2:24" ht="15" x14ac:dyDescent="0.25">
      <c r="B4" s="466">
        <v>42</v>
      </c>
      <c r="C4" s="95" t="s">
        <v>99</v>
      </c>
      <c r="D4" s="98" t="s">
        <v>94</v>
      </c>
      <c r="E4" s="535" t="s">
        <v>456</v>
      </c>
      <c r="F4" s="616">
        <f>IFERROR(IF(Refkalkulation!H$23=0,SUM(F$5:F$7),Refkalkulation!H$23),0)</f>
        <v>7.0000000000000007E-2</v>
      </c>
      <c r="G4" s="7"/>
      <c r="H4" s="7"/>
      <c r="I4" s="616">
        <f>IFERROR(IF(Refkalkulation!K$23=0,SUM(I$5:I$7),Refkalkulation!K$23),0)</f>
        <v>7.0000000000000007E-2</v>
      </c>
      <c r="J4" s="7"/>
      <c r="K4" s="7"/>
      <c r="L4" s="616">
        <f>IFERROR(IF(Refkalkulation!N$23=0,SUM(L$5:L$7),Refkalkulation!N$23),0)</f>
        <v>7.0000000000000007E-2</v>
      </c>
      <c r="M4" s="7"/>
      <c r="N4" s="7"/>
      <c r="O4" s="616"/>
      <c r="P4" s="7"/>
      <c r="Q4" s="7"/>
      <c r="R4" s="616"/>
      <c r="S4" s="7"/>
      <c r="T4" s="7"/>
      <c r="U4" s="616"/>
      <c r="V4" s="11"/>
      <c r="X4" s="503"/>
    </row>
    <row r="5" spans="2:24" x14ac:dyDescent="0.2">
      <c r="B5" s="466">
        <v>42</v>
      </c>
      <c r="C5" s="96" t="s">
        <v>187</v>
      </c>
      <c r="D5" s="100" t="s">
        <v>94</v>
      </c>
      <c r="E5" s="530" t="s">
        <v>455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/>
      <c r="P5" s="4"/>
      <c r="Q5" s="4"/>
      <c r="R5" s="149"/>
      <c r="S5" s="4"/>
      <c r="T5" s="4"/>
      <c r="U5" s="149"/>
      <c r="V5" s="11"/>
    </row>
    <row r="6" spans="2:24" x14ac:dyDescent="0.2">
      <c r="B6" s="466">
        <v>42</v>
      </c>
      <c r="C6" s="96" t="s">
        <v>124</v>
      </c>
      <c r="D6" s="100" t="s">
        <v>356</v>
      </c>
      <c r="E6" s="530" t="s">
        <v>455</v>
      </c>
      <c r="F6" s="149">
        <f>VLOOKUP(F19,DB_Länder,10,FALSE)</f>
        <v>0</v>
      </c>
      <c r="G6" s="10"/>
      <c r="H6" s="10"/>
      <c r="I6" s="149">
        <f>VLOOKUP(I19,DB_Länder,10,FALSE)</f>
        <v>-5.0000000000000001E-3</v>
      </c>
      <c r="J6" s="10"/>
      <c r="K6" s="10"/>
      <c r="L6" s="149">
        <f>VLOOKUP(L19,DB_Länder,10,FALSE)</f>
        <v>0</v>
      </c>
      <c r="M6" s="10"/>
      <c r="N6" s="10"/>
      <c r="O6" s="149"/>
      <c r="P6" s="10"/>
      <c r="Q6" s="10"/>
      <c r="R6" s="149"/>
      <c r="S6" s="10"/>
      <c r="T6" s="10"/>
      <c r="U6" s="149"/>
      <c r="V6" s="11"/>
    </row>
    <row r="7" spans="2:24" ht="15" thickBot="1" x14ac:dyDescent="0.25">
      <c r="B7" s="466">
        <v>42</v>
      </c>
      <c r="C7" s="97" t="s">
        <v>123</v>
      </c>
      <c r="D7" s="102" t="s">
        <v>356</v>
      </c>
      <c r="E7" s="531" t="s">
        <v>455</v>
      </c>
      <c r="F7" s="150">
        <f>IF('Quick Input'!M$50=Auswahlfelder!$D$26,1%,IF('Quick Input'!M$50=Auswahlfelder!$D$28,-0.5%,0))</f>
        <v>0</v>
      </c>
      <c r="G7" s="13"/>
      <c r="H7" s="13"/>
      <c r="I7" s="150">
        <f>IF('Quick Input'!P$50=Auswahlfelder!$D$26,1%,IF('Quick Input'!P$50=Auswahlfelder!$D$28,-0.5%,0))</f>
        <v>0</v>
      </c>
      <c r="J7" s="13"/>
      <c r="K7" s="13"/>
      <c r="L7" s="150">
        <f>IF('Quick Input'!S$50=Auswahlfelder!$D$26,1%,IF('Quick Input'!S$50=Auswahlfelder!$D$28,-0.5%,0))</f>
        <v>0</v>
      </c>
      <c r="M7" s="13"/>
      <c r="N7" s="13"/>
      <c r="O7" s="150"/>
      <c r="P7" s="27"/>
      <c r="Q7" s="27"/>
      <c r="R7" s="150"/>
      <c r="S7" s="27"/>
      <c r="T7" s="27"/>
      <c r="U7" s="150"/>
      <c r="V7" s="1143"/>
    </row>
    <row r="8" spans="2:24" ht="15" x14ac:dyDescent="0.25">
      <c r="B8" s="466">
        <v>43</v>
      </c>
      <c r="C8" s="95" t="s">
        <v>128</v>
      </c>
      <c r="D8" s="98"/>
      <c r="E8" s="535" t="s">
        <v>456</v>
      </c>
      <c r="F8" s="616">
        <f>IFERROR(IF(Refkalkulation!H$115=0,SUM(F$9:F$12),Refkalkulation!H$115),0)</f>
        <v>0.1</v>
      </c>
      <c r="G8" s="7"/>
      <c r="H8" s="7"/>
      <c r="I8" s="616">
        <f>IFERROR(IF(Refkalkulation!K$115=0,SUM(I$9:I$12),Refkalkulation!K$115),0)</f>
        <v>0.1</v>
      </c>
      <c r="J8" s="7"/>
      <c r="K8" s="7"/>
      <c r="L8" s="616">
        <f>IFERROR(IF(Refkalkulation!N$115=0,SUM(L$9:L$12),Refkalkulation!N$115),0)</f>
        <v>0.1</v>
      </c>
      <c r="M8" s="7"/>
      <c r="N8" s="7"/>
      <c r="O8" s="616"/>
      <c r="P8" s="7"/>
      <c r="Q8" s="7"/>
      <c r="R8" s="616"/>
      <c r="S8" s="7"/>
      <c r="T8" s="7"/>
      <c r="U8" s="616"/>
      <c r="V8" s="11"/>
      <c r="X8" s="503"/>
    </row>
    <row r="9" spans="2:24" x14ac:dyDescent="0.2">
      <c r="B9" s="466">
        <v>43</v>
      </c>
      <c r="C9" s="96" t="s">
        <v>115</v>
      </c>
      <c r="D9" s="100" t="s">
        <v>94</v>
      </c>
      <c r="E9" s="530" t="s">
        <v>455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/>
      <c r="P9" s="4"/>
      <c r="Q9" s="4"/>
      <c r="R9" s="149"/>
      <c r="S9" s="4"/>
      <c r="T9" s="4"/>
      <c r="U9" s="149"/>
      <c r="V9" s="11"/>
    </row>
    <row r="10" spans="2:24" x14ac:dyDescent="0.2">
      <c r="B10" s="466">
        <v>43</v>
      </c>
      <c r="C10" s="96" t="s">
        <v>124</v>
      </c>
      <c r="D10" s="100" t="s">
        <v>356</v>
      </c>
      <c r="E10" s="530" t="s">
        <v>455</v>
      </c>
      <c r="F10" s="149">
        <f>VLOOKUP(F19,DB_Länder,11,FALSE)</f>
        <v>0</v>
      </c>
      <c r="G10" s="10"/>
      <c r="H10" s="10"/>
      <c r="I10" s="149">
        <f>VLOOKUP(I19,DB_Länder,11,FALSE)</f>
        <v>-0.01</v>
      </c>
      <c r="J10" s="10"/>
      <c r="K10" s="10"/>
      <c r="L10" s="149">
        <f>VLOOKUP(L19,DB_Länder,11,FALSE)</f>
        <v>0</v>
      </c>
      <c r="M10" s="10"/>
      <c r="N10" s="10"/>
      <c r="O10" s="149"/>
      <c r="P10" s="10"/>
      <c r="Q10" s="10"/>
      <c r="R10" s="149"/>
      <c r="S10" s="10"/>
      <c r="T10" s="10"/>
      <c r="U10" s="149"/>
      <c r="V10" s="11"/>
    </row>
    <row r="11" spans="2:24" x14ac:dyDescent="0.2">
      <c r="B11" s="466">
        <v>43</v>
      </c>
      <c r="C11" s="96" t="s">
        <v>123</v>
      </c>
      <c r="D11" s="100" t="s">
        <v>356</v>
      </c>
      <c r="E11" s="530" t="s">
        <v>455</v>
      </c>
      <c r="F11" s="149">
        <f>IF('Quick Input'!M$50=Auswahlfelder!$D$26,-0.5%,IF('Quick Input'!M$50=Auswahlfelder!$D$28,1.5%,0))</f>
        <v>0</v>
      </c>
      <c r="G11" s="10"/>
      <c r="H11" s="10"/>
      <c r="I11" s="149">
        <f>IF('Quick Input'!P$50=Auswahlfelder!$D$26,-0.5%,IF('Quick Input'!P$50=Auswahlfelder!$D$28,1.5%,0))</f>
        <v>0</v>
      </c>
      <c r="J11" s="10"/>
      <c r="K11" s="10"/>
      <c r="L11" s="149">
        <f>IF('Quick Input'!S$50=Auswahlfelder!$D$26,-0.5%,IF('Quick Input'!S$50=Auswahlfelder!$D$28,1.5%,0))</f>
        <v>0</v>
      </c>
      <c r="M11" s="10"/>
      <c r="N11" s="10"/>
      <c r="O11" s="149"/>
      <c r="P11" s="4"/>
      <c r="Q11" s="4"/>
      <c r="R11" s="149"/>
      <c r="S11" s="4"/>
      <c r="T11" s="4"/>
      <c r="U11" s="149"/>
      <c r="V11" s="11"/>
    </row>
    <row r="12" spans="2:24" ht="15" thickBot="1" x14ac:dyDescent="0.25">
      <c r="B12" s="466">
        <v>43</v>
      </c>
      <c r="C12" s="97" t="s">
        <v>138</v>
      </c>
      <c r="D12" s="102" t="s">
        <v>356</v>
      </c>
      <c r="E12" s="531" t="s">
        <v>455</v>
      </c>
      <c r="F12" s="151">
        <f>MIN(3%,MAX(-1%,-0.1*(F$27-80%)))</f>
        <v>6.3999999999999951E-3</v>
      </c>
      <c r="G12" s="13"/>
      <c r="H12" s="13"/>
      <c r="I12" s="151">
        <f>MIN(3%,MAX(-1%,-0.1*(I$27-80%)))</f>
        <v>1.7440000000000011E-2</v>
      </c>
      <c r="J12" s="13"/>
      <c r="K12" s="13"/>
      <c r="L12" s="151">
        <f>MIN(3%,MAX(-1%,-0.1*(L$27-80%)))</f>
        <v>0.03</v>
      </c>
      <c r="M12" s="13"/>
      <c r="N12" s="13"/>
      <c r="O12" s="151"/>
      <c r="P12" s="27"/>
      <c r="Q12" s="27"/>
      <c r="R12" s="151"/>
      <c r="S12" s="27"/>
      <c r="T12" s="27"/>
      <c r="U12" s="151"/>
      <c r="V12" s="1143"/>
    </row>
    <row r="13" spans="2:24" ht="15" x14ac:dyDescent="0.25">
      <c r="B13" s="466">
        <v>32</v>
      </c>
      <c r="C13" s="95" t="s">
        <v>235</v>
      </c>
      <c r="D13" s="98" t="s">
        <v>94</v>
      </c>
      <c r="E13" s="535" t="s">
        <v>456</v>
      </c>
      <c r="F13" s="616">
        <f>IFERROR(IF(Refkalkulation!H$125=0,'Länder-DB'!$I$25*F$14,Refkalkulation!H$125),0)</f>
        <v>0</v>
      </c>
      <c r="G13" s="7"/>
      <c r="H13" s="7"/>
      <c r="I13" s="616">
        <f>IFERROR(IF(Refkalkulation!K$125=0,'Länder-DB'!$I$25*I$14,Refkalkulation!K$125),0)</f>
        <v>0</v>
      </c>
      <c r="J13" s="7"/>
      <c r="K13" s="7"/>
      <c r="L13" s="616">
        <f>IFERROR(IF(Refkalkulation!N$125=0,'Länder-DB'!$I$25*L$14,Refkalkulation!N$125),0)</f>
        <v>0</v>
      </c>
      <c r="M13" s="7"/>
      <c r="N13" s="7"/>
      <c r="O13" s="616"/>
      <c r="P13" s="7"/>
      <c r="Q13" s="7"/>
      <c r="R13" s="616"/>
      <c r="S13" s="7"/>
      <c r="T13" s="7"/>
      <c r="U13" s="616"/>
      <c r="V13" s="11"/>
      <c r="X13" s="503"/>
    </row>
    <row r="14" spans="2:24" ht="15" thickBot="1" x14ac:dyDescent="0.25">
      <c r="B14" s="466">
        <v>32</v>
      </c>
      <c r="C14" s="96" t="s">
        <v>511</v>
      </c>
      <c r="D14" s="734">
        <v>0.15</v>
      </c>
      <c r="E14" s="530" t="s">
        <v>455</v>
      </c>
      <c r="F14" s="210">
        <f>1+$D$14*(2-VLOOKUP('Quick Input'!M$50,Auswahlfelder!$D$26:$E$28,2,FALSE))</f>
        <v>1</v>
      </c>
      <c r="G14" s="10"/>
      <c r="H14" s="10"/>
      <c r="I14" s="210">
        <f>1+$D$14*(2-VLOOKUP('Quick Input'!P$50,Auswahlfelder!$D$26:$E$28,2,FALSE))</f>
        <v>1</v>
      </c>
      <c r="J14" s="10"/>
      <c r="K14" s="10"/>
      <c r="L14" s="210">
        <f>1+$D$14*(2-VLOOKUP('Quick Input'!S$50,Auswahlfelder!$D$26:$E$28,2,FALSE))</f>
        <v>1</v>
      </c>
      <c r="M14" s="10"/>
      <c r="N14" s="10"/>
      <c r="O14" s="210"/>
      <c r="P14" s="10"/>
      <c r="Q14" s="10"/>
      <c r="R14" s="210"/>
      <c r="S14" s="10"/>
      <c r="T14" s="10"/>
      <c r="U14" s="210"/>
      <c r="V14" s="1143"/>
    </row>
    <row r="15" spans="2:24" ht="15" x14ac:dyDescent="0.25">
      <c r="B15" s="466">
        <v>32</v>
      </c>
      <c r="C15" s="95" t="s">
        <v>231</v>
      </c>
      <c r="D15" s="98"/>
      <c r="E15" s="535" t="s">
        <v>456</v>
      </c>
      <c r="F15" s="616">
        <f>IFERROR(IF(Refkalkulation!H$126=0,SUM(F$16:F$18),Refkalkulation!H$126),0)</f>
        <v>0.08</v>
      </c>
      <c r="G15" s="7"/>
      <c r="H15" s="7"/>
      <c r="I15" s="616">
        <f>IFERROR(IF(Refkalkulation!K$126=0,SUM(I$16:I$18),Refkalkulation!K$126),0)</f>
        <v>0.09</v>
      </c>
      <c r="J15" s="7"/>
      <c r="K15" s="7"/>
      <c r="L15" s="616">
        <f>IFERROR(IF(Refkalkulation!N$126=0,SUM(L$16:L$18),Refkalkulation!N$126),0)</f>
        <v>0.08</v>
      </c>
      <c r="M15" s="7"/>
      <c r="N15" s="7"/>
      <c r="O15" s="616"/>
      <c r="P15" s="7"/>
      <c r="Q15" s="7"/>
      <c r="R15" s="616"/>
      <c r="S15" s="7"/>
      <c r="T15" s="7"/>
      <c r="U15" s="616"/>
      <c r="V15" s="11"/>
      <c r="X15" s="503"/>
    </row>
    <row r="16" spans="2:24" x14ac:dyDescent="0.2">
      <c r="B16" s="466">
        <v>32</v>
      </c>
      <c r="C16" s="96" t="s">
        <v>115</v>
      </c>
      <c r="D16" s="100" t="s">
        <v>94</v>
      </c>
      <c r="E16" s="530" t="s">
        <v>455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/>
      <c r="P16" s="4"/>
      <c r="Q16" s="4"/>
      <c r="R16" s="149"/>
      <c r="S16" s="4"/>
      <c r="T16" s="4"/>
      <c r="U16" s="149"/>
      <c r="V16" s="11"/>
    </row>
    <row r="17" spans="2:25" x14ac:dyDescent="0.2">
      <c r="B17" s="466">
        <v>32</v>
      </c>
      <c r="C17" s="96" t="s">
        <v>124</v>
      </c>
      <c r="D17" s="100" t="s">
        <v>356</v>
      </c>
      <c r="E17" s="530" t="s">
        <v>455</v>
      </c>
      <c r="F17" s="149">
        <f>VLOOKUP(F19,DB_Länder,12,FALSE)</f>
        <v>0</v>
      </c>
      <c r="G17" s="10"/>
      <c r="H17" s="10"/>
      <c r="I17" s="149">
        <f>VLOOKUP(I19,DB_Länder,12,FALSE)</f>
        <v>0.01</v>
      </c>
      <c r="J17" s="10"/>
      <c r="K17" s="10"/>
      <c r="L17" s="149">
        <f>VLOOKUP(L19,DB_Länder,12,FALSE)</f>
        <v>0</v>
      </c>
      <c r="M17" s="10"/>
      <c r="N17" s="10"/>
      <c r="O17" s="149"/>
      <c r="P17" s="10"/>
      <c r="Q17" s="10"/>
      <c r="R17" s="149"/>
      <c r="S17" s="10"/>
      <c r="T17" s="10"/>
      <c r="U17" s="149"/>
      <c r="V17" s="11"/>
    </row>
    <row r="18" spans="2:25" ht="15" thickBot="1" x14ac:dyDescent="0.25">
      <c r="B18" s="466">
        <v>32</v>
      </c>
      <c r="C18" s="96" t="s">
        <v>123</v>
      </c>
      <c r="D18" s="100" t="s">
        <v>356</v>
      </c>
      <c r="E18" s="530" t="s">
        <v>455</v>
      </c>
      <c r="F18" s="152">
        <f>IF('Quick Input'!M$50=Auswahlfelder!$D$26,2%,IF('Quick Input'!M$50=Auswahlfelder!$D$28,-1%,0))</f>
        <v>0</v>
      </c>
      <c r="G18" s="10"/>
      <c r="H18" s="10"/>
      <c r="I18" s="152">
        <f>IF('Quick Input'!P$50=Auswahlfelder!$D$26,2%,IF('Quick Input'!P$50=Auswahlfelder!$D$28,-1%,0))</f>
        <v>0</v>
      </c>
      <c r="J18" s="10"/>
      <c r="K18" s="10"/>
      <c r="L18" s="152">
        <f>IF('Quick Input'!S$50=Auswahlfelder!$D$26,2%,IF('Quick Input'!S$50=Auswahlfelder!$D$28,-1%,0))</f>
        <v>0</v>
      </c>
      <c r="M18" s="10"/>
      <c r="N18" s="10"/>
      <c r="O18" s="152"/>
      <c r="P18" s="4"/>
      <c r="Q18" s="4"/>
      <c r="R18" s="152"/>
      <c r="S18" s="4"/>
      <c r="T18" s="4"/>
      <c r="U18" s="152"/>
      <c r="V18" s="11"/>
    </row>
    <row r="19" spans="2:25" ht="15" x14ac:dyDescent="0.25">
      <c r="B19" s="510">
        <v>35</v>
      </c>
      <c r="C19" s="95" t="s">
        <v>612</v>
      </c>
      <c r="D19" s="98"/>
      <c r="E19" s="535" t="s">
        <v>456</v>
      </c>
      <c r="F19" s="602" t="str">
        <f>'Quick Input'!M$46</f>
        <v>Deutschland</v>
      </c>
      <c r="G19" s="418"/>
      <c r="H19" s="419"/>
      <c r="I19" s="602" t="str">
        <f>'Quick Input'!P$46</f>
        <v>Polen</v>
      </c>
      <c r="J19" s="418"/>
      <c r="K19" s="419"/>
      <c r="L19" s="602" t="str">
        <f>'Quick Input'!S$46</f>
        <v>Deutschland</v>
      </c>
      <c r="M19" s="418"/>
      <c r="N19" s="419"/>
      <c r="O19" s="602"/>
      <c r="P19" s="418"/>
      <c r="Q19" s="419"/>
      <c r="R19" s="602"/>
      <c r="S19" s="418"/>
      <c r="T19" s="419"/>
      <c r="U19" s="602"/>
      <c r="V19" s="8"/>
      <c r="X19" s="649"/>
    </row>
    <row r="20" spans="2:25" x14ac:dyDescent="0.2">
      <c r="B20" s="466">
        <v>35</v>
      </c>
      <c r="C20" s="96" t="s">
        <v>269</v>
      </c>
      <c r="D20" s="100" t="s">
        <v>94</v>
      </c>
      <c r="E20" s="530" t="s">
        <v>456</v>
      </c>
      <c r="F20" s="210">
        <f>VLOOKUP(F$19,DB_Länder,3,FALSE)*(1+IF('Quick Input'!M$47=Auswahlfelder!$D$7,0,IF('Quick Input'!M$47=Auswahlfelder!$D$8,0.5*VLOOKUP(F$19,DB_Länder,14,FALSE),(VLOOKUP(F$19,DB_Länder,14,FALSE)+VLOOKUP(F$19,DB_Länder,15,FALSE))/3)))</f>
        <v>24.820870000000003</v>
      </c>
      <c r="G20" s="428"/>
      <c r="H20" s="432"/>
      <c r="I20" s="210">
        <f>VLOOKUP(I$19,DB_Länder,3,FALSE)*(1+IF('Quick Input'!P$47=Auswahlfelder!$D$7,0,IF('Quick Input'!P$47=Auswahlfelder!$D$8,0.5*VLOOKUP(I$19,DB_Länder,14,FALSE),(VLOOKUP(I$19,DB_Länder,14,FALSE)+VLOOKUP(I$19,DB_Länder,15,FALSE))/3)))</f>
        <v>5.4818280000000001</v>
      </c>
      <c r="J20" s="428"/>
      <c r="K20" s="432"/>
      <c r="L20" s="210">
        <f>VLOOKUP(L$19,DB_Länder,3,FALSE)*(1+IF('Quick Input'!S$47=Auswahlfelder!$D$7,0,IF('Quick Input'!S$47=Auswahlfelder!$D$8,0.5*VLOOKUP(L$19,DB_Länder,14,FALSE),(VLOOKUP(L$19,DB_Länder,14,FALSE)+VLOOKUP(L$19,DB_Länder,15,FALSE))/3)))</f>
        <v>24.820870000000003</v>
      </c>
      <c r="M20" s="428"/>
      <c r="N20" s="432"/>
      <c r="O20" s="210"/>
      <c r="P20" s="428"/>
      <c r="Q20" s="432"/>
      <c r="R20" s="210"/>
      <c r="S20" s="428"/>
      <c r="T20" s="432"/>
      <c r="U20" s="210"/>
      <c r="V20" s="11"/>
      <c r="X20" s="503"/>
    </row>
    <row r="21" spans="2:25" x14ac:dyDescent="0.2">
      <c r="B21" s="466">
        <v>35</v>
      </c>
      <c r="C21" s="96" t="s">
        <v>270</v>
      </c>
      <c r="D21" s="100" t="s">
        <v>94</v>
      </c>
      <c r="E21" s="530" t="s">
        <v>456</v>
      </c>
      <c r="F21" s="210">
        <f>VLOOKUP(F$19,DB_Länder,4,FALSE)*(1+IF('Quick Input'!M$47=Auswahlfelder!$D$7,0,IF('Quick Input'!M$47=Auswahlfelder!$D$8,0.5*VLOOKUP(F$19,DB_Länder,14,FALSE),(VLOOKUP(F$19,DB_Länder,14,FALSE)+VLOOKUP(F$19,DB_Länder,15,FALSE))/3)))</f>
        <v>29.420724999999997</v>
      </c>
      <c r="G21" s="428"/>
      <c r="H21" s="432"/>
      <c r="I21" s="210">
        <f>VLOOKUP(I$19,DB_Länder,4,FALSE)*(1+IF('Quick Input'!P$47=Auswahlfelder!$D$7,0,IF('Quick Input'!P$47=Auswahlfelder!$D$8,0.5*VLOOKUP(I$19,DB_Länder,14,FALSE),(VLOOKUP(I$19,DB_Länder,14,FALSE)+VLOOKUP(I$19,DB_Länder,15,FALSE))/3)))</f>
        <v>7.4557889999999984</v>
      </c>
      <c r="J21" s="428"/>
      <c r="K21" s="432"/>
      <c r="L21" s="210">
        <f>VLOOKUP(L$19,DB_Länder,4,FALSE)*(1+IF('Quick Input'!S$47=Auswahlfelder!$D$7,0,IF('Quick Input'!S$47=Auswahlfelder!$D$8,0.5*VLOOKUP(L$19,DB_Länder,14,FALSE),(VLOOKUP(L$19,DB_Länder,14,FALSE)+VLOOKUP(L$19,DB_Länder,15,FALSE))/3)))</f>
        <v>29.420724999999997</v>
      </c>
      <c r="M21" s="428"/>
      <c r="N21" s="432"/>
      <c r="O21" s="210"/>
      <c r="P21" s="428"/>
      <c r="Q21" s="432"/>
      <c r="R21" s="210"/>
      <c r="S21" s="428"/>
      <c r="T21" s="432"/>
      <c r="U21" s="210"/>
      <c r="V21" s="11"/>
      <c r="X21" s="503"/>
    </row>
    <row r="22" spans="2:25" ht="15" thickBot="1" x14ac:dyDescent="0.25">
      <c r="B22" s="511">
        <v>35</v>
      </c>
      <c r="C22" s="97" t="s">
        <v>271</v>
      </c>
      <c r="D22" s="102" t="s">
        <v>94</v>
      </c>
      <c r="E22" s="531" t="s">
        <v>456</v>
      </c>
      <c r="F22" s="210">
        <f>VLOOKUP(F$19,DB_Länder,5,FALSE)*(1+IF('Quick Input'!M$47=Auswahlfelder!$D$7,0,IF('Quick Input'!M$47=Auswahlfelder!$D$8,0.5*VLOOKUP(F$19,DB_Länder,14,FALSE),(VLOOKUP(F$19,DB_Länder,14,FALSE)+VLOOKUP(F$19,DB_Länder,15,FALSE))/3)))</f>
        <v>33.535694999999997</v>
      </c>
      <c r="G22" s="433"/>
      <c r="H22" s="434"/>
      <c r="I22" s="210">
        <f>VLOOKUP(I$19,DB_Länder,5,FALSE)*(1+IF('Quick Input'!P$47=Auswahlfelder!$D$7,0,IF('Quick Input'!P$47=Auswahlfelder!$D$8,0.5*VLOOKUP(I$19,DB_Länder,14,FALSE),(VLOOKUP(I$19,DB_Länder,14,FALSE)+VLOOKUP(I$19,DB_Länder,15,FALSE))/3)))</f>
        <v>10.008107999999998</v>
      </c>
      <c r="J22" s="433"/>
      <c r="K22" s="434"/>
      <c r="L22" s="210">
        <f>VLOOKUP(L$19,DB_Länder,5,FALSE)*(1+IF('Quick Input'!S$47=Auswahlfelder!$D$7,0,IF('Quick Input'!S$47=Auswahlfelder!$D$8,0.5*VLOOKUP(L$19,DB_Länder,14,FALSE),(VLOOKUP(L$19,DB_Länder,14,FALSE)+VLOOKUP(L$19,DB_Länder,15,FALSE))/3)))</f>
        <v>33.535694999999997</v>
      </c>
      <c r="M22" s="433"/>
      <c r="N22" s="434"/>
      <c r="O22" s="210"/>
      <c r="P22" s="433"/>
      <c r="Q22" s="434"/>
      <c r="R22" s="210"/>
      <c r="S22" s="433"/>
      <c r="T22" s="434"/>
      <c r="U22" s="210"/>
      <c r="V22" s="126"/>
      <c r="X22" s="503"/>
    </row>
    <row r="23" spans="2:25" ht="15" x14ac:dyDescent="0.25">
      <c r="B23" s="466">
        <v>15</v>
      </c>
      <c r="C23" s="95" t="s">
        <v>364</v>
      </c>
      <c r="D23" s="98" t="s">
        <v>94</v>
      </c>
      <c r="E23" s="535" t="s">
        <v>456</v>
      </c>
      <c r="F23" s="616">
        <f>IFERROR(IF(Refkalkulation!H$16=0,'Länder-DB'!$M$21-2%+SUM(F$24:F$26),Refkalkulation!H$16),0)</f>
        <v>5.5500000000000001E-2</v>
      </c>
      <c r="G23" s="7"/>
      <c r="H23" s="7"/>
      <c r="I23" s="616">
        <f>IFERROR(IF(Refkalkulation!K$16=0,'Länder-DB'!$M$21-2%+SUM(I$24:I$26),Refkalkulation!K$16),0)</f>
        <v>5.5500000000000001E-2</v>
      </c>
      <c r="J23" s="7"/>
      <c r="K23" s="7"/>
      <c r="L23" s="616">
        <f>IFERROR(IF(Refkalkulation!N$16=0,'Länder-DB'!$M$21-2%+SUM(L$24:L$26),Refkalkulation!N$16),0)</f>
        <v>5.5500000000000001E-2</v>
      </c>
      <c r="M23" s="7"/>
      <c r="N23" s="7"/>
      <c r="O23" s="616"/>
      <c r="P23" s="7"/>
      <c r="Q23" s="7"/>
      <c r="R23" s="616"/>
      <c r="S23" s="7"/>
      <c r="T23" s="7"/>
      <c r="U23" s="616"/>
      <c r="V23" s="11"/>
      <c r="X23" s="503"/>
    </row>
    <row r="24" spans="2:25" x14ac:dyDescent="0.2">
      <c r="B24" s="466">
        <v>15</v>
      </c>
      <c r="C24" s="96" t="s">
        <v>365</v>
      </c>
      <c r="D24" s="100" t="s">
        <v>94</v>
      </c>
      <c r="E24" s="530" t="s">
        <v>455</v>
      </c>
      <c r="F24" s="153">
        <f>VLOOKUP(F$111,DB_Ofen,15,FALSE)</f>
        <v>1.7999999999999999E-2</v>
      </c>
      <c r="G24" s="10"/>
      <c r="H24" s="10"/>
      <c r="I24" s="153">
        <f>VLOOKUP(I$111,DB_Ofen,15,FALSE)</f>
        <v>1.7999999999999999E-2</v>
      </c>
      <c r="J24" s="10"/>
      <c r="K24" s="10"/>
      <c r="L24" s="153">
        <f>VLOOKUP(L$111,DB_Ofen,15,FALSE)</f>
        <v>1.7999999999999999E-2</v>
      </c>
      <c r="M24" s="10"/>
      <c r="N24" s="10"/>
      <c r="O24" s="153"/>
      <c r="P24" s="10"/>
      <c r="Q24" s="10"/>
      <c r="R24" s="153"/>
      <c r="S24" s="10"/>
      <c r="T24" s="10"/>
      <c r="U24" s="153"/>
      <c r="V24" s="11"/>
    </row>
    <row r="25" spans="2:25" x14ac:dyDescent="0.2">
      <c r="B25" s="466">
        <v>15</v>
      </c>
      <c r="C25" s="96" t="s">
        <v>123</v>
      </c>
      <c r="D25" s="100" t="s">
        <v>94</v>
      </c>
      <c r="E25" s="530" t="s">
        <v>455</v>
      </c>
      <c r="F25" s="154">
        <f>IF('Quick Input'!M$50=Auswahlfelder!$D$26,0.7%,IF('Quick Input'!M$50=Auswahlfelder!$D$27,0.25%,0))</f>
        <v>2.5000000000000001E-3</v>
      </c>
      <c r="G25" s="10"/>
      <c r="H25" s="10"/>
      <c r="I25" s="154">
        <f>IF('Quick Input'!P$50=Auswahlfelder!$D$26,0.7%,IF('Quick Input'!P$50=Auswahlfelder!$D$27,0.25%,0))</f>
        <v>2.5000000000000001E-3</v>
      </c>
      <c r="J25" s="10"/>
      <c r="K25" s="10"/>
      <c r="L25" s="154">
        <f>IF('Quick Input'!S$50=Auswahlfelder!$D$26,0.7%,IF('Quick Input'!S$50=Auswahlfelder!$D$27,0.25%,0))</f>
        <v>2.5000000000000001E-3</v>
      </c>
      <c r="M25" s="10"/>
      <c r="N25" s="10"/>
      <c r="O25" s="154"/>
      <c r="P25" s="10"/>
      <c r="Q25" s="10"/>
      <c r="R25" s="154"/>
      <c r="S25" s="10"/>
      <c r="T25" s="10"/>
      <c r="U25" s="154"/>
      <c r="V25" s="5"/>
    </row>
    <row r="26" spans="2:25" ht="15" thickBot="1" x14ac:dyDescent="0.25">
      <c r="B26" s="466">
        <v>15</v>
      </c>
      <c r="C26" s="97" t="s">
        <v>124</v>
      </c>
      <c r="D26" s="102" t="s">
        <v>415</v>
      </c>
      <c r="E26" s="531" t="s">
        <v>455</v>
      </c>
      <c r="F26" s="151">
        <f>-VLOOKUP(F$19,DB_Länder,10,FALSE)</f>
        <v>0</v>
      </c>
      <c r="G26" s="13"/>
      <c r="H26" s="13"/>
      <c r="I26" s="151">
        <f>-VLOOKUP(I$19,DB_Länder,10,FALSE)</f>
        <v>5.0000000000000001E-3</v>
      </c>
      <c r="J26" s="13"/>
      <c r="K26" s="13"/>
      <c r="L26" s="151">
        <f>-VLOOKUP(L$19,DB_Länder,10,FALSE)</f>
        <v>0</v>
      </c>
      <c r="M26" s="13"/>
      <c r="N26" s="13"/>
      <c r="O26" s="151"/>
      <c r="P26" s="13"/>
      <c r="Q26" s="13"/>
      <c r="R26" s="151"/>
      <c r="S26" s="13"/>
      <c r="T26" s="13"/>
      <c r="U26" s="151"/>
      <c r="V26" s="32"/>
    </row>
    <row r="27" spans="2:25" ht="15.75" thickBot="1" x14ac:dyDescent="0.3">
      <c r="B27" s="466">
        <v>30</v>
      </c>
      <c r="C27" s="95" t="s">
        <v>130</v>
      </c>
      <c r="D27" s="98">
        <v>1</v>
      </c>
      <c r="E27" s="535" t="s">
        <v>456</v>
      </c>
      <c r="F27" s="148">
        <f>MIN(100%,('Quick Input'!M$51+F$33+F$34)*F$35)</f>
        <v>0.7360000000000001</v>
      </c>
      <c r="G27" s="7"/>
      <c r="H27" s="7"/>
      <c r="I27" s="148">
        <f>MIN(100%,('Quick Input'!P$51+I$33+I$34)*I$35)</f>
        <v>0.62559999999999993</v>
      </c>
      <c r="J27" s="7"/>
      <c r="K27" s="7"/>
      <c r="L27" s="148">
        <f>MIN(100%,('Quick Input'!S$51+L$33+L$34)*L$35)</f>
        <v>0.46</v>
      </c>
      <c r="M27" s="7"/>
      <c r="N27" s="7"/>
      <c r="O27" s="148"/>
      <c r="P27" s="7"/>
      <c r="Q27" s="7"/>
      <c r="R27" s="148"/>
      <c r="S27" s="7"/>
      <c r="T27" s="7"/>
      <c r="U27" s="148"/>
      <c r="V27" s="11"/>
    </row>
    <row r="28" spans="2:25" ht="15" x14ac:dyDescent="0.25">
      <c r="B28" s="14">
        <v>7</v>
      </c>
      <c r="C28" s="95" t="s">
        <v>1045</v>
      </c>
      <c r="D28" s="98" t="s">
        <v>456</v>
      </c>
      <c r="E28" s="6"/>
      <c r="F28" s="156">
        <f>F$29*F$30*F$31</f>
        <v>2000</v>
      </c>
      <c r="G28" s="7"/>
      <c r="H28" s="7"/>
      <c r="I28" s="156">
        <f>I$29*I$30*I$31</f>
        <v>1800</v>
      </c>
      <c r="J28" s="7"/>
      <c r="K28" s="7"/>
      <c r="L28" s="156">
        <f>L$29*L$30*L$31</f>
        <v>1800</v>
      </c>
      <c r="M28" s="7"/>
      <c r="N28" s="7"/>
      <c r="O28" s="156" t="e">
        <f>O$29*O$30*O$31</f>
        <v>#VALUE!</v>
      </c>
      <c r="P28" s="28"/>
      <c r="Q28" s="28"/>
      <c r="R28" s="156" t="e">
        <f>R$29*R$30*R$31</f>
        <v>#VALUE!</v>
      </c>
      <c r="S28" s="28"/>
      <c r="T28" s="28"/>
      <c r="U28" s="156" t="e">
        <f>U$29*U$30*U$31</f>
        <v>#VALUE!</v>
      </c>
      <c r="V28" s="8"/>
      <c r="W28" s="718"/>
      <c r="X28" s="718"/>
      <c r="Y28" s="718"/>
    </row>
    <row r="29" spans="2:25" x14ac:dyDescent="0.2">
      <c r="B29" s="17">
        <v>7</v>
      </c>
      <c r="C29" s="96" t="s">
        <v>139</v>
      </c>
      <c r="D29" s="100" t="s">
        <v>1030</v>
      </c>
      <c r="E29" s="9"/>
      <c r="F29" s="157">
        <f>MAX('Quick Input'!M$14,'Quick Input'!M$15)/10</f>
        <v>50</v>
      </c>
      <c r="G29" s="22"/>
      <c r="H29" s="22"/>
      <c r="I29" s="157">
        <f>MAX('Quick Input'!P$14,'Quick Input'!P$15)/10</f>
        <v>50</v>
      </c>
      <c r="J29" s="22"/>
      <c r="K29" s="22"/>
      <c r="L29" s="157">
        <f>MAX('Quick Input'!S$14,'Quick Input'!S$15)/10</f>
        <v>50</v>
      </c>
      <c r="M29" s="22"/>
      <c r="N29" s="22"/>
      <c r="O29" s="157">
        <f>MAX('[3]Quick Input'!V$14,'[3]Quick Input'!V$15)/10</f>
        <v>0</v>
      </c>
      <c r="P29" s="22"/>
      <c r="Q29" s="22"/>
      <c r="R29" s="157">
        <f>MAX('[3]Quick Input'!Y$14,'[3]Quick Input'!Y$15)/10</f>
        <v>0</v>
      </c>
      <c r="S29" s="22"/>
      <c r="T29" s="22"/>
      <c r="U29" s="157">
        <f>MAX('[3]Quick Input'!AB$14,'[3]Quick Input'!AB$15)/10</f>
        <v>0</v>
      </c>
      <c r="V29" s="11"/>
      <c r="W29" s="718"/>
      <c r="X29" s="718"/>
      <c r="Y29" s="718"/>
    </row>
    <row r="30" spans="2:25" x14ac:dyDescent="0.2">
      <c r="B30" s="17">
        <v>7</v>
      </c>
      <c r="C30" s="96" t="s">
        <v>131</v>
      </c>
      <c r="D30" s="100" t="s">
        <v>1030</v>
      </c>
      <c r="E30" s="9"/>
      <c r="F30" s="157">
        <f>MIN('Quick Input'!M$14,'Quick Input'!M$15)/10</f>
        <v>40</v>
      </c>
      <c r="G30" s="22"/>
      <c r="H30" s="22"/>
      <c r="I30" s="157">
        <f>MIN('Quick Input'!P$14,'Quick Input'!P$15)/10</f>
        <v>40</v>
      </c>
      <c r="J30" s="22"/>
      <c r="K30" s="22"/>
      <c r="L30" s="157">
        <f>MIN('Quick Input'!S$14,'Quick Input'!S$15)/10</f>
        <v>40</v>
      </c>
      <c r="M30" s="22"/>
      <c r="N30" s="22"/>
      <c r="O30" s="157">
        <f>MIN('[3]Quick Input'!V$14,'[3]Quick Input'!V$15)/10</f>
        <v>0</v>
      </c>
      <c r="P30" s="22"/>
      <c r="Q30" s="22"/>
      <c r="R30" s="157">
        <f>MIN('[3]Quick Input'!Y$14,'[3]Quick Input'!Y$15)/10</f>
        <v>0</v>
      </c>
      <c r="S30" s="22"/>
      <c r="T30" s="22"/>
      <c r="U30" s="157">
        <f>MIN('[3]Quick Input'!AB$14,'[3]Quick Input'!AB$15)/10</f>
        <v>0</v>
      </c>
      <c r="V30" s="5"/>
      <c r="W30" s="718"/>
      <c r="X30" s="718"/>
      <c r="Y30" s="718"/>
    </row>
    <row r="31" spans="2:25" x14ac:dyDescent="0.2">
      <c r="B31" s="17">
        <v>7</v>
      </c>
      <c r="C31" s="96" t="s">
        <v>132</v>
      </c>
      <c r="D31" s="100" t="s">
        <v>1030</v>
      </c>
      <c r="E31" s="9"/>
      <c r="F31" s="159">
        <f>MAX(0.9,SQRT(MIN(1,F32+65%)))</f>
        <v>1</v>
      </c>
      <c r="G31" s="22"/>
      <c r="H31" s="22"/>
      <c r="I31" s="159">
        <f>MAX(0.9,SQRT(MIN(1,I$32+65%)))</f>
        <v>0.9</v>
      </c>
      <c r="J31" s="22"/>
      <c r="K31" s="22"/>
      <c r="L31" s="159">
        <f>MAX(0.9,SQRT(MIN(1,L$32+65%)))</f>
        <v>0.9</v>
      </c>
      <c r="M31" s="22"/>
      <c r="N31" s="22"/>
      <c r="O31" s="159" t="e">
        <f>MAX(0.9,SQRT(MIN(1,O$32+65%)))</f>
        <v>#VALUE!</v>
      </c>
      <c r="R31" s="159" t="e">
        <f>MAX(0.9,SQRT(MIN(1,R$32+65%)))</f>
        <v>#VALUE!</v>
      </c>
      <c r="U31" s="159" t="e">
        <f>MAX(0.9,SQRT(MIN(1,U$32+65%)))</f>
        <v>#VALUE!</v>
      </c>
      <c r="V31" s="5"/>
      <c r="W31" s="718"/>
      <c r="X31" s="718"/>
      <c r="Y31" s="718"/>
    </row>
    <row r="32" spans="2:25" x14ac:dyDescent="0.2">
      <c r="B32" s="17">
        <v>7</v>
      </c>
      <c r="C32" s="96" t="s">
        <v>133</v>
      </c>
      <c r="D32" s="100" t="s">
        <v>94</v>
      </c>
      <c r="E32" s="9"/>
      <c r="F32" s="160">
        <f>'Quick Input'!M$20/(F$29*F$30*'Quick Input'!M$16/10)</f>
        <v>0.37037037037037035</v>
      </c>
      <c r="G32" s="22"/>
      <c r="H32" s="22"/>
      <c r="I32" s="160">
        <f>'Quick Input'!P$20/(I$29*I$30*'Quick Input'!P$16/10)</f>
        <v>4.6193643754619367E-2</v>
      </c>
      <c r="J32" s="22"/>
      <c r="K32" s="22"/>
      <c r="L32" s="160">
        <f>'Quick Input'!S$20/(L$29*L$30*'Quick Input'!S$16/10)</f>
        <v>4.6193643754619367E-2</v>
      </c>
      <c r="M32" s="22"/>
      <c r="N32" s="22"/>
      <c r="O32" s="160" t="e">
        <f>'[3]Quick Input'!V$20/(O$29*O$30*'[3]Quick Input'!V$16/10)</f>
        <v>#VALUE!</v>
      </c>
      <c r="R32" s="160" t="e">
        <f>'[3]Quick Input'!Y$20/(R$29*R$30*'[3]Quick Input'!Y$16/10)</f>
        <v>#VALUE!</v>
      </c>
      <c r="U32" s="160" t="e">
        <f>'[3]Quick Input'!AB$20/(U$29*U$30*'[3]Quick Input'!AB$16/10)</f>
        <v>#VALUE!</v>
      </c>
      <c r="V32" s="5"/>
      <c r="W32" s="718"/>
      <c r="X32" s="718"/>
      <c r="Y32" s="718"/>
    </row>
    <row r="33" spans="2:24" x14ac:dyDescent="0.2">
      <c r="B33" s="466">
        <v>30</v>
      </c>
      <c r="C33" s="96" t="s">
        <v>123</v>
      </c>
      <c r="D33" s="100" t="s">
        <v>388</v>
      </c>
      <c r="E33" s="530" t="s">
        <v>455</v>
      </c>
      <c r="F33" s="155">
        <f>IF('Quick Input'!M$50=Auswahlfelder!$D$26,-9%,IF('Quick Input'!M$50=Auswahlfelder!$D$28,5%,0))</f>
        <v>0</v>
      </c>
      <c r="G33" s="10"/>
      <c r="H33" s="10"/>
      <c r="I33" s="155">
        <f>IF('Quick Input'!P$50=Auswahlfelder!$D$26,-9%,IF('Quick Input'!P$50=Auswahlfelder!$D$28,5%,0))</f>
        <v>0</v>
      </c>
      <c r="J33" s="10"/>
      <c r="K33" s="10"/>
      <c r="L33" s="155">
        <f>IF('Quick Input'!S$50=Auswahlfelder!$D$26,-9%,IF('Quick Input'!S$50=Auswahlfelder!$D$28,5%,0))</f>
        <v>0</v>
      </c>
      <c r="M33" s="10"/>
      <c r="N33" s="10"/>
      <c r="O33" s="155"/>
      <c r="P33" s="10"/>
      <c r="Q33" s="10"/>
      <c r="R33" s="155"/>
      <c r="S33" s="10"/>
      <c r="T33" s="10"/>
      <c r="U33" s="155"/>
      <c r="V33" s="11"/>
      <c r="X33" s="503"/>
    </row>
    <row r="34" spans="2:24" x14ac:dyDescent="0.2">
      <c r="B34" s="466">
        <v>30</v>
      </c>
      <c r="C34" s="96" t="s">
        <v>124</v>
      </c>
      <c r="D34" s="100"/>
      <c r="E34" s="530" t="s">
        <v>455</v>
      </c>
      <c r="F34" s="155">
        <f>VLOOKUP(F19,DB_Länder,11,FALSE)*2</f>
        <v>0</v>
      </c>
      <c r="G34" s="10"/>
      <c r="H34" s="10"/>
      <c r="I34" s="155">
        <f>VLOOKUP(I19,DB_Länder,11,FALSE)*2</f>
        <v>-0.02</v>
      </c>
      <c r="J34" s="10"/>
      <c r="K34" s="10"/>
      <c r="L34" s="155">
        <f>VLOOKUP(L19,DB_Länder,11,FALSE)*2</f>
        <v>0</v>
      </c>
      <c r="M34" s="10"/>
      <c r="N34" s="10"/>
      <c r="O34" s="155"/>
      <c r="P34" s="10"/>
      <c r="Q34" s="10"/>
      <c r="R34" s="155"/>
      <c r="S34" s="10"/>
      <c r="T34" s="10"/>
      <c r="U34" s="155"/>
      <c r="V34" s="5"/>
      <c r="X34" s="503"/>
    </row>
    <row r="35" spans="2:24" ht="15" thickBot="1" x14ac:dyDescent="0.25">
      <c r="B35" s="466">
        <v>30</v>
      </c>
      <c r="C35" s="96" t="s">
        <v>129</v>
      </c>
      <c r="D35" s="100"/>
      <c r="E35" s="530" t="s">
        <v>455</v>
      </c>
      <c r="F35" s="155">
        <f>IF('Quick Input'!M$47=Auswahlfelder!$D$7,0.95,IF('Quick Input'!M$47=Auswahlfelder!$D$8,0.92,0.88))</f>
        <v>0.92</v>
      </c>
      <c r="G35" s="10"/>
      <c r="H35" s="10"/>
      <c r="I35" s="155">
        <f>IF('Quick Input'!P$47=Auswahlfelder!$D$7,0.95,IF('Quick Input'!P$47=Auswahlfelder!$D$8,0.92,0.88))</f>
        <v>0.92</v>
      </c>
      <c r="J35" s="10"/>
      <c r="K35" s="10"/>
      <c r="L35" s="155">
        <f>IF('Quick Input'!S$47=Auswahlfelder!$D$7,0.95,IF('Quick Input'!S$47=Auswahlfelder!$D$8,0.92,0.88))</f>
        <v>0.92</v>
      </c>
      <c r="M35" s="10"/>
      <c r="N35" s="10"/>
      <c r="O35" s="155"/>
      <c r="P35" s="10"/>
      <c r="Q35" s="10"/>
      <c r="R35" s="155"/>
      <c r="S35" s="10"/>
      <c r="T35" s="10"/>
      <c r="U35" s="155"/>
      <c r="V35" s="1144"/>
    </row>
    <row r="36" spans="2:24" ht="15" x14ac:dyDescent="0.25">
      <c r="B36" s="466">
        <v>58</v>
      </c>
      <c r="C36" s="95" t="s">
        <v>359</v>
      </c>
      <c r="D36" s="98"/>
      <c r="E36" s="529"/>
      <c r="F36" s="156">
        <f>F$37*F$38*F$39</f>
        <v>2000</v>
      </c>
      <c r="G36" s="7"/>
      <c r="H36" s="7"/>
      <c r="I36" s="156">
        <f>I$37*I$38*I$39</f>
        <v>1800</v>
      </c>
      <c r="J36" s="7"/>
      <c r="K36" s="7"/>
      <c r="L36" s="156">
        <f>L$37*L$38*L$39</f>
        <v>1800</v>
      </c>
      <c r="M36" s="7"/>
      <c r="N36" s="7"/>
      <c r="O36" s="156"/>
      <c r="P36" s="28"/>
      <c r="Q36" s="28"/>
      <c r="R36" s="156"/>
      <c r="S36" s="28"/>
      <c r="T36" s="28"/>
      <c r="U36" s="156"/>
      <c r="V36" s="11"/>
    </row>
    <row r="37" spans="2:24" x14ac:dyDescent="0.2">
      <c r="B37" s="466">
        <f>B36</f>
        <v>58</v>
      </c>
      <c r="C37" s="96" t="s">
        <v>139</v>
      </c>
      <c r="D37" s="100" t="s">
        <v>94</v>
      </c>
      <c r="E37" s="530" t="s">
        <v>456</v>
      </c>
      <c r="F37" s="157">
        <f>MAX('Quick Input'!M$14,'Quick Input'!M$15)/10</f>
        <v>50</v>
      </c>
      <c r="G37" s="10"/>
      <c r="H37" s="10"/>
      <c r="I37" s="157">
        <f>MAX('Quick Input'!P$14,'Quick Input'!P$15)/10</f>
        <v>50</v>
      </c>
      <c r="J37" s="10"/>
      <c r="K37" s="10"/>
      <c r="L37" s="157">
        <f>MAX('Quick Input'!S$14,'Quick Input'!S$15)/10</f>
        <v>50</v>
      </c>
      <c r="M37" s="10"/>
      <c r="N37" s="10"/>
      <c r="O37" s="157"/>
      <c r="P37" s="4"/>
      <c r="Q37" s="4"/>
      <c r="R37" s="157"/>
      <c r="S37" s="4"/>
      <c r="T37" s="4"/>
      <c r="U37" s="157"/>
      <c r="V37" s="11"/>
    </row>
    <row r="38" spans="2:24" x14ac:dyDescent="0.2">
      <c r="B38" s="466">
        <f>B37</f>
        <v>58</v>
      </c>
      <c r="C38" s="96" t="s">
        <v>131</v>
      </c>
      <c r="D38" s="100" t="s">
        <v>94</v>
      </c>
      <c r="E38" s="530" t="s">
        <v>456</v>
      </c>
      <c r="F38" s="158">
        <f>MIN('Quick Input'!M$14,'Quick Input'!M$15)/10</f>
        <v>40</v>
      </c>
      <c r="G38" s="10"/>
      <c r="H38" s="10"/>
      <c r="I38" s="158">
        <f>MIN('Quick Input'!P$14,'Quick Input'!P$15)/10</f>
        <v>40</v>
      </c>
      <c r="J38" s="10"/>
      <c r="K38" s="10"/>
      <c r="L38" s="158">
        <f>MIN('Quick Input'!S$14,'Quick Input'!S$15)/10</f>
        <v>40</v>
      </c>
      <c r="M38" s="10"/>
      <c r="N38" s="10"/>
      <c r="O38" s="158"/>
      <c r="P38" s="4"/>
      <c r="Q38" s="4"/>
      <c r="R38" s="158"/>
      <c r="S38" s="4"/>
      <c r="T38" s="4"/>
      <c r="U38" s="158"/>
      <c r="V38" s="5"/>
    </row>
    <row r="39" spans="2:24" ht="15" thickBot="1" x14ac:dyDescent="0.25">
      <c r="B39" s="466">
        <f>B38</f>
        <v>58</v>
      </c>
      <c r="C39" s="96" t="s">
        <v>132</v>
      </c>
      <c r="D39" s="100" t="s">
        <v>388</v>
      </c>
      <c r="E39" s="530" t="s">
        <v>455</v>
      </c>
      <c r="F39" s="159">
        <f>MAX(0.9,SQRT(MIN(1,F$44+65%)))</f>
        <v>1</v>
      </c>
      <c r="G39" s="10"/>
      <c r="H39" s="10"/>
      <c r="I39" s="159">
        <f>MAX(0.9,SQRT(MIN(1,I$44+65%)))</f>
        <v>0.9</v>
      </c>
      <c r="J39" s="10"/>
      <c r="K39" s="10"/>
      <c r="L39" s="159">
        <f>MAX(0.9,SQRT(MIN(1,L$44+65%)))</f>
        <v>0.9</v>
      </c>
      <c r="M39" s="10"/>
      <c r="N39" s="10"/>
      <c r="O39" s="159"/>
      <c r="P39" s="4"/>
      <c r="Q39" s="4"/>
      <c r="R39" s="159"/>
      <c r="S39" s="4"/>
      <c r="T39" s="4"/>
      <c r="U39" s="159"/>
      <c r="V39" s="5"/>
    </row>
    <row r="40" spans="2:24" ht="15" x14ac:dyDescent="0.25">
      <c r="B40" s="466">
        <f>B39</f>
        <v>58</v>
      </c>
      <c r="C40" s="95" t="s">
        <v>136</v>
      </c>
      <c r="D40" s="98"/>
      <c r="E40" s="529"/>
      <c r="F40" s="156" t="e">
        <f>F$36*(1+F$41)*Refkalkulation!H$49</f>
        <v>#N/A</v>
      </c>
      <c r="G40" s="7"/>
      <c r="H40" s="7"/>
      <c r="I40" s="156">
        <f>I$36*(1+I$41)*I$59</f>
        <v>1800</v>
      </c>
      <c r="J40" s="7"/>
      <c r="K40" s="7"/>
      <c r="L40" s="156">
        <f>L$36*(1+L$41)*L$59</f>
        <v>1800</v>
      </c>
      <c r="M40" s="7"/>
      <c r="N40" s="7"/>
      <c r="O40" s="156"/>
      <c r="P40" s="28"/>
      <c r="Q40" s="28"/>
      <c r="R40" s="156"/>
      <c r="S40" s="28"/>
      <c r="T40" s="28"/>
      <c r="U40" s="156"/>
      <c r="V40" s="8"/>
    </row>
    <row r="41" spans="2:24" ht="15" thickBot="1" x14ac:dyDescent="0.25">
      <c r="B41" s="466">
        <f>B40</f>
        <v>58</v>
      </c>
      <c r="C41" s="96" t="s">
        <v>134</v>
      </c>
      <c r="D41" s="100"/>
      <c r="E41" s="530" t="s">
        <v>455</v>
      </c>
      <c r="F41" s="149" t="e">
        <f>IF(OR(F$44&lt;23%,VLOOKUP(Refkalkulation!H$51,DB_Maschinen,2,FALSE)='Maschinen-DB'!$D$22),0,5.25%+F$59*0.75%)</f>
        <v>#N/A</v>
      </c>
      <c r="G41" s="10"/>
      <c r="H41" s="10"/>
      <c r="I41" s="149">
        <f>IF(OR(I$44&lt;23%,VLOOKUP(Refkalkulation!K$51,DB_Maschinen,2,FALSE)='Maschinen-DB'!$D$22),0,5.25%+I$59*0.75%)</f>
        <v>0</v>
      </c>
      <c r="J41" s="10"/>
      <c r="K41" s="10"/>
      <c r="L41" s="149">
        <f>IF(OR(L$44&lt;23%,VLOOKUP(Refkalkulation!N$51,DB_Maschinen,2,FALSE)='Maschinen-DB'!$D$22),0,5.25%+L$59*0.75%)</f>
        <v>0</v>
      </c>
      <c r="M41" s="10"/>
      <c r="N41" s="10"/>
      <c r="O41" s="149"/>
      <c r="P41" s="10"/>
      <c r="Q41" s="10"/>
      <c r="R41" s="149"/>
      <c r="S41" s="10"/>
      <c r="T41" s="10"/>
      <c r="U41" s="149"/>
      <c r="V41" s="1143"/>
    </row>
    <row r="42" spans="2:24" ht="15" x14ac:dyDescent="0.25">
      <c r="B42" s="466">
        <v>6</v>
      </c>
      <c r="C42" s="95" t="s">
        <v>459</v>
      </c>
      <c r="D42" s="98" t="s">
        <v>94</v>
      </c>
      <c r="E42" s="535" t="s">
        <v>456</v>
      </c>
      <c r="F42" s="345">
        <f>F$36*'Quick Input'!M$16/10000</f>
        <v>40</v>
      </c>
      <c r="G42" s="7"/>
      <c r="H42" s="7"/>
      <c r="I42" s="345">
        <f>I$36*'Quick Input'!P$16/10000</f>
        <v>36</v>
      </c>
      <c r="J42" s="7"/>
      <c r="K42" s="7"/>
      <c r="L42" s="345">
        <f>L$36*'Quick Input'!S$16/10000</f>
        <v>36</v>
      </c>
      <c r="M42" s="7"/>
      <c r="N42" s="7"/>
      <c r="O42" s="345"/>
      <c r="P42" s="28"/>
      <c r="Q42" s="28"/>
      <c r="R42" s="345"/>
      <c r="S42" s="28"/>
      <c r="T42" s="28"/>
      <c r="U42" s="345"/>
      <c r="V42" s="11"/>
    </row>
    <row r="43" spans="2:24" x14ac:dyDescent="0.2">
      <c r="B43" s="466">
        <v>6</v>
      </c>
      <c r="C43" s="96" t="s">
        <v>464</v>
      </c>
      <c r="D43" s="100" t="s">
        <v>94</v>
      </c>
      <c r="E43" s="530" t="s">
        <v>456</v>
      </c>
      <c r="F43" s="159">
        <f>F$42*VLOOKUP('Quick Input'!M$10,DB_Material,5,FALSE)</f>
        <v>108</v>
      </c>
      <c r="G43" s="10"/>
      <c r="H43" s="10"/>
      <c r="I43" s="159">
        <f>I$42*VLOOKUP('Quick Input'!P$10,DB_Material,5,FALSE)</f>
        <v>97.415999999999997</v>
      </c>
      <c r="J43" s="10"/>
      <c r="K43" s="10"/>
      <c r="L43" s="159">
        <f>L$42*VLOOKUP('Quick Input'!S$10,DB_Material,5,FALSE)</f>
        <v>97.415999999999997</v>
      </c>
      <c r="M43" s="10"/>
      <c r="N43" s="10"/>
      <c r="O43" s="159"/>
      <c r="P43" s="10"/>
      <c r="Q43" s="10"/>
      <c r="R43" s="159"/>
      <c r="S43" s="10"/>
      <c r="T43" s="10"/>
      <c r="U43" s="159"/>
      <c r="V43" s="5"/>
    </row>
    <row r="44" spans="2:24" ht="15" thickBot="1" x14ac:dyDescent="0.25">
      <c r="B44" s="466">
        <v>6</v>
      </c>
      <c r="C44" s="96" t="s">
        <v>133</v>
      </c>
      <c r="D44" s="100" t="s">
        <v>94</v>
      </c>
      <c r="E44" s="530" t="s">
        <v>456</v>
      </c>
      <c r="F44" s="160">
        <f>'Quick Input'!M$20/(F$37*F$38*'Quick Input'!M$16/10)</f>
        <v>0.37037037037037035</v>
      </c>
      <c r="G44" s="10"/>
      <c r="H44" s="10"/>
      <c r="I44" s="160">
        <f>'Quick Input'!P$20/(I$37*I$38*'Quick Input'!P$16/10)</f>
        <v>4.6193643754619367E-2</v>
      </c>
      <c r="J44" s="10"/>
      <c r="K44" s="10"/>
      <c r="L44" s="160">
        <f>'Quick Input'!S$20/(L$37*L$38*'Quick Input'!S$16/10)</f>
        <v>4.6193643754619367E-2</v>
      </c>
      <c r="M44" s="10"/>
      <c r="N44" s="10"/>
      <c r="O44" s="160"/>
      <c r="P44" s="4"/>
      <c r="Q44" s="4"/>
      <c r="R44" s="160"/>
      <c r="S44" s="4"/>
      <c r="T44" s="4"/>
      <c r="U44" s="160"/>
      <c r="V44" s="1144"/>
    </row>
    <row r="45" spans="2:24" ht="15" x14ac:dyDescent="0.25">
      <c r="B45" s="466">
        <v>3</v>
      </c>
      <c r="C45" s="95" t="s">
        <v>389</v>
      </c>
      <c r="D45" s="98">
        <v>1</v>
      </c>
      <c r="E45" s="535" t="s">
        <v>456</v>
      </c>
      <c r="F45" s="345">
        <f ca="1">(F$46+F$48)*F$59</f>
        <v>96.126296077511611</v>
      </c>
      <c r="G45" s="7"/>
      <c r="H45" s="7"/>
      <c r="I45" s="345">
        <f>(I$46+I$48)*I$59</f>
        <v>12.089473376211119</v>
      </c>
      <c r="J45" s="7"/>
      <c r="K45" s="7"/>
      <c r="L45" s="345">
        <f>(L$46+L$48)*L$59</f>
        <v>17.084480799306114</v>
      </c>
      <c r="M45" s="7"/>
      <c r="N45" s="7"/>
      <c r="O45" s="345"/>
      <c r="P45" s="7"/>
      <c r="Q45" s="7"/>
      <c r="R45" s="345"/>
      <c r="S45" s="7"/>
      <c r="T45" s="7"/>
      <c r="U45" s="345"/>
      <c r="V45" s="11"/>
    </row>
    <row r="46" spans="2:24" x14ac:dyDescent="0.2">
      <c r="B46" s="466">
        <v>3</v>
      </c>
      <c r="C46" s="96" t="s">
        <v>363</v>
      </c>
      <c r="D46" s="100">
        <v>1</v>
      </c>
      <c r="E46" s="530" t="s">
        <v>456</v>
      </c>
      <c r="F46" s="159">
        <f>'Quick Input'!M$19</f>
        <v>40</v>
      </c>
      <c r="G46" s="10"/>
      <c r="H46" s="10"/>
      <c r="I46" s="159">
        <f>'Quick Input'!P$19</f>
        <v>5</v>
      </c>
      <c r="J46" s="10"/>
      <c r="K46" s="10"/>
      <c r="L46" s="159">
        <f>'Quick Input'!S$19</f>
        <v>5</v>
      </c>
      <c r="M46" s="10"/>
      <c r="N46" s="10"/>
      <c r="O46" s="159"/>
      <c r="P46" s="10"/>
      <c r="Q46" s="10"/>
      <c r="R46" s="159"/>
      <c r="S46" s="10"/>
      <c r="T46" s="10"/>
      <c r="U46" s="159"/>
      <c r="V46" s="11"/>
    </row>
    <row r="47" spans="2:24" ht="15" x14ac:dyDescent="0.25">
      <c r="B47" s="466">
        <v>3</v>
      </c>
      <c r="C47" s="96" t="s">
        <v>267</v>
      </c>
      <c r="D47" s="541" t="s">
        <v>388</v>
      </c>
      <c r="E47" s="530" t="s">
        <v>455</v>
      </c>
      <c r="F47" s="201">
        <f ca="1">6%+27%*(VLOOKUP(F48,Auswahlfelder!$D$36:$E$38,2,FALSE)-1)+11%*F223+3%*F229</f>
        <v>0</v>
      </c>
      <c r="G47" s="10"/>
      <c r="H47" s="10"/>
      <c r="I47" s="201">
        <f>'Länder-DB'!$M$19+I$49+I$50+I$60</f>
        <v>1.4178946752422239</v>
      </c>
      <c r="J47" s="10"/>
      <c r="K47" s="10"/>
      <c r="L47" s="201">
        <f>'Länder-DB'!$M$19+L$49+L$50+L$60</f>
        <v>2.4168961598612224</v>
      </c>
      <c r="M47" s="10"/>
      <c r="N47" s="10"/>
      <c r="O47" s="201"/>
      <c r="P47" s="10"/>
      <c r="Q47" s="10"/>
      <c r="R47" s="201"/>
      <c r="S47" s="10"/>
      <c r="T47" s="10"/>
      <c r="U47" s="201"/>
      <c r="V47" s="11"/>
      <c r="X47" s="503"/>
    </row>
    <row r="48" spans="2:24" x14ac:dyDescent="0.2">
      <c r="B48" s="466">
        <v>3</v>
      </c>
      <c r="C48" s="96" t="s">
        <v>434</v>
      </c>
      <c r="D48" s="100">
        <v>1</v>
      </c>
      <c r="E48" s="530" t="s">
        <v>455</v>
      </c>
      <c r="F48" s="159">
        <f ca="1">F$46*F$47</f>
        <v>56.126296077511611</v>
      </c>
      <c r="G48" s="10"/>
      <c r="H48" s="10"/>
      <c r="I48" s="159">
        <f>I$46*I$47</f>
        <v>7.0894733762111191</v>
      </c>
      <c r="J48" s="10"/>
      <c r="K48" s="10"/>
      <c r="L48" s="159">
        <f>L$46*L$47</f>
        <v>12.084480799306112</v>
      </c>
      <c r="M48" s="10"/>
      <c r="N48" s="10"/>
      <c r="O48" s="159"/>
      <c r="P48" s="10"/>
      <c r="Q48" s="10"/>
      <c r="R48" s="159"/>
      <c r="S48" s="10"/>
      <c r="T48" s="10"/>
      <c r="U48" s="159"/>
      <c r="V48" s="11"/>
    </row>
    <row r="49" spans="2:25" ht="15" thickBot="1" x14ac:dyDescent="0.25">
      <c r="B49" s="466">
        <v>3</v>
      </c>
      <c r="C49" s="96" t="s">
        <v>1046</v>
      </c>
      <c r="D49" s="100"/>
      <c r="E49" s="530" t="s">
        <v>455</v>
      </c>
      <c r="F49" s="158">
        <f>Refkalkulation!H48</f>
        <v>1</v>
      </c>
      <c r="G49" s="10"/>
      <c r="H49" s="10"/>
      <c r="I49" s="158">
        <f>Refkalkulation!K48</f>
        <v>1</v>
      </c>
      <c r="J49" s="10"/>
      <c r="K49" s="10"/>
      <c r="L49" s="158">
        <f>Refkalkulation!N48</f>
        <v>2</v>
      </c>
      <c r="M49" s="10"/>
      <c r="N49" s="10"/>
      <c r="O49" s="201"/>
      <c r="P49" s="10"/>
      <c r="Q49" s="10"/>
      <c r="R49" s="201"/>
      <c r="S49" s="10"/>
      <c r="T49" s="10"/>
      <c r="U49" s="201"/>
      <c r="V49" s="11"/>
      <c r="X49" s="503"/>
    </row>
    <row r="50" spans="2:25" ht="15" thickBot="1" x14ac:dyDescent="0.25">
      <c r="B50" s="466">
        <v>3</v>
      </c>
      <c r="C50" s="96" t="s">
        <v>435</v>
      </c>
      <c r="D50" s="100">
        <v>1</v>
      </c>
      <c r="E50" s="530" t="s">
        <v>455</v>
      </c>
      <c r="F50" s="201">
        <f>MAX(0%,20%*(40%-F$71))</f>
        <v>6.3157401937790389E-2</v>
      </c>
      <c r="G50" s="10"/>
      <c r="H50" s="10"/>
      <c r="I50" s="201">
        <f>MAX(0%,20%*(40%-I$71))</f>
        <v>7.7894675242223807E-2</v>
      </c>
      <c r="J50" s="10"/>
      <c r="K50" s="10"/>
      <c r="L50" s="201">
        <f>20%*(40%-L$71)</f>
        <v>7.6896159861222391E-2</v>
      </c>
      <c r="M50" s="10"/>
      <c r="N50" s="10"/>
      <c r="O50" s="201"/>
      <c r="P50" s="10"/>
      <c r="Q50" s="10"/>
      <c r="R50" s="201"/>
      <c r="S50" s="10"/>
      <c r="T50" s="10"/>
      <c r="U50" s="201"/>
      <c r="V50" s="11"/>
      <c r="X50" s="503"/>
    </row>
    <row r="51" spans="2:25" ht="15" x14ac:dyDescent="0.25">
      <c r="B51" s="17">
        <v>25</v>
      </c>
      <c r="C51" s="95" t="s">
        <v>1027</v>
      </c>
      <c r="D51" s="98" t="s">
        <v>94</v>
      </c>
      <c r="E51" s="6"/>
      <c r="F51" s="161" t="e">
        <f ca="1">MAX(F54,MIN(F55,Refkalkulation!H51+IF(VLOOKUP(Refkalkulation!H51,DB_Maschinen,5,FALSE)&lt;F45*10,1,0)))</f>
        <v>#N/A</v>
      </c>
      <c r="G51" s="418"/>
      <c r="H51" s="419"/>
      <c r="I51" s="161">
        <f>MAX(I54,MIN(I55,[3]Refkalkulation!K50+IF(VLOOKUP([3]Refkalkulation!K50,DB_Maschinen,5,FALSE)&lt;I45*10,1,0)))</f>
        <v>3</v>
      </c>
      <c r="J51" s="418"/>
      <c r="K51" s="419"/>
      <c r="L51" s="161">
        <f>MAX(L54,MIN(L55,[3]Refkalkulation!N50+IF(VLOOKUP([3]Refkalkulation!N50,DB_Maschinen,5,FALSE)&lt;L45*10,1,0)))</f>
        <v>7</v>
      </c>
      <c r="M51" s="418"/>
      <c r="N51" s="419"/>
      <c r="O51" s="161">
        <f>MAX(O54,MIN(O55,[3]Refkalkulation!Q50+IF(VLOOKUP([3]Refkalkulation!Q50,DB_Maschinen,5,FALSE)&lt;O45*10,1,0)))</f>
        <v>5</v>
      </c>
      <c r="P51" s="418"/>
      <c r="Q51" s="419"/>
      <c r="R51" s="161">
        <f>MAX(R54,MIN(R55,[3]Refkalkulation!T50+IF(VLOOKUP([3]Refkalkulation!T50,DB_Maschinen,5,FALSE)&lt;R45*10,1,0)))</f>
        <v>3</v>
      </c>
      <c r="S51" s="418"/>
      <c r="T51" s="419"/>
      <c r="U51" s="161">
        <f>MAX(U54,MIN(U55,[3]Refkalkulation!W50+IF(VLOOKUP([3]Refkalkulation!W50,DB_Maschinen,5,FALSE)&lt;U45*10,1,0)))</f>
        <v>3</v>
      </c>
      <c r="V51" s="11"/>
      <c r="W51" s="718"/>
      <c r="X51" s="718"/>
      <c r="Y51" s="1213"/>
    </row>
    <row r="52" spans="2:25" x14ac:dyDescent="0.2">
      <c r="B52" s="17">
        <v>3</v>
      </c>
      <c r="C52" s="96" t="s">
        <v>1028</v>
      </c>
      <c r="D52" s="100" t="s">
        <v>94</v>
      </c>
      <c r="E52" s="9"/>
      <c r="F52" s="1214">
        <f>IFERROR(IF([3]Refkalkulation!H$50=0,F$51,IF(AND([3]Refkalkulation!H$50&gt;=F54,[3]Refkalkulation!H$50&lt;=F55),[3]Refkalkulation!H$50,F$51)),F$54)</f>
        <v>3</v>
      </c>
      <c r="G52" s="1215" t="s">
        <v>284</v>
      </c>
      <c r="H52" s="421"/>
      <c r="I52" s="1214">
        <f>IFERROR(IF([3]Refkalkulation!K$50=0,I$51,IF(AND([3]Refkalkulation!K$50&gt;=I54,[3]Refkalkulation!K$50&lt;=I55),[3]Refkalkulation!K$50,I$51)),I$54)</f>
        <v>3</v>
      </c>
      <c r="J52" s="1215" t="s">
        <v>284</v>
      </c>
      <c r="K52" s="421"/>
      <c r="L52" s="1214">
        <f>IFERROR(IF([3]Refkalkulation!N$50=0,L$51,IF(AND([3]Refkalkulation!N$50&gt;=L54,[3]Refkalkulation!N$50&lt;=L55),[3]Refkalkulation!N$50,L$51)),L$54)</f>
        <v>7</v>
      </c>
      <c r="M52" s="1215" t="s">
        <v>284</v>
      </c>
      <c r="N52" s="421"/>
      <c r="O52" s="1214">
        <f>IFERROR(IF([3]Refkalkulation!Q$50=0,O$51,IF(AND([3]Refkalkulation!Q$50&gt;=O54,[3]Refkalkulation!Q$50&lt;=O55),[3]Refkalkulation!Q$50,O$51)),O$54)</f>
        <v>5</v>
      </c>
      <c r="P52" s="1215" t="s">
        <v>284</v>
      </c>
      <c r="Q52" s="421"/>
      <c r="R52" s="1214">
        <f>IFERROR(IF([3]Refkalkulation!T$50=0,R$51,IF(AND([3]Refkalkulation!T$50&gt;=R54,[3]Refkalkulation!T$50&lt;=R55),[3]Refkalkulation!T$50,R$51)),R$54)</f>
        <v>3</v>
      </c>
      <c r="S52" s="1215" t="s">
        <v>284</v>
      </c>
      <c r="T52" s="421"/>
      <c r="U52" s="1214">
        <f>IFERROR(IF([3]Refkalkulation!W$50=0,U$51,IF(AND([3]Refkalkulation!W$50&gt;=U54,[3]Refkalkulation!W$50&lt;=U55),[3]Refkalkulation!W$50,U$51)),U$54)</f>
        <v>3</v>
      </c>
      <c r="V52" s="5"/>
      <c r="W52" s="718"/>
      <c r="X52" s="1213"/>
      <c r="Y52" s="1213"/>
    </row>
    <row r="53" spans="2:25" x14ac:dyDescent="0.2">
      <c r="B53" s="17">
        <v>25</v>
      </c>
      <c r="C53" s="96" t="s">
        <v>1029</v>
      </c>
      <c r="D53" s="100" t="s">
        <v>1030</v>
      </c>
      <c r="E53" s="9"/>
      <c r="F53" s="158" t="str">
        <f>'Quick Input'!M22</f>
        <v>Niederdruck</v>
      </c>
      <c r="G53" s="420"/>
      <c r="H53" s="421"/>
      <c r="I53" s="158" t="str">
        <f>'Quick Input'!P22</f>
        <v>Niederdruck</v>
      </c>
      <c r="J53" s="420"/>
      <c r="K53" s="421"/>
      <c r="L53" s="158" t="str">
        <f>'Quick Input'!S22</f>
        <v>Schwerkaft</v>
      </c>
      <c r="M53" s="420"/>
      <c r="N53" s="421"/>
      <c r="O53" s="158" t="str">
        <f>'[3]Quick Input'!V22</f>
        <v>Niederdruck</v>
      </c>
      <c r="P53" s="420"/>
      <c r="Q53" s="421"/>
      <c r="R53" s="158" t="str">
        <f>'[3]Quick Input'!Y22</f>
        <v>Niederdruck</v>
      </c>
      <c r="S53" s="420"/>
      <c r="T53" s="421"/>
      <c r="U53" s="158" t="str">
        <f>'[3]Quick Input'!AB22</f>
        <v>Niederdruck</v>
      </c>
      <c r="V53" s="11"/>
      <c r="W53" s="718"/>
      <c r="X53" s="718"/>
      <c r="Y53" s="718"/>
    </row>
    <row r="54" spans="2:25" x14ac:dyDescent="0.2">
      <c r="B54" s="17">
        <v>25</v>
      </c>
      <c r="C54" s="96" t="s">
        <v>1031</v>
      </c>
      <c r="D54" s="100" t="s">
        <v>1030</v>
      </c>
      <c r="E54" s="9"/>
      <c r="F54" s="158">
        <f>VLOOKUP(F$53,'Maschinen-DB'!$B$22:$C$40,2,FALSE)</f>
        <v>3</v>
      </c>
      <c r="G54" s="420"/>
      <c r="H54" s="421"/>
      <c r="I54" s="158">
        <f>VLOOKUP(I$53,'Maschinen-DB'!$B$22:$C$40,2,FALSE)</f>
        <v>3</v>
      </c>
      <c r="J54" s="420"/>
      <c r="K54" s="421"/>
      <c r="L54" s="158">
        <f>VLOOKUP(L$53,'Maschinen-DB'!$B$22:$C$40,2,FALSE)</f>
        <v>7</v>
      </c>
      <c r="M54" s="420"/>
      <c r="N54" s="421"/>
      <c r="O54" s="158">
        <f>VLOOKUP(O$53,'[3]Maschinen-DB'!$B$22:$C$40,2,FALSE)</f>
        <v>3</v>
      </c>
      <c r="P54" s="420"/>
      <c r="Q54" s="421"/>
      <c r="R54" s="158">
        <f>VLOOKUP(R$53,'[3]Maschinen-DB'!$B$22:$C$40,2,FALSE)</f>
        <v>3</v>
      </c>
      <c r="S54" s="420"/>
      <c r="T54" s="421"/>
      <c r="U54" s="158">
        <f>VLOOKUP(U$53,'[3]Maschinen-DB'!$B$22:$C$40,2,FALSE)</f>
        <v>3</v>
      </c>
      <c r="V54" s="5"/>
      <c r="W54" s="718"/>
      <c r="X54" s="718"/>
      <c r="Y54" s="1213"/>
    </row>
    <row r="55" spans="2:25" x14ac:dyDescent="0.2">
      <c r="B55" s="17">
        <v>25</v>
      </c>
      <c r="C55" s="96" t="s">
        <v>1032</v>
      </c>
      <c r="D55" s="100" t="s">
        <v>1030</v>
      </c>
      <c r="E55" s="9"/>
      <c r="F55" s="158">
        <f>VLOOKUP(F$53,'Maschinen-DB'!$B$22:$C$40,2,TRUE)</f>
        <v>6</v>
      </c>
      <c r="G55" s="420"/>
      <c r="H55" s="421"/>
      <c r="I55" s="158">
        <f>VLOOKUP(I$53,'Maschinen-DB'!$B$22:$C$40,2,TRUE)</f>
        <v>6</v>
      </c>
      <c r="J55" s="420"/>
      <c r="K55" s="421"/>
      <c r="L55" s="158">
        <f>VLOOKUP(L$53,'Maschinen-DB'!$B$22:$C$40,2,TRUE)</f>
        <v>8</v>
      </c>
      <c r="M55" s="420"/>
      <c r="N55" s="421"/>
      <c r="O55" s="158">
        <f>VLOOKUP(O$53,'[3]Maschinen-DB'!$B$22:$C$40,2,TRUE)</f>
        <v>6</v>
      </c>
      <c r="P55" s="420"/>
      <c r="Q55" s="421"/>
      <c r="R55" s="158">
        <f>VLOOKUP(R$53,'[3]Maschinen-DB'!$B$22:$C$40,2,TRUE)</f>
        <v>6</v>
      </c>
      <c r="S55" s="420"/>
      <c r="T55" s="421"/>
      <c r="U55" s="158">
        <f>VLOOKUP(U$53,'[3]Maschinen-DB'!$B$22:$C$40,2,TRUE)</f>
        <v>6</v>
      </c>
      <c r="V55" s="5"/>
      <c r="W55" s="718"/>
      <c r="X55" s="718"/>
      <c r="Y55" s="718"/>
    </row>
    <row r="56" spans="2:25" x14ac:dyDescent="0.2">
      <c r="B56" s="17">
        <v>26</v>
      </c>
      <c r="C56" s="96" t="s">
        <v>1033</v>
      </c>
      <c r="D56" s="100" t="s">
        <v>94</v>
      </c>
      <c r="E56" s="9"/>
      <c r="F56" s="205">
        <f>VLOOKUP([3]Refkalkulation!H50,DB_Maschinen,12,FALSE)</f>
        <v>12000</v>
      </c>
      <c r="G56" s="420"/>
      <c r="H56" s="421"/>
      <c r="I56" s="205">
        <f>VLOOKUP([3]Refkalkulation!K50,DB_Maschinen,12,FALSE)</f>
        <v>12000</v>
      </c>
      <c r="J56" s="420"/>
      <c r="K56" s="421"/>
      <c r="L56" s="205">
        <f>VLOOKUP([3]Refkalkulation!N50,DB_Maschinen,12,FALSE)</f>
        <v>12000</v>
      </c>
      <c r="M56" s="420"/>
      <c r="N56" s="421"/>
      <c r="O56" s="205">
        <f>VLOOKUP([3]Refkalkulation!Q50,DB_Maschinen,12,FALSE)</f>
        <v>45000</v>
      </c>
      <c r="P56" s="420"/>
      <c r="Q56" s="421"/>
      <c r="R56" s="205">
        <f>VLOOKUP([3]Refkalkulation!T50,DB_Maschinen,12,FALSE)</f>
        <v>12000</v>
      </c>
      <c r="S56" s="420"/>
      <c r="T56" s="421"/>
      <c r="U56" s="205">
        <f>VLOOKUP([3]Refkalkulation!W50,DB_Maschinen,12,FALSE)</f>
        <v>12000</v>
      </c>
      <c r="V56" s="5"/>
      <c r="W56" s="718"/>
      <c r="X56" s="718"/>
      <c r="Y56" s="718"/>
    </row>
    <row r="57" spans="2:25" x14ac:dyDescent="0.2">
      <c r="B57" s="17">
        <v>25</v>
      </c>
      <c r="C57" s="96" t="s">
        <v>1034</v>
      </c>
      <c r="D57" s="100" t="s">
        <v>94</v>
      </c>
      <c r="E57" s="9"/>
      <c r="F57" s="158" t="str">
        <f>VLOOKUP(Refkalkulation!H50,DB_Maschinen,4,FALSE)</f>
        <v>fix</v>
      </c>
      <c r="G57" s="420"/>
      <c r="H57" s="421"/>
      <c r="I57" s="158" t="str">
        <f>VLOOKUP(Refkalkulation!K50,DB_Maschinen,4,FALSE)</f>
        <v>fix</v>
      </c>
      <c r="J57" s="420"/>
      <c r="K57" s="421"/>
      <c r="L57" s="158" t="str">
        <f>VLOOKUP(Refkalkulation!N50,DB_Maschinen,4,FALSE)</f>
        <v>ohne</v>
      </c>
      <c r="M57" s="420"/>
      <c r="N57" s="421"/>
      <c r="O57" s="158" t="str">
        <f>VLOOKUP([3]Refkalkulation!Q50,DB_Maschinen,4,FALSE)</f>
        <v>Wechsel</v>
      </c>
      <c r="P57" s="420"/>
      <c r="Q57" s="421"/>
      <c r="R57" s="158" t="str">
        <f>VLOOKUP([3]Refkalkulation!T50,DB_Maschinen,4,FALSE)</f>
        <v>fix</v>
      </c>
      <c r="S57" s="420"/>
      <c r="T57" s="421"/>
      <c r="U57" s="158" t="str">
        <f>VLOOKUP([3]Refkalkulation!W50,DB_Maschinen,4,FALSE)</f>
        <v>fix</v>
      </c>
      <c r="V57" s="5"/>
      <c r="W57" s="718"/>
      <c r="X57" s="718"/>
      <c r="Y57" s="718"/>
    </row>
    <row r="58" spans="2:25" ht="15" thickBot="1" x14ac:dyDescent="0.25">
      <c r="B58" s="17">
        <v>25</v>
      </c>
      <c r="C58" s="96" t="s">
        <v>1035</v>
      </c>
      <c r="D58" s="100" t="s">
        <v>1030</v>
      </c>
      <c r="E58" s="9"/>
      <c r="F58" s="1216">
        <f>IF(F57="fix",1,IF(F57="ohne",0.5,1.5))</f>
        <v>1</v>
      </c>
      <c r="G58" s="422"/>
      <c r="H58" s="423"/>
      <c r="I58" s="1216">
        <f>IF(I57="fix",1,IF(I57="ohne",0.5,1.5))</f>
        <v>1</v>
      </c>
      <c r="J58" s="422"/>
      <c r="K58" s="423"/>
      <c r="L58" s="1216">
        <f>IF(L57="fix",1,IF(L57="ohne",0.5,1.5))</f>
        <v>0.5</v>
      </c>
      <c r="M58" s="422"/>
      <c r="N58" s="423"/>
      <c r="O58" s="1216">
        <f>IF(O57="fix",1,IF(O57="ohne",0.5,1.5))</f>
        <v>1.5</v>
      </c>
      <c r="P58" s="422"/>
      <c r="Q58" s="423"/>
      <c r="R58" s="1216">
        <f>IF(R57="fix",1,IF(R57="ohne",0.5,1.5))</f>
        <v>1</v>
      </c>
      <c r="S58" s="422"/>
      <c r="T58" s="423"/>
      <c r="U58" s="1216">
        <f>IF(U57="fix",1,IF(U57="ohne",0.5,1.5))</f>
        <v>1</v>
      </c>
      <c r="V58" s="5"/>
      <c r="W58" s="718"/>
      <c r="X58" s="718"/>
      <c r="Y58" s="718"/>
    </row>
    <row r="59" spans="2:25" x14ac:dyDescent="0.2">
      <c r="B59" s="466">
        <v>3</v>
      </c>
      <c r="C59" s="96" t="s">
        <v>372</v>
      </c>
      <c r="D59" s="100">
        <v>1</v>
      </c>
      <c r="E59" s="530" t="s">
        <v>456</v>
      </c>
      <c r="F59" s="162">
        <f>Refkalkulation!H$49</f>
        <v>1</v>
      </c>
      <c r="G59" s="10"/>
      <c r="H59" s="10"/>
      <c r="I59" s="162">
        <f>Refkalkulation!K$49</f>
        <v>1</v>
      </c>
      <c r="J59" s="10"/>
      <c r="K59" s="10"/>
      <c r="L59" s="162">
        <f>Refkalkulation!N$49</f>
        <v>1</v>
      </c>
      <c r="M59" s="10"/>
      <c r="N59" s="10"/>
      <c r="O59" s="162"/>
      <c r="P59" s="4"/>
      <c r="Q59" s="4"/>
      <c r="R59" s="162"/>
      <c r="S59" s="4"/>
      <c r="T59" s="4"/>
      <c r="U59" s="162"/>
      <c r="V59" s="5"/>
    </row>
    <row r="60" spans="2:25" ht="15.75" thickBot="1" x14ac:dyDescent="0.3">
      <c r="B60" s="511">
        <v>3</v>
      </c>
      <c r="C60" s="97" t="s">
        <v>433</v>
      </c>
      <c r="D60" s="980" t="s">
        <v>388</v>
      </c>
      <c r="E60" s="531" t="s">
        <v>455</v>
      </c>
      <c r="F60" s="343">
        <f>-4%*F$59+12%*ABS(F$59/2-1)</f>
        <v>1.9999999999999997E-2</v>
      </c>
      <c r="G60" s="13"/>
      <c r="H60" s="13"/>
      <c r="I60" s="343">
        <f>-4%*I$59+12%*ABS(I$59/2-1)</f>
        <v>1.9999999999999997E-2</v>
      </c>
      <c r="J60" s="13"/>
      <c r="K60" s="13"/>
      <c r="L60" s="343">
        <f>-4%*L$59+12%*ABS(L$59/2-1)</f>
        <v>1.9999999999999997E-2</v>
      </c>
      <c r="M60" s="13"/>
      <c r="N60" s="13"/>
      <c r="O60" s="343"/>
      <c r="P60" s="13"/>
      <c r="Q60" s="13"/>
      <c r="R60" s="343"/>
      <c r="S60" s="13"/>
      <c r="T60" s="13"/>
      <c r="U60" s="343"/>
      <c r="V60" s="126"/>
      <c r="X60" s="503"/>
    </row>
    <row r="61" spans="2:25" ht="15.75" thickBot="1" x14ac:dyDescent="0.3">
      <c r="B61" s="891"/>
      <c r="C61" s="978" t="s">
        <v>856</v>
      </c>
      <c r="D61" s="102"/>
      <c r="E61" s="531" t="s">
        <v>455</v>
      </c>
      <c r="F61" s="979">
        <f>IFERROR(IF(VLOOKUP(VLOOKUP(Refkalkulation!H$30,'Maschinen-DB'!$I$5:$R$15,10,FALSE),DB_Ofen,2,FALSE)=F228,VLOOKUP(Refkalkulation!H$30,'Maschinen-DB'!$I$5:$R$15,10,FALSE),0),0)</f>
        <v>2</v>
      </c>
      <c r="G61" s="13"/>
      <c r="H61" s="13"/>
      <c r="I61" s="979">
        <f>IFERROR(IF(VLOOKUP(VLOOKUP(Refkalkulation!K$30,'Maschinen-DB'!$I$5:$R$15,10,FALSE),DB_Ofen,2,FALSE)=I228,VLOOKUP(Refkalkulation!K$30,'Maschinen-DB'!$I$5:$R$15,10,FALSE),0),0)</f>
        <v>2</v>
      </c>
      <c r="J61" s="13"/>
      <c r="K61" s="13"/>
      <c r="L61" s="979">
        <f>IFERROR(IF(VLOOKUP(VLOOKUP(Refkalkulation!N$30,'Maschinen-DB'!$I$5:$R$15,10,FALSE),DB_Ofen,2,FALSE)=L228,VLOOKUP(Refkalkulation!N$30,'Maschinen-DB'!$I$5:$R$15,10,FALSE),0),0)</f>
        <v>2</v>
      </c>
      <c r="M61" s="13"/>
      <c r="N61" s="13"/>
      <c r="O61" s="979"/>
      <c r="P61" s="13"/>
      <c r="Q61" s="13"/>
      <c r="R61" s="979"/>
      <c r="S61" s="13"/>
      <c r="T61" s="13"/>
      <c r="U61" s="979"/>
      <c r="V61" s="32"/>
      <c r="X61" s="503"/>
    </row>
    <row r="62" spans="2:25" ht="15" x14ac:dyDescent="0.25">
      <c r="B62" s="466">
        <v>47</v>
      </c>
      <c r="C62" s="95" t="s">
        <v>380</v>
      </c>
      <c r="D62" s="98" t="s">
        <v>94</v>
      </c>
      <c r="E62" s="535" t="s">
        <v>456</v>
      </c>
      <c r="F62" s="202">
        <f>F$69*IF(F$65,F$38,F$37)+2*F$66+(F$69-1)*(F$66+2.5)</f>
        <v>68.79473319220206</v>
      </c>
      <c r="G62" s="7"/>
      <c r="H62" s="7"/>
      <c r="I62" s="202">
        <f>I$69*IF(I$65,I$38,I$37)+2*I$66+(I$69-1)*(I$66+2.5)</f>
        <v>68.79473319220206</v>
      </c>
      <c r="J62" s="7"/>
      <c r="K62" s="7"/>
      <c r="L62" s="202">
        <f>L$69*IF(L$65,L$38,L$37)+2*L$66+(L$69-1)*(L$66+2.5)</f>
        <v>62.79473319220206</v>
      </c>
      <c r="M62" s="7"/>
      <c r="N62" s="7"/>
      <c r="O62" s="202"/>
      <c r="P62" s="28"/>
      <c r="Q62" s="28"/>
      <c r="R62" s="202"/>
      <c r="S62" s="28"/>
      <c r="T62" s="28"/>
      <c r="U62" s="202"/>
      <c r="V62" s="11"/>
    </row>
    <row r="63" spans="2:25" ht="15" x14ac:dyDescent="0.25">
      <c r="B63" s="466">
        <v>47</v>
      </c>
      <c r="C63" s="99" t="s">
        <v>381</v>
      </c>
      <c r="D63" s="100" t="s">
        <v>94</v>
      </c>
      <c r="E63" s="530" t="s">
        <v>456</v>
      </c>
      <c r="F63" s="203">
        <f>F$70*IF(F$65,F$37,F$38)+2*F$66+(F$70-1)*(2.5+F$66)</f>
        <v>58.79473319220206</v>
      </c>
      <c r="G63" s="10"/>
      <c r="H63" s="10"/>
      <c r="I63" s="203">
        <f>I$70*IF(I$65,I$37,I$38)+2*I$66+(I$70-1)*(2.5+I$66)</f>
        <v>58.79473319220206</v>
      </c>
      <c r="J63" s="10"/>
      <c r="K63" s="10"/>
      <c r="L63" s="203">
        <f>L$70*IF(L$65,L$37,L$38)+2*L$66+(L$70-1)*(2.5+L$66)</f>
        <v>52.79473319220206</v>
      </c>
      <c r="M63" s="10"/>
      <c r="N63" s="10"/>
      <c r="O63" s="203"/>
      <c r="P63" s="4"/>
      <c r="Q63" s="4"/>
      <c r="R63" s="203"/>
      <c r="S63" s="4"/>
      <c r="T63" s="4"/>
      <c r="U63" s="203"/>
      <c r="V63" s="11"/>
    </row>
    <row r="64" spans="2:25" ht="15" x14ac:dyDescent="0.25">
      <c r="B64" s="466">
        <v>47</v>
      </c>
      <c r="C64" s="99" t="s">
        <v>379</v>
      </c>
      <c r="D64" s="100" t="s">
        <v>94</v>
      </c>
      <c r="E64" s="530" t="s">
        <v>456</v>
      </c>
      <c r="F64" s="203">
        <f>'Quick Input'!M16/10+2.5*F$66</f>
        <v>43.493416490252571</v>
      </c>
      <c r="G64" s="10"/>
      <c r="H64" s="10"/>
      <c r="I64" s="203">
        <f>'Quick Input'!P16/10+2.5*I$66</f>
        <v>43.493416490252571</v>
      </c>
      <c r="J64" s="10"/>
      <c r="K64" s="10"/>
      <c r="L64" s="203">
        <f>'Quick Input'!S16/10+2.5*L$66</f>
        <v>35.993416490252571</v>
      </c>
      <c r="M64" s="10"/>
      <c r="N64" s="10"/>
      <c r="O64" s="203"/>
      <c r="P64" s="10"/>
      <c r="Q64" s="10"/>
      <c r="R64" s="203"/>
      <c r="S64" s="10"/>
      <c r="T64" s="10"/>
      <c r="U64" s="203"/>
      <c r="V64" s="11"/>
    </row>
    <row r="65" spans="2:23" x14ac:dyDescent="0.2">
      <c r="B65" s="466">
        <v>47</v>
      </c>
      <c r="C65" s="96" t="s">
        <v>436</v>
      </c>
      <c r="D65" s="100" t="s">
        <v>94</v>
      </c>
      <c r="E65" s="530" t="s">
        <v>455</v>
      </c>
      <c r="F65" s="157" t="b">
        <f>OR(AND(F$59=2,F$67/F$68&lt;2.2),AND(F$59=3,F$67/F$68&gt;1.7),AND(F$59=4,F$59/2.5&gt;F$67/F$68),FALSE)</f>
        <v>0</v>
      </c>
      <c r="G65" s="10"/>
      <c r="H65" s="10"/>
      <c r="I65" s="157" t="b">
        <f>OR(AND(I59=2,I67/I68&lt;2.2),AND(I59=3,I67/I68&gt;1.7),AND(I59=4,I59/2.5&gt;I67/I68),FALSE)</f>
        <v>0</v>
      </c>
      <c r="J65" s="10"/>
      <c r="K65" s="10"/>
      <c r="L65" s="157" t="b">
        <f>OR(AND(L59=2,L67/L68&lt;2.2),AND(L59=3,L67/L68&gt;1.7),AND(L59=4,L59/2.5&gt;L67/L68),FALSE)</f>
        <v>0</v>
      </c>
      <c r="M65" s="10"/>
      <c r="N65" s="10"/>
      <c r="O65" s="157"/>
      <c r="P65" s="4"/>
      <c r="Q65" s="4"/>
      <c r="R65" s="157"/>
      <c r="S65" s="4"/>
      <c r="T65" s="4"/>
      <c r="U65" s="157"/>
      <c r="V65" s="11"/>
    </row>
    <row r="66" spans="2:23" x14ac:dyDescent="0.2">
      <c r="B66" s="466">
        <v>47</v>
      </c>
      <c r="C66" s="96" t="s">
        <v>390</v>
      </c>
      <c r="D66" s="100" t="s">
        <v>388</v>
      </c>
      <c r="E66" s="530" t="s">
        <v>455</v>
      </c>
      <c r="F66" s="157">
        <f>3+0.3*SQRT(F$38)+1.5*(4-VLOOKUP('Quick Input'!M$22,Auswahlfelder!$D$36:$E$38,2,FALSE))</f>
        <v>9.397366596101028</v>
      </c>
      <c r="G66" s="10"/>
      <c r="H66" s="10"/>
      <c r="I66" s="157">
        <f>3+0.3*SQRT(I$38)+1.5*(4-VLOOKUP('Quick Input'!P$22,Auswahlfelder!$D$36:$E$38,2,FALSE))</f>
        <v>9.397366596101028</v>
      </c>
      <c r="J66" s="10"/>
      <c r="K66" s="10"/>
      <c r="L66" s="157">
        <f>3+0.3*SQRT(L$38)+1.5*(4-VLOOKUP('Quick Input'!S$22,Auswahlfelder!$D$36:$E$38,2,FALSE))</f>
        <v>6.397366596101028</v>
      </c>
      <c r="M66" s="10"/>
      <c r="N66" s="10"/>
      <c r="O66" s="157"/>
      <c r="P66" s="4"/>
      <c r="Q66" s="4"/>
      <c r="R66" s="157"/>
      <c r="S66" s="4"/>
      <c r="T66" s="4"/>
      <c r="U66" s="157"/>
      <c r="V66" s="11"/>
    </row>
    <row r="67" spans="2:23" x14ac:dyDescent="0.2">
      <c r="B67" s="466">
        <v>47</v>
      </c>
      <c r="C67" s="96" t="s">
        <v>437</v>
      </c>
      <c r="D67" s="100" t="s">
        <v>94</v>
      </c>
      <c r="E67" s="530" t="s">
        <v>455</v>
      </c>
      <c r="F67" s="157">
        <f>F$37+F$66*1.75</f>
        <v>66.445391543176797</v>
      </c>
      <c r="G67" s="10"/>
      <c r="H67" s="10"/>
      <c r="I67" s="157">
        <f>I37+I66*1.75</f>
        <v>66.445391543176797</v>
      </c>
      <c r="J67" s="10"/>
      <c r="K67" s="10"/>
      <c r="L67" s="157">
        <f>L37+L66*1.75</f>
        <v>61.195391543176797</v>
      </c>
      <c r="M67" s="10"/>
      <c r="N67" s="10"/>
      <c r="O67" s="157"/>
      <c r="P67" s="4"/>
      <c r="Q67" s="4"/>
      <c r="R67" s="157"/>
      <c r="S67" s="4"/>
      <c r="T67" s="4"/>
      <c r="U67" s="157"/>
      <c r="V67" s="11"/>
    </row>
    <row r="68" spans="2:23" x14ac:dyDescent="0.2">
      <c r="B68" s="466">
        <v>47</v>
      </c>
      <c r="C68" s="96" t="s">
        <v>438</v>
      </c>
      <c r="D68" s="100" t="s">
        <v>94</v>
      </c>
      <c r="E68" s="530" t="s">
        <v>455</v>
      </c>
      <c r="F68" s="157">
        <f>F$38+F$66*1.75</f>
        <v>56.445391543176797</v>
      </c>
      <c r="G68" s="10"/>
      <c r="H68" s="10"/>
      <c r="I68" s="157">
        <f>I38+I66*1.75</f>
        <v>56.445391543176797</v>
      </c>
      <c r="J68" s="10"/>
      <c r="K68" s="10"/>
      <c r="L68" s="157">
        <f>L38+L66*1.75</f>
        <v>51.195391543176797</v>
      </c>
      <c r="M68" s="10"/>
      <c r="N68" s="10"/>
      <c r="O68" s="157"/>
      <c r="P68" s="4"/>
      <c r="Q68" s="4"/>
      <c r="R68" s="157"/>
      <c r="S68" s="4"/>
      <c r="T68" s="4"/>
      <c r="U68" s="157"/>
      <c r="V68" s="11"/>
    </row>
    <row r="69" spans="2:23" x14ac:dyDescent="0.2">
      <c r="B69" s="466">
        <v>47</v>
      </c>
      <c r="C69" s="96" t="s">
        <v>424</v>
      </c>
      <c r="D69" s="100" t="s">
        <v>388</v>
      </c>
      <c r="E69" s="530" t="s">
        <v>455</v>
      </c>
      <c r="F69" s="158">
        <f>IF(AND(F$65,OR(F$59=3,F$59=2)),F$59,IF(AND(NOT(F$65),F$59&lt;4),1,IF(F$67&lt;2.5*F$68,ROUNDDOWN(SQRT(F$59),0),IF(AND(F$65,F$59&gt;2),1,MIN(F$59,ROUNDUP(1.6*SQRT(F$59),0))))))</f>
        <v>1</v>
      </c>
      <c r="G69" s="10"/>
      <c r="H69" s="10"/>
      <c r="I69" s="158">
        <f>IF(AND(I65,OR(I$59=3,I59=2)),I$59,IF(AND(NOT(I65),I$59&lt;4),1,IF(I$67&lt;2.5*I$68,ROUNDDOWN(SQRT(I$59),0),IF(AND(I65,I59&gt;2),1,MIN(I$59,ROUNDUP(1.6*SQRT(I$59),0))))))</f>
        <v>1</v>
      </c>
      <c r="J69" s="10"/>
      <c r="K69" s="10"/>
      <c r="L69" s="158">
        <f>IF(AND(L65,OR(L$59=3,L59=2)),L$59,IF(AND(NOT(L65),L$59&lt;4),1,IF(L$67&lt;2.5*L$68,ROUNDDOWN(SQRT(L$59),0),IF(AND(L65,L59&gt;2),1,MIN(L$59,ROUNDUP(1.6*SQRT(L$59),0))))))</f>
        <v>1</v>
      </c>
      <c r="M69" s="10"/>
      <c r="N69" s="10"/>
      <c r="O69" s="158"/>
      <c r="P69" s="4"/>
      <c r="Q69" s="4"/>
      <c r="R69" s="158"/>
      <c r="S69" s="4"/>
      <c r="T69" s="4"/>
      <c r="U69" s="158"/>
      <c r="V69" s="11"/>
    </row>
    <row r="70" spans="2:23" x14ac:dyDescent="0.2">
      <c r="B70" s="466">
        <v>47</v>
      </c>
      <c r="C70" s="96" t="s">
        <v>382</v>
      </c>
      <c r="D70" s="100" t="s">
        <v>94</v>
      </c>
      <c r="E70" s="530" t="s">
        <v>455</v>
      </c>
      <c r="F70" s="158">
        <f>ROUNDUP(F$59/F$69,0)</f>
        <v>1</v>
      </c>
      <c r="G70" s="10"/>
      <c r="H70" s="10"/>
      <c r="I70" s="158">
        <f>ROUNDUP(I$59/I$69,0)</f>
        <v>1</v>
      </c>
      <c r="J70" s="10"/>
      <c r="K70" s="10"/>
      <c r="L70" s="158">
        <f>ROUNDUP(L$59/L$69,0)</f>
        <v>1</v>
      </c>
      <c r="M70" s="10"/>
      <c r="N70" s="10"/>
      <c r="O70" s="158"/>
      <c r="P70" s="4"/>
      <c r="Q70" s="4"/>
      <c r="R70" s="158"/>
      <c r="S70" s="4"/>
      <c r="T70" s="4"/>
      <c r="U70" s="158"/>
      <c r="V70" s="5"/>
    </row>
    <row r="71" spans="2:23" ht="15" thickBot="1" x14ac:dyDescent="0.25">
      <c r="B71" s="466">
        <v>47</v>
      </c>
      <c r="C71" s="96" t="s">
        <v>395</v>
      </c>
      <c r="D71" s="556" t="s">
        <v>440</v>
      </c>
      <c r="E71" s="530" t="s">
        <v>456</v>
      </c>
      <c r="F71" s="284">
        <f>(F$46*F$59)/2.7/(F$62*F$63*F$64/1000)</f>
        <v>8.4212990311048105E-2</v>
      </c>
      <c r="G71" s="10"/>
      <c r="H71" s="10"/>
      <c r="I71" s="284">
        <f>(I$46*I$59)/2.7/(I$62*I$63*I$64/1000)</f>
        <v>1.0526623788881013E-2</v>
      </c>
      <c r="J71" s="10"/>
      <c r="K71" s="10"/>
      <c r="L71" s="284">
        <f>(L$46*L$59)/2.7/(L$62*L$63*L$64/1000)</f>
        <v>1.5519200693888137E-2</v>
      </c>
      <c r="M71" s="10"/>
      <c r="N71" s="10"/>
      <c r="O71" s="284"/>
      <c r="P71" s="4"/>
      <c r="Q71" s="4"/>
      <c r="R71" s="284"/>
      <c r="S71" s="4"/>
      <c r="T71" s="4"/>
      <c r="U71" s="284"/>
      <c r="V71" s="5"/>
    </row>
    <row r="72" spans="2:23" ht="15" x14ac:dyDescent="0.25">
      <c r="B72" s="510">
        <v>24</v>
      </c>
      <c r="C72" s="95" t="s">
        <v>468</v>
      </c>
      <c r="D72" s="98"/>
      <c r="E72" s="535" t="s">
        <v>456</v>
      </c>
      <c r="F72" s="161">
        <f>IFERROR(MAX(F$74,MIN(F$75,IF(F$86,F$85,F$85+1))),F$74)</f>
        <v>6</v>
      </c>
      <c r="G72" s="418"/>
      <c r="H72" s="419"/>
      <c r="I72" s="161">
        <f>IFERROR(MAX(I$74,MIN(I$75,IF(I$86,I$85,I$85+1))),I$74)</f>
        <v>6</v>
      </c>
      <c r="J72" s="418"/>
      <c r="K72" s="419"/>
      <c r="L72" s="161">
        <f>IFERROR(MAX(L$74,MIN(L$75,IF(L$86,L$85,L$85+1))),L$74)</f>
        <v>8</v>
      </c>
      <c r="M72" s="418"/>
      <c r="N72" s="419"/>
      <c r="O72" s="161"/>
      <c r="P72" s="418"/>
      <c r="Q72" s="419"/>
      <c r="R72" s="161"/>
      <c r="S72" s="418"/>
      <c r="T72" s="419"/>
      <c r="U72" s="161"/>
      <c r="V72" s="8"/>
    </row>
    <row r="73" spans="2:23" x14ac:dyDescent="0.2">
      <c r="B73" s="523">
        <v>24</v>
      </c>
      <c r="C73" s="524" t="s">
        <v>780</v>
      </c>
      <c r="D73" s="100"/>
      <c r="E73" s="530" t="s">
        <v>455</v>
      </c>
      <c r="F73" s="520" t="str">
        <f>'Quick Input'!M$22</f>
        <v>Niederdruck</v>
      </c>
      <c r="G73" s="420"/>
      <c r="H73" s="421"/>
      <c r="I73" s="520" t="str">
        <f>'Quick Input'!P$22</f>
        <v>Niederdruck</v>
      </c>
      <c r="J73" s="420"/>
      <c r="K73" s="421"/>
      <c r="L73" s="520" t="str">
        <f>'Quick Input'!S$22</f>
        <v>Schwerkaft</v>
      </c>
      <c r="M73" s="420"/>
      <c r="N73" s="421"/>
      <c r="O73" s="520"/>
      <c r="P73" s="420"/>
      <c r="Q73" s="421"/>
      <c r="R73" s="520"/>
      <c r="S73" s="420"/>
      <c r="T73" s="421"/>
      <c r="U73" s="520"/>
      <c r="V73" s="11"/>
    </row>
    <row r="74" spans="2:23" x14ac:dyDescent="0.2">
      <c r="B74" s="523">
        <v>24</v>
      </c>
      <c r="C74" s="96" t="s">
        <v>426</v>
      </c>
      <c r="D74" s="100" t="s">
        <v>484</v>
      </c>
      <c r="E74" s="530" t="s">
        <v>456</v>
      </c>
      <c r="F74" s="636">
        <f>VLOOKUP(F$73,'Maschinen-DB'!$B$22:$C$37,2,FALSE)</f>
        <v>3</v>
      </c>
      <c r="G74" s="420"/>
      <c r="H74" s="421"/>
      <c r="I74" s="636">
        <f>VLOOKUP(I$73,'Maschinen-DB'!$B$22:$C$37,2,FALSE)</f>
        <v>3</v>
      </c>
      <c r="J74" s="420"/>
      <c r="K74" s="421"/>
      <c r="L74" s="636">
        <f>VLOOKUP(L$73,'Maschinen-DB'!$B$22:$C$37,2,FALSE)</f>
        <v>7</v>
      </c>
      <c r="M74" s="420"/>
      <c r="N74" s="421"/>
      <c r="O74" s="636"/>
      <c r="P74" s="420"/>
      <c r="Q74" s="421"/>
      <c r="R74" s="636"/>
      <c r="S74" s="420"/>
      <c r="T74" s="421"/>
      <c r="U74" s="636"/>
      <c r="V74" s="5"/>
    </row>
    <row r="75" spans="2:23" x14ac:dyDescent="0.2">
      <c r="B75" s="523">
        <v>24</v>
      </c>
      <c r="C75" s="96" t="s">
        <v>425</v>
      </c>
      <c r="D75" s="100"/>
      <c r="E75" s="530" t="s">
        <v>456</v>
      </c>
      <c r="F75" s="158">
        <f>VLOOKUP(F$73,'Maschinen-DB'!$B$22:$C$37,2,TRUE)</f>
        <v>6</v>
      </c>
      <c r="G75" s="420"/>
      <c r="H75" s="421"/>
      <c r="I75" s="158">
        <f>VLOOKUP(I$73,'Maschinen-DB'!$B$22:$C$37,2,TRUE)</f>
        <v>6</v>
      </c>
      <c r="J75" s="420"/>
      <c r="K75" s="421"/>
      <c r="L75" s="158">
        <f>VLOOKUP(L$73,'Maschinen-DB'!$B$22:$C$37,2,TRUE)</f>
        <v>8</v>
      </c>
      <c r="M75" s="420"/>
      <c r="N75" s="421"/>
      <c r="O75" s="158"/>
      <c r="P75" s="420"/>
      <c r="Q75" s="421"/>
      <c r="R75" s="158"/>
      <c r="S75" s="420"/>
      <c r="T75" s="421"/>
      <c r="U75" s="158"/>
      <c r="V75" s="5"/>
    </row>
    <row r="76" spans="2:23" x14ac:dyDescent="0.2">
      <c r="B76" s="523">
        <v>24</v>
      </c>
      <c r="C76" s="96" t="s">
        <v>427</v>
      </c>
      <c r="D76" s="100"/>
      <c r="E76" s="532"/>
      <c r="F76" s="158">
        <f>VLOOKUP(F$74,DB_Maschinen,5,FALSE)/10</f>
        <v>78</v>
      </c>
      <c r="G76" s="420"/>
      <c r="H76" s="421"/>
      <c r="I76" s="158">
        <f>VLOOKUP(I$74,DB_Maschinen,5,FALSE)/10</f>
        <v>78</v>
      </c>
      <c r="J76" s="420"/>
      <c r="K76" s="421"/>
      <c r="L76" s="158">
        <f>VLOOKUP(L$74,DB_Maschinen,5,FALSE)/10</f>
        <v>30</v>
      </c>
      <c r="M76" s="420"/>
      <c r="N76" s="421"/>
      <c r="O76" s="158"/>
      <c r="P76" s="420"/>
      <c r="Q76" s="421"/>
      <c r="R76" s="158"/>
      <c r="S76" s="420"/>
      <c r="T76" s="421"/>
      <c r="U76" s="158"/>
      <c r="V76" s="5"/>
    </row>
    <row r="77" spans="2:23" ht="15" thickBot="1" x14ac:dyDescent="0.25">
      <c r="B77" s="523">
        <v>24</v>
      </c>
      <c r="C77" s="97" t="s">
        <v>428</v>
      </c>
      <c r="D77" s="102"/>
      <c r="E77" s="532"/>
      <c r="F77" s="158">
        <f>VLOOKUP(F$75,DB_Maschinen,5,FALSE)/10</f>
        <v>135</v>
      </c>
      <c r="G77" s="420"/>
      <c r="H77" s="421"/>
      <c r="I77" s="158">
        <f>VLOOKUP(I$75,DB_Maschinen,5,FALSE)/10</f>
        <v>135</v>
      </c>
      <c r="J77" s="420"/>
      <c r="K77" s="421"/>
      <c r="L77" s="158">
        <f>VLOOKUP(L$75,DB_Maschinen,5,FALSE)/10</f>
        <v>90</v>
      </c>
      <c r="M77" s="420"/>
      <c r="N77" s="421"/>
      <c r="O77" s="158"/>
      <c r="P77" s="420"/>
      <c r="Q77" s="421"/>
      <c r="R77" s="158"/>
      <c r="S77" s="420"/>
      <c r="T77" s="421"/>
      <c r="U77" s="158"/>
      <c r="V77" s="5"/>
    </row>
    <row r="78" spans="2:23" ht="15" x14ac:dyDescent="0.25">
      <c r="B78" s="466">
        <v>25</v>
      </c>
      <c r="C78" s="99" t="s">
        <v>489</v>
      </c>
      <c r="D78" s="100"/>
      <c r="E78" s="532"/>
      <c r="F78" s="599">
        <f>IFERROR(Refkalkulation!H$51,F$74)</f>
        <v>9</v>
      </c>
      <c r="G78" s="420"/>
      <c r="H78" s="421"/>
      <c r="I78" s="599">
        <f>IFERROR(Refkalkulation!K$51,I$74)</f>
        <v>3</v>
      </c>
      <c r="J78" s="420"/>
      <c r="K78" s="421"/>
      <c r="L78" s="599">
        <f>IFERROR(Refkalkulation!N$51,L$74)</f>
        <v>3</v>
      </c>
      <c r="M78" s="420"/>
      <c r="N78" s="421"/>
      <c r="O78" s="599"/>
      <c r="P78" s="420"/>
      <c r="Q78" s="421"/>
      <c r="R78" s="599"/>
      <c r="S78" s="420"/>
      <c r="T78" s="421"/>
      <c r="U78" s="599"/>
      <c r="V78" s="11"/>
      <c r="W78" s="503"/>
    </row>
    <row r="79" spans="2:23" x14ac:dyDescent="0.2">
      <c r="B79" s="523">
        <f>B78</f>
        <v>25</v>
      </c>
      <c r="C79" s="96" t="s">
        <v>467</v>
      </c>
      <c r="D79" s="100"/>
      <c r="E79" s="532"/>
      <c r="F79" s="600" t="e">
        <f>VLOOKUP(F$78,DB_Maschinen,5,FALSE)/10</f>
        <v>#N/A</v>
      </c>
      <c r="G79" s="420"/>
      <c r="H79" s="421"/>
      <c r="I79" s="600">
        <f>VLOOKUP(I$78,DB_Maschinen,5,FALSE)/10</f>
        <v>78</v>
      </c>
      <c r="J79" s="420"/>
      <c r="K79" s="421"/>
      <c r="L79" s="600">
        <f>VLOOKUP(L$78,DB_Maschinen,5,FALSE)/10</f>
        <v>78</v>
      </c>
      <c r="M79" s="420"/>
      <c r="N79" s="421"/>
      <c r="O79" s="600"/>
      <c r="P79" s="420"/>
      <c r="Q79" s="421"/>
      <c r="R79" s="600"/>
      <c r="S79" s="420"/>
      <c r="T79" s="421"/>
      <c r="U79" s="600"/>
      <c r="V79" s="5"/>
      <c r="W79" s="503"/>
    </row>
    <row r="80" spans="2:23" x14ac:dyDescent="0.2">
      <c r="B80" s="523">
        <f>B79</f>
        <v>25</v>
      </c>
      <c r="C80" s="96" t="s">
        <v>469</v>
      </c>
      <c r="D80" s="100"/>
      <c r="E80" s="532"/>
      <c r="F80" s="600" t="e">
        <f>VLOOKUP(F$78,DB_Maschinen,6,FALSE)/10</f>
        <v>#N/A</v>
      </c>
      <c r="G80" s="420"/>
      <c r="H80" s="421"/>
      <c r="I80" s="600">
        <f>VLOOKUP(I$78,DB_Maschinen,6,FALSE)/10</f>
        <v>15</v>
      </c>
      <c r="J80" s="420"/>
      <c r="K80" s="421"/>
      <c r="L80" s="600">
        <f>VLOOKUP(L$78,DB_Maschinen,6,FALSE)/10</f>
        <v>15</v>
      </c>
      <c r="M80" s="420"/>
      <c r="N80" s="421"/>
      <c r="O80" s="600"/>
      <c r="P80" s="420"/>
      <c r="Q80" s="421"/>
      <c r="R80" s="600"/>
      <c r="S80" s="420"/>
      <c r="T80" s="421"/>
      <c r="U80" s="600"/>
      <c r="V80" s="5"/>
      <c r="W80" s="503"/>
    </row>
    <row r="81" spans="2:24" x14ac:dyDescent="0.2">
      <c r="B81" s="523">
        <f>B80</f>
        <v>25</v>
      </c>
      <c r="C81" s="96" t="s">
        <v>470</v>
      </c>
      <c r="D81" s="100"/>
      <c r="E81" s="532"/>
      <c r="F81" s="600" t="e">
        <f>VLOOKUP(F$78,DB_Maschinen,7,FALSE)/10</f>
        <v>#N/A</v>
      </c>
      <c r="G81" s="420"/>
      <c r="H81" s="421"/>
      <c r="I81" s="600">
        <f>VLOOKUP(I$78,DB_Maschinen,7,FALSE)/10</f>
        <v>2.2000000000000002</v>
      </c>
      <c r="J81" s="420"/>
      <c r="K81" s="421"/>
      <c r="L81" s="600">
        <f>VLOOKUP(L$78,DB_Maschinen,7,FALSE)/10</f>
        <v>2.2000000000000002</v>
      </c>
      <c r="M81" s="420"/>
      <c r="N81" s="421"/>
      <c r="O81" s="600"/>
      <c r="P81" s="420"/>
      <c r="Q81" s="421"/>
      <c r="R81" s="600"/>
      <c r="S81" s="420"/>
      <c r="T81" s="421"/>
      <c r="U81" s="600"/>
      <c r="V81" s="5"/>
      <c r="W81" s="503"/>
    </row>
    <row r="82" spans="2:24" ht="15" thickBot="1" x14ac:dyDescent="0.25">
      <c r="B82" s="588">
        <f>B81</f>
        <v>25</v>
      </c>
      <c r="C82" s="97" t="s">
        <v>471</v>
      </c>
      <c r="D82" s="102"/>
      <c r="E82" s="533"/>
      <c r="F82" s="601" t="e">
        <f>F$81/VLOOKUP(F$78,DB_Maschinen,10,FALSE)*VLOOKUP(F$78,DB_Maschinen,11,FALSE)</f>
        <v>#N/A</v>
      </c>
      <c r="G82" s="422"/>
      <c r="H82" s="423"/>
      <c r="I82" s="601">
        <f>I$81/VLOOKUP(I$78,DB_Maschinen,10,FALSE)*VLOOKUP(I$78,DB_Maschinen,11,FALSE)</f>
        <v>0.33</v>
      </c>
      <c r="J82" s="422"/>
      <c r="K82" s="423"/>
      <c r="L82" s="601">
        <f>L$81/VLOOKUP(L$78,DB_Maschinen,10,FALSE)*VLOOKUP(L$78,DB_Maschinen,11,FALSE)</f>
        <v>0.33</v>
      </c>
      <c r="M82" s="422"/>
      <c r="N82" s="423"/>
      <c r="O82" s="601"/>
      <c r="P82" s="422"/>
      <c r="Q82" s="423"/>
      <c r="R82" s="601"/>
      <c r="S82" s="422"/>
      <c r="T82" s="423"/>
      <c r="U82" s="601"/>
      <c r="V82" s="32"/>
      <c r="W82" s="503"/>
    </row>
    <row r="83" spans="2:24" ht="15" x14ac:dyDescent="0.25">
      <c r="B83" s="466">
        <v>48</v>
      </c>
      <c r="C83" s="99" t="s">
        <v>465</v>
      </c>
      <c r="D83" s="100"/>
      <c r="E83" s="530" t="s">
        <v>456</v>
      </c>
      <c r="F83" s="587">
        <f>IF(F$78&lt;F$85,F$85,MAX(F$74,MIN(F$75,IF(F$86,F$85,F$85+1))))</f>
        <v>6</v>
      </c>
      <c r="G83" s="420"/>
      <c r="H83" s="421"/>
      <c r="I83" s="587">
        <f>IF(I$78&lt;I$85,I$85,MAX(I$74,MIN(I$75,IF(I$86,I$85,I$85+1))))</f>
        <v>8</v>
      </c>
      <c r="J83" s="420"/>
      <c r="K83" s="421"/>
      <c r="L83" s="587">
        <f>IF(L$78&lt;L$85,L$85,MAX(L$74,MIN(L$75,IF(L$86,L$85,L$85+1))))</f>
        <v>8</v>
      </c>
      <c r="M83" s="420"/>
      <c r="N83" s="421"/>
      <c r="O83" s="587"/>
      <c r="P83" s="420"/>
      <c r="Q83" s="421"/>
      <c r="R83" s="587"/>
      <c r="S83" s="420"/>
      <c r="T83" s="421"/>
      <c r="U83" s="587"/>
      <c r="V83" s="11"/>
      <c r="X83" s="503"/>
    </row>
    <row r="84" spans="2:24" x14ac:dyDescent="0.2">
      <c r="B84" s="523">
        <f>B83</f>
        <v>48</v>
      </c>
      <c r="C84" s="524" t="s">
        <v>779</v>
      </c>
      <c r="D84" s="100"/>
      <c r="E84" s="530" t="s">
        <v>455</v>
      </c>
      <c r="F84" s="520">
        <f>VLOOKUP(F$85,DB_Maschinen,17,FALSE)</f>
        <v>0</v>
      </c>
      <c r="G84" s="420"/>
      <c r="H84" s="421"/>
      <c r="I84" s="520">
        <f>VLOOKUP(I$85,DB_Maschinen,17,FALSE)</f>
        <v>0</v>
      </c>
      <c r="J84" s="420"/>
      <c r="K84" s="421"/>
      <c r="L84" s="520">
        <f>VLOOKUP(L$85,DB_Maschinen,17,FALSE)</f>
        <v>0</v>
      </c>
      <c r="M84" s="420"/>
      <c r="N84" s="421"/>
      <c r="O84" s="520"/>
      <c r="P84" s="420"/>
      <c r="Q84" s="421"/>
      <c r="R84" s="520"/>
      <c r="S84" s="420"/>
      <c r="T84" s="421"/>
      <c r="U84" s="520"/>
      <c r="V84" s="11"/>
    </row>
    <row r="85" spans="2:24" x14ac:dyDescent="0.2">
      <c r="B85" s="523">
        <f>B84</f>
        <v>48</v>
      </c>
      <c r="C85" s="96" t="s">
        <v>429</v>
      </c>
      <c r="D85" s="100"/>
      <c r="E85" s="530" t="s">
        <v>455</v>
      </c>
      <c r="F85" s="158">
        <f>VLOOKUP(F$62*10,'Maschinen-DB'!$G$21:$R$37,12,TRUE)+1</f>
        <v>8</v>
      </c>
      <c r="G85" s="420"/>
      <c r="H85" s="421"/>
      <c r="I85" s="158">
        <f>VLOOKUP(I$62*10,'Maschinen-DB'!$G$21:$R$37,12,TRUE)+1</f>
        <v>8</v>
      </c>
      <c r="J85" s="420"/>
      <c r="K85" s="421"/>
      <c r="L85" s="158">
        <f>VLOOKUP(L$62*10,'Maschinen-DB'!$G$21:$R$37,12,TRUE)+1</f>
        <v>8</v>
      </c>
      <c r="M85" s="420"/>
      <c r="N85" s="421"/>
      <c r="O85" s="158"/>
      <c r="P85" s="420"/>
      <c r="Q85" s="421"/>
      <c r="R85" s="158"/>
      <c r="S85" s="420"/>
      <c r="T85" s="421"/>
      <c r="U85" s="158"/>
      <c r="V85" s="5"/>
    </row>
    <row r="86" spans="2:24" x14ac:dyDescent="0.2">
      <c r="B86" s="523">
        <f>B85</f>
        <v>48</v>
      </c>
      <c r="C86" s="96" t="s">
        <v>430</v>
      </c>
      <c r="D86" s="100"/>
      <c r="E86" s="530" t="s">
        <v>455</v>
      </c>
      <c r="F86" s="158" t="b">
        <f>AND(VLOOKUP(F$85,DB_Maschinen,6,FALSE)&gt;F$63*10,VLOOKUP(F$85,DB_Maschinen,7,FALSE)&gt;F$64)</f>
        <v>0</v>
      </c>
      <c r="G86" s="420"/>
      <c r="H86" s="421"/>
      <c r="I86" s="158" t="b">
        <f>AND(VLOOKUP(I$85,DB_Maschinen,6,FALSE)&gt;I$63*10,VLOOKUP(I$85,DB_Maschinen,7,FALSE)&gt;I$64)</f>
        <v>0</v>
      </c>
      <c r="J86" s="420"/>
      <c r="K86" s="421"/>
      <c r="L86" s="158" t="b">
        <f>AND(VLOOKUP(L$85,DB_Maschinen,6,FALSE)&gt;L$63*10,VLOOKUP(L$85,DB_Maschinen,7,FALSE)&gt;L$64)</f>
        <v>0</v>
      </c>
      <c r="M86" s="420"/>
      <c r="N86" s="421"/>
      <c r="O86" s="158"/>
      <c r="P86" s="420"/>
      <c r="Q86" s="421"/>
      <c r="R86" s="158"/>
      <c r="S86" s="420"/>
      <c r="T86" s="421"/>
      <c r="U86" s="158"/>
      <c r="V86" s="5"/>
      <c r="X86" s="503"/>
    </row>
    <row r="87" spans="2:24" ht="15" thickBot="1" x14ac:dyDescent="0.25">
      <c r="B87" s="523">
        <f>B86</f>
        <v>48</v>
      </c>
      <c r="C87" s="524" t="str">
        <f>CONCATENATE(IF('Quick Input'!$G$2,"Empfehlung ","suggestion "),'Quick Input'!$I$22)</f>
        <v>Empfehlung Giesstechnik</v>
      </c>
      <c r="D87" s="543" t="s">
        <v>391</v>
      </c>
      <c r="E87" s="532"/>
      <c r="F87" s="525" t="e">
        <f>VLOOKUP(VLOOKUP(F84,Auswahlfelder!$D$36:$E$38,2,FALSE),Auswahlfelder!$A$36:$B$38,2,FALSE)</f>
        <v>#N/A</v>
      </c>
      <c r="G87" s="422"/>
      <c r="H87" s="423"/>
      <c r="I87" s="525" t="e">
        <f>VLOOKUP(VLOOKUP(I84,Auswahlfelder!$D$36:$E$38,2,FALSE),Auswahlfelder!$A$36:$B$38,2,FALSE)</f>
        <v>#N/A</v>
      </c>
      <c r="J87" s="422"/>
      <c r="K87" s="423"/>
      <c r="L87" s="525" t="e">
        <f>VLOOKUP(VLOOKUP(L84,Auswahlfelder!$D$36:$E$38,2,FALSE),Auswahlfelder!$A$36:$B$38,2,FALSE)</f>
        <v>#N/A</v>
      </c>
      <c r="M87" s="422"/>
      <c r="N87" s="423"/>
      <c r="O87" s="525"/>
      <c r="P87" s="422"/>
      <c r="Q87" s="423"/>
      <c r="R87" s="525"/>
      <c r="S87" s="422"/>
      <c r="T87" s="423"/>
      <c r="U87" s="525"/>
      <c r="V87" s="1144"/>
    </row>
    <row r="88" spans="2:24" ht="15" x14ac:dyDescent="0.25">
      <c r="B88" s="466">
        <v>56</v>
      </c>
      <c r="C88" s="95" t="s">
        <v>385</v>
      </c>
      <c r="D88" s="98" t="s">
        <v>388</v>
      </c>
      <c r="E88" s="535" t="s">
        <v>456</v>
      </c>
      <c r="F88" s="156" t="e">
        <f ca="1">(F$90-F$91)/1000/1.64/F$59</f>
        <v>#N/A</v>
      </c>
      <c r="G88" s="7"/>
      <c r="H88" s="7"/>
      <c r="I88" s="156">
        <f>(I$90-I$91)/1000/1.64/I$59</f>
        <v>-1.1546674454714727</v>
      </c>
      <c r="J88" s="7"/>
      <c r="K88" s="7"/>
      <c r="L88" s="156">
        <f>(L$90-L$91)/1000/1.64/L$59</f>
        <v>-2.28021668183308</v>
      </c>
      <c r="M88" s="7"/>
      <c r="N88" s="7"/>
      <c r="O88" s="156"/>
      <c r="P88" s="28"/>
      <c r="Q88" s="28"/>
      <c r="R88" s="156"/>
      <c r="S88" s="28"/>
      <c r="T88" s="28"/>
      <c r="U88" s="156"/>
      <c r="V88" s="11"/>
    </row>
    <row r="89" spans="2:24" x14ac:dyDescent="0.2">
      <c r="B89" s="466">
        <v>56</v>
      </c>
      <c r="C89" s="96" t="str">
        <f>IF('Quick Input'!$G$2,"Kastenausnutzung (Volumen)","used box size")</f>
        <v>Kastenausnutzung (Volumen)</v>
      </c>
      <c r="D89" s="543" t="s">
        <v>391</v>
      </c>
      <c r="E89" s="530" t="s">
        <v>456</v>
      </c>
      <c r="F89" s="501" t="e">
        <f ca="1">F$91/F$90</f>
        <v>#N/A</v>
      </c>
      <c r="G89" s="557" t="e">
        <f ca="1">TEXT(F$89,"0,0 %")</f>
        <v>#N/A</v>
      </c>
      <c r="H89" s="10"/>
      <c r="I89" s="501">
        <f>I$91/I$90</f>
        <v>1.7356855518932459</v>
      </c>
      <c r="J89" s="557" t="str">
        <f>TEXT(I$89,"0,0 %")</f>
        <v>173,6 %</v>
      </c>
      <c r="K89" s="10"/>
      <c r="L89" s="501">
        <f>L$91/L$90</f>
        <v>2.4528187094818379</v>
      </c>
      <c r="M89" s="557" t="str">
        <f>TEXT(L$89,"0,0 %")</f>
        <v>245,3 %</v>
      </c>
      <c r="N89" s="10"/>
      <c r="O89" s="501"/>
      <c r="P89" s="557"/>
      <c r="Q89" s="4"/>
      <c r="R89" s="501"/>
      <c r="S89" s="557"/>
      <c r="T89" s="4"/>
      <c r="U89" s="501"/>
      <c r="V89" s="5"/>
    </row>
    <row r="90" spans="2:24" x14ac:dyDescent="0.2">
      <c r="B90" s="466">
        <v>56</v>
      </c>
      <c r="C90" s="96" t="s">
        <v>386</v>
      </c>
      <c r="D90" s="100">
        <v>1</v>
      </c>
      <c r="E90" s="532"/>
      <c r="F90" s="276" t="e">
        <f>F$79*F$80*IF(VLOOKUP(F$83,DB_Maschinen,2,FALSE)='Maschinen-DB'!$D$21,MAX(F$64,F$82),IF(F$82&gt;F$64,F$82,F$81))</f>
        <v>#N/A</v>
      </c>
      <c r="G90" s="10"/>
      <c r="H90" s="10"/>
      <c r="I90" s="276">
        <f>I$79*I$80*IF(VLOOKUP(I$83,DB_Maschinen,2,FALSE)='Maschinen-DB'!$D$21,MAX(I$64,I$82),IF(I$82&gt;I$64,I$82,I$81))</f>
        <v>2574</v>
      </c>
      <c r="J90" s="10"/>
      <c r="K90" s="10"/>
      <c r="L90" s="276">
        <f>L$79*L$80*IF(VLOOKUP(L$83,DB_Maschinen,2,FALSE)='Maschinen-DB'!$D$21,MAX(L$64,L$82),IF(L$82&gt;L$64,L$82,L$81))</f>
        <v>2574</v>
      </c>
      <c r="M90" s="10"/>
      <c r="N90" s="10"/>
      <c r="O90" s="276"/>
      <c r="P90" s="10"/>
      <c r="Q90" s="10"/>
      <c r="R90" s="276"/>
      <c r="S90" s="10"/>
      <c r="T90" s="10"/>
      <c r="U90" s="276"/>
      <c r="V90" s="5"/>
      <c r="X90" s="503"/>
    </row>
    <row r="91" spans="2:24" ht="15" thickBot="1" x14ac:dyDescent="0.25">
      <c r="B91" s="466">
        <v>56</v>
      </c>
      <c r="C91" s="97" t="s">
        <v>387</v>
      </c>
      <c r="D91" s="102">
        <v>1</v>
      </c>
      <c r="E91" s="533"/>
      <c r="F91" s="558">
        <f ca="1">F$45*1000/VLOOKUP('Quick Input'!M$10,DB_Material,5,FALSE)</f>
        <v>35602.331880559854</v>
      </c>
      <c r="G91" s="13"/>
      <c r="H91" s="13"/>
      <c r="I91" s="558">
        <f>I$45*1000/VLOOKUP('Quick Input'!P$10,DB_Material,5,FALSE)</f>
        <v>4467.654610573215</v>
      </c>
      <c r="J91" s="13"/>
      <c r="K91" s="13"/>
      <c r="L91" s="558">
        <f>L$45*1000/VLOOKUP('Quick Input'!S$10,DB_Material,5,FALSE)</f>
        <v>6313.5553582062512</v>
      </c>
      <c r="M91" s="13"/>
      <c r="N91" s="13"/>
      <c r="O91" s="558"/>
      <c r="P91" s="13"/>
      <c r="Q91" s="13"/>
      <c r="R91" s="558"/>
      <c r="S91" s="13"/>
      <c r="T91" s="13"/>
      <c r="U91" s="558"/>
      <c r="V91" s="32"/>
    </row>
    <row r="92" spans="2:24" ht="15" x14ac:dyDescent="0.25">
      <c r="B92" s="466">
        <v>57</v>
      </c>
      <c r="C92" s="95" t="s">
        <v>378</v>
      </c>
      <c r="D92" s="98">
        <v>1</v>
      </c>
      <c r="E92" s="535" t="s">
        <v>456</v>
      </c>
      <c r="F92" s="858" t="e">
        <f>(1-F$95)*('Länder-DB'!$M$23+4%)*F$93*F$94+F$95*F$96*F$97</f>
        <v>#N/A</v>
      </c>
      <c r="G92" s="7"/>
      <c r="H92" s="7"/>
      <c r="I92" s="858" t="e">
        <f>(1-I$95)*('Länder-DB'!$M$23+4%)*I$93*I$94+I$95*I$97*I$96</f>
        <v>#N/A</v>
      </c>
      <c r="J92" s="7"/>
      <c r="K92" s="7"/>
      <c r="L92" s="858" t="e">
        <f>(1-L$95)*('Länder-DB'!$M$23+4%)*L$93*L$94+L$95*L$97*L$96</f>
        <v>#N/A</v>
      </c>
      <c r="M92" s="7"/>
      <c r="N92" s="7"/>
      <c r="O92" s="858"/>
      <c r="P92" s="28"/>
      <c r="Q92" s="28"/>
      <c r="R92" s="858"/>
      <c r="S92" s="28"/>
      <c r="T92" s="28"/>
      <c r="U92" s="858"/>
      <c r="V92" s="11"/>
      <c r="W92" s="117"/>
    </row>
    <row r="93" spans="2:24" x14ac:dyDescent="0.2">
      <c r="B93" s="466">
        <v>57</v>
      </c>
      <c r="C93" s="96" t="s">
        <v>439</v>
      </c>
      <c r="D93" s="100" t="s">
        <v>388</v>
      </c>
      <c r="E93" s="530" t="s">
        <v>530</v>
      </c>
      <c r="F93" s="154">
        <f>6%+0.5%*(VLOOKUP('Quick Input'!M$21,Auswahlfelder!$D$16:$E$19,2,FALSE)-1)</f>
        <v>6.9999999999999993E-2</v>
      </c>
      <c r="G93" s="10"/>
      <c r="H93" s="10"/>
      <c r="I93" s="154">
        <f>6%+0.5%*(VLOOKUP('Quick Input'!P$21,Auswahlfelder!$D$16:$E$19,2,FALSE)-1)</f>
        <v>6.9999999999999993E-2</v>
      </c>
      <c r="J93" s="10"/>
      <c r="K93" s="10"/>
      <c r="L93" s="154">
        <f>6%+0.5%*(VLOOKUP('Quick Input'!S$21,Auswahlfelder!$D$16:$E$19,2,FALSE)-1)</f>
        <v>6.5000000000000002E-2</v>
      </c>
      <c r="M93" s="10"/>
      <c r="N93" s="10"/>
      <c r="O93" s="154"/>
      <c r="P93" s="10"/>
      <c r="Q93" s="10"/>
      <c r="R93" s="154"/>
      <c r="S93" s="10"/>
      <c r="T93" s="10"/>
      <c r="U93" s="154"/>
      <c r="V93" s="5"/>
      <c r="X93" s="503"/>
    </row>
    <row r="94" spans="2:24" x14ac:dyDescent="0.2">
      <c r="B94" s="466">
        <v>57</v>
      </c>
      <c r="C94" s="96" t="s">
        <v>811</v>
      </c>
      <c r="D94" s="100">
        <v>1</v>
      </c>
      <c r="E94" s="530" t="s">
        <v>530</v>
      </c>
      <c r="F94" s="159">
        <f>'Länder-DB'!$M$27/1000</f>
        <v>0.25</v>
      </c>
      <c r="G94" s="10"/>
      <c r="H94" s="10"/>
      <c r="I94" s="159">
        <f>'Länder-DB'!$M$27/1000</f>
        <v>0.25</v>
      </c>
      <c r="J94" s="10"/>
      <c r="K94" s="10"/>
      <c r="L94" s="159">
        <f>'Länder-DB'!$M$27/1000</f>
        <v>0.25</v>
      </c>
      <c r="M94" s="10"/>
      <c r="N94" s="10"/>
      <c r="O94" s="159"/>
      <c r="P94" s="10"/>
      <c r="Q94" s="10"/>
      <c r="R94" s="159"/>
      <c r="S94" s="10"/>
      <c r="T94" s="10"/>
      <c r="U94" s="159"/>
      <c r="V94" s="11"/>
      <c r="X94" s="503"/>
    </row>
    <row r="95" spans="2:24" x14ac:dyDescent="0.2">
      <c r="B95" s="466">
        <v>57</v>
      </c>
      <c r="C95" s="96" t="s">
        <v>812</v>
      </c>
      <c r="D95" s="100" t="s">
        <v>388</v>
      </c>
      <c r="E95" s="530" t="s">
        <v>530</v>
      </c>
      <c r="F95" s="154" t="e">
        <f>IF(VLOOKUP('Quick Input'!M$23,Auswahlfelder!$D$49:$E$51,2,FALSE)=1,0,1.05*Refkalkulation!H$65*Refkalkulation!H$49/(F$90-F$91)*1000)</f>
        <v>#N/A</v>
      </c>
      <c r="G95" s="10"/>
      <c r="H95" s="10"/>
      <c r="I95" s="154" t="e">
        <f>IF(VLOOKUP('Quick Input'!P$23,Auswahlfelder!$D$49:$E$51,2,FALSE)=1,0,1.05*Refkalkulation!K$65*Refkalkulation!K$49/(I$90-I$91)*1000)</f>
        <v>#N/A</v>
      </c>
      <c r="J95" s="10"/>
      <c r="K95" s="10"/>
      <c r="L95" s="154" t="e">
        <f>IF(VLOOKUP('Quick Input'!S$23,Auswahlfelder!$D$49:$E$51,2,FALSE)=1,0,1.05*Refkalkulation!N$65*Refkalkulation!N$49/(L$90-L$91)*1000)</f>
        <v>#N/A</v>
      </c>
      <c r="M95" s="10"/>
      <c r="N95" s="10"/>
      <c r="O95" s="154"/>
      <c r="P95" s="10"/>
      <c r="Q95" s="10"/>
      <c r="R95" s="154"/>
      <c r="S95" s="10"/>
      <c r="T95" s="10"/>
      <c r="U95" s="154"/>
      <c r="V95" s="11"/>
      <c r="X95" s="503"/>
    </row>
    <row r="96" spans="2:24" ht="15" x14ac:dyDescent="0.25">
      <c r="B96" s="466">
        <v>57</v>
      </c>
      <c r="C96" s="96" t="s">
        <v>393</v>
      </c>
      <c r="D96" s="890">
        <v>1.4999999999999999E-2</v>
      </c>
      <c r="E96" s="530" t="s">
        <v>530</v>
      </c>
      <c r="F96" s="153">
        <f>$D$96+0.2%-0.15%*VLOOKUP('Quick Input'!M$25,Auswahlfelder!$D$54:$E$57,2,FALSE)</f>
        <v>1.1000000000000001E-2</v>
      </c>
      <c r="G96" s="10"/>
      <c r="H96" s="10"/>
      <c r="I96" s="153">
        <f>$D$96+0.2%-0.15%*VLOOKUP('Quick Input'!P$25,Auswahlfelder!$D$54:$E$57,2,FALSE)</f>
        <v>1.4000000000000002E-2</v>
      </c>
      <c r="J96" s="10"/>
      <c r="K96" s="10"/>
      <c r="L96" s="153">
        <f>$D$96+0.2%-0.15%*VLOOKUP('Quick Input'!S$25,Auswahlfelder!$D$54:$E$57,2,FALSE)</f>
        <v>1.2500000000000001E-2</v>
      </c>
      <c r="M96" s="10"/>
      <c r="N96" s="10"/>
      <c r="O96" s="153"/>
      <c r="P96" s="10"/>
      <c r="Q96" s="10"/>
      <c r="R96" s="153"/>
      <c r="S96" s="10"/>
      <c r="T96" s="10"/>
      <c r="U96" s="153"/>
      <c r="V96" s="11"/>
      <c r="X96" s="503"/>
    </row>
    <row r="97" spans="2:24" ht="15" thickBot="1" x14ac:dyDescent="0.25">
      <c r="B97" s="466">
        <v>57</v>
      </c>
      <c r="C97" s="96" t="s">
        <v>392</v>
      </c>
      <c r="D97" s="100">
        <v>1</v>
      </c>
      <c r="E97" s="530" t="s">
        <v>530</v>
      </c>
      <c r="F97" s="159">
        <f>'Länder-DB'!$M$29/1000*1.25</f>
        <v>3.8874999999999997</v>
      </c>
      <c r="G97" s="10"/>
      <c r="H97" s="10"/>
      <c r="I97" s="159">
        <f>'Länder-DB'!$M$29/1000*1.25</f>
        <v>3.8874999999999997</v>
      </c>
      <c r="J97" s="10"/>
      <c r="K97" s="10"/>
      <c r="L97" s="159">
        <f>'Länder-DB'!$M$29/1000*1.25</f>
        <v>3.8874999999999997</v>
      </c>
      <c r="M97" s="10"/>
      <c r="N97" s="10"/>
      <c r="O97" s="159"/>
      <c r="P97" s="10"/>
      <c r="Q97" s="10"/>
      <c r="R97" s="159"/>
      <c r="S97" s="10"/>
      <c r="T97" s="10"/>
      <c r="U97" s="159"/>
      <c r="V97" s="1143"/>
      <c r="X97" s="801"/>
    </row>
    <row r="98" spans="2:24" ht="15" x14ac:dyDescent="0.25">
      <c r="B98" s="466">
        <v>40</v>
      </c>
      <c r="C98" s="95" t="s">
        <v>96</v>
      </c>
      <c r="D98" s="98">
        <v>1</v>
      </c>
      <c r="E98" s="535" t="s">
        <v>455</v>
      </c>
      <c r="F98" s="204">
        <f>MIN(F$105*F$104,F$101)</f>
        <v>117</v>
      </c>
      <c r="G98" s="7"/>
      <c r="H98" s="7"/>
      <c r="I98" s="204">
        <f>MIN(I$105*I$104,I$101)</f>
        <v>117</v>
      </c>
      <c r="J98" s="7"/>
      <c r="K98" s="7"/>
      <c r="L98" s="204">
        <f>MIN(L$105*L$104,L$101)</f>
        <v>117</v>
      </c>
      <c r="M98" s="7"/>
      <c r="N98" s="7"/>
      <c r="O98" s="204"/>
      <c r="P98" s="7"/>
      <c r="Q98" s="7"/>
      <c r="R98" s="204"/>
      <c r="S98" s="7"/>
      <c r="T98" s="7"/>
      <c r="U98" s="204"/>
      <c r="V98" s="11"/>
    </row>
    <row r="99" spans="2:24" x14ac:dyDescent="0.2">
      <c r="B99" s="466">
        <v>40</v>
      </c>
      <c r="C99" s="96" t="s">
        <v>158</v>
      </c>
      <c r="D99" s="543" t="s">
        <v>461</v>
      </c>
      <c r="E99" s="532"/>
      <c r="F99" s="206">
        <f>52/'Quick Input'!M$37*F$98</f>
        <v>1.2167999999999999</v>
      </c>
      <c r="G99" s="10"/>
      <c r="H99" s="10"/>
      <c r="I99" s="206">
        <f>52/'Quick Input'!P$37*I$98</f>
        <v>1.2167999999999999</v>
      </c>
      <c r="J99" s="10"/>
      <c r="K99" s="10"/>
      <c r="L99" s="206">
        <f>52/'Quick Input'!S$37*L$98</f>
        <v>1.2167999999999999</v>
      </c>
      <c r="M99" s="10"/>
      <c r="N99" s="10"/>
      <c r="O99" s="206"/>
      <c r="P99" s="10"/>
      <c r="Q99" s="10"/>
      <c r="R99" s="206"/>
      <c r="S99" s="10"/>
      <c r="T99" s="10"/>
      <c r="U99" s="206"/>
      <c r="V99" s="11"/>
    </row>
    <row r="100" spans="2:24" x14ac:dyDescent="0.2">
      <c r="B100" s="466">
        <v>40</v>
      </c>
      <c r="C100" s="96" t="s">
        <v>160</v>
      </c>
      <c r="D100" s="100" t="s">
        <v>94</v>
      </c>
      <c r="E100" s="530" t="s">
        <v>456</v>
      </c>
      <c r="F100" s="206">
        <f>'Quick Input'!M$37/F$162</f>
        <v>104.16666666666667</v>
      </c>
      <c r="G100" s="10"/>
      <c r="H100" s="10"/>
      <c r="I100" s="206">
        <f>'Quick Input'!P$37/I162</f>
        <v>104.16666666666667</v>
      </c>
      <c r="J100" s="10"/>
      <c r="K100" s="10"/>
      <c r="L100" s="206">
        <f>'Quick Input'!S$37/L162</f>
        <v>104.16666666666667</v>
      </c>
      <c r="M100" s="10"/>
      <c r="N100" s="10"/>
      <c r="O100" s="206"/>
      <c r="P100" s="10"/>
      <c r="Q100" s="10"/>
      <c r="R100" s="206"/>
      <c r="S100" s="10"/>
      <c r="T100" s="10"/>
      <c r="U100" s="206"/>
      <c r="V100" s="11"/>
    </row>
    <row r="101" spans="2:24" x14ac:dyDescent="0.2">
      <c r="B101" s="466">
        <v>40</v>
      </c>
      <c r="C101" s="96" t="s">
        <v>159</v>
      </c>
      <c r="D101" s="100" t="s">
        <v>94</v>
      </c>
      <c r="E101" s="530" t="s">
        <v>455</v>
      </c>
      <c r="F101" s="205">
        <f>'Quick Input'!M$37/4</f>
        <v>1250</v>
      </c>
      <c r="G101" s="10"/>
      <c r="H101" s="10"/>
      <c r="I101" s="205">
        <f>'Quick Input'!P$37/4</f>
        <v>1250</v>
      </c>
      <c r="J101" s="10"/>
      <c r="K101" s="10"/>
      <c r="L101" s="205">
        <f>'Quick Input'!S$37/4</f>
        <v>1250</v>
      </c>
      <c r="M101" s="10"/>
      <c r="N101" s="10"/>
      <c r="O101" s="205"/>
      <c r="P101" s="10"/>
      <c r="Q101" s="10"/>
      <c r="R101" s="205"/>
      <c r="S101" s="10"/>
      <c r="T101" s="10"/>
      <c r="U101" s="205"/>
      <c r="V101" s="11"/>
    </row>
    <row r="102" spans="2:24" x14ac:dyDescent="0.2">
      <c r="B102" s="466">
        <v>40</v>
      </c>
      <c r="C102" s="96" t="s">
        <v>481</v>
      </c>
      <c r="D102" s="100" t="s">
        <v>94</v>
      </c>
      <c r="E102" s="530" t="s">
        <v>455</v>
      </c>
      <c r="F102" s="206">
        <f>F$100*F$46/1000</f>
        <v>4.166666666666667</v>
      </c>
      <c r="G102" s="10"/>
      <c r="H102" s="10"/>
      <c r="I102" s="206">
        <f>I$100*I$46/1000</f>
        <v>0.52083333333333337</v>
      </c>
      <c r="J102" s="10"/>
      <c r="K102" s="10"/>
      <c r="L102" s="206">
        <f>L$100*L$46/1000</f>
        <v>0.52083333333333337</v>
      </c>
      <c r="M102" s="10"/>
      <c r="N102" s="10"/>
      <c r="O102" s="206"/>
      <c r="P102" s="10"/>
      <c r="Q102" s="10"/>
      <c r="R102" s="206"/>
      <c r="S102" s="10"/>
      <c r="T102" s="10"/>
      <c r="U102" s="206"/>
      <c r="V102" s="11"/>
    </row>
    <row r="103" spans="2:24" x14ac:dyDescent="0.2">
      <c r="B103" s="466">
        <v>40</v>
      </c>
      <c r="C103" s="96" t="s">
        <v>147</v>
      </c>
      <c r="D103" s="100" t="s">
        <v>94</v>
      </c>
      <c r="E103" s="530" t="s">
        <v>455</v>
      </c>
      <c r="F103" s="205">
        <f>F$100*'Quick Input'!M$14*'Quick Input'!M$15*'Quick Input'!M$16/1000000</f>
        <v>4166.666666666667</v>
      </c>
      <c r="G103" s="10"/>
      <c r="H103" s="10"/>
      <c r="I103" s="205">
        <f>I$100*'Quick Input'!P$14*'Quick Input'!P$15*'Quick Input'!P$16/1000000</f>
        <v>4166.666666666667</v>
      </c>
      <c r="J103" s="10"/>
      <c r="K103" s="10"/>
      <c r="L103" s="205">
        <f>L$100*'Quick Input'!S$14*'Quick Input'!S$15*'Quick Input'!S$16/1000000</f>
        <v>4166.666666666667</v>
      </c>
      <c r="M103" s="10"/>
      <c r="N103" s="10"/>
      <c r="O103" s="205"/>
      <c r="P103" s="10"/>
      <c r="Q103" s="10"/>
      <c r="R103" s="205"/>
      <c r="S103" s="10"/>
      <c r="T103" s="10"/>
      <c r="U103" s="205"/>
      <c r="V103" s="5"/>
    </row>
    <row r="104" spans="2:24" x14ac:dyDescent="0.2">
      <c r="B104" s="466">
        <v>40</v>
      </c>
      <c r="C104" s="96" t="s">
        <v>146</v>
      </c>
      <c r="D104" s="100" t="s">
        <v>94</v>
      </c>
      <c r="E104" s="530" t="s">
        <v>455</v>
      </c>
      <c r="F104" s="205">
        <f>ROUNDUP(MIN(520/F$103*F$100,1200/F$102*F$100),0)</f>
        <v>13</v>
      </c>
      <c r="G104" s="10"/>
      <c r="H104" s="10"/>
      <c r="I104" s="205">
        <f>ROUNDUP(MIN(520/I$103*I$100,1200/I$102*I$100),0)</f>
        <v>13</v>
      </c>
      <c r="J104" s="10"/>
      <c r="K104" s="10"/>
      <c r="L104" s="205">
        <f>ROUNDUP(MIN(520/L$103*L$100,1200/L$102*L$100),0)</f>
        <v>13</v>
      </c>
      <c r="M104" s="10"/>
      <c r="N104" s="10"/>
      <c r="O104" s="205"/>
      <c r="P104" s="10"/>
      <c r="Q104" s="10"/>
      <c r="R104" s="205"/>
      <c r="S104" s="10"/>
      <c r="T104" s="10"/>
      <c r="U104" s="205"/>
      <c r="V104" s="5"/>
    </row>
    <row r="105" spans="2:24" x14ac:dyDescent="0.2">
      <c r="B105" s="466">
        <v>40</v>
      </c>
      <c r="C105" s="96" t="s">
        <v>145</v>
      </c>
      <c r="D105" s="100" t="s">
        <v>94</v>
      </c>
      <c r="E105" s="530" t="s">
        <v>455</v>
      </c>
      <c r="F105" s="205">
        <f>IF(F$104&gt;F$100,1,ROUNDUP(F$100/F$104,0))</f>
        <v>9</v>
      </c>
      <c r="G105" s="10"/>
      <c r="H105" s="10"/>
      <c r="I105" s="205">
        <f>IF(I$104&gt;I$100,1,ROUNDUP(I$100/I$104,0))</f>
        <v>9</v>
      </c>
      <c r="J105" s="10"/>
      <c r="K105" s="10"/>
      <c r="L105" s="205">
        <f>IF(L$104&gt;L$100,1,ROUNDUP(L$100/L$104,0))</f>
        <v>9</v>
      </c>
      <c r="M105" s="10"/>
      <c r="N105" s="10"/>
      <c r="O105" s="205"/>
      <c r="P105" s="10"/>
      <c r="Q105" s="10"/>
      <c r="R105" s="205"/>
      <c r="S105" s="10"/>
      <c r="T105" s="10"/>
      <c r="U105" s="205"/>
      <c r="V105" s="5"/>
    </row>
    <row r="106" spans="2:24" ht="15" thickBot="1" x14ac:dyDescent="0.25">
      <c r="B106" s="466">
        <v>40</v>
      </c>
      <c r="C106" s="96" t="s">
        <v>244</v>
      </c>
      <c r="D106" s="100" t="s">
        <v>94</v>
      </c>
      <c r="E106" s="530" t="s">
        <v>456</v>
      </c>
      <c r="F106" s="205">
        <f>IF(F$105&gt;3,IF(F$99&gt;3,F$105-1,1),IF(F$105&gt;1,IF(F$99&gt;2,2,1),0))</f>
        <v>1</v>
      </c>
      <c r="G106" s="10"/>
      <c r="H106" s="10"/>
      <c r="I106" s="205">
        <f>IF(I$105&gt;3,IF(I$99&gt;3,I$105-1,1),IF(I$105&gt;1,IF(I$99&gt;2,2,1),0))</f>
        <v>1</v>
      </c>
      <c r="J106" s="10"/>
      <c r="K106" s="10"/>
      <c r="L106" s="205">
        <f>IF(L$105&gt;3,IF(L$99&gt;3,L$105-1,1),IF(L$105&gt;1,IF(L$99&gt;2,2,1),0))</f>
        <v>1</v>
      </c>
      <c r="M106" s="10"/>
      <c r="N106" s="10"/>
      <c r="O106" s="205"/>
      <c r="P106" s="4"/>
      <c r="Q106" s="4"/>
      <c r="R106" s="205"/>
      <c r="S106" s="4"/>
      <c r="T106" s="4"/>
      <c r="U106" s="205"/>
      <c r="V106" s="1144"/>
    </row>
    <row r="107" spans="2:24" ht="15" x14ac:dyDescent="0.25">
      <c r="B107" s="466">
        <v>10</v>
      </c>
      <c r="C107" s="95" t="s">
        <v>97</v>
      </c>
      <c r="D107" s="98" t="s">
        <v>94</v>
      </c>
      <c r="E107" s="535" t="s">
        <v>456</v>
      </c>
      <c r="F107" s="615">
        <f>IFERROR(IF(Refkalkulation!H59=0,Refkalkulation!H$49*ROUNDUP(F$108*F$110/Refkalkulation!H$49,0),Refkalkulation!H59),0)</f>
        <v>100</v>
      </c>
      <c r="G107" s="435"/>
      <c r="H107" s="461"/>
      <c r="I107" s="615">
        <f>IFERROR(IF(Refkalkulation!K59=0,Refkalkulation!K$49*ROUNDUP(I$108*I$110/Refkalkulation!K$49,0),Refkalkulation!K59),0)</f>
        <v>100</v>
      </c>
      <c r="J107" s="435"/>
      <c r="K107" s="461"/>
      <c r="L107" s="615">
        <f>IFERROR(IF(Refkalkulation!N59=0,Refkalkulation!N$49*ROUNDUP(L$108*L$110/Refkalkulation!N$49,0),Refkalkulation!N59),0)</f>
        <v>100</v>
      </c>
      <c r="M107" s="435"/>
      <c r="N107" s="461"/>
      <c r="O107" s="615"/>
      <c r="P107" s="435"/>
      <c r="Q107" s="461"/>
      <c r="R107" s="615"/>
      <c r="S107" s="435"/>
      <c r="T107" s="461"/>
      <c r="U107" s="615"/>
      <c r="V107" s="11"/>
      <c r="X107" s="503"/>
    </row>
    <row r="108" spans="2:24" x14ac:dyDescent="0.2">
      <c r="B108" s="466">
        <v>10</v>
      </c>
      <c r="C108" s="96" t="s">
        <v>479</v>
      </c>
      <c r="D108" s="100" t="s">
        <v>94</v>
      </c>
      <c r="E108" s="530" t="s">
        <v>455</v>
      </c>
      <c r="F108" s="205">
        <f>MAX(Refkalkulation!H$49,MAX(F$98,F$100*2)-F$106*F$104)</f>
        <v>195.33333333333334</v>
      </c>
      <c r="G108" s="10"/>
      <c r="H108" s="10"/>
      <c r="I108" s="205">
        <f>MAX(Refkalkulation!K$49,MAX(I$98,I$100*2)-I$106*I$104)</f>
        <v>195.33333333333334</v>
      </c>
      <c r="J108" s="10"/>
      <c r="K108" s="10"/>
      <c r="L108" s="205">
        <f>MAX(Refkalkulation!N$49,MAX(L$98,L$100*2)-L$106*L$104)</f>
        <v>195.33333333333334</v>
      </c>
      <c r="M108" s="10"/>
      <c r="N108" s="10"/>
      <c r="O108" s="205"/>
      <c r="P108" s="10"/>
      <c r="Q108" s="10"/>
      <c r="R108" s="205"/>
      <c r="S108" s="10"/>
      <c r="T108" s="10"/>
      <c r="U108" s="205"/>
      <c r="V108" s="11"/>
    </row>
    <row r="109" spans="2:24" x14ac:dyDescent="0.2">
      <c r="B109" s="466">
        <v>10</v>
      </c>
      <c r="C109" s="96" t="s">
        <v>480</v>
      </c>
      <c r="D109" s="100" t="s">
        <v>94</v>
      </c>
      <c r="E109" s="530" t="s">
        <v>455</v>
      </c>
      <c r="F109" s="206">
        <f>F$108/F$100</f>
        <v>1.8752</v>
      </c>
      <c r="G109" s="282"/>
      <c r="H109" s="282"/>
      <c r="I109" s="206">
        <f>I$108/I$100</f>
        <v>1.8752</v>
      </c>
      <c r="J109" s="282"/>
      <c r="K109" s="282"/>
      <c r="L109" s="206">
        <f>L$108/L$100</f>
        <v>1.8752</v>
      </c>
      <c r="M109" s="282"/>
      <c r="N109" s="282"/>
      <c r="O109" s="206"/>
      <c r="P109" s="283"/>
      <c r="Q109" s="283"/>
      <c r="R109" s="206"/>
      <c r="S109" s="283"/>
      <c r="T109" s="283"/>
      <c r="U109" s="206"/>
      <c r="V109" s="11"/>
    </row>
    <row r="110" spans="2:24" ht="15" thickBot="1" x14ac:dyDescent="0.25">
      <c r="B110" s="466">
        <v>10</v>
      </c>
      <c r="C110" s="96" t="s">
        <v>161</v>
      </c>
      <c r="D110" s="100" t="s">
        <v>94</v>
      </c>
      <c r="E110" s="530" t="s">
        <v>455</v>
      </c>
      <c r="F110" s="205">
        <f>IF(F$109&lt;2.2,2,IF(F$109&gt;6,1,2))</f>
        <v>2</v>
      </c>
      <c r="G110" s="10"/>
      <c r="H110" s="10"/>
      <c r="I110" s="205">
        <f>IF(I$109&lt;2.2,2,IF(I$109&gt;6,1,2))</f>
        <v>2</v>
      </c>
      <c r="J110" s="10"/>
      <c r="K110" s="10"/>
      <c r="L110" s="205">
        <f>IF(L$109&lt;2.2,2,IF(L$109&gt;6,1,2))</f>
        <v>2</v>
      </c>
      <c r="M110" s="10"/>
      <c r="N110" s="10"/>
      <c r="O110" s="205"/>
      <c r="P110" s="4"/>
      <c r="Q110" s="4"/>
      <c r="R110" s="205"/>
      <c r="S110" s="4"/>
      <c r="T110" s="4"/>
      <c r="U110" s="205"/>
      <c r="V110" s="1144"/>
    </row>
    <row r="111" spans="2:24" ht="15" x14ac:dyDescent="0.25">
      <c r="B111" s="466">
        <v>20</v>
      </c>
      <c r="C111" s="95" t="s">
        <v>771</v>
      </c>
      <c r="D111" s="98"/>
      <c r="E111" s="535" t="s">
        <v>455</v>
      </c>
      <c r="F111" s="161">
        <f>IF(F61=0,MAX(MIN(11,F$118+3,F$118+ROUNDDOWN(IF(ISERROR(F$113),F$112,F$112+F$113),0)),F$119),F61)</f>
        <v>2</v>
      </c>
      <c r="G111" s="418"/>
      <c r="H111" s="419"/>
      <c r="I111" s="161">
        <f>IF(I61=0,MAX(MIN(11,I$118+3,I$118+ROUNDDOWN(IF(ISERROR(I$113),I$112,I$112+I$113),0)),I$119),I61)</f>
        <v>2</v>
      </c>
      <c r="J111" s="418"/>
      <c r="K111" s="419"/>
      <c r="L111" s="161">
        <f>IF(L61=0,MAX(MIN(11,L$118+3,L$118+ROUNDDOWN(IF(ISERROR(L$113),L$112,L$112+L$113),0)),L$119),L61)</f>
        <v>2</v>
      </c>
      <c r="M111" s="418"/>
      <c r="N111" s="419"/>
      <c r="O111" s="161"/>
      <c r="P111" s="418"/>
      <c r="Q111" s="419"/>
      <c r="R111" s="161"/>
      <c r="S111" s="418"/>
      <c r="T111" s="419"/>
      <c r="U111" s="161"/>
      <c r="V111" s="11"/>
      <c r="X111" s="503"/>
    </row>
    <row r="112" spans="2:24" x14ac:dyDescent="0.2">
      <c r="B112" s="466">
        <v>20</v>
      </c>
      <c r="C112" s="96" t="s">
        <v>172</v>
      </c>
      <c r="D112" s="100" t="s">
        <v>388</v>
      </c>
      <c r="E112" s="530" t="s">
        <v>455</v>
      </c>
      <c r="F112" s="207">
        <f>VLOOKUP('Quick Input'!M$50,Auswahlfelder!$D$26:$E$28,2,FALSE)*0.4</f>
        <v>0.8</v>
      </c>
      <c r="G112" s="424"/>
      <c r="H112" s="421"/>
      <c r="I112" s="207">
        <f>VLOOKUP('Quick Input'!P$50,Auswahlfelder!$D$26:$E$28,2,FALSE)*0.4</f>
        <v>0.8</v>
      </c>
      <c r="J112" s="424"/>
      <c r="K112" s="421"/>
      <c r="L112" s="207">
        <f>VLOOKUP('Quick Input'!S$50,Auswahlfelder!$D$26:$E$28,2,FALSE)*0.4</f>
        <v>0.8</v>
      </c>
      <c r="M112" s="424"/>
      <c r="N112" s="421"/>
      <c r="O112" s="207"/>
      <c r="P112" s="424"/>
      <c r="Q112" s="421"/>
      <c r="R112" s="207"/>
      <c r="S112" s="424"/>
      <c r="T112" s="421"/>
      <c r="U112" s="207"/>
      <c r="V112" s="11"/>
    </row>
    <row r="113" spans="2:24" x14ac:dyDescent="0.2">
      <c r="B113" s="466">
        <v>20</v>
      </c>
      <c r="C113" s="96" t="s">
        <v>498</v>
      </c>
      <c r="D113" s="100" t="s">
        <v>388</v>
      </c>
      <c r="E113" s="530" t="s">
        <v>455</v>
      </c>
      <c r="F113" s="207">
        <f>0.7*VLOOKUP('Quick Input'!M$47,Auswahlfelder!$D$7:$E$9,2,FALSE)-1</f>
        <v>0.39999999999999991</v>
      </c>
      <c r="G113" s="424"/>
      <c r="H113" s="421"/>
      <c r="I113" s="207">
        <f>0.7*VLOOKUP('Quick Input'!P$47,Auswahlfelder!$D$7:$E$9,2,FALSE)-1</f>
        <v>0.39999999999999991</v>
      </c>
      <c r="J113" s="424"/>
      <c r="K113" s="421"/>
      <c r="L113" s="207">
        <f>0.7*VLOOKUP('Quick Input'!S$47,Auswahlfelder!$D$7:$E$9,2,FALSE)-1</f>
        <v>0.39999999999999991</v>
      </c>
      <c r="M113" s="424"/>
      <c r="N113" s="421"/>
      <c r="O113" s="207"/>
      <c r="P113" s="424"/>
      <c r="Q113" s="421"/>
      <c r="R113" s="207"/>
      <c r="S113" s="424"/>
      <c r="T113" s="421"/>
      <c r="U113" s="207"/>
      <c r="V113" s="11"/>
      <c r="X113" s="503"/>
    </row>
    <row r="114" spans="2:24" x14ac:dyDescent="0.2">
      <c r="B114" s="466">
        <v>20</v>
      </c>
      <c r="C114" s="96" t="s">
        <v>466</v>
      </c>
      <c r="D114" s="100">
        <v>1</v>
      </c>
      <c r="E114" s="530" t="s">
        <v>456</v>
      </c>
      <c r="F114" s="276">
        <f>97%*VLOOKUP(F$111,DB_Ofen,5,FALSE)-10</f>
        <v>2900</v>
      </c>
      <c r="G114" s="424"/>
      <c r="H114" s="425"/>
      <c r="I114" s="276">
        <f>97%*VLOOKUP(I$111,DB_Ofen,5,FALSE)-10</f>
        <v>2900</v>
      </c>
      <c r="J114" s="424"/>
      <c r="K114" s="425"/>
      <c r="L114" s="276">
        <f>97%*VLOOKUP(L$111,DB_Ofen,5,FALSE)-10</f>
        <v>2900</v>
      </c>
      <c r="M114" s="424"/>
      <c r="N114" s="425"/>
      <c r="O114" s="276"/>
      <c r="P114" s="424"/>
      <c r="Q114" s="425"/>
      <c r="R114" s="276"/>
      <c r="S114" s="424"/>
      <c r="T114" s="425"/>
      <c r="U114" s="276"/>
      <c r="V114" s="11"/>
    </row>
    <row r="115" spans="2:24" x14ac:dyDescent="0.2">
      <c r="B115" s="466">
        <v>20</v>
      </c>
      <c r="C115" s="96" t="str">
        <f>IF('Quick Input'!$G$2,"Schmelzleistung (kg/h)","Schmelzleistung (kg/h)")</f>
        <v>Schmelzleistung (kg/h)</v>
      </c>
      <c r="D115" s="100">
        <v>1</v>
      </c>
      <c r="E115" s="532"/>
      <c r="F115" s="276">
        <f>VLOOKUP(Parametrikber!F$111,DB_Ofen,7,FALSE)</f>
        <v>2000</v>
      </c>
      <c r="G115" s="424"/>
      <c r="H115" s="425"/>
      <c r="I115" s="276">
        <f>VLOOKUP(Parametrikber!I$111,DB_Ofen,7,FALSE)</f>
        <v>2000</v>
      </c>
      <c r="J115" s="424"/>
      <c r="K115" s="425"/>
      <c r="L115" s="276">
        <f>VLOOKUP(Parametrikber!L$111,DB_Ofen,7,FALSE)</f>
        <v>2000</v>
      </c>
      <c r="M115" s="424"/>
      <c r="N115" s="425"/>
      <c r="O115" s="276"/>
      <c r="P115" s="424"/>
      <c r="Q115" s="425"/>
      <c r="R115" s="276"/>
      <c r="S115" s="424"/>
      <c r="T115" s="425"/>
      <c r="U115" s="276"/>
      <c r="V115" s="11"/>
    </row>
    <row r="116" spans="2:24" x14ac:dyDescent="0.2">
      <c r="B116" s="466">
        <v>20</v>
      </c>
      <c r="C116" s="96" t="str">
        <f>IF('Quick Input'!$G$2,"Nutzungsgrad Ofen (%)","Nutzungsgrad Ofen (%)")</f>
        <v>Nutzungsgrad Ofen (%)</v>
      </c>
      <c r="D116" s="100" t="s">
        <v>388</v>
      </c>
      <c r="E116" s="530" t="s">
        <v>455</v>
      </c>
      <c r="F116" s="277">
        <f>Parametrikber!F$27-12%</f>
        <v>0.6160000000000001</v>
      </c>
      <c r="G116" s="424"/>
      <c r="H116" s="425"/>
      <c r="I116" s="277">
        <f>Parametrikber!I$27-12%</f>
        <v>0.50559999999999994</v>
      </c>
      <c r="J116" s="424"/>
      <c r="K116" s="425"/>
      <c r="L116" s="277">
        <f>Parametrikber!L$27-12%</f>
        <v>0.34</v>
      </c>
      <c r="M116" s="424"/>
      <c r="N116" s="425"/>
      <c r="O116" s="277"/>
      <c r="P116" s="424"/>
      <c r="Q116" s="425"/>
      <c r="R116" s="277"/>
      <c r="S116" s="424"/>
      <c r="T116" s="425"/>
      <c r="U116" s="277"/>
      <c r="V116" s="11"/>
      <c r="X116" s="503"/>
    </row>
    <row r="117" spans="2:24" x14ac:dyDescent="0.2">
      <c r="B117" s="466">
        <v>20</v>
      </c>
      <c r="C117" s="96" t="s">
        <v>490</v>
      </c>
      <c r="D117" s="543" t="s">
        <v>461</v>
      </c>
      <c r="E117" s="530"/>
      <c r="F117" s="276" t="e">
        <f ca="1">F$45/(Refkalkulation!H$57/3600)*1.2</f>
        <v>#N/A</v>
      </c>
      <c r="G117" s="424"/>
      <c r="H117" s="425"/>
      <c r="I117" s="276">
        <f>I$45/(Refkalkulation!K$57/3600)*1.2</f>
        <v>9.7802169890530369E-3</v>
      </c>
      <c r="J117" s="424"/>
      <c r="K117" s="425"/>
      <c r="L117" s="276">
        <f>L$45/(Refkalkulation!N$57/3600)*1.2</f>
        <v>1.3821111594609907E-2</v>
      </c>
      <c r="M117" s="424"/>
      <c r="N117" s="425"/>
      <c r="O117" s="276"/>
      <c r="P117" s="424"/>
      <c r="Q117" s="425"/>
      <c r="R117" s="276"/>
      <c r="S117" s="424"/>
      <c r="T117" s="425"/>
      <c r="U117" s="276"/>
      <c r="V117" s="11"/>
    </row>
    <row r="118" spans="2:24" x14ac:dyDescent="0.2">
      <c r="B118" s="466">
        <v>20</v>
      </c>
      <c r="C118" s="96" t="s">
        <v>770</v>
      </c>
      <c r="D118" s="100">
        <v>1</v>
      </c>
      <c r="E118" s="530"/>
      <c r="F118" s="276">
        <f>VLOOKUP(F228,'Maschinen-DB'!$D$4:$R$15,15,FALSE)</f>
        <v>1</v>
      </c>
      <c r="G118" s="424"/>
      <c r="H118" s="425"/>
      <c r="I118" s="276">
        <f>VLOOKUP(I228,'Maschinen-DB'!$D$4:$R$15,15,FALSE)</f>
        <v>1</v>
      </c>
      <c r="J118" s="424"/>
      <c r="K118" s="425"/>
      <c r="L118" s="276">
        <f>VLOOKUP(L228,'Maschinen-DB'!$D$4:$R$15,15,FALSE)</f>
        <v>1</v>
      </c>
      <c r="M118" s="424"/>
      <c r="N118" s="425"/>
      <c r="O118" s="276"/>
      <c r="P118" s="424"/>
      <c r="Q118" s="425"/>
      <c r="R118" s="276"/>
      <c r="S118" s="424"/>
      <c r="T118" s="425"/>
      <c r="U118" s="276"/>
      <c r="V118" s="11"/>
    </row>
    <row r="119" spans="2:24" x14ac:dyDescent="0.2">
      <c r="B119" s="466">
        <v>20</v>
      </c>
      <c r="C119" s="96" t="s">
        <v>491</v>
      </c>
      <c r="D119" s="100">
        <v>1</v>
      </c>
      <c r="E119" s="530"/>
      <c r="F119" s="276" t="e">
        <f ca="1">IF(VLOOKUP(F$118,DB_Ofen,7,FALSE)&gt;F$117,F$118,IF(VLOOKUP(F$118+1,DB_Ofen,7,FALSE)&gt;F$117,F$118+1,IF(VLOOKUP(F$118+2,DB_Ofen,7,FALSE)&gt;F$117,F$118+2,MIN(11,F$118+3))))</f>
        <v>#N/A</v>
      </c>
      <c r="G119" s="424"/>
      <c r="H119" s="425"/>
      <c r="I119" s="276">
        <f>IF(VLOOKUP(I$118,DB_Ofen,7,FALSE)&gt;I$117,I$118,IF(VLOOKUP(I$118+1,DB_Ofen,7,FALSE)&gt;I$117,I$118+1,IF(VLOOKUP(I$118+2,DB_Ofen,7,FALSE)&gt;I$117,I$118+2,MIN(11,I$118+3))))</f>
        <v>1</v>
      </c>
      <c r="J119" s="424"/>
      <c r="K119" s="425"/>
      <c r="L119" s="276">
        <f>IF(VLOOKUP(L$118,DB_Ofen,7,FALSE)&gt;L$117,L$118,IF(VLOOKUP(L$118+1,DB_Ofen,7,FALSE)&gt;L$117,L$118+1,IF(VLOOKUP(L$118+2,DB_Ofen,7,FALSE)&gt;L$117,L$118+2,MIN(11,L$118+3))))</f>
        <v>1</v>
      </c>
      <c r="M119" s="424"/>
      <c r="N119" s="425"/>
      <c r="O119" s="276"/>
      <c r="P119" s="424"/>
      <c r="Q119" s="425"/>
      <c r="R119" s="276"/>
      <c r="S119" s="424"/>
      <c r="T119" s="425"/>
      <c r="U119" s="276"/>
      <c r="V119" s="11"/>
    </row>
    <row r="120" spans="2:24" x14ac:dyDescent="0.2">
      <c r="B120" s="466">
        <v>20</v>
      </c>
      <c r="C120" s="96" t="str">
        <f>IF('Quick Input'!$G$2,"Ofeninvestkosten (€)","Ofeninvestkosten (€)")</f>
        <v>Ofeninvestkosten (€)</v>
      </c>
      <c r="D120" s="100">
        <v>1</v>
      </c>
      <c r="E120" s="530" t="s">
        <v>455</v>
      </c>
      <c r="F120" s="276">
        <f>VLOOKUP(F$111,DB_Ofen,8,FALSE)</f>
        <v>148000</v>
      </c>
      <c r="G120" s="424"/>
      <c r="H120" s="425"/>
      <c r="I120" s="276">
        <f>VLOOKUP(I$111,DB_Ofen,8,FALSE)</f>
        <v>148000</v>
      </c>
      <c r="J120" s="424"/>
      <c r="K120" s="425"/>
      <c r="L120" s="276">
        <f>VLOOKUP(L$111,DB_Ofen,8,FALSE)</f>
        <v>148000</v>
      </c>
      <c r="M120" s="424"/>
      <c r="N120" s="425"/>
      <c r="O120" s="276"/>
      <c r="P120" s="424"/>
      <c r="Q120" s="425"/>
      <c r="R120" s="276"/>
      <c r="S120" s="424"/>
      <c r="T120" s="425"/>
      <c r="U120" s="276"/>
      <c r="V120" s="11"/>
    </row>
    <row r="121" spans="2:24" ht="15" thickBot="1" x14ac:dyDescent="0.25">
      <c r="B121" s="466">
        <v>20</v>
      </c>
      <c r="C121" s="96" t="str">
        <f>IF('Quick Input'!$G$2,"Prozesskosten Ofen (€/h)","Prozesskosten Ofen (€/h)")</f>
        <v>Prozesskosten Ofen (€/h)</v>
      </c>
      <c r="D121" s="100"/>
      <c r="E121" s="532"/>
      <c r="F121" s="278">
        <f>(F$120/'Länder-DB'!$I$27+F$120*'Länder-DB'!$I$29)/(F$116*F$163)</f>
        <v>12.513528138528136</v>
      </c>
      <c r="G121" s="424"/>
      <c r="H121" s="421"/>
      <c r="I121" s="278">
        <f>(I$120/'Länder-DB'!$I$27+I$120*'Länder-DB'!$I$29)/(I$116*I$163)</f>
        <v>15.245912447257387</v>
      </c>
      <c r="J121" s="424"/>
      <c r="K121" s="421"/>
      <c r="L121" s="278">
        <f>(L$120/'Länder-DB'!$I$27+L$120*'Länder-DB'!$I$29)/(L$116*L$163)</f>
        <v>22.671568627450977</v>
      </c>
      <c r="M121" s="424"/>
      <c r="N121" s="421"/>
      <c r="O121" s="278"/>
      <c r="P121" s="424"/>
      <c r="Q121" s="421"/>
      <c r="R121" s="278"/>
      <c r="S121" s="424"/>
      <c r="T121" s="421"/>
      <c r="U121" s="278"/>
      <c r="V121" s="1143"/>
    </row>
    <row r="122" spans="2:24" ht="15" x14ac:dyDescent="0.25">
      <c r="B122" s="466">
        <v>50</v>
      </c>
      <c r="C122" s="95" t="s">
        <v>446</v>
      </c>
      <c r="D122" s="98"/>
      <c r="E122" s="535" t="s">
        <v>456</v>
      </c>
      <c r="F122" s="204" t="e">
        <f ca="1">F$123+F$124+F$125</f>
        <v>#N/A</v>
      </c>
      <c r="G122" s="418"/>
      <c r="H122" s="419"/>
      <c r="I122" s="204" t="e">
        <f>I$123+I$124+I$125</f>
        <v>#N/A</v>
      </c>
      <c r="J122" s="418"/>
      <c r="K122" s="419"/>
      <c r="L122" s="204" t="e">
        <f>L$123+L$124+L$125</f>
        <v>#N/A</v>
      </c>
      <c r="M122" s="418"/>
      <c r="N122" s="419"/>
      <c r="O122" s="204"/>
      <c r="P122" s="418"/>
      <c r="Q122" s="419"/>
      <c r="R122" s="204"/>
      <c r="S122" s="418"/>
      <c r="T122" s="419"/>
      <c r="U122" s="204"/>
      <c r="V122" s="11"/>
    </row>
    <row r="123" spans="2:24" x14ac:dyDescent="0.2">
      <c r="B123" s="466">
        <v>50</v>
      </c>
      <c r="C123" s="96" t="s">
        <v>166</v>
      </c>
      <c r="D123" s="100" t="s">
        <v>94</v>
      </c>
      <c r="E123" s="530" t="s">
        <v>455</v>
      </c>
      <c r="F123" s="205" t="e">
        <f>VLOOKUP(Refkalkulation!H$51,DB_Maschinen,13,FALSE)</f>
        <v>#N/A</v>
      </c>
      <c r="G123" s="420"/>
      <c r="H123" s="421"/>
      <c r="I123" s="205">
        <f>VLOOKUP(Refkalkulation!K$51,DB_Maschinen,13,FALSE)</f>
        <v>101000</v>
      </c>
      <c r="J123" s="420"/>
      <c r="K123" s="421"/>
      <c r="L123" s="205">
        <f>VLOOKUP(Refkalkulation!N$51,DB_Maschinen,13,FALSE)</f>
        <v>101000</v>
      </c>
      <c r="M123" s="420"/>
      <c r="N123" s="421"/>
      <c r="O123" s="205"/>
      <c r="P123" s="420"/>
      <c r="Q123" s="421"/>
      <c r="R123" s="205"/>
      <c r="S123" s="420"/>
      <c r="T123" s="421"/>
      <c r="U123" s="205"/>
      <c r="V123" s="11"/>
    </row>
    <row r="124" spans="2:24" x14ac:dyDescent="0.2">
      <c r="B124" s="466">
        <v>50</v>
      </c>
      <c r="C124" s="96" t="s">
        <v>458</v>
      </c>
      <c r="D124" s="100"/>
      <c r="E124" s="530" t="s">
        <v>455</v>
      </c>
      <c r="F124" s="205">
        <f ca="1">IF('Quick Input'!M$22=Auswahlfelder!$D$36,VLOOKUP('Quick Input'!M$21,Auswahlfelder!$D$16:$E$19,2,FALSE)*SQRT(F$45),0)</f>
        <v>29.413205617504602</v>
      </c>
      <c r="G124" s="430"/>
      <c r="H124" s="421"/>
      <c r="I124" s="205">
        <f>IF('Quick Input'!P$22=Auswahlfelder!$D$36,VLOOKUP('Quick Input'!P$21,Auswahlfelder!$D$16:$E$19,2,FALSE)*SQRT(I$45),0)</f>
        <v>10.430976003514727</v>
      </c>
      <c r="J124" s="430"/>
      <c r="K124" s="421"/>
      <c r="L124" s="205">
        <f>IF('Quick Input'!S$22=Auswahlfelder!$D$36,VLOOKUP('Quick Input'!S$21,Auswahlfelder!$D$16:$E$19,2,FALSE)*SQRT(L$45),0)</f>
        <v>0</v>
      </c>
      <c r="M124" s="430"/>
      <c r="N124" s="421"/>
      <c r="O124" s="205"/>
      <c r="P124" s="430"/>
      <c r="Q124" s="421"/>
      <c r="R124" s="205"/>
      <c r="S124" s="430"/>
      <c r="T124" s="421"/>
      <c r="U124" s="205"/>
      <c r="V124" s="11"/>
    </row>
    <row r="125" spans="2:24" ht="15" thickBot="1" x14ac:dyDescent="0.25">
      <c r="B125" s="466">
        <v>50</v>
      </c>
      <c r="C125" s="96" t="s">
        <v>478</v>
      </c>
      <c r="D125" s="102" t="s">
        <v>94</v>
      </c>
      <c r="E125" s="530" t="s">
        <v>455</v>
      </c>
      <c r="F125" s="205" t="e">
        <f>SQRT(VLOOKUP('Quick Input'!M$23,Auswahlfelder!$D$49:$E$51,2,FALSE)-1)*6</f>
        <v>#N/A</v>
      </c>
      <c r="G125" s="420"/>
      <c r="H125" s="421"/>
      <c r="I125" s="205" t="e">
        <f>SQRT(VLOOKUP('Quick Input'!P$23,Auswahlfelder!$D$49:$E$51,2,FALSE)-1)*6</f>
        <v>#N/A</v>
      </c>
      <c r="J125" s="420"/>
      <c r="K125" s="421"/>
      <c r="L125" s="205" t="e">
        <f>SQRT(VLOOKUP('Quick Input'!S$23,Auswahlfelder!$D$49:$E$51,2,FALSE)-1)*6</f>
        <v>#N/A</v>
      </c>
      <c r="M125" s="420"/>
      <c r="N125" s="421"/>
      <c r="O125" s="205"/>
      <c r="P125" s="420"/>
      <c r="Q125" s="421"/>
      <c r="R125" s="205"/>
      <c r="S125" s="420"/>
      <c r="T125" s="421"/>
      <c r="U125" s="205"/>
      <c r="V125" s="11"/>
    </row>
    <row r="126" spans="2:24" ht="15" x14ac:dyDescent="0.25">
      <c r="B126" s="539">
        <v>52</v>
      </c>
      <c r="C126" s="95" t="s">
        <v>460</v>
      </c>
      <c r="D126" s="100" t="s">
        <v>94</v>
      </c>
      <c r="E126" s="535" t="s">
        <v>456</v>
      </c>
      <c r="F126" s="609">
        <f>IF(Refkalkulation!H$65=0,ROUND(IF('Quick Input'!M$23=Auswahlfelder!$D$49,0,(F$127*2+F$128+60%*F$42)/5),1),Refkalkulation!H$65)</f>
        <v>20</v>
      </c>
      <c r="G126" s="435"/>
      <c r="H126" s="461"/>
      <c r="I126" s="609">
        <f>IF(Refkalkulation!K$65=0,ROUND(IF('Quick Input'!P$23=Auswahlfelder!$D$49,0,(I$127*2+I$128+60%*I$42)/5),1),Refkalkulation!K$65)</f>
        <v>10.5</v>
      </c>
      <c r="J126" s="435"/>
      <c r="K126" s="461"/>
      <c r="L126" s="609">
        <f>IF(Refkalkulation!N$65=0,ROUND(IF('Quick Input'!S$23=Auswahlfelder!$D$49,0,(L$127*2+L$128+60%*L$42)/5),1),Refkalkulation!N$65)</f>
        <v>10.5</v>
      </c>
      <c r="M126" s="435"/>
      <c r="N126" s="461"/>
      <c r="O126" s="609"/>
      <c r="P126" s="435"/>
      <c r="Q126" s="461"/>
      <c r="R126" s="609"/>
      <c r="S126" s="435"/>
      <c r="T126" s="461"/>
      <c r="U126" s="609"/>
      <c r="V126" s="8"/>
      <c r="X126" s="503"/>
    </row>
    <row r="127" spans="2:24" x14ac:dyDescent="0.2">
      <c r="B127" s="538">
        <f>B126</f>
        <v>52</v>
      </c>
      <c r="C127" s="96" t="s">
        <v>462</v>
      </c>
      <c r="D127" s="100">
        <v>1</v>
      </c>
      <c r="E127" s="530" t="s">
        <v>455</v>
      </c>
      <c r="F127" s="344">
        <f>IF('Quick Input'!M$23=Auswahlfelder!$D$49,0,12%*'Quick Input'!M$20/1000)</f>
        <v>1.7777777777777777</v>
      </c>
      <c r="G127" s="445"/>
      <c r="H127" s="446"/>
      <c r="I127" s="344">
        <f>IF('Quick Input'!P$23=Auswahlfelder!$D$49,0,12%*'Quick Input'!P$20/1000)</f>
        <v>0.22172949002217293</v>
      </c>
      <c r="J127" s="445"/>
      <c r="K127" s="446"/>
      <c r="L127" s="344">
        <f>IF('Quick Input'!S$23=Auswahlfelder!$D$49,0,12%*'Quick Input'!S$20/1000)</f>
        <v>0.22172949002217293</v>
      </c>
      <c r="M127" s="445"/>
      <c r="N127" s="446"/>
      <c r="O127" s="344"/>
      <c r="P127" s="445"/>
      <c r="Q127" s="446"/>
      <c r="R127" s="344"/>
      <c r="S127" s="445"/>
      <c r="T127" s="446"/>
      <c r="U127" s="344"/>
      <c r="V127" s="11"/>
    </row>
    <row r="128" spans="2:24" x14ac:dyDescent="0.2">
      <c r="B128" s="538">
        <f>B127</f>
        <v>52</v>
      </c>
      <c r="C128" s="96" t="s">
        <v>810</v>
      </c>
      <c r="D128" s="100">
        <v>1</v>
      </c>
      <c r="E128" s="530" t="s">
        <v>455</v>
      </c>
      <c r="F128" s="344">
        <f>IF(F127=0,0,MAX(0,0.9*F$42-'Quick Input'!M$20/1000))</f>
        <v>21.185185185185187</v>
      </c>
      <c r="G128" s="445"/>
      <c r="H128" s="446"/>
      <c r="I128" s="344">
        <f>IF(I127=0,0,MAX(0,0.9*I$42-'Quick Input'!P$20/1000))</f>
        <v>30.552254249815224</v>
      </c>
      <c r="J128" s="445"/>
      <c r="K128" s="446"/>
      <c r="L128" s="344">
        <f>IF(L127=0,0,MAX(0,0.9*L$42-'Quick Input'!S$20/1000))</f>
        <v>30.552254249815224</v>
      </c>
      <c r="M128" s="445"/>
      <c r="N128" s="446"/>
      <c r="O128" s="344"/>
      <c r="P128" s="445"/>
      <c r="Q128" s="446"/>
      <c r="R128" s="344"/>
      <c r="S128" s="445"/>
      <c r="T128" s="446"/>
      <c r="U128" s="344"/>
      <c r="V128" s="11"/>
    </row>
    <row r="129" spans="2:24" ht="15" thickBot="1" x14ac:dyDescent="0.25">
      <c r="B129" s="538">
        <f>B128</f>
        <v>52</v>
      </c>
      <c r="C129" s="97" t="s">
        <v>463</v>
      </c>
      <c r="D129" s="102" t="s">
        <v>461</v>
      </c>
      <c r="E129" s="533"/>
      <c r="F129" s="343">
        <f>('Quick Input'!M$20/1000+Refkalkulation!H$65)/('Quick Input'!M$14*'Quick Input'!M$15*'Quick Input'!M$16/1000000)</f>
        <v>0.87037037037037024</v>
      </c>
      <c r="G129" s="422"/>
      <c r="H129" s="423"/>
      <c r="I129" s="343">
        <f>('Quick Input'!P$20/1000+Refkalkulation!K$65)/('Quick Input'!P$14*'Quick Input'!P$15*'Quick Input'!P$16/1000000)</f>
        <v>4.619364375461936E-2</v>
      </c>
      <c r="J129" s="422"/>
      <c r="K129" s="423"/>
      <c r="L129" s="343">
        <f>('Quick Input'!S$20/1000+Refkalkulation!N$65)/('Quick Input'!S$14*'Quick Input'!S$15*'Quick Input'!S$16/1000000)</f>
        <v>4.619364375461936E-2</v>
      </c>
      <c r="M129" s="422"/>
      <c r="N129" s="423"/>
      <c r="O129" s="343"/>
      <c r="P129" s="422"/>
      <c r="Q129" s="423"/>
      <c r="R129" s="343"/>
      <c r="S129" s="422"/>
      <c r="T129" s="423"/>
      <c r="U129" s="343"/>
      <c r="V129" s="126"/>
      <c r="X129" s="503"/>
    </row>
    <row r="130" spans="2:24" ht="15" x14ac:dyDescent="0.25">
      <c r="B130" s="466">
        <v>51</v>
      </c>
      <c r="C130" s="95" t="s">
        <v>823</v>
      </c>
      <c r="D130" s="98"/>
      <c r="E130" s="535" t="s">
        <v>456</v>
      </c>
      <c r="F130" s="439">
        <f>IF('Quick Input'!M$23=Auswahlfelder!$D$49,0,F$131*F$132)</f>
        <v>0.25774596669241484</v>
      </c>
      <c r="G130" s="435"/>
      <c r="H130" s="419"/>
      <c r="I130" s="439">
        <f>IF('Quick Input'!P$23=Auswahlfelder!$D$49,0,I$131*I$132)</f>
        <v>0.21115500376222723</v>
      </c>
      <c r="J130" s="435"/>
      <c r="K130" s="419"/>
      <c r="L130" s="439">
        <f>IF('Quick Input'!S$23=Auswahlfelder!$D$49,0,L$131*L$132)</f>
        <v>0.25</v>
      </c>
      <c r="M130" s="435"/>
      <c r="N130" s="419"/>
      <c r="O130" s="439"/>
      <c r="P130" s="435"/>
      <c r="Q130" s="419"/>
      <c r="R130" s="439"/>
      <c r="S130" s="435"/>
      <c r="T130" s="419"/>
      <c r="U130" s="439"/>
      <c r="V130" s="8"/>
      <c r="X130" s="503"/>
    </row>
    <row r="131" spans="2:24" x14ac:dyDescent="0.2">
      <c r="B131" s="466">
        <f>B130</f>
        <v>51</v>
      </c>
      <c r="C131" s="96" t="s">
        <v>813</v>
      </c>
      <c r="D131" s="100" t="s">
        <v>388</v>
      </c>
      <c r="E131" s="530" t="s">
        <v>455</v>
      </c>
      <c r="F131" s="892">
        <f>IF('Quick Input'!M$23=Auswahlfelder!$D50,F$247,('Länder-DB'!$M$47+F133)/F$134)</f>
        <v>0.25774596669241484</v>
      </c>
      <c r="G131" s="463"/>
      <c r="H131" s="464"/>
      <c r="I131" s="892">
        <f>IF('Quick Input'!P$23=Auswahlfelder!$D50,I$247,('Länder-DB'!$M$47+I133)/I$134)</f>
        <v>0.21115500376222723</v>
      </c>
      <c r="J131" s="463"/>
      <c r="K131" s="464"/>
      <c r="L131" s="892">
        <f>IF('Quick Input'!S$23=Auswahlfelder!$D50,L$247,('Länder-DB'!$M$47+L133)/L$134)</f>
        <v>0.25</v>
      </c>
      <c r="M131" s="463"/>
      <c r="N131" s="464"/>
      <c r="O131" s="892"/>
      <c r="P131" s="463"/>
      <c r="Q131" s="464"/>
      <c r="R131" s="892"/>
      <c r="S131" s="463"/>
      <c r="T131" s="464"/>
      <c r="U131" s="892"/>
      <c r="V131" s="11"/>
    </row>
    <row r="132" spans="2:24" x14ac:dyDescent="0.2">
      <c r="B132" s="466">
        <f>B131</f>
        <v>51</v>
      </c>
      <c r="C132" s="96" t="s">
        <v>348</v>
      </c>
      <c r="D132" s="100"/>
      <c r="E132" s="530" t="s">
        <v>455</v>
      </c>
      <c r="F132" s="344">
        <f>MAX(1,SQRT(14/F$107+0.6))</f>
        <v>1</v>
      </c>
      <c r="G132" s="420"/>
      <c r="H132" s="421"/>
      <c r="I132" s="344">
        <f>MAX(1,SQRT(14/I$107+0.6))</f>
        <v>1</v>
      </c>
      <c r="J132" s="420"/>
      <c r="K132" s="421"/>
      <c r="L132" s="344">
        <f>MAX(1,SQRT(14/L$107+0.6))</f>
        <v>1</v>
      </c>
      <c r="M132" s="420"/>
      <c r="N132" s="421"/>
      <c r="O132" s="344"/>
      <c r="P132" s="420"/>
      <c r="Q132" s="421"/>
      <c r="R132" s="344"/>
      <c r="S132" s="420"/>
      <c r="T132" s="421"/>
      <c r="U132" s="344"/>
      <c r="V132" s="11"/>
      <c r="X132" s="503"/>
    </row>
    <row r="133" spans="2:24" x14ac:dyDescent="0.2">
      <c r="B133" s="466">
        <f>B132</f>
        <v>51</v>
      </c>
      <c r="C133" s="96" t="s">
        <v>350</v>
      </c>
      <c r="D133" s="100"/>
      <c r="E133" s="530" t="s">
        <v>455</v>
      </c>
      <c r="F133" s="462">
        <f>IF(Refkalkulation!H$65&gt;0,SQRT(3/Refkalkulation!H$65)/50,0)</f>
        <v>7.7459666924148338E-3</v>
      </c>
      <c r="G133" s="463"/>
      <c r="H133" s="464"/>
      <c r="I133" s="462">
        <f>IF(Refkalkulation!K$65&gt;0,SQRT(3/Refkalkulation!K$65)/50,0)</f>
        <v>0</v>
      </c>
      <c r="J133" s="463"/>
      <c r="K133" s="464"/>
      <c r="L133" s="462">
        <f>IF(Refkalkulation!N$65&gt;0,SQRT(3/Refkalkulation!N$65)/50,0)</f>
        <v>0</v>
      </c>
      <c r="M133" s="463"/>
      <c r="N133" s="464"/>
      <c r="O133" s="462"/>
      <c r="P133" s="463"/>
      <c r="Q133" s="464"/>
      <c r="R133" s="462"/>
      <c r="S133" s="463"/>
      <c r="T133" s="464"/>
      <c r="U133" s="462"/>
      <c r="V133" s="11"/>
    </row>
    <row r="134" spans="2:24" ht="15" thickBot="1" x14ac:dyDescent="0.25">
      <c r="B134" s="466">
        <f>B133</f>
        <v>51</v>
      </c>
      <c r="C134" s="97" t="s">
        <v>349</v>
      </c>
      <c r="D134" s="732">
        <v>0.65</v>
      </c>
      <c r="E134" s="531" t="s">
        <v>455</v>
      </c>
      <c r="F134" s="458">
        <f>1+0.25*(1-VLOOKUP(F$19,DB_Länder,4,FALSE)/'Länder-DB'!$D$2)</f>
        <v>1</v>
      </c>
      <c r="G134" s="459"/>
      <c r="H134" s="460"/>
      <c r="I134" s="458">
        <f>1+0.25*(1-VLOOKUP(I$19,DB_Länder,4,FALSE)/'Länder-DB'!$D$2)</f>
        <v>1.1839643652561247</v>
      </c>
      <c r="J134" s="459"/>
      <c r="K134" s="460"/>
      <c r="L134" s="458">
        <f>1+0.25*(1-VLOOKUP(L$19,DB_Länder,4,FALSE)/'Länder-DB'!$D$2)</f>
        <v>1</v>
      </c>
      <c r="M134" s="459"/>
      <c r="N134" s="460"/>
      <c r="O134" s="458"/>
      <c r="P134" s="459"/>
      <c r="Q134" s="460"/>
      <c r="R134" s="458"/>
      <c r="S134" s="459"/>
      <c r="T134" s="460"/>
      <c r="U134" s="458"/>
      <c r="V134" s="126"/>
    </row>
    <row r="135" spans="2:24" ht="15" x14ac:dyDescent="0.25">
      <c r="B135" s="539">
        <v>59</v>
      </c>
      <c r="C135" s="95" t="s">
        <v>485</v>
      </c>
      <c r="D135" s="100" t="s">
        <v>94</v>
      </c>
      <c r="E135" s="535" t="s">
        <v>456</v>
      </c>
      <c r="F135" s="345">
        <f>F136*F137*F138</f>
        <v>1.4142135623730949</v>
      </c>
      <c r="G135" s="435"/>
      <c r="H135" s="461"/>
      <c r="I135" s="345">
        <f>I136*I137*I138</f>
        <v>1.2477080261564104</v>
      </c>
      <c r="J135" s="435"/>
      <c r="K135" s="461"/>
      <c r="L135" s="345">
        <f>L136*L137*L138</f>
        <v>1.4142135623730949</v>
      </c>
      <c r="M135" s="435"/>
      <c r="N135" s="461"/>
      <c r="O135" s="345"/>
      <c r="P135" s="435"/>
      <c r="Q135" s="461"/>
      <c r="R135" s="345"/>
      <c r="S135" s="435"/>
      <c r="T135" s="461"/>
      <c r="U135" s="345"/>
      <c r="V135" s="8"/>
    </row>
    <row r="136" spans="2:24" x14ac:dyDescent="0.2">
      <c r="B136" s="538">
        <f>B135</f>
        <v>59</v>
      </c>
      <c r="C136" s="96" t="s">
        <v>487</v>
      </c>
      <c r="D136" s="100" t="s">
        <v>94</v>
      </c>
      <c r="E136" s="530" t="s">
        <v>455</v>
      </c>
      <c r="F136" s="344">
        <f>'Länder-DB'!$M$49</f>
        <v>2</v>
      </c>
      <c r="G136" s="445"/>
      <c r="H136" s="446"/>
      <c r="I136" s="344">
        <f>'Länder-DB'!$M$49</f>
        <v>2</v>
      </c>
      <c r="J136" s="445"/>
      <c r="K136" s="446"/>
      <c r="L136" s="344">
        <f>'Länder-DB'!$M$49</f>
        <v>2</v>
      </c>
      <c r="M136" s="445"/>
      <c r="N136" s="446"/>
      <c r="O136" s="344"/>
      <c r="P136" s="445"/>
      <c r="Q136" s="446"/>
      <c r="R136" s="344"/>
      <c r="S136" s="445"/>
      <c r="T136" s="446"/>
      <c r="U136" s="344"/>
      <c r="V136" s="11"/>
    </row>
    <row r="137" spans="2:24" x14ac:dyDescent="0.2">
      <c r="B137" s="538">
        <f>B136</f>
        <v>59</v>
      </c>
      <c r="C137" s="96" t="s">
        <v>486</v>
      </c>
      <c r="D137" s="100" t="s">
        <v>388</v>
      </c>
      <c r="E137" s="530" t="s">
        <v>455</v>
      </c>
      <c r="F137" s="344">
        <f>1/SQRT(VLOOKUP('Quick Input'!M$47,Auswahlfelder!$D$7:$E$9,2,FALSE))</f>
        <v>0.70710678118654746</v>
      </c>
      <c r="G137" s="445"/>
      <c r="H137" s="446"/>
      <c r="I137" s="344">
        <f>1/SQRT(VLOOKUP('Quick Input'!P$47,Auswahlfelder!$D$7:$E$9,2,FALSE))</f>
        <v>0.70710678118654746</v>
      </c>
      <c r="J137" s="445"/>
      <c r="K137" s="446"/>
      <c r="L137" s="344">
        <f>1/SQRT(VLOOKUP('Quick Input'!S$47,Auswahlfelder!$D$7:$E$9,2,FALSE))</f>
        <v>0.70710678118654746</v>
      </c>
      <c r="M137" s="445"/>
      <c r="N137" s="446"/>
      <c r="O137" s="344"/>
      <c r="P137" s="445"/>
      <c r="Q137" s="446"/>
      <c r="R137" s="344"/>
      <c r="S137" s="445"/>
      <c r="T137" s="446"/>
      <c r="U137" s="344"/>
      <c r="V137" s="11"/>
    </row>
    <row r="138" spans="2:24" ht="15" thickBot="1" x14ac:dyDescent="0.25">
      <c r="B138" s="538">
        <f>B137</f>
        <v>59</v>
      </c>
      <c r="C138" s="97" t="s">
        <v>488</v>
      </c>
      <c r="D138" s="102" t="s">
        <v>94</v>
      </c>
      <c r="E138" s="531" t="s">
        <v>455</v>
      </c>
      <c r="F138" s="586">
        <f>0.84+0.16*VLOOKUP(F$19,DB_Länder,4,FALSE)/'Länder-DB'!$D$2</f>
        <v>1</v>
      </c>
      <c r="G138" s="422"/>
      <c r="H138" s="423"/>
      <c r="I138" s="586">
        <f>0.84+0.16*VLOOKUP(I$19,DB_Länder,4,FALSE)/'Länder-DB'!$D$2</f>
        <v>0.88226280623608011</v>
      </c>
      <c r="J138" s="422"/>
      <c r="K138" s="423"/>
      <c r="L138" s="586">
        <f>0.84+0.16*VLOOKUP(L$19,DB_Länder,4,FALSE)/'Länder-DB'!$D$2</f>
        <v>1</v>
      </c>
      <c r="M138" s="422"/>
      <c r="N138" s="423"/>
      <c r="O138" s="586"/>
      <c r="P138" s="422"/>
      <c r="Q138" s="423"/>
      <c r="R138" s="586"/>
      <c r="S138" s="422"/>
      <c r="T138" s="423"/>
      <c r="U138" s="586"/>
      <c r="V138" s="126"/>
    </row>
    <row r="139" spans="2:24" ht="15" x14ac:dyDescent="0.25">
      <c r="B139" s="466">
        <v>4</v>
      </c>
      <c r="C139" s="99" t="s">
        <v>373</v>
      </c>
      <c r="D139" s="100" t="s">
        <v>484</v>
      </c>
      <c r="E139" s="532"/>
      <c r="F139" s="275">
        <f>IF(Refkalkulation!H$49=0,1,Refkalkulation!H$49)</f>
        <v>1</v>
      </c>
      <c r="G139" s="10"/>
      <c r="H139" s="10"/>
      <c r="I139" s="275">
        <f>IF(Refkalkulation!K$49=0,1,Refkalkulation!K$49)</f>
        <v>1</v>
      </c>
      <c r="J139" s="10"/>
      <c r="K139" s="10"/>
      <c r="L139" s="275">
        <f>IF(Refkalkulation!N$49=0,1,Refkalkulation!N$49)</f>
        <v>1</v>
      </c>
      <c r="M139" s="10"/>
      <c r="N139" s="10"/>
      <c r="O139" s="275"/>
      <c r="P139" s="10"/>
      <c r="Q139" s="10"/>
      <c r="R139" s="275"/>
      <c r="S139" s="10"/>
      <c r="T139" s="10"/>
      <c r="U139" s="275"/>
      <c r="V139" s="11"/>
    </row>
    <row r="140" spans="2:24" x14ac:dyDescent="0.2">
      <c r="B140" s="466">
        <v>4</v>
      </c>
      <c r="C140" s="96" t="s">
        <v>142</v>
      </c>
      <c r="D140" s="100"/>
      <c r="E140" s="532"/>
      <c r="F140" s="205">
        <f>'Quick Input'!M$45</f>
        <v>30000</v>
      </c>
      <c r="G140" s="10"/>
      <c r="H140" s="10"/>
      <c r="I140" s="205">
        <f>'Quick Input'!P$45</f>
        <v>30000</v>
      </c>
      <c r="J140" s="10"/>
      <c r="K140" s="10"/>
      <c r="L140" s="205">
        <f>'Quick Input'!S$45</f>
        <v>30000</v>
      </c>
      <c r="M140" s="10"/>
      <c r="N140" s="10"/>
      <c r="O140" s="205"/>
      <c r="P140" s="4"/>
      <c r="Q140" s="4"/>
      <c r="R140" s="205"/>
      <c r="S140" s="4"/>
      <c r="T140" s="4"/>
      <c r="U140" s="205"/>
      <c r="V140" s="11"/>
    </row>
    <row r="141" spans="2:24" x14ac:dyDescent="0.2">
      <c r="B141" s="466">
        <v>4</v>
      </c>
      <c r="C141" s="96" t="s">
        <v>396</v>
      </c>
      <c r="D141" s="100"/>
      <c r="E141" s="532"/>
      <c r="F141" s="205">
        <f>ROUNDUP(F$140/F$276,0)</f>
        <v>2</v>
      </c>
      <c r="G141" s="10"/>
      <c r="H141" s="10"/>
      <c r="I141" s="205">
        <f>ROUNDUP(I$140/I276,0)</f>
        <v>2</v>
      </c>
      <c r="J141" s="10"/>
      <c r="K141" s="10"/>
      <c r="L141" s="205">
        <f>ROUNDUP(L$140/L276,0)</f>
        <v>2</v>
      </c>
      <c r="M141" s="10"/>
      <c r="N141" s="10"/>
      <c r="O141" s="205"/>
      <c r="P141" s="4"/>
      <c r="Q141" s="4"/>
      <c r="R141" s="205"/>
      <c r="S141" s="4"/>
      <c r="T141" s="4"/>
      <c r="U141" s="205"/>
      <c r="V141" s="11"/>
    </row>
    <row r="142" spans="2:24" x14ac:dyDescent="0.2">
      <c r="B142" s="466">
        <v>4</v>
      </c>
      <c r="C142" s="96" t="s">
        <v>143</v>
      </c>
      <c r="D142" s="543" t="s">
        <v>461</v>
      </c>
      <c r="E142" s="532"/>
      <c r="F142" s="201">
        <f>(F$276*F$141-F$140)/F$140</f>
        <v>0.56000000000000005</v>
      </c>
      <c r="G142" s="10"/>
      <c r="H142" s="10"/>
      <c r="I142" s="201">
        <f>(I$276*I$141-I$140)/I$140</f>
        <v>0.54200000000000004</v>
      </c>
      <c r="J142" s="10"/>
      <c r="K142" s="10"/>
      <c r="L142" s="201">
        <f>(L$276*L$141-L$140)/L$140</f>
        <v>0.53933333333333333</v>
      </c>
      <c r="M142" s="10"/>
      <c r="N142" s="10"/>
      <c r="O142" s="201"/>
      <c r="P142" s="4"/>
      <c r="Q142" s="4"/>
      <c r="R142" s="201"/>
      <c r="S142" s="4"/>
      <c r="T142" s="4"/>
      <c r="U142" s="201"/>
      <c r="V142" s="11"/>
    </row>
    <row r="143" spans="2:24" x14ac:dyDescent="0.2">
      <c r="B143" s="466">
        <v>4</v>
      </c>
      <c r="C143" s="96" t="s">
        <v>445</v>
      </c>
      <c r="D143" s="100"/>
      <c r="E143" s="532"/>
      <c r="F143" s="205">
        <f>IF(F$142&lt;10%,1,0)</f>
        <v>0</v>
      </c>
      <c r="G143" s="10"/>
      <c r="H143" s="10"/>
      <c r="I143" s="205">
        <f>IF(I$142&lt;10%,1,0)</f>
        <v>0</v>
      </c>
      <c r="J143" s="10"/>
      <c r="K143" s="10"/>
      <c r="L143" s="205">
        <f>IF(L$142&lt;10%,1,0)</f>
        <v>0</v>
      </c>
      <c r="M143" s="10"/>
      <c r="N143" s="10"/>
      <c r="O143" s="205"/>
      <c r="P143" s="4"/>
      <c r="Q143" s="4"/>
      <c r="R143" s="205"/>
      <c r="S143" s="4"/>
      <c r="T143" s="4"/>
      <c r="U143" s="205"/>
      <c r="V143" s="11"/>
    </row>
    <row r="144" spans="2:24" ht="15" thickBot="1" x14ac:dyDescent="0.25">
      <c r="B144" s="466">
        <v>4</v>
      </c>
      <c r="C144" s="96" t="s">
        <v>809</v>
      </c>
      <c r="D144" s="100"/>
      <c r="E144" s="531" t="s">
        <v>456</v>
      </c>
      <c r="F144" s="205" t="e">
        <f>MAX(IF(VLOOKUP('Quick Input'!M$22,Auswahlfelder!$D$36:$E$38,2,FALSE)=1,1,F$141+F$143),MIN(8,ROUNDDOWN(0.38*F79*F80/F36,0)))</f>
        <v>#N/A</v>
      </c>
      <c r="G144" s="13"/>
      <c r="H144" s="10"/>
      <c r="I144" s="205">
        <f>MAX(IF(VLOOKUP('Quick Input'!P$22,Auswahlfelder!$D$36:$E$38,2,FALSE)=1,1,I$141+I$143),MIN(8,ROUNDDOWN(0.35*I79*I80/I36,0)))</f>
        <v>1</v>
      </c>
      <c r="J144" s="13"/>
      <c r="K144" s="10"/>
      <c r="L144" s="205">
        <f>MAX(IF(VLOOKUP('Quick Input'!S$22,Auswahlfelder!$D$36:$E$38,2,FALSE)=1,1,L$141+L$143),MIN(8,ROUNDDOWN(0.35*L79*L80/L36,0)))</f>
        <v>2</v>
      </c>
      <c r="M144" s="13"/>
      <c r="N144" s="10"/>
      <c r="O144" s="205"/>
      <c r="P144" s="13"/>
      <c r="Q144" s="10"/>
      <c r="R144" s="205"/>
      <c r="S144" s="13"/>
      <c r="T144" s="10"/>
      <c r="U144" s="205"/>
      <c r="V144" s="32"/>
      <c r="X144" s="503"/>
    </row>
    <row r="145" spans="2:27" ht="15" x14ac:dyDescent="0.25">
      <c r="B145" s="466">
        <v>57</v>
      </c>
      <c r="C145" s="95" t="s">
        <v>378</v>
      </c>
      <c r="D145" s="98">
        <v>1</v>
      </c>
      <c r="E145" s="535" t="s">
        <v>456</v>
      </c>
      <c r="F145" s="858">
        <f>F146*F148+F149</f>
        <v>1.16574545</v>
      </c>
      <c r="G145" s="7"/>
      <c r="H145" s="7"/>
      <c r="I145" s="858">
        <f>I146*I148+I149</f>
        <v>1.254993</v>
      </c>
      <c r="J145" s="7"/>
      <c r="K145" s="7"/>
      <c r="L145" s="858">
        <f>L146*L148+L149</f>
        <v>3.2396435000000001</v>
      </c>
      <c r="M145" s="7"/>
      <c r="N145" s="7"/>
      <c r="O145" s="858"/>
      <c r="P145" s="28"/>
      <c r="Q145" s="28"/>
      <c r="R145" s="858"/>
      <c r="S145" s="28"/>
      <c r="T145" s="28"/>
      <c r="U145" s="858"/>
      <c r="V145" s="11"/>
      <c r="W145" s="117"/>
    </row>
    <row r="146" spans="2:27" ht="15" x14ac:dyDescent="0.25">
      <c r="B146" s="17"/>
      <c r="C146" s="96" t="s">
        <v>1039</v>
      </c>
      <c r="D146" s="1218">
        <v>0.65</v>
      </c>
      <c r="E146" s="9"/>
      <c r="F146" s="160">
        <f>IF('Quick Input'!L$25=Auswahlfelder!$B$57,$D$146,1)</f>
        <v>0.65</v>
      </c>
      <c r="G146" s="1219"/>
      <c r="H146" s="1220"/>
      <c r="I146" s="160">
        <f>IF('Quick Input'!O$25=Auswahlfelder!$B$57,$D$146,1)</f>
        <v>1</v>
      </c>
      <c r="J146" s="1219"/>
      <c r="K146" s="1220"/>
      <c r="L146" s="160">
        <f>IF('Quick Input'!R$25=Auswahlfelder!$B$57,$D$146,1)</f>
        <v>1</v>
      </c>
      <c r="M146" s="1219"/>
      <c r="N146" s="1220"/>
      <c r="O146" s="160">
        <f>IF(O221=[3]Auswahlfelder!$D$58,$D$146,1)</f>
        <v>1</v>
      </c>
      <c r="P146" s="1219"/>
      <c r="Q146" s="1220"/>
      <c r="R146" s="160">
        <f>IF(R221=[3]Auswahlfelder!$D$58,$D$146,1)</f>
        <v>1</v>
      </c>
      <c r="S146" s="1219"/>
      <c r="T146" s="1220"/>
      <c r="U146" s="160">
        <f>IF(U221=[3]Auswahlfelder!$D$58,$D$146,1)</f>
        <v>1</v>
      </c>
      <c r="V146" s="11"/>
      <c r="W146" s="718"/>
      <c r="X146" s="718"/>
      <c r="Y146" s="718"/>
    </row>
    <row r="147" spans="2:27" x14ac:dyDescent="0.2">
      <c r="B147" s="466"/>
      <c r="C147" s="96" t="s">
        <v>439</v>
      </c>
      <c r="D147" s="100"/>
      <c r="E147" s="530"/>
      <c r="F147" s="149">
        <f>6%+0.5%*(VLOOKUP('Quick Input'!M$21,Auswahlfelder!$D$16:$E$19,2,FALSE)-1)</f>
        <v>6.9999999999999993E-2</v>
      </c>
      <c r="G147" s="420"/>
      <c r="H147" s="421"/>
      <c r="I147" s="149">
        <f>6%+0.5%*(VLOOKUP('Quick Input'!P$21,Auswahlfelder!$D$16:$E$19,2,FALSE)-1)</f>
        <v>6.9999999999999993E-2</v>
      </c>
      <c r="J147" s="420"/>
      <c r="K147" s="421"/>
      <c r="L147" s="149">
        <f>6%+0.5%*(VLOOKUP('Quick Input'!S$21,Auswahlfelder!$D$16:$E$19,2,FALSE)-1)</f>
        <v>6.5000000000000002E-2</v>
      </c>
      <c r="M147" s="420"/>
      <c r="N147" s="421"/>
      <c r="O147" s="206"/>
      <c r="P147" s="420"/>
      <c r="Q147" s="421"/>
      <c r="R147" s="206"/>
      <c r="S147" s="420"/>
      <c r="T147" s="421"/>
      <c r="U147" s="206"/>
      <c r="V147" s="11"/>
      <c r="X147" s="503"/>
    </row>
    <row r="148" spans="2:27" ht="15" thickBot="1" x14ac:dyDescent="0.25">
      <c r="B148" s="466"/>
      <c r="C148" s="96" t="s">
        <v>1038</v>
      </c>
      <c r="D148" s="100"/>
      <c r="E148" s="532"/>
      <c r="F148" s="1217">
        <f>IF(VLOOKUP('Quick Input'!L$24,Auswahlfelder!$C$49:$E$50,3,FALSE)=2,((1-F$147)*'Länder-DB'!$M$25+F$147*'Länder-DB'!$M$29)/1000,0)</f>
        <v>0.25499299999999997</v>
      </c>
      <c r="G148" s="420"/>
      <c r="H148" s="421"/>
      <c r="I148" s="1217">
        <f>IF(VLOOKUP('Quick Input'!O$24,Auswahlfelder!$C$49:$E$50,3,FALSE)=2,((1-I$147)*'Länder-DB'!$M$25+I$147*'Länder-DB'!$M$29)/1000,0)</f>
        <v>0.25499299999999997</v>
      </c>
      <c r="J148" s="420"/>
      <c r="K148" s="421"/>
      <c r="L148" s="1217">
        <f>IF(VLOOKUP('Quick Input'!R$24,Auswahlfelder!$C$49:$E$50,3,FALSE)=2,((1-L$147)*'Länder-DB'!$M$25+L$147*'Länder-DB'!$M$29)/1000,0)</f>
        <v>0.23964350000000001</v>
      </c>
      <c r="M148" s="420"/>
      <c r="N148" s="421"/>
      <c r="O148" s="206"/>
      <c r="P148" s="420"/>
      <c r="Q148" s="421"/>
      <c r="R148" s="206"/>
      <c r="S148" s="420"/>
      <c r="T148" s="421"/>
      <c r="U148" s="206"/>
      <c r="V148" s="11"/>
      <c r="AA148" s="503"/>
    </row>
    <row r="149" spans="2:27" ht="15" x14ac:dyDescent="0.25">
      <c r="B149" s="466">
        <v>45</v>
      </c>
      <c r="C149" s="95" t="s">
        <v>355</v>
      </c>
      <c r="D149" s="98"/>
      <c r="E149" s="529"/>
      <c r="F149" s="161">
        <f>VLOOKUP('Quick Input'!M$22,Auswahlfelder!$D$36:$E$38,2,FALSE)</f>
        <v>1</v>
      </c>
      <c r="G149" s="418"/>
      <c r="H149" s="419"/>
      <c r="I149" s="161">
        <f>VLOOKUP('Quick Input'!P$22,Auswahlfelder!$D$36:$E$38,2,FALSE)</f>
        <v>1</v>
      </c>
      <c r="J149" s="418"/>
      <c r="K149" s="419"/>
      <c r="L149" s="161">
        <f>VLOOKUP('Quick Input'!S$22,Auswahlfelder!$D$36:$E$38,2,FALSE)</f>
        <v>3</v>
      </c>
      <c r="M149" s="418"/>
      <c r="N149" s="419"/>
      <c r="O149" s="161"/>
      <c r="P149" s="418"/>
      <c r="Q149" s="419"/>
      <c r="R149" s="161"/>
      <c r="S149" s="418"/>
      <c r="T149" s="419"/>
      <c r="U149" s="161"/>
      <c r="V149" s="11"/>
      <c r="X149" s="503"/>
    </row>
    <row r="150" spans="2:27" x14ac:dyDescent="0.2">
      <c r="B150" s="466">
        <v>45</v>
      </c>
      <c r="C150" s="96" t="s">
        <v>230</v>
      </c>
      <c r="D150" s="100" t="s">
        <v>94</v>
      </c>
      <c r="E150" s="530" t="s">
        <v>456</v>
      </c>
      <c r="F150" s="206">
        <f>ROUND(0.6+0.6/F$112,1)/2</f>
        <v>0.7</v>
      </c>
      <c r="G150" s="420"/>
      <c r="H150" s="421"/>
      <c r="I150" s="206">
        <f>ROUND(0.6+0.6/I$112,1)/2</f>
        <v>0.7</v>
      </c>
      <c r="J150" s="420"/>
      <c r="K150" s="421"/>
      <c r="L150" s="206">
        <f>ROUND(0.6+0.6/L$112,1)/2</f>
        <v>0.7</v>
      </c>
      <c r="M150" s="420"/>
      <c r="N150" s="421"/>
      <c r="O150" s="206"/>
      <c r="P150" s="420"/>
      <c r="Q150" s="421"/>
      <c r="R150" s="206"/>
      <c r="S150" s="420"/>
      <c r="T150" s="421"/>
      <c r="U150" s="206"/>
      <c r="V150" s="11"/>
      <c r="X150" s="503"/>
    </row>
    <row r="151" spans="2:27" x14ac:dyDescent="0.2">
      <c r="B151" s="466">
        <v>45</v>
      </c>
      <c r="C151" s="96" t="s">
        <v>457</v>
      </c>
      <c r="D151" s="100"/>
      <c r="E151" s="532"/>
      <c r="F151" s="206">
        <f>ROUND((0.8+0.4*(VLOOKUP('Quick Input'!M$22,Auswahlfelder!$D$36:$E$38,2,FALSE)-1))/F$27,0)</f>
        <v>1</v>
      </c>
      <c r="G151" s="420"/>
      <c r="H151" s="421"/>
      <c r="I151" s="206">
        <f>ROUND((0.8+0.4*(VLOOKUP('Quick Input'!P$22,Auswahlfelder!$D$36:$E$38,2,FALSE)-1))/I$27,0)</f>
        <v>1</v>
      </c>
      <c r="J151" s="420"/>
      <c r="K151" s="421"/>
      <c r="L151" s="206">
        <f>ROUND((0.8+0.4*(VLOOKUP('Quick Input'!S$22,Auswahlfelder!$D$36:$E$38,2,FALSE)-1))/L$27,0)</f>
        <v>3</v>
      </c>
      <c r="M151" s="420"/>
      <c r="N151" s="421"/>
      <c r="O151" s="206"/>
      <c r="P151" s="420"/>
      <c r="Q151" s="421"/>
      <c r="R151" s="206"/>
      <c r="S151" s="420"/>
      <c r="T151" s="421"/>
      <c r="U151" s="206"/>
      <c r="V151" s="11"/>
    </row>
    <row r="152" spans="2:27" x14ac:dyDescent="0.2">
      <c r="B152" s="466">
        <v>45</v>
      </c>
      <c r="C152" s="96" t="s">
        <v>472</v>
      </c>
      <c r="D152" s="100" t="s">
        <v>388</v>
      </c>
      <c r="E152" s="530" t="s">
        <v>456</v>
      </c>
      <c r="F152" s="206">
        <f>ROUND(2.5+0.5*(F$149-2)+(F$149-1)*0.8/F27+IF(AND('Quick Input'!M$23&gt;1,Parametrikber!F126&gt;0),1)+VLOOKUP('Quick Input'!M$21,Auswahlfelder!$D$16:$E$196,2,FALSE)*0.3,0)</f>
        <v>4</v>
      </c>
      <c r="G152" s="420"/>
      <c r="H152" s="421"/>
      <c r="I152" s="206">
        <f>ROUND(2.5+0.5*(I$149-2)+(I$149-1)*0.8/I27+IF(AND('Quick Input'!P$23&gt;1,Parametrikber!I126&gt;0),1)+VLOOKUP('Quick Input'!P$21,Auswahlfelder!$D$16:$E$196,2,FALSE)*0.3,0)</f>
        <v>4</v>
      </c>
      <c r="J152" s="420"/>
      <c r="K152" s="421"/>
      <c r="L152" s="206">
        <f>ROUND(2.5+0.5*(L$149-2)+(L$149-1)*0.8/L27+IF(AND('Quick Input'!S$23&gt;1,Parametrikber!L126&gt;0),1)+VLOOKUP('Quick Input'!S$21,Auswahlfelder!$D$16:$E$196,2,FALSE)*0.3,0)</f>
        <v>8</v>
      </c>
      <c r="M152" s="420"/>
      <c r="N152" s="421"/>
      <c r="O152" s="206"/>
      <c r="P152" s="420"/>
      <c r="Q152" s="421"/>
      <c r="R152" s="206"/>
      <c r="S152" s="420"/>
      <c r="T152" s="421"/>
      <c r="U152" s="206"/>
      <c r="V152" s="11"/>
      <c r="X152" s="503"/>
    </row>
    <row r="153" spans="2:27" ht="15" thickBot="1" x14ac:dyDescent="0.25">
      <c r="B153" s="466">
        <v>45</v>
      </c>
      <c r="C153" s="96" t="s">
        <v>473</v>
      </c>
      <c r="D153" s="100"/>
      <c r="E153" s="530" t="s">
        <v>456</v>
      </c>
      <c r="F153" s="205">
        <f>IF(F$149=3,1,0)</f>
        <v>0</v>
      </c>
      <c r="G153" s="420"/>
      <c r="H153" s="421"/>
      <c r="I153" s="205">
        <f>IF(I$149=3,1,0)</f>
        <v>0</v>
      </c>
      <c r="J153" s="420"/>
      <c r="K153" s="421"/>
      <c r="L153" s="205">
        <f>IF(L$149=3,1,0)</f>
        <v>1</v>
      </c>
      <c r="M153" s="420"/>
      <c r="N153" s="421"/>
      <c r="O153" s="205"/>
      <c r="P153" s="420"/>
      <c r="Q153" s="421"/>
      <c r="R153" s="205"/>
      <c r="S153" s="420"/>
      <c r="T153" s="421"/>
      <c r="U153" s="205"/>
      <c r="V153" s="1143"/>
      <c r="X153" s="503"/>
    </row>
    <row r="154" spans="2:27" ht="15" x14ac:dyDescent="0.25">
      <c r="B154" s="466">
        <v>48</v>
      </c>
      <c r="C154" s="95" t="s">
        <v>268</v>
      </c>
      <c r="D154" s="98"/>
      <c r="E154" s="529"/>
      <c r="F154" s="208" t="e">
        <f>F$159/F$166+F$169+F$172</f>
        <v>#N/A</v>
      </c>
      <c r="G154" s="418"/>
      <c r="H154" s="419"/>
      <c r="I154" s="208">
        <f>I$159/I$166+I$169+I$172</f>
        <v>555.26357928711673</v>
      </c>
      <c r="J154" s="418"/>
      <c r="K154" s="419"/>
      <c r="L154" s="208">
        <f>L$159/L$166+L$169+L$172</f>
        <v>658.50996376811599</v>
      </c>
      <c r="M154" s="418"/>
      <c r="N154" s="419"/>
      <c r="O154" s="208"/>
      <c r="P154" s="418"/>
      <c r="Q154" s="419"/>
      <c r="R154" s="208"/>
      <c r="S154" s="418"/>
      <c r="T154" s="419"/>
      <c r="U154" s="208"/>
      <c r="V154" s="11"/>
    </row>
    <row r="155" spans="2:27" x14ac:dyDescent="0.2">
      <c r="B155" s="466">
        <v>48</v>
      </c>
      <c r="C155" s="96" t="s">
        <v>447</v>
      </c>
      <c r="D155" s="100">
        <v>1</v>
      </c>
      <c r="E155" s="530" t="s">
        <v>455</v>
      </c>
      <c r="F155" s="205" t="e">
        <f>VLOOKUP(Refkalkulation!H$51,DB_Maschinen,15,FALSE)</f>
        <v>#N/A</v>
      </c>
      <c r="G155" s="420"/>
      <c r="H155" s="421"/>
      <c r="I155" s="205">
        <f>VLOOKUP(Refkalkulation!K$51,DB_Maschinen,15,FALSE)</f>
        <v>420</v>
      </c>
      <c r="J155" s="420"/>
      <c r="K155" s="421"/>
      <c r="L155" s="205">
        <f>VLOOKUP(Refkalkulation!N$51,DB_Maschinen,15,FALSE)</f>
        <v>420</v>
      </c>
      <c r="M155" s="420"/>
      <c r="N155" s="421"/>
      <c r="O155" s="205"/>
      <c r="P155" s="420"/>
      <c r="Q155" s="421"/>
      <c r="R155" s="205"/>
      <c r="S155" s="420"/>
      <c r="T155" s="421"/>
      <c r="U155" s="205"/>
      <c r="V155" s="11"/>
    </row>
    <row r="156" spans="2:27" ht="15" x14ac:dyDescent="0.25">
      <c r="B156" s="466">
        <v>48</v>
      </c>
      <c r="C156" s="96" t="s">
        <v>448</v>
      </c>
      <c r="D156" s="504" t="s">
        <v>415</v>
      </c>
      <c r="E156" s="530" t="s">
        <v>455</v>
      </c>
      <c r="F156" s="205">
        <v>0</v>
      </c>
      <c r="G156" s="420"/>
      <c r="H156" s="421"/>
      <c r="I156" s="205">
        <v>0</v>
      </c>
      <c r="J156" s="420"/>
      <c r="K156" s="421"/>
      <c r="L156" s="205">
        <v>0</v>
      </c>
      <c r="M156" s="420"/>
      <c r="N156" s="421"/>
      <c r="O156" s="205"/>
      <c r="P156" s="420"/>
      <c r="Q156" s="421"/>
      <c r="R156" s="205"/>
      <c r="S156" s="420"/>
      <c r="T156" s="421"/>
      <c r="U156" s="205"/>
      <c r="V156" s="11"/>
    </row>
    <row r="157" spans="2:27" x14ac:dyDescent="0.2">
      <c r="B157" s="466">
        <v>48</v>
      </c>
      <c r="C157" s="96" t="s">
        <v>148</v>
      </c>
      <c r="D157" s="100">
        <v>1</v>
      </c>
      <c r="E157" s="530" t="s">
        <v>455</v>
      </c>
      <c r="F157" s="205">
        <f>'Länder-DB'!$I$27+VLOOKUP(F$19,DB_Länder,13,FALSE)</f>
        <v>10</v>
      </c>
      <c r="G157" s="426"/>
      <c r="H157" s="427"/>
      <c r="I157" s="205">
        <f>'Länder-DB'!$I$27+VLOOKUP(I$19,DB_Länder,13,FALSE)</f>
        <v>11</v>
      </c>
      <c r="J157" s="426"/>
      <c r="K157" s="427"/>
      <c r="L157" s="205">
        <f>'Länder-DB'!$I$27+VLOOKUP(L$19,DB_Länder,13,FALSE)</f>
        <v>10</v>
      </c>
      <c r="M157" s="426"/>
      <c r="N157" s="427"/>
      <c r="O157" s="205"/>
      <c r="P157" s="426"/>
      <c r="Q157" s="427"/>
      <c r="R157" s="205"/>
      <c r="S157" s="426"/>
      <c r="T157" s="427"/>
      <c r="U157" s="205"/>
      <c r="V157" s="11"/>
    </row>
    <row r="158" spans="2:27" ht="15" x14ac:dyDescent="0.25">
      <c r="B158" s="466">
        <v>48</v>
      </c>
      <c r="C158" s="96" t="s">
        <v>152</v>
      </c>
      <c r="D158" s="504" t="s">
        <v>452</v>
      </c>
      <c r="E158" s="530" t="s">
        <v>455</v>
      </c>
      <c r="F158" s="205" t="e">
        <f>'Länder-DB'!$I$29*(F$155+F$156)</f>
        <v>#N/A</v>
      </c>
      <c r="G158" s="420"/>
      <c r="H158" s="421"/>
      <c r="I158" s="205">
        <f>'Länder-DB'!$I$29*(I$155+I$156)</f>
        <v>42</v>
      </c>
      <c r="J158" s="420"/>
      <c r="K158" s="421"/>
      <c r="L158" s="205">
        <f>'Länder-DB'!$I$29*(L$155+L$156)</f>
        <v>42</v>
      </c>
      <c r="M158" s="420"/>
      <c r="N158" s="421"/>
      <c r="O158" s="205"/>
      <c r="P158" s="420"/>
      <c r="Q158" s="421"/>
      <c r="R158" s="205"/>
      <c r="S158" s="420"/>
      <c r="T158" s="421"/>
      <c r="U158" s="205"/>
      <c r="V158" s="11"/>
    </row>
    <row r="159" spans="2:27" x14ac:dyDescent="0.2">
      <c r="B159" s="466">
        <v>48</v>
      </c>
      <c r="C159" s="96" t="s">
        <v>153</v>
      </c>
      <c r="D159" s="100">
        <v>1</v>
      </c>
      <c r="E159" s="530" t="s">
        <v>455</v>
      </c>
      <c r="F159" s="286" t="e">
        <f>(F$155+F$156)/F$157+F$158</f>
        <v>#N/A</v>
      </c>
      <c r="G159" s="420"/>
      <c r="H159" s="421"/>
      <c r="I159" s="286">
        <f>(I$155+I$156)/I$157+I$158</f>
        <v>80.181818181818187</v>
      </c>
      <c r="J159" s="420"/>
      <c r="K159" s="421"/>
      <c r="L159" s="286">
        <f>(L$155+L$156)/L$157+L$158</f>
        <v>84</v>
      </c>
      <c r="M159" s="420"/>
      <c r="N159" s="421"/>
      <c r="O159" s="286"/>
      <c r="P159" s="420"/>
      <c r="Q159" s="421"/>
      <c r="R159" s="286"/>
      <c r="S159" s="420"/>
      <c r="T159" s="421"/>
      <c r="U159" s="286"/>
      <c r="V159" s="11"/>
    </row>
    <row r="160" spans="2:27" x14ac:dyDescent="0.2">
      <c r="B160" s="466">
        <v>48</v>
      </c>
      <c r="C160" s="96" t="s">
        <v>227</v>
      </c>
      <c r="D160" s="100">
        <v>1</v>
      </c>
      <c r="E160" s="530" t="s">
        <v>455</v>
      </c>
      <c r="F160" s="205">
        <f>8*VLOOKUP('Quick Input'!M$47,Auswahlfelder!$D$7:$E$9,2,FALSE)</f>
        <v>16</v>
      </c>
      <c r="G160" s="420"/>
      <c r="H160" s="421"/>
      <c r="I160" s="205">
        <f>8*VLOOKUP('Quick Input'!P$47,Auswahlfelder!$D$7:$E$9,2,FALSE)</f>
        <v>16</v>
      </c>
      <c r="J160" s="420"/>
      <c r="K160" s="421"/>
      <c r="L160" s="205">
        <f>8*VLOOKUP('Quick Input'!S$47,Auswahlfelder!$D$7:$E$9,2,FALSE)</f>
        <v>16</v>
      </c>
      <c r="M160" s="420"/>
      <c r="N160" s="421"/>
      <c r="O160" s="205"/>
      <c r="P160" s="420"/>
      <c r="Q160" s="421"/>
      <c r="R160" s="205"/>
      <c r="S160" s="420"/>
      <c r="T160" s="421"/>
      <c r="U160" s="205"/>
      <c r="V160" s="11"/>
    </row>
    <row r="161" spans="2:22" x14ac:dyDescent="0.2">
      <c r="B161" s="466">
        <v>48</v>
      </c>
      <c r="C161" s="96" t="s">
        <v>150</v>
      </c>
      <c r="D161" s="100">
        <v>1</v>
      </c>
      <c r="E161" s="530" t="s">
        <v>455</v>
      </c>
      <c r="F161" s="205">
        <f>'Quick Input'!M$48</f>
        <v>5</v>
      </c>
      <c r="G161" s="420"/>
      <c r="H161" s="421"/>
      <c r="I161" s="205">
        <f>'Quick Input'!P$48</f>
        <v>5</v>
      </c>
      <c r="J161" s="420"/>
      <c r="K161" s="421"/>
      <c r="L161" s="205">
        <f>'Quick Input'!S$48</f>
        <v>5</v>
      </c>
      <c r="M161" s="420"/>
      <c r="N161" s="421"/>
      <c r="O161" s="205"/>
      <c r="P161" s="420"/>
      <c r="Q161" s="421"/>
      <c r="R161" s="205"/>
      <c r="S161" s="420"/>
      <c r="T161" s="421"/>
      <c r="U161" s="205"/>
      <c r="V161" s="11"/>
    </row>
    <row r="162" spans="2:22" x14ac:dyDescent="0.2">
      <c r="B162" s="466">
        <v>48</v>
      </c>
      <c r="C162" s="96" t="s">
        <v>22</v>
      </c>
      <c r="D162" s="100">
        <v>1</v>
      </c>
      <c r="E162" s="530" t="s">
        <v>456</v>
      </c>
      <c r="F162" s="205">
        <f>'Quick Input'!M$49</f>
        <v>48</v>
      </c>
      <c r="G162" s="420"/>
      <c r="H162" s="421"/>
      <c r="I162" s="205">
        <f>'Quick Input'!P$49</f>
        <v>48</v>
      </c>
      <c r="J162" s="420"/>
      <c r="K162" s="421"/>
      <c r="L162" s="205">
        <f>'Quick Input'!S$49</f>
        <v>48</v>
      </c>
      <c r="M162" s="420"/>
      <c r="N162" s="421"/>
      <c r="O162" s="205"/>
      <c r="P162" s="420"/>
      <c r="Q162" s="421"/>
      <c r="R162" s="205"/>
      <c r="S162" s="420"/>
      <c r="T162" s="421"/>
      <c r="U162" s="205"/>
      <c r="V162" s="11"/>
    </row>
    <row r="163" spans="2:22" x14ac:dyDescent="0.2">
      <c r="B163" s="466">
        <v>48</v>
      </c>
      <c r="C163" s="96" t="s">
        <v>155</v>
      </c>
      <c r="D163" s="100"/>
      <c r="E163" s="530" t="s">
        <v>456</v>
      </c>
      <c r="F163" s="205">
        <f>F$160*F$161*F$162</f>
        <v>3840</v>
      </c>
      <c r="G163" s="420"/>
      <c r="H163" s="421"/>
      <c r="I163" s="205">
        <f>I$160*I$161*I$162</f>
        <v>3840</v>
      </c>
      <c r="J163" s="420"/>
      <c r="K163" s="421"/>
      <c r="L163" s="205">
        <f>L$160*L$161*L$162</f>
        <v>3840</v>
      </c>
      <c r="M163" s="420"/>
      <c r="N163" s="421"/>
      <c r="O163" s="205"/>
      <c r="P163" s="420"/>
      <c r="Q163" s="421"/>
      <c r="R163" s="205"/>
      <c r="S163" s="420"/>
      <c r="T163" s="421"/>
      <c r="U163" s="205"/>
      <c r="V163" s="11"/>
    </row>
    <row r="164" spans="2:22" x14ac:dyDescent="0.2">
      <c r="B164" s="466">
        <v>48</v>
      </c>
      <c r="C164" s="96" t="s">
        <v>23</v>
      </c>
      <c r="D164" s="100"/>
      <c r="E164" s="532"/>
      <c r="F164" s="201">
        <f>F$27</f>
        <v>0.7360000000000001</v>
      </c>
      <c r="G164" s="420"/>
      <c r="H164" s="421"/>
      <c r="I164" s="201">
        <f>I$27</f>
        <v>0.62559999999999993</v>
      </c>
      <c r="J164" s="420"/>
      <c r="K164" s="421"/>
      <c r="L164" s="201">
        <f>L$27</f>
        <v>0.46</v>
      </c>
      <c r="M164" s="420"/>
      <c r="N164" s="421"/>
      <c r="O164" s="201"/>
      <c r="P164" s="420"/>
      <c r="Q164" s="421"/>
      <c r="R164" s="201"/>
      <c r="S164" s="420"/>
      <c r="T164" s="421"/>
      <c r="U164" s="201"/>
      <c r="V164" s="11"/>
    </row>
    <row r="165" spans="2:22" ht="15" x14ac:dyDescent="0.25">
      <c r="B165" s="466">
        <v>48</v>
      </c>
      <c r="C165" s="96" t="s">
        <v>149</v>
      </c>
      <c r="D165" s="504" t="s">
        <v>388</v>
      </c>
      <c r="E165" s="530" t="s">
        <v>455</v>
      </c>
      <c r="F165" s="201">
        <f>0.9*F$27</f>
        <v>0.6624000000000001</v>
      </c>
      <c r="G165" s="420"/>
      <c r="H165" s="421"/>
      <c r="I165" s="201">
        <f>0.9*I$27</f>
        <v>0.56303999999999998</v>
      </c>
      <c r="J165" s="420"/>
      <c r="K165" s="421"/>
      <c r="L165" s="201">
        <f>0.9*L$27</f>
        <v>0.41400000000000003</v>
      </c>
      <c r="M165" s="420"/>
      <c r="N165" s="421"/>
      <c r="O165" s="201"/>
      <c r="P165" s="420"/>
      <c r="Q165" s="421"/>
      <c r="R165" s="201"/>
      <c r="S165" s="420"/>
      <c r="T165" s="421"/>
      <c r="U165" s="201"/>
      <c r="V165" s="5"/>
    </row>
    <row r="166" spans="2:22" x14ac:dyDescent="0.2">
      <c r="B166" s="466">
        <v>48</v>
      </c>
      <c r="C166" s="96" t="s">
        <v>156</v>
      </c>
      <c r="D166" s="100">
        <v>1</v>
      </c>
      <c r="E166" s="530" t="s">
        <v>455</v>
      </c>
      <c r="F166" s="286">
        <f>F$163*F$165</f>
        <v>2543.6160000000004</v>
      </c>
      <c r="G166" s="420"/>
      <c r="H166" s="421"/>
      <c r="I166" s="286">
        <f>I163*I165</f>
        <v>2162.0735999999997</v>
      </c>
      <c r="J166" s="420"/>
      <c r="K166" s="421"/>
      <c r="L166" s="286">
        <f>L163*L165</f>
        <v>1589.7600000000002</v>
      </c>
      <c r="M166" s="420"/>
      <c r="N166" s="421"/>
      <c r="O166" s="286"/>
      <c r="P166" s="420"/>
      <c r="Q166" s="421"/>
      <c r="R166" s="286"/>
      <c r="S166" s="420"/>
      <c r="T166" s="421"/>
      <c r="U166" s="286"/>
      <c r="V166" s="5"/>
    </row>
    <row r="167" spans="2:22" x14ac:dyDescent="0.2">
      <c r="B167" s="466">
        <v>48</v>
      </c>
      <c r="C167" s="96" t="s">
        <v>495</v>
      </c>
      <c r="D167" s="100">
        <v>1</v>
      </c>
      <c r="E167" s="530" t="s">
        <v>455</v>
      </c>
      <c r="F167" s="162" t="e">
        <f>0.75*VLOOKUP(Refkalkulation!H$51,DB_Maschinen,12,FALSE)</f>
        <v>#N/A</v>
      </c>
      <c r="G167" s="420"/>
      <c r="H167" s="421"/>
      <c r="I167" s="162">
        <f>0.75*VLOOKUP(Refkalkulation!K$51,DB_Maschinen,12,FALSE)</f>
        <v>9000</v>
      </c>
      <c r="J167" s="420"/>
      <c r="K167" s="421"/>
      <c r="L167" s="162">
        <f>0.75*VLOOKUP(Refkalkulation!N$51,DB_Maschinen,12,FALSE)</f>
        <v>9000</v>
      </c>
      <c r="M167" s="420"/>
      <c r="N167" s="421"/>
      <c r="O167" s="162"/>
      <c r="P167" s="420"/>
      <c r="Q167" s="421"/>
      <c r="R167" s="162"/>
      <c r="S167" s="420"/>
      <c r="T167" s="421"/>
      <c r="U167" s="162"/>
      <c r="V167" s="11"/>
    </row>
    <row r="168" spans="2:22" x14ac:dyDescent="0.2">
      <c r="B168" s="466">
        <v>48</v>
      </c>
      <c r="C168" s="96" t="s">
        <v>137</v>
      </c>
      <c r="D168" s="100">
        <v>1</v>
      </c>
      <c r="E168" s="530" t="s">
        <v>456</v>
      </c>
      <c r="F168" s="209">
        <f>VLOOKUP(F$19,DB_Länder,7,FALSE)</f>
        <v>7.0000000000000007E-2</v>
      </c>
      <c r="G168" s="420"/>
      <c r="H168" s="421"/>
      <c r="I168" s="209">
        <f>VLOOKUP(I$19,DB_Länder,7,FALSE)</f>
        <v>0.06</v>
      </c>
      <c r="J168" s="420"/>
      <c r="K168" s="421"/>
      <c r="L168" s="209">
        <f>VLOOKUP(L$19,DB_Länder,7,FALSE)</f>
        <v>7.0000000000000007E-2</v>
      </c>
      <c r="M168" s="420"/>
      <c r="N168" s="421"/>
      <c r="O168" s="209"/>
      <c r="P168" s="420"/>
      <c r="Q168" s="421"/>
      <c r="R168" s="209"/>
      <c r="S168" s="420"/>
      <c r="T168" s="421"/>
      <c r="U168" s="209"/>
      <c r="V168" s="11"/>
    </row>
    <row r="169" spans="2:22" ht="15" x14ac:dyDescent="0.25">
      <c r="B169" s="466">
        <v>48</v>
      </c>
      <c r="C169" s="96" t="s">
        <v>151</v>
      </c>
      <c r="D169" s="504" t="s">
        <v>452</v>
      </c>
      <c r="E169" s="530" t="s">
        <v>455</v>
      </c>
      <c r="F169" s="287" t="e">
        <f>F$167*F$168</f>
        <v>#N/A</v>
      </c>
      <c r="G169" s="428"/>
      <c r="H169" s="421"/>
      <c r="I169" s="287">
        <f>I$167*I$168</f>
        <v>540</v>
      </c>
      <c r="J169" s="428"/>
      <c r="K169" s="421"/>
      <c r="L169" s="287">
        <f>L$167*L$168</f>
        <v>630.00000000000011</v>
      </c>
      <c r="M169" s="428"/>
      <c r="N169" s="421"/>
      <c r="O169" s="287"/>
      <c r="P169" s="428"/>
      <c r="Q169" s="421"/>
      <c r="R169" s="287"/>
      <c r="S169" s="428"/>
      <c r="T169" s="421"/>
      <c r="U169" s="287"/>
      <c r="V169" s="11"/>
    </row>
    <row r="170" spans="2:22" ht="15" x14ac:dyDescent="0.25">
      <c r="B170" s="466">
        <v>48</v>
      </c>
      <c r="C170" s="96" t="s">
        <v>154</v>
      </c>
      <c r="D170" s="504" t="s">
        <v>451</v>
      </c>
      <c r="E170" s="530" t="s">
        <v>455</v>
      </c>
      <c r="F170" s="162" t="e">
        <f>VLOOKUP(Refkalkulation!H$51,DB_Maschinen,14,FALSE)</f>
        <v>#N/A</v>
      </c>
      <c r="G170" s="426"/>
      <c r="H170" s="421"/>
      <c r="I170" s="162">
        <f>VLOOKUP(Refkalkulation!K$51,DB_Maschinen,14,FALSE)</f>
        <v>580</v>
      </c>
      <c r="J170" s="426"/>
      <c r="K170" s="421"/>
      <c r="L170" s="162">
        <f>VLOOKUP(Refkalkulation!N$51,DB_Maschinen,14,FALSE)</f>
        <v>580</v>
      </c>
      <c r="M170" s="426"/>
      <c r="N170" s="421"/>
      <c r="O170" s="162"/>
      <c r="P170" s="426"/>
      <c r="Q170" s="421"/>
      <c r="R170" s="162"/>
      <c r="S170" s="426"/>
      <c r="T170" s="421"/>
      <c r="U170" s="162"/>
      <c r="V170" s="11"/>
    </row>
    <row r="171" spans="2:22" x14ac:dyDescent="0.2">
      <c r="B171" s="466">
        <v>48</v>
      </c>
      <c r="C171" s="96" t="s">
        <v>162</v>
      </c>
      <c r="D171" s="100">
        <v>1</v>
      </c>
      <c r="E171" s="530" t="s">
        <v>455</v>
      </c>
      <c r="F171" s="210">
        <f>VLOOKUP(F$19,DB_Länder,8,FALSE)</f>
        <v>6.5</v>
      </c>
      <c r="G171" s="428"/>
      <c r="H171" s="421"/>
      <c r="I171" s="210">
        <f>VLOOKUP(I$19,DB_Länder,8,FALSE)</f>
        <v>4.7300000000000004</v>
      </c>
      <c r="J171" s="428"/>
      <c r="K171" s="421"/>
      <c r="L171" s="210">
        <f>VLOOKUP(L$19,DB_Länder,8,FALSE)</f>
        <v>6.5</v>
      </c>
      <c r="M171" s="428"/>
      <c r="N171" s="421"/>
      <c r="O171" s="210"/>
      <c r="P171" s="428"/>
      <c r="Q171" s="421"/>
      <c r="R171" s="210"/>
      <c r="S171" s="428"/>
      <c r="T171" s="421"/>
      <c r="U171" s="210"/>
      <c r="V171" s="11"/>
    </row>
    <row r="172" spans="2:22" ht="15" thickBot="1" x14ac:dyDescent="0.25">
      <c r="B172" s="466">
        <v>48</v>
      </c>
      <c r="C172" s="97" t="s">
        <v>163</v>
      </c>
      <c r="D172" s="102">
        <v>1</v>
      </c>
      <c r="E172" s="531" t="s">
        <v>455</v>
      </c>
      <c r="F172" s="287" t="e">
        <f>F170*F171*12/F166</f>
        <v>#N/A</v>
      </c>
      <c r="G172" s="422"/>
      <c r="H172" s="423"/>
      <c r="I172" s="287">
        <f>I170*I171*12/I166</f>
        <v>15.22649367718102</v>
      </c>
      <c r="J172" s="422"/>
      <c r="K172" s="423"/>
      <c r="L172" s="287">
        <f>L170*L171*12/L166</f>
        <v>28.457125603864732</v>
      </c>
      <c r="M172" s="422"/>
      <c r="N172" s="423"/>
      <c r="O172" s="287"/>
      <c r="P172" s="422"/>
      <c r="Q172" s="423"/>
      <c r="R172" s="287"/>
      <c r="S172" s="422"/>
      <c r="T172" s="423"/>
      <c r="U172" s="287"/>
      <c r="V172" s="32"/>
    </row>
    <row r="173" spans="2:22" ht="15" x14ac:dyDescent="0.25">
      <c r="B173" s="466">
        <v>21</v>
      </c>
      <c r="C173" s="95" t="s">
        <v>475</v>
      </c>
      <c r="D173" s="98"/>
      <c r="E173" s="529" t="s">
        <v>456</v>
      </c>
      <c r="F173" s="204" t="e">
        <f>F$174+F$175+F$178+F$225</f>
        <v>#N/A</v>
      </c>
      <c r="G173" s="429"/>
      <c r="H173" s="419"/>
      <c r="I173" s="204">
        <f>I$174+I$175+I$178+I$225</f>
        <v>5340016.7838874683</v>
      </c>
      <c r="J173" s="429"/>
      <c r="K173" s="419"/>
      <c r="L173" s="204">
        <f>L$174+L$175+L$178+L$225</f>
        <v>5340016.3043478262</v>
      </c>
      <c r="M173" s="429"/>
      <c r="N173" s="419"/>
      <c r="O173" s="204"/>
      <c r="P173" s="429"/>
      <c r="Q173" s="419"/>
      <c r="R173" s="204"/>
      <c r="S173" s="429"/>
      <c r="T173" s="419"/>
      <c r="U173" s="204"/>
      <c r="V173" s="11"/>
    </row>
    <row r="174" spans="2:22" x14ac:dyDescent="0.2">
      <c r="B174" s="466">
        <v>21</v>
      </c>
      <c r="C174" s="96" t="s">
        <v>165</v>
      </c>
      <c r="D174" s="100">
        <v>1</v>
      </c>
      <c r="E174" s="530" t="s">
        <v>455</v>
      </c>
      <c r="F174" s="205" t="e">
        <f>60*VLOOKUP(Refkalkulation!H$51,DB_Maschinen,9,FALSE)</f>
        <v>#N/A</v>
      </c>
      <c r="G174" s="420"/>
      <c r="H174" s="421"/>
      <c r="I174" s="205">
        <f>60*VLOOKUP(Refkalkulation!K$51,DB_Maschinen,9,FALSE)</f>
        <v>5340000</v>
      </c>
      <c r="J174" s="420"/>
      <c r="K174" s="421"/>
      <c r="L174" s="205">
        <f>60*VLOOKUP(Refkalkulation!N$51,DB_Maschinen,9,FALSE)</f>
        <v>5340000</v>
      </c>
      <c r="M174" s="420"/>
      <c r="N174" s="421"/>
      <c r="O174" s="205"/>
      <c r="P174" s="420"/>
      <c r="Q174" s="421"/>
      <c r="R174" s="205"/>
      <c r="S174" s="420"/>
      <c r="T174" s="421"/>
      <c r="U174" s="205"/>
      <c r="V174" s="11"/>
    </row>
    <row r="175" spans="2:22" x14ac:dyDescent="0.2">
      <c r="B175" s="466">
        <v>21</v>
      </c>
      <c r="C175" s="96" t="s">
        <v>453</v>
      </c>
      <c r="D175" s="100" t="s">
        <v>388</v>
      </c>
      <c r="E175" s="530" t="s">
        <v>455</v>
      </c>
      <c r="F175" s="205" t="e">
        <f>60*IF(F174=0,VLOOKUP(F$83,DB_Maschinen,13,FALSE)*(1+F$176+F$177),0)</f>
        <v>#N/A</v>
      </c>
      <c r="G175" s="420"/>
      <c r="H175" s="421"/>
      <c r="I175" s="205">
        <f>60*IF(I174=0,VLOOKUP(I$83,DB_Maschinen,13,FALSE)*(1+I$176+I$177),0)</f>
        <v>0</v>
      </c>
      <c r="J175" s="420"/>
      <c r="K175" s="421"/>
      <c r="L175" s="205">
        <f>60*IF(L174=0,VLOOKUP(L$83,DB_Maschinen,13,FALSE)*(1+L$176+L$177),0)</f>
        <v>0</v>
      </c>
      <c r="M175" s="420"/>
      <c r="N175" s="421"/>
      <c r="O175" s="205"/>
      <c r="P175" s="420"/>
      <c r="Q175" s="421"/>
      <c r="R175" s="205"/>
      <c r="S175" s="420"/>
      <c r="T175" s="421"/>
      <c r="U175" s="205"/>
      <c r="V175" s="11"/>
    </row>
    <row r="176" spans="2:22" x14ac:dyDescent="0.2">
      <c r="B176" s="466">
        <v>21</v>
      </c>
      <c r="C176" s="96" t="s">
        <v>474</v>
      </c>
      <c r="D176" s="100" t="s">
        <v>388</v>
      </c>
      <c r="E176" s="530" t="s">
        <v>455</v>
      </c>
      <c r="F176" s="201">
        <f>18%*VLOOKUP('Quick Input'!M$21,Auswahlfelder!$D$16:$E$19,2,FALSE)</f>
        <v>0.54</v>
      </c>
      <c r="G176" s="420"/>
      <c r="H176" s="421"/>
      <c r="I176" s="201">
        <f>18%*VLOOKUP('Quick Input'!P$21,Auswahlfelder!$D$16:$E$19,2,FALSE)</f>
        <v>0.54</v>
      </c>
      <c r="J176" s="420"/>
      <c r="K176" s="421"/>
      <c r="L176" s="201">
        <f>18%*VLOOKUP('Quick Input'!S$21,Auswahlfelder!$D$16:$E$19,2,FALSE)</f>
        <v>0.36</v>
      </c>
      <c r="M176" s="420"/>
      <c r="N176" s="421"/>
      <c r="O176" s="201"/>
      <c r="P176" s="420"/>
      <c r="Q176" s="421"/>
      <c r="R176" s="201"/>
      <c r="S176" s="420"/>
      <c r="T176" s="421"/>
      <c r="U176" s="201"/>
      <c r="V176" s="11"/>
    </row>
    <row r="177" spans="2:24" x14ac:dyDescent="0.2">
      <c r="B177" s="466">
        <v>21</v>
      </c>
      <c r="C177" s="96" t="s">
        <v>476</v>
      </c>
      <c r="D177" s="100"/>
      <c r="E177" s="530" t="s">
        <v>455</v>
      </c>
      <c r="F177" s="155">
        <f ca="1">MAX(0,(F$45-8))/300</f>
        <v>0.29375432025837206</v>
      </c>
      <c r="G177" s="420"/>
      <c r="H177" s="421"/>
      <c r="I177" s="155">
        <f>MAX(0,(I$45-8))/300</f>
        <v>1.3631577920703731E-2</v>
      </c>
      <c r="J177" s="420"/>
      <c r="K177" s="421"/>
      <c r="L177" s="155">
        <f>MAX(0,(L$45-8))/300</f>
        <v>3.0281602664353712E-2</v>
      </c>
      <c r="M177" s="420"/>
      <c r="N177" s="421"/>
      <c r="O177" s="155"/>
      <c r="P177" s="420"/>
      <c r="Q177" s="421"/>
      <c r="R177" s="155"/>
      <c r="S177" s="420"/>
      <c r="T177" s="421"/>
      <c r="U177" s="155"/>
      <c r="V177" s="11"/>
    </row>
    <row r="178" spans="2:24" ht="15" thickBot="1" x14ac:dyDescent="0.25">
      <c r="B178" s="466">
        <v>21</v>
      </c>
      <c r="C178" s="467" t="s">
        <v>477</v>
      </c>
      <c r="D178" s="102"/>
      <c r="E178" s="530" t="s">
        <v>455</v>
      </c>
      <c r="F178" s="205" t="e">
        <f>IF(OR(F$174=0,F$130=0),0,15/F$27*'Quick Input'!M$51)</f>
        <v>#N/A</v>
      </c>
      <c r="G178" s="420"/>
      <c r="H178" s="421"/>
      <c r="I178" s="205">
        <f>IF(OR(I$174=0,I$130=0),0,15/I$27*'Quick Input'!P$51)</f>
        <v>16.783887468030692</v>
      </c>
      <c r="J178" s="420"/>
      <c r="K178" s="421"/>
      <c r="L178" s="205">
        <f>IF(OR(L$174=0,L$130=0),0,15/L$27*'Quick Input'!S$51)</f>
        <v>16.304347826086957</v>
      </c>
      <c r="M178" s="420"/>
      <c r="N178" s="421"/>
      <c r="O178" s="205"/>
      <c r="P178" s="420"/>
      <c r="Q178" s="421"/>
      <c r="R178" s="205"/>
      <c r="S178" s="420"/>
      <c r="T178" s="421"/>
      <c r="U178" s="205"/>
      <c r="V178" s="11"/>
    </row>
    <row r="179" spans="2:24" ht="15" x14ac:dyDescent="0.25">
      <c r="B179" s="597">
        <v>27</v>
      </c>
      <c r="C179" s="95" t="s">
        <v>776</v>
      </c>
      <c r="D179" s="98">
        <v>1</v>
      </c>
      <c r="E179" s="535" t="s">
        <v>456</v>
      </c>
      <c r="F179" s="860">
        <f>IFERROR(IF(Refkalkulation!H$73=0,ROUND(F$180*(1+F$181+F$182)/60,1),Refkalkulation!H$73),0)</f>
        <v>60</v>
      </c>
      <c r="G179" s="861"/>
      <c r="H179" s="862"/>
      <c r="I179" s="860">
        <f>IFERROR(IF(Refkalkulation!K$73=0,ROUND(I$180*(1+I$181+I$182)/60,1),Refkalkulation!K$73),0)</f>
        <v>5</v>
      </c>
      <c r="J179" s="861"/>
      <c r="K179" s="862"/>
      <c r="L179" s="860">
        <f>IFERROR(IF(Refkalkulation!N$73=0,ROUND(L$180*(1+L$181+L$182)/60,1),Refkalkulation!N$73),0)</f>
        <v>5</v>
      </c>
      <c r="M179" s="861"/>
      <c r="N179" s="862"/>
      <c r="O179" s="860"/>
      <c r="P179" s="861"/>
      <c r="Q179" s="862"/>
      <c r="R179" s="860"/>
      <c r="S179" s="861"/>
      <c r="T179" s="862"/>
      <c r="U179" s="860"/>
      <c r="V179" s="11"/>
      <c r="X179" s="503"/>
    </row>
    <row r="180" spans="2:24" ht="15" x14ac:dyDescent="0.25">
      <c r="B180" s="597">
        <v>27</v>
      </c>
      <c r="C180" s="96" t="s">
        <v>492</v>
      </c>
      <c r="D180" s="504">
        <v>8</v>
      </c>
      <c r="E180" s="530" t="s">
        <v>455</v>
      </c>
      <c r="F180" s="30">
        <f ca="1">ROUND(IF(F$45&lt;$D$184,$D$180,SQRT(10*F$45)),0)</f>
        <v>31</v>
      </c>
      <c r="G180" s="420"/>
      <c r="H180" s="421"/>
      <c r="I180" s="30">
        <f>ROUND(IF(I$45&lt;$D$184,$D$180,SQRT(10*I$45)),0)</f>
        <v>8</v>
      </c>
      <c r="J180" s="420"/>
      <c r="K180" s="421"/>
      <c r="L180" s="30">
        <f>ROUND(IF(L$45&lt;$D$184,$D$180,SQRT(10*L$45)),0)</f>
        <v>8</v>
      </c>
      <c r="M180" s="420"/>
      <c r="N180" s="421"/>
      <c r="O180" s="30"/>
      <c r="P180" s="420"/>
      <c r="Q180" s="421"/>
      <c r="R180" s="30"/>
      <c r="S180" s="420"/>
      <c r="T180" s="421"/>
      <c r="U180" s="30"/>
      <c r="V180" s="11"/>
      <c r="X180" s="503"/>
    </row>
    <row r="181" spans="2:24" x14ac:dyDescent="0.2">
      <c r="B181" s="597">
        <v>27</v>
      </c>
      <c r="C181" s="96" t="s">
        <v>800</v>
      </c>
      <c r="D181" s="100" t="s">
        <v>388</v>
      </c>
      <c r="E181" s="530" t="s">
        <v>455</v>
      </c>
      <c r="F181" s="201">
        <f>12%*(VLOOKUP('Quick Input'!M$21,Auswahlfelder!$D$16:$E$19,2,FALSE)-1)+10%*(VLOOKUP(Refkalkulation!I$57,Auswahlfelder!$D$65:$E$68,2,FALSE)-1)</f>
        <v>0.24</v>
      </c>
      <c r="G181" s="420"/>
      <c r="H181" s="421"/>
      <c r="I181" s="201">
        <f>12%*(VLOOKUP('Quick Input'!P$21,Auswahlfelder!$D$16:$E$19,2,FALSE)-1)+10%*(VLOOKUP(Refkalkulation!L$57,Auswahlfelder!$D$65:$E$68,2,FALSE)-1)</f>
        <v>0.24</v>
      </c>
      <c r="J181" s="420"/>
      <c r="K181" s="421"/>
      <c r="L181" s="201" t="e">
        <f>12%*(VLOOKUP('Quick Input'!S$21,Auswahlfelder!$D$16:$E$19,2,FALSE)-1)+10%*(VLOOKUP(Refkalkulation!O$57,Auswahlfelder!$D$65:$E$68,2,FALSE)-1)</f>
        <v>#N/A</v>
      </c>
      <c r="M181" s="420"/>
      <c r="N181" s="421"/>
      <c r="O181" s="201"/>
      <c r="P181" s="420"/>
      <c r="Q181" s="421"/>
      <c r="R181" s="201"/>
      <c r="S181" s="420"/>
      <c r="T181" s="421"/>
      <c r="U181" s="201"/>
      <c r="V181" s="11"/>
    </row>
    <row r="182" spans="2:24" ht="15" thickBot="1" x14ac:dyDescent="0.25">
      <c r="B182" s="597">
        <v>27</v>
      </c>
      <c r="C182" s="96" t="s">
        <v>177</v>
      </c>
      <c r="D182" s="100" t="s">
        <v>388</v>
      </c>
      <c r="E182" s="530" t="s">
        <v>455</v>
      </c>
      <c r="F182" s="201">
        <f>SQRT('Quick Input'!M$20/100)*15%</f>
        <v>1.8257418583505536</v>
      </c>
      <c r="G182" s="420"/>
      <c r="H182" s="421"/>
      <c r="I182" s="201">
        <f>SQRT('Quick Input'!P$20/100)*15%</f>
        <v>0.64478119838560288</v>
      </c>
      <c r="J182" s="420"/>
      <c r="K182" s="421"/>
      <c r="L182" s="201">
        <f>SQRT('Quick Input'!S$20/100)*15%</f>
        <v>0.64478119838560288</v>
      </c>
      <c r="M182" s="420"/>
      <c r="N182" s="421"/>
      <c r="O182" s="201"/>
      <c r="P182" s="420"/>
      <c r="Q182" s="421"/>
      <c r="R182" s="201"/>
      <c r="S182" s="420"/>
      <c r="T182" s="421"/>
      <c r="U182" s="201"/>
      <c r="V182" s="11"/>
    </row>
    <row r="183" spans="2:24" ht="15" x14ac:dyDescent="0.25">
      <c r="B183" s="466">
        <v>27</v>
      </c>
      <c r="C183" s="95" t="s">
        <v>778</v>
      </c>
      <c r="D183" s="98"/>
      <c r="E183" s="535" t="s">
        <v>456</v>
      </c>
      <c r="F183" s="860">
        <f ca="1">IFERROR(IF(Refkalkulation!H$72=0,ROUND(F$184*(1+F$185+F$186)/60,1),Refkalkulation!H$72),0)</f>
        <v>1</v>
      </c>
      <c r="G183" s="861"/>
      <c r="H183" s="862"/>
      <c r="I183" s="860">
        <f>IFERROR(IF(Refkalkulation!K$72=0,ROUND(I$184*(1+I$185+I$186)/60,1),Refkalkulation!K$72),0)</f>
        <v>0.4</v>
      </c>
      <c r="J183" s="861"/>
      <c r="K183" s="862"/>
      <c r="L183" s="860">
        <f>IFERROR(IF(Refkalkulation!N$72=0,ROUND(L$184*(1+L$185+L$186)/60,1),Refkalkulation!N$72),0)</f>
        <v>0</v>
      </c>
      <c r="M183" s="861"/>
      <c r="N183" s="862"/>
      <c r="O183" s="860"/>
      <c r="P183" s="861"/>
      <c r="Q183" s="862"/>
      <c r="R183" s="860"/>
      <c r="S183" s="861"/>
      <c r="T183" s="862"/>
      <c r="U183" s="860"/>
      <c r="V183" s="11"/>
      <c r="X183" s="503"/>
    </row>
    <row r="184" spans="2:24" ht="15" x14ac:dyDescent="0.25">
      <c r="B184" s="466">
        <v>27</v>
      </c>
      <c r="C184" s="96" t="s">
        <v>798</v>
      </c>
      <c r="D184" s="504">
        <v>18</v>
      </c>
      <c r="E184" s="530" t="s">
        <v>455</v>
      </c>
      <c r="F184" s="30">
        <f ca="1">IF(F73=Auswahlfelder!$D$38,0,ROUND(IF(F$45&lt;$D$184,$D$185,SQRT(7*F$45)/F$59),0))</f>
        <v>26</v>
      </c>
      <c r="G184" s="420"/>
      <c r="H184" s="421"/>
      <c r="I184" s="30">
        <f>IF(I73=Auswahlfelder!$D$38,0,ROUND(IF(I$45&lt;$D$184,$D$185,SQRT(7*I$45)/I$59),0))</f>
        <v>15</v>
      </c>
      <c r="J184" s="420"/>
      <c r="K184" s="421"/>
      <c r="L184" s="30">
        <f>IF(L73=Auswahlfelder!$D$38,0,ROUND(IF(L$45&lt;$D$184,$D$185,SQRT(7*L$45)/L$59),0))</f>
        <v>0</v>
      </c>
      <c r="M184" s="420"/>
      <c r="N184" s="421"/>
      <c r="O184" s="30"/>
      <c r="P184" s="420"/>
      <c r="Q184" s="421"/>
      <c r="R184" s="30"/>
      <c r="S184" s="420"/>
      <c r="T184" s="421"/>
      <c r="U184" s="30"/>
      <c r="V184" s="11"/>
      <c r="X184" s="503"/>
    </row>
    <row r="185" spans="2:24" ht="15" x14ac:dyDescent="0.25">
      <c r="B185" s="466">
        <v>27</v>
      </c>
      <c r="C185" s="96" t="s">
        <v>799</v>
      </c>
      <c r="D185" s="504">
        <v>15</v>
      </c>
      <c r="E185" s="530" t="s">
        <v>455</v>
      </c>
      <c r="F185" s="201">
        <f>15%*(VLOOKUP('Quick Input'!M$21,Auswahlfelder!$D$16:$E$19,2,FALSE)-1)</f>
        <v>0.3</v>
      </c>
      <c r="G185" s="420"/>
      <c r="H185" s="421"/>
      <c r="I185" s="201">
        <f>15%*(VLOOKUP('Quick Input'!P$21,Auswahlfelder!$D$16:$E$19,2,FALSE)-1)</f>
        <v>0.3</v>
      </c>
      <c r="J185" s="420"/>
      <c r="K185" s="421"/>
      <c r="L185" s="201">
        <f>15%*(VLOOKUP('Quick Input'!S$21,Auswahlfelder!$D$16:$E$19,2,FALSE)-1)</f>
        <v>0.15</v>
      </c>
      <c r="M185" s="420"/>
      <c r="N185" s="421"/>
      <c r="O185" s="201"/>
      <c r="P185" s="420"/>
      <c r="Q185" s="421"/>
      <c r="R185" s="201"/>
      <c r="S185" s="420"/>
      <c r="T185" s="421"/>
      <c r="U185" s="201"/>
      <c r="V185" s="11"/>
    </row>
    <row r="186" spans="2:24" ht="15" thickBot="1" x14ac:dyDescent="0.25">
      <c r="B186" s="466">
        <v>27</v>
      </c>
      <c r="C186" s="96" t="s">
        <v>177</v>
      </c>
      <c r="D186" s="733">
        <v>0.08</v>
      </c>
      <c r="E186" s="530" t="s">
        <v>455</v>
      </c>
      <c r="F186" s="201">
        <f>SQRT('Quick Input'!M$20/100)*$D$186</f>
        <v>0.97372899112029532</v>
      </c>
      <c r="G186" s="420"/>
      <c r="H186" s="421"/>
      <c r="I186" s="201">
        <f>SQRT('Quick Input'!P$20/100)*$D$186</f>
        <v>0.3438833058056549</v>
      </c>
      <c r="J186" s="420"/>
      <c r="K186" s="421"/>
      <c r="L186" s="201">
        <f>SQRT('Quick Input'!S$20/100)*$D$186</f>
        <v>0.3438833058056549</v>
      </c>
      <c r="M186" s="420"/>
      <c r="N186" s="421"/>
      <c r="O186" s="201"/>
      <c r="P186" s="420"/>
      <c r="Q186" s="421"/>
      <c r="R186" s="201"/>
      <c r="S186" s="420"/>
      <c r="T186" s="421"/>
      <c r="U186" s="201"/>
      <c r="V186" s="11"/>
    </row>
    <row r="187" spans="2:24" ht="15" x14ac:dyDescent="0.25">
      <c r="B187" s="466">
        <v>60</v>
      </c>
      <c r="C187" s="95" t="s">
        <v>178</v>
      </c>
      <c r="D187" s="100" t="s">
        <v>94</v>
      </c>
      <c r="E187" s="535" t="s">
        <v>456</v>
      </c>
      <c r="F187" s="598">
        <f>IFERROR(IF(Refkalkulation!H$93=0,ROUND(F$188*(1+F$189+F$190+F$191),1),Refkalkulation!H$93),0)</f>
        <v>400</v>
      </c>
      <c r="G187" s="418"/>
      <c r="H187" s="419"/>
      <c r="I187" s="598">
        <f>IFERROR(IF(Refkalkulation!K$93=0,ROUND(I$188*(1+I$189+I$190+I$191),1),Refkalkulation!K$93),0)</f>
        <v>300</v>
      </c>
      <c r="J187" s="418"/>
      <c r="K187" s="419"/>
      <c r="L187" s="598">
        <f>IFERROR(IF(Refkalkulation!N$93=0,ROUND(L$188*(1+L$189+L$190+L$191),1),Refkalkulation!N$93),0)</f>
        <v>300</v>
      </c>
      <c r="M187" s="418"/>
      <c r="N187" s="419"/>
      <c r="O187" s="598"/>
      <c r="P187" s="418"/>
      <c r="Q187" s="419"/>
      <c r="R187" s="598"/>
      <c r="S187" s="418"/>
      <c r="T187" s="419"/>
      <c r="U187" s="598"/>
      <c r="V187" s="11"/>
      <c r="X187" s="503"/>
    </row>
    <row r="188" spans="2:24" ht="15" x14ac:dyDescent="0.25">
      <c r="B188" s="466">
        <v>60</v>
      </c>
      <c r="C188" s="96" t="s">
        <v>179</v>
      </c>
      <c r="D188" s="504">
        <v>20</v>
      </c>
      <c r="E188" s="530" t="s">
        <v>455</v>
      </c>
      <c r="F188" s="30">
        <f>$D$188</f>
        <v>20</v>
      </c>
      <c r="G188" s="420"/>
      <c r="H188" s="421"/>
      <c r="I188" s="30">
        <f>$D$188</f>
        <v>20</v>
      </c>
      <c r="J188" s="420"/>
      <c r="K188" s="421"/>
      <c r="L188" s="30">
        <f>$D$188</f>
        <v>20</v>
      </c>
      <c r="M188" s="420"/>
      <c r="N188" s="421"/>
      <c r="O188" s="30"/>
      <c r="P188" s="420"/>
      <c r="Q188" s="421"/>
      <c r="R188" s="30"/>
      <c r="S188" s="420"/>
      <c r="T188" s="421"/>
      <c r="U188" s="30"/>
      <c r="V188" s="11"/>
    </row>
    <row r="189" spans="2:24" x14ac:dyDescent="0.2">
      <c r="B189" s="466">
        <v>60</v>
      </c>
      <c r="C189" s="96" t="s">
        <v>180</v>
      </c>
      <c r="D189" s="100">
        <v>1</v>
      </c>
      <c r="E189" s="530" t="s">
        <v>455</v>
      </c>
      <c r="F189" s="201">
        <f>MAX(0,POWER(VLOOKUP('Quick Input'!M$21,Auswahlfelder!$D$16:$E$19,2,FALSE)-2,2)/10)</f>
        <v>0.1</v>
      </c>
      <c r="G189" s="430"/>
      <c r="H189" s="431"/>
      <c r="I189" s="201">
        <f>MAX(0,POWER(VLOOKUP('Quick Input'!P$21,Auswahlfelder!$D$16:$E$19,2,FALSE)-2,2)/10)</f>
        <v>0.1</v>
      </c>
      <c r="J189" s="430"/>
      <c r="K189" s="431"/>
      <c r="L189" s="201">
        <f>MAX(0,POWER(VLOOKUP('Quick Input'!S$21,Auswahlfelder!$D$16:$E$19,2,FALSE)-2,2)/10)</f>
        <v>0</v>
      </c>
      <c r="M189" s="430"/>
      <c r="N189" s="431"/>
      <c r="O189" s="201"/>
      <c r="P189" s="430"/>
      <c r="Q189" s="431"/>
      <c r="R189" s="201"/>
      <c r="S189" s="430"/>
      <c r="T189" s="431"/>
      <c r="U189" s="201"/>
      <c r="V189" s="11"/>
    </row>
    <row r="190" spans="2:24" x14ac:dyDescent="0.2">
      <c r="B190" s="466">
        <v>60</v>
      </c>
      <c r="C190" s="96" t="s">
        <v>494</v>
      </c>
      <c r="D190" s="100">
        <v>1</v>
      </c>
      <c r="E190" s="530" t="s">
        <v>455</v>
      </c>
      <c r="F190" s="201">
        <f>-55*VLOOKUP(F$19,DB_Länder,10,FALSE)</f>
        <v>0</v>
      </c>
      <c r="G190" s="430"/>
      <c r="H190" s="431"/>
      <c r="I190" s="201">
        <f>-55*VLOOKUP(I$19,DB_Länder,10,FALSE)</f>
        <v>0.27500000000000002</v>
      </c>
      <c r="J190" s="430"/>
      <c r="K190" s="431"/>
      <c r="L190" s="201">
        <f>-55*VLOOKUP(L$19,DB_Länder,10,FALSE)</f>
        <v>0</v>
      </c>
      <c r="M190" s="430"/>
      <c r="N190" s="431"/>
      <c r="O190" s="201"/>
      <c r="P190" s="430"/>
      <c r="Q190" s="431"/>
      <c r="R190" s="201"/>
      <c r="S190" s="430"/>
      <c r="T190" s="431"/>
      <c r="U190" s="201"/>
      <c r="V190" s="11"/>
    </row>
    <row r="191" spans="2:24" ht="15" thickBot="1" x14ac:dyDescent="0.25">
      <c r="B191" s="466">
        <v>60</v>
      </c>
      <c r="C191" s="96" t="s">
        <v>177</v>
      </c>
      <c r="D191" s="733">
        <v>0.3</v>
      </c>
      <c r="E191" s="530" t="s">
        <v>455</v>
      </c>
      <c r="F191" s="457">
        <f>SQRT('Quick Input'!M$20/2000)*$D$191</f>
        <v>0.81649658092772603</v>
      </c>
      <c r="G191" s="420"/>
      <c r="H191" s="421"/>
      <c r="I191" s="457">
        <f>SQRT('Quick Input'!P$20/2000)*$D$191</f>
        <v>0.28835491804079716</v>
      </c>
      <c r="J191" s="420"/>
      <c r="K191" s="421"/>
      <c r="L191" s="457">
        <f>SQRT('Quick Input'!S$20/2000)*$D$191</f>
        <v>0.28835491804079716</v>
      </c>
      <c r="M191" s="420"/>
      <c r="N191" s="421"/>
      <c r="O191" s="457"/>
      <c r="P191" s="420"/>
      <c r="Q191" s="421"/>
      <c r="R191" s="457"/>
      <c r="S191" s="420"/>
      <c r="T191" s="421"/>
      <c r="U191" s="457"/>
      <c r="V191" s="11"/>
    </row>
    <row r="192" spans="2:24" ht="15.75" thickBot="1" x14ac:dyDescent="0.3">
      <c r="B192" s="17">
        <v>39</v>
      </c>
      <c r="C192" s="95" t="s">
        <v>577</v>
      </c>
      <c r="D192" s="102"/>
      <c r="E192" s="529"/>
      <c r="F192" s="604">
        <f>IFERROR(IF(OR(Refkalkulation!H$99=0,F$269=0),F$269,Refkalkulation!H$99),0)</f>
        <v>0.41742621527777779</v>
      </c>
      <c r="G192" s="435"/>
      <c r="H192" s="419"/>
      <c r="I192" s="604">
        <f>IFERROR(IF(OR(Refkalkulation!K$99=0,I$269=0),I$269,Refkalkulation!K$99),0)</f>
        <v>0.30864583333333334</v>
      </c>
      <c r="J192" s="435"/>
      <c r="K192" s="419"/>
      <c r="L192" s="604">
        <f>IFERROR(IF(OR(Refkalkulation!N$99=0,L$269=0),L$269,Refkalkulation!N$99),0)</f>
        <v>0.33394097222222224</v>
      </c>
      <c r="M192" s="435"/>
      <c r="N192" s="419"/>
      <c r="O192" s="604"/>
      <c r="P192" s="435"/>
      <c r="Q192" s="419"/>
      <c r="R192" s="604"/>
      <c r="S192" s="435"/>
      <c r="T192" s="419"/>
      <c r="U192" s="604"/>
      <c r="V192" s="11"/>
      <c r="W192" s="718"/>
      <c r="X192" s="503"/>
    </row>
    <row r="193" spans="2:24" ht="15.75" thickBot="1" x14ac:dyDescent="0.3">
      <c r="B193" s="17">
        <v>39</v>
      </c>
      <c r="C193" s="95" t="s">
        <v>570</v>
      </c>
      <c r="D193" s="102"/>
      <c r="E193" s="529"/>
      <c r="F193" s="604">
        <f>IFERROR(IF(OR(Refkalkulation!H$103=0,F$272=0),F272,Refkalkulation!H$103),0)</f>
        <v>0.37082465277777776</v>
      </c>
      <c r="G193" s="435"/>
      <c r="H193" s="419"/>
      <c r="I193" s="604">
        <f>IFERROR(IF(OR(Refkalkulation!K$103=0,I$272=0),I272,Refkalkulation!K$103),0)</f>
        <v>0.34611111111111109</v>
      </c>
      <c r="J193" s="435"/>
      <c r="K193" s="419"/>
      <c r="L193" s="604">
        <f>IFERROR(IF(OR(Refkalkulation!N$103=0,L$272=0),L272,Refkalkulation!N$103),0)</f>
        <v>0.24721643518518516</v>
      </c>
      <c r="M193" s="435"/>
      <c r="N193" s="419"/>
      <c r="O193" s="604"/>
      <c r="P193" s="435"/>
      <c r="Q193" s="419"/>
      <c r="R193" s="604"/>
      <c r="S193" s="435"/>
      <c r="T193" s="419"/>
      <c r="U193" s="604"/>
      <c r="V193" s="11"/>
      <c r="W193" s="718"/>
      <c r="X193" s="503"/>
    </row>
    <row r="194" spans="2:24" ht="15" x14ac:dyDescent="0.25">
      <c r="B194" s="17">
        <v>39</v>
      </c>
      <c r="C194" s="95" t="s">
        <v>578</v>
      </c>
      <c r="D194" s="100"/>
      <c r="E194" s="6"/>
      <c r="F194" s="604">
        <f>IFERROR(IF(OR(Refkalkulation!H$106=0,F$195=0),ROUND(F195*(1+F196),2),Refkalkulation!H$106),0)</f>
        <v>1.8357928240740744</v>
      </c>
      <c r="G194" s="435"/>
      <c r="H194" s="419"/>
      <c r="I194" s="604">
        <f>IFERROR(IF(OR(Refkalkulation!K$106=0,I$195=0),ROUND(I195*(1+I196),2),Refkalkulation!K$106),0)</f>
        <v>1.7619212962962969</v>
      </c>
      <c r="J194" s="435"/>
      <c r="K194" s="419"/>
      <c r="L194" s="604">
        <f>IFERROR(IF(OR(Refkalkulation!N$106=0,L$195=0),ROUND(L195*(1+L196),2),Refkalkulation!N$106),0)</f>
        <v>1.1014756944444448</v>
      </c>
      <c r="M194" s="435"/>
      <c r="N194" s="419"/>
      <c r="O194" s="604"/>
      <c r="P194" s="435"/>
      <c r="Q194" s="419"/>
      <c r="R194" s="604"/>
      <c r="S194" s="435"/>
      <c r="T194" s="419"/>
      <c r="U194" s="604"/>
      <c r="V194" s="11"/>
      <c r="W194" s="718"/>
      <c r="X194" s="503"/>
    </row>
    <row r="195" spans="2:24" x14ac:dyDescent="0.2">
      <c r="B195" s="17">
        <v>39</v>
      </c>
      <c r="C195" s="96" t="s">
        <v>579</v>
      </c>
      <c r="D195" s="100" t="s">
        <v>94</v>
      </c>
      <c r="E195" s="532" t="s">
        <v>530</v>
      </c>
      <c r="F195" s="455">
        <f>IF('Quick Input'!M31=Auswahlfelder!$D$22,0,'Länder-DB'!$I$43*(0.7+0.3*VLOOKUP(F$19,DB_Länder,5,FALSE)/'Länder-DB'!$E$2))</f>
        <v>9</v>
      </c>
      <c r="G195" s="10"/>
      <c r="H195" s="10"/>
      <c r="I195" s="455">
        <f>IF('Quick Input'!P31=Auswahlfelder!$D$22,0,'Länder-DB'!$I$43*(0.7+0.3*VLOOKUP(I$19,DB_Länder,5,FALSE)/'Länder-DB'!$E$2))</f>
        <v>7.1398593200468934</v>
      </c>
      <c r="J195" s="10"/>
      <c r="K195" s="10"/>
      <c r="L195" s="455">
        <f>IF('Quick Input'!S31=Auswahlfelder!$D$22,0,'Länder-DB'!$I$43*(0.7+0.3*VLOOKUP(L$19,DB_Länder,5,FALSE)/'Länder-DB'!$E$2))</f>
        <v>9</v>
      </c>
      <c r="M195" s="10"/>
      <c r="N195" s="10"/>
      <c r="O195" s="455"/>
      <c r="P195" s="10"/>
      <c r="Q195" s="10"/>
      <c r="R195" s="455"/>
      <c r="S195" s="10"/>
      <c r="T195" s="10"/>
      <c r="U195" s="455"/>
      <c r="V195" s="11"/>
    </row>
    <row r="196" spans="2:24" ht="15" thickBot="1" x14ac:dyDescent="0.25">
      <c r="B196" s="714">
        <v>39</v>
      </c>
      <c r="C196" s="97" t="s">
        <v>177</v>
      </c>
      <c r="D196" s="102"/>
      <c r="E196" s="533" t="s">
        <v>530</v>
      </c>
      <c r="F196" s="343">
        <f>SQRT(MAX(0,'Quick Input'!M$19-0.5))*35%</f>
        <v>2.1997158907458934</v>
      </c>
      <c r="G196" s="422"/>
      <c r="H196" s="423"/>
      <c r="I196" s="343">
        <f>SQRT(MAX(0,'Quick Input'!P$19-0.5))*35%</f>
        <v>0.74246212024587477</v>
      </c>
      <c r="J196" s="422"/>
      <c r="K196" s="423"/>
      <c r="L196" s="343">
        <f>SQRT(MAX(0,'Quick Input'!S$19-0.5))*35%</f>
        <v>0.74246212024587477</v>
      </c>
      <c r="M196" s="422"/>
      <c r="N196" s="423"/>
      <c r="O196" s="343"/>
      <c r="P196" s="422"/>
      <c r="Q196" s="423"/>
      <c r="R196" s="343"/>
      <c r="S196" s="422"/>
      <c r="T196" s="423"/>
      <c r="U196" s="343"/>
      <c r="V196" s="126"/>
    </row>
    <row r="197" spans="2:24" ht="15" x14ac:dyDescent="0.25">
      <c r="B197" s="466">
        <v>13</v>
      </c>
      <c r="C197" s="95" t="s">
        <v>323</v>
      </c>
      <c r="D197" s="100"/>
      <c r="E197" s="529"/>
      <c r="F197" s="898">
        <f>IF(OR(Refkalkulation!H$88=0,F198=1),ROUND(IF(F$198&gt;2,F$199*F$200+F$201/60*F$20/F203/'Quick Input'!M$19+F$202,0),3),Refkalkulation!H$88)</f>
        <v>0.7</v>
      </c>
      <c r="G197" s="435"/>
      <c r="H197" s="419"/>
      <c r="I197" s="898">
        <f>IF(OR(Refkalkulation!K$88=0,I198=1),ROUND(IF(I$198&gt;2,I$199*I$200+I$201/60*I$20/I203/'Quick Input'!P$19+I$202,0),3),Refkalkulation!K$88)</f>
        <v>0.4</v>
      </c>
      <c r="J197" s="435"/>
      <c r="K197" s="419"/>
      <c r="L197" s="898">
        <f>IF(OR(Refkalkulation!N$88=0,L198=1),ROUND(IF(L$198&gt;2,L$199*L$200+L$201/60*L$20/L203/'Quick Input'!S$19+L$202,0),3),Refkalkulation!N$88)</f>
        <v>0.5</v>
      </c>
      <c r="M197" s="435"/>
      <c r="N197" s="419"/>
      <c r="O197" s="898"/>
      <c r="P197" s="435"/>
      <c r="Q197" s="419"/>
      <c r="R197" s="898"/>
      <c r="S197" s="435"/>
      <c r="T197" s="419"/>
      <c r="U197" s="898"/>
      <c r="V197" s="8"/>
      <c r="W197" s="718"/>
      <c r="X197" s="503"/>
    </row>
    <row r="198" spans="2:24" x14ac:dyDescent="0.2">
      <c r="B198" s="466">
        <f t="shared" ref="B198:B203" si="0">B197</f>
        <v>13</v>
      </c>
      <c r="C198" s="96" t="s">
        <v>322</v>
      </c>
      <c r="D198" s="100"/>
      <c r="E198" s="530" t="s">
        <v>455</v>
      </c>
      <c r="F198" s="30">
        <f>VLOOKUP('Quick Input'!M$33,Auswahlfelder!$D$41:$E$46,2,FALSE)</f>
        <v>6</v>
      </c>
      <c r="G198" s="420"/>
      <c r="H198" s="421"/>
      <c r="I198" s="30">
        <f>VLOOKUP('Quick Input'!P$33,Auswahlfelder!$D$41:$E$46,2,FALSE)</f>
        <v>3</v>
      </c>
      <c r="J198" s="420"/>
      <c r="K198" s="421"/>
      <c r="L198" s="30">
        <f>VLOOKUP('Quick Input'!S$33,Auswahlfelder!$D$41:$E$46,2,FALSE)</f>
        <v>2</v>
      </c>
      <c r="M198" s="420"/>
      <c r="N198" s="421"/>
      <c r="O198" s="30"/>
      <c r="P198" s="420"/>
      <c r="Q198" s="421"/>
      <c r="R198" s="30"/>
      <c r="S198" s="420"/>
      <c r="T198" s="421"/>
      <c r="U198" s="30"/>
      <c r="V198" s="11"/>
    </row>
    <row r="199" spans="2:24" x14ac:dyDescent="0.2">
      <c r="B199" s="466">
        <f t="shared" si="0"/>
        <v>13</v>
      </c>
      <c r="C199" s="96" t="s">
        <v>527</v>
      </c>
      <c r="D199" s="100"/>
      <c r="E199" s="530" t="s">
        <v>455</v>
      </c>
      <c r="F199" s="462">
        <f>(3.7+10/60*F$21)/$D$203</f>
        <v>2.4581297619047617E-2</v>
      </c>
      <c r="G199" s="463"/>
      <c r="H199" s="464"/>
      <c r="I199" s="462">
        <f>(3.7+10/60*I$21)/$D$203</f>
        <v>1.4121804285714286E-2</v>
      </c>
      <c r="J199" s="463"/>
      <c r="K199" s="464"/>
      <c r="L199" s="462">
        <f>(3.7+10/60*L$21)/$D$203</f>
        <v>2.4581297619047617E-2</v>
      </c>
      <c r="M199" s="463"/>
      <c r="N199" s="464"/>
      <c r="O199" s="462"/>
      <c r="P199" s="463"/>
      <c r="Q199" s="464"/>
      <c r="R199" s="462"/>
      <c r="S199" s="463"/>
      <c r="T199" s="464"/>
      <c r="U199" s="462"/>
      <c r="V199" s="11"/>
      <c r="X199" s="503"/>
    </row>
    <row r="200" spans="2:24" ht="15" x14ac:dyDescent="0.25">
      <c r="B200" s="466">
        <f t="shared" si="0"/>
        <v>13</v>
      </c>
      <c r="C200" s="96" t="s">
        <v>541</v>
      </c>
      <c r="D200" s="504">
        <v>3.4</v>
      </c>
      <c r="E200" s="530" t="s">
        <v>455</v>
      </c>
      <c r="F200" s="444">
        <f>IF(F198&gt;2,0.8+SQRT(F198-1)*($D$200+0.4*SQRT(F46/100)),0)</f>
        <v>8.9683165484485237</v>
      </c>
      <c r="G200" s="445"/>
      <c r="H200" s="446"/>
      <c r="I200" s="444">
        <f>IF(I198&gt;2,0.8+SQRT(I198-1)*($D$200+0.4*SQRT(I46/100)),0)</f>
        <v>5.7348172184752579</v>
      </c>
      <c r="J200" s="445"/>
      <c r="K200" s="446"/>
      <c r="L200" s="444">
        <f>IF(L198&gt;2,0.8+SQRT(L198-1)*($D$200+0.4*SQRT(L46/100)),0)</f>
        <v>0</v>
      </c>
      <c r="M200" s="445"/>
      <c r="N200" s="446"/>
      <c r="O200" s="444"/>
      <c r="P200" s="445"/>
      <c r="Q200" s="446"/>
      <c r="R200" s="444"/>
      <c r="S200" s="445"/>
      <c r="T200" s="446"/>
      <c r="U200" s="444"/>
      <c r="V200" s="11"/>
    </row>
    <row r="201" spans="2:24" ht="15" x14ac:dyDescent="0.25">
      <c r="B201" s="466">
        <f t="shared" si="0"/>
        <v>13</v>
      </c>
      <c r="C201" s="96" t="s">
        <v>831</v>
      </c>
      <c r="D201" s="504">
        <v>15</v>
      </c>
      <c r="E201" s="530" t="s">
        <v>455</v>
      </c>
      <c r="F201" s="444">
        <f>IF(F198&lt;3,0,$D$201+0.1*F203)</f>
        <v>15.8</v>
      </c>
      <c r="G201" s="894"/>
      <c r="H201" s="895"/>
      <c r="I201" s="444">
        <f>IF(I198&lt;3,0,$D$201+0.1*I203)</f>
        <v>22</v>
      </c>
      <c r="J201" s="894"/>
      <c r="K201" s="895"/>
      <c r="L201" s="444">
        <f t="shared" ref="L201" si="1">IF(L198&lt;3,0,$D$201+0.1*L203)</f>
        <v>0</v>
      </c>
      <c r="M201" s="894"/>
      <c r="N201" s="895"/>
      <c r="O201" s="444"/>
      <c r="P201" s="894"/>
      <c r="Q201" s="895"/>
      <c r="R201" s="444"/>
      <c r="S201" s="894"/>
      <c r="T201" s="895"/>
      <c r="U201" s="444"/>
      <c r="V201" s="11"/>
    </row>
    <row r="202" spans="2:24" x14ac:dyDescent="0.2">
      <c r="B202" s="466">
        <f t="shared" si="0"/>
        <v>13</v>
      </c>
      <c r="C202" s="96" t="s">
        <v>526</v>
      </c>
      <c r="D202" s="100"/>
      <c r="E202" s="530" t="s">
        <v>455</v>
      </c>
      <c r="F202" s="462">
        <f>IF(F$198&gt;2,F$168*0.00025*515*0.7,0)</f>
        <v>6.308750000000001E-3</v>
      </c>
      <c r="G202" s="445"/>
      <c r="H202" s="446"/>
      <c r="I202" s="462">
        <f>IF(I$198&gt;2,I$168*0.00025*515/0.6,0)</f>
        <v>1.2875000000000001E-2</v>
      </c>
      <c r="J202" s="445"/>
      <c r="K202" s="446"/>
      <c r="L202" s="462">
        <f>IF(L$198&gt;2,L$168*0.00025*515*0.7,0)</f>
        <v>0</v>
      </c>
      <c r="M202" s="445"/>
      <c r="N202" s="446"/>
      <c r="O202" s="462"/>
      <c r="P202" s="445"/>
      <c r="Q202" s="446"/>
      <c r="R202" s="462"/>
      <c r="S202" s="445"/>
      <c r="T202" s="446"/>
      <c r="U202" s="462"/>
      <c r="V202" s="11"/>
    </row>
    <row r="203" spans="2:24" ht="15.75" thickBot="1" x14ac:dyDescent="0.3">
      <c r="B203" s="466">
        <f t="shared" si="0"/>
        <v>13</v>
      </c>
      <c r="C203" s="97" t="s">
        <v>832</v>
      </c>
      <c r="D203" s="897">
        <v>350</v>
      </c>
      <c r="E203" s="531"/>
      <c r="F203" s="896">
        <f>ROUNDDOWN(MAX(1,$D$203/'Quick Input'!M$19),0)</f>
        <v>8</v>
      </c>
      <c r="G203" s="422"/>
      <c r="H203" s="423"/>
      <c r="I203" s="896">
        <f>ROUNDDOWN(MAX(1,$D$203/'Quick Input'!P$19),0)</f>
        <v>70</v>
      </c>
      <c r="J203" s="422"/>
      <c r="K203" s="423"/>
      <c r="L203" s="896">
        <f>ROUNDDOWN(MAX(1,$D$203/'Quick Input'!S$19),0)</f>
        <v>70</v>
      </c>
      <c r="M203" s="422"/>
      <c r="N203" s="423"/>
      <c r="O203" s="896"/>
      <c r="P203" s="422"/>
      <c r="Q203" s="423"/>
      <c r="R203" s="896"/>
      <c r="S203" s="422"/>
      <c r="T203" s="423"/>
      <c r="U203" s="896"/>
      <c r="V203" s="126"/>
    </row>
    <row r="204" spans="2:24" ht="15" x14ac:dyDescent="0.25">
      <c r="B204" s="466">
        <v>34</v>
      </c>
      <c r="C204" s="95" t="s">
        <v>423</v>
      </c>
      <c r="D204" s="100" t="s">
        <v>94</v>
      </c>
      <c r="E204" s="535" t="s">
        <v>456</v>
      </c>
      <c r="F204" s="345">
        <f>ROUND(IF('Quick Input'!M$34=Auswahlfelder!$D$60,0,F$205/60*F$22+F$207+F$208),2)</f>
        <v>0</v>
      </c>
      <c r="G204" s="435"/>
      <c r="H204" s="419"/>
      <c r="I204" s="345">
        <f>ROUND(IF('Quick Input'!P$34=Auswahlfelder!$D$60,0,I$205/60*I$22+I$207+I$208),2)</f>
        <v>0</v>
      </c>
      <c r="J204" s="435"/>
      <c r="K204" s="419"/>
      <c r="L204" s="345">
        <f>ROUND(IF('Quick Input'!S$34=Auswahlfelder!$D$60,0,L$205/60*L$22+L$207+L$208),2)</f>
        <v>0</v>
      </c>
      <c r="M204" s="435"/>
      <c r="N204" s="419"/>
      <c r="O204" s="345"/>
      <c r="P204" s="435"/>
      <c r="Q204" s="419"/>
      <c r="R204" s="345"/>
      <c r="S204" s="435"/>
      <c r="T204" s="419"/>
      <c r="U204" s="345"/>
      <c r="V204" s="8"/>
      <c r="X204" s="503"/>
    </row>
    <row r="205" spans="2:24" ht="15" x14ac:dyDescent="0.25">
      <c r="B205" s="466">
        <v>34</v>
      </c>
      <c r="C205" s="96" t="s">
        <v>542</v>
      </c>
      <c r="D205" s="504">
        <v>5</v>
      </c>
      <c r="E205" s="532"/>
      <c r="F205" s="628">
        <f>$D$205*(1+20%*(VLOOKUP('Quick Input'!M$21,Auswahlfelder!$D$16:$E$19,2,FALSE)-2))</f>
        <v>6</v>
      </c>
      <c r="G205" s="420"/>
      <c r="H205" s="421"/>
      <c r="I205" s="628">
        <f>$D$205*(1+20%*(VLOOKUP('Quick Input'!P$21,Auswahlfelder!$D$16:$E$19,2,FALSE)-2))</f>
        <v>6</v>
      </c>
      <c r="J205" s="420"/>
      <c r="K205" s="421"/>
      <c r="L205" s="628">
        <f>$D$205*(1+20%*(VLOOKUP('Quick Input'!S$21,Auswahlfelder!$D$16:$E$19,2,FALSE)-2))</f>
        <v>5</v>
      </c>
      <c r="M205" s="420"/>
      <c r="N205" s="421"/>
      <c r="O205" s="628"/>
      <c r="P205" s="420"/>
      <c r="Q205" s="421"/>
      <c r="R205" s="628"/>
      <c r="S205" s="420"/>
      <c r="T205" s="421"/>
      <c r="U205" s="628"/>
      <c r="V205" s="11"/>
    </row>
    <row r="206" spans="2:24" x14ac:dyDescent="0.2">
      <c r="B206" s="466">
        <v>34</v>
      </c>
      <c r="C206" s="96" t="s">
        <v>514</v>
      </c>
      <c r="D206" s="100" t="s">
        <v>94</v>
      </c>
      <c r="E206" s="532"/>
      <c r="F206" s="627">
        <f>IF(F204&gt;0,'Länder-DB'!$I$45,0)</f>
        <v>0</v>
      </c>
      <c r="G206" s="420"/>
      <c r="H206" s="421"/>
      <c r="I206" s="627">
        <f>IF(I204&gt;0,'Länder-DB'!$I$45,0)</f>
        <v>0</v>
      </c>
      <c r="J206" s="420"/>
      <c r="K206" s="421"/>
      <c r="L206" s="627">
        <f>IF(L204&gt;0,'Länder-DB'!$I$45,0)</f>
        <v>0</v>
      </c>
      <c r="M206" s="420"/>
      <c r="N206" s="421"/>
      <c r="O206" s="627"/>
      <c r="P206" s="420"/>
      <c r="Q206" s="421"/>
      <c r="R206" s="627"/>
      <c r="S206" s="420"/>
      <c r="T206" s="421"/>
      <c r="U206" s="627"/>
      <c r="V206" s="11"/>
      <c r="X206" s="503"/>
    </row>
    <row r="207" spans="2:24" x14ac:dyDescent="0.2">
      <c r="B207" s="466">
        <v>34</v>
      </c>
      <c r="C207" s="96" t="s">
        <v>493</v>
      </c>
      <c r="D207" s="100" t="s">
        <v>94</v>
      </c>
      <c r="E207" s="532"/>
      <c r="F207" s="344">
        <f>IF(AND('Quick Input'!M$33&lt;&gt;Auswahlfelder!$D$41,'Quick Input'!M$34=Auswahlfelder!$D$61),Refkalkulation!H$89,0)</f>
        <v>0</v>
      </c>
      <c r="G207" s="445"/>
      <c r="H207" s="446"/>
      <c r="I207" s="344">
        <f>IF(AND('Quick Input'!P$33&lt;&gt;Auswahlfelder!$D$41,'Quick Input'!P$34=Auswahlfelder!$D$61),Refkalkulation!K$89,0)</f>
        <v>0</v>
      </c>
      <c r="J207" s="445"/>
      <c r="K207" s="446"/>
      <c r="L207" s="344">
        <f>IF(AND('Quick Input'!S$33&lt;&gt;Auswahlfelder!$D$41,'Quick Input'!S$34=Auswahlfelder!$D$61),Refkalkulation!N$89,0)</f>
        <v>0</v>
      </c>
      <c r="M207" s="445"/>
      <c r="N207" s="446"/>
      <c r="O207" s="344"/>
      <c r="P207" s="445"/>
      <c r="Q207" s="446"/>
      <c r="R207" s="344"/>
      <c r="S207" s="445"/>
      <c r="T207" s="446"/>
      <c r="U207" s="344"/>
      <c r="V207" s="11"/>
    </row>
    <row r="208" spans="2:24" ht="15" thickBot="1" x14ac:dyDescent="0.25">
      <c r="B208" s="511">
        <v>34</v>
      </c>
      <c r="C208" s="97" t="s">
        <v>513</v>
      </c>
      <c r="D208" s="102" t="s">
        <v>94</v>
      </c>
      <c r="E208" s="533"/>
      <c r="F208" s="344">
        <f>Refkalkulation!H$93/3600*Refkalkulation!H$96</f>
        <v>3.726188333333333</v>
      </c>
      <c r="G208" s="422"/>
      <c r="H208" s="423"/>
      <c r="I208" s="344">
        <f>Refkalkulation!K$93/3600*Refkalkulation!K$96</f>
        <v>0.83400899999999978</v>
      </c>
      <c r="J208" s="422"/>
      <c r="K208" s="423"/>
      <c r="L208" s="344">
        <f>Refkalkulation!N$93/3600*Refkalkulation!N$96</f>
        <v>2.7946412499999997</v>
      </c>
      <c r="M208" s="422"/>
      <c r="N208" s="423"/>
      <c r="O208" s="344"/>
      <c r="P208" s="422"/>
      <c r="Q208" s="423"/>
      <c r="R208" s="344"/>
      <c r="S208" s="422"/>
      <c r="T208" s="423"/>
      <c r="U208" s="344"/>
      <c r="V208" s="126"/>
    </row>
    <row r="209" spans="2:24" ht="15" x14ac:dyDescent="0.25">
      <c r="B209" s="466">
        <v>38</v>
      </c>
      <c r="C209" s="95" t="s">
        <v>263</v>
      </c>
      <c r="D209" s="98"/>
      <c r="E209" s="529"/>
      <c r="F209" s="161">
        <f>(1+F211)*(VLOOKUP('Quick Input'!M32,Auswahlfelder!$D$31:$E$33,2,FALSE)-1)*40</f>
        <v>0</v>
      </c>
      <c r="G209" s="7"/>
      <c r="H209" s="7"/>
      <c r="I209" s="161">
        <f>(1+I211)*(VLOOKUP('Quick Input'!P32,Auswahlfelder!$D$31:$E$33,2,FALSE)-1)*40</f>
        <v>0</v>
      </c>
      <c r="J209" s="7"/>
      <c r="K209" s="7"/>
      <c r="L209" s="161">
        <f>(1+L211)*(VLOOKUP('Quick Input'!S32,Auswahlfelder!$D$31:$E$33,2,FALSE)-1)*40</f>
        <v>0</v>
      </c>
      <c r="M209" s="7"/>
      <c r="N209" s="7"/>
      <c r="O209" s="161"/>
      <c r="P209" s="7"/>
      <c r="Q209" s="7"/>
      <c r="R209" s="161"/>
      <c r="S209" s="7"/>
      <c r="T209" s="7"/>
      <c r="U209" s="161"/>
      <c r="V209" s="11"/>
    </row>
    <row r="210" spans="2:24" x14ac:dyDescent="0.2">
      <c r="B210" s="466">
        <v>38</v>
      </c>
      <c r="C210" s="96" t="s">
        <v>264</v>
      </c>
      <c r="D210" s="100"/>
      <c r="E210" s="532"/>
      <c r="F210" s="519" t="str">
        <f>'Quick Input'!M32</f>
        <v>ohne</v>
      </c>
      <c r="G210" s="103"/>
      <c r="H210" s="103"/>
      <c r="I210" s="519" t="str">
        <f>'Quick Input'!P32</f>
        <v>ohne</v>
      </c>
      <c r="J210" s="10"/>
      <c r="K210" s="10"/>
      <c r="L210" s="519" t="str">
        <f>'Quick Input'!S32</f>
        <v>ohne</v>
      </c>
      <c r="M210" s="10"/>
      <c r="N210" s="10"/>
      <c r="O210" s="519"/>
      <c r="P210" s="4"/>
      <c r="Q210" s="4"/>
      <c r="R210" s="519"/>
      <c r="S210" s="4"/>
      <c r="T210" s="4"/>
      <c r="U210" s="522"/>
      <c r="V210" s="5"/>
    </row>
    <row r="211" spans="2:24" ht="15" thickBot="1" x14ac:dyDescent="0.25">
      <c r="B211" s="466">
        <v>38</v>
      </c>
      <c r="C211" s="97" t="s">
        <v>265</v>
      </c>
      <c r="D211" s="102"/>
      <c r="E211" s="534"/>
      <c r="F211" s="343">
        <f>30*VLOOKUP(F$19,DB_Länder,10,FALSE)</f>
        <v>0</v>
      </c>
      <c r="G211" s="13"/>
      <c r="H211" s="13"/>
      <c r="I211" s="343">
        <f>30*VLOOKUP(I$19,DB_Länder,10,FALSE)</f>
        <v>-0.15</v>
      </c>
      <c r="J211" s="13"/>
      <c r="K211" s="13"/>
      <c r="L211" s="343">
        <f>30*VLOOKUP(L$19,DB_Länder,10,FALSE)</f>
        <v>0</v>
      </c>
      <c r="M211" s="13"/>
      <c r="N211" s="13"/>
      <c r="O211" s="343"/>
      <c r="P211" s="13"/>
      <c r="Q211" s="13"/>
      <c r="R211" s="343"/>
      <c r="S211" s="13"/>
      <c r="T211" s="13"/>
      <c r="U211" s="343"/>
      <c r="V211" s="11"/>
    </row>
    <row r="212" spans="2:24" ht="15" x14ac:dyDescent="0.25">
      <c r="B212" s="466">
        <v>37</v>
      </c>
      <c r="C212" s="95" t="s">
        <v>791</v>
      </c>
      <c r="D212" s="100"/>
      <c r="E212" s="529"/>
      <c r="F212" s="616">
        <f>IFERROR(IF(Refkalkulation!H$68=0,('Länder-DB'!$I$49/1.5+F213+F214+F215+F216)*IF(F204&gt;0,1-'Länder-DB'!$I$47,1),Refkalkulation!H$68),0)</f>
        <v>0</v>
      </c>
      <c r="G212" s="418"/>
      <c r="H212" s="419"/>
      <c r="I212" s="616">
        <f>IFERROR(IF(Refkalkulation!K$68=0,('Länder-DB'!$I$49/1.5+I213+I214+I215+I216)*IF(I204&gt;0,1-'Länder-DB'!$I$47,1),Refkalkulation!K$68),0)</f>
        <v>0</v>
      </c>
      <c r="J212" s="418"/>
      <c r="K212" s="419"/>
      <c r="L212" s="616">
        <f>IFERROR(IF(Refkalkulation!N$68=0,('Länder-DB'!$I$49/1.5+L213+L214+L215+L216)*IF(L204&gt;0,1-'Länder-DB'!$I$47,1),Refkalkulation!N$68),0)</f>
        <v>0</v>
      </c>
      <c r="M212" s="418"/>
      <c r="N212" s="419"/>
      <c r="O212" s="616"/>
      <c r="P212" s="418"/>
      <c r="Q212" s="419"/>
      <c r="R212" s="616"/>
      <c r="S212" s="418"/>
      <c r="T212" s="419"/>
      <c r="U212" s="616"/>
      <c r="V212" s="11"/>
      <c r="X212" s="503"/>
    </row>
    <row r="213" spans="2:24" x14ac:dyDescent="0.2">
      <c r="B213" s="466">
        <v>37</v>
      </c>
      <c r="C213" s="96" t="s">
        <v>123</v>
      </c>
      <c r="D213" s="100">
        <v>1</v>
      </c>
      <c r="E213" s="532"/>
      <c r="F213" s="153">
        <f>(VLOOKUP('Quick Input'!M$50,Auswahlfelder!$D$26:$E$28,2,FALSE)-2)*0.25%</f>
        <v>0</v>
      </c>
      <c r="G213" s="903"/>
      <c r="H213" s="904"/>
      <c r="I213" s="153">
        <f>(VLOOKUP('Quick Input'!P$50,Auswahlfelder!$D$26:$E$28,2,FALSE)-2)*0.25%</f>
        <v>0</v>
      </c>
      <c r="J213" s="903"/>
      <c r="K213" s="904"/>
      <c r="L213" s="153">
        <f>(VLOOKUP('Quick Input'!S$50,Auswahlfelder!$D$26:$E$28,2,FALSE)-2)*0.25%</f>
        <v>0</v>
      </c>
      <c r="M213" s="903"/>
      <c r="N213" s="904"/>
      <c r="O213" s="153"/>
      <c r="P213" s="903"/>
      <c r="Q213" s="904"/>
      <c r="R213" s="153"/>
      <c r="S213" s="903"/>
      <c r="T213" s="904"/>
      <c r="U213" s="153"/>
      <c r="V213" s="11"/>
    </row>
    <row r="214" spans="2:24" x14ac:dyDescent="0.2">
      <c r="B214" s="466">
        <v>37</v>
      </c>
      <c r="C214" s="96" t="s">
        <v>411</v>
      </c>
      <c r="D214" s="100">
        <v>1</v>
      </c>
      <c r="E214" s="532"/>
      <c r="F214" s="149">
        <f>(VLOOKUP('Quick Input'!M$21,Auswahlfelder!$D$16:$E$19,2,FALSE)-2)*0.2%</f>
        <v>2E-3</v>
      </c>
      <c r="G214" s="430"/>
      <c r="H214" s="431"/>
      <c r="I214" s="149">
        <f>(VLOOKUP('Quick Input'!P$21,Auswahlfelder!$D$16:$E$19,2,FALSE)-2)*0.2%</f>
        <v>2E-3</v>
      </c>
      <c r="J214" s="430"/>
      <c r="K214" s="431"/>
      <c r="L214" s="149">
        <f>(VLOOKUP('Quick Input'!S$21,Auswahlfelder!$D$16:$E$19,2,FALSE)-2)*0.2%</f>
        <v>0</v>
      </c>
      <c r="M214" s="430"/>
      <c r="N214" s="431"/>
      <c r="O214" s="149"/>
      <c r="P214" s="430"/>
      <c r="Q214" s="431"/>
      <c r="R214" s="149"/>
      <c r="S214" s="430"/>
      <c r="T214" s="431"/>
      <c r="U214" s="149"/>
      <c r="V214" s="11"/>
    </row>
    <row r="215" spans="2:24" x14ac:dyDescent="0.2">
      <c r="B215" s="466">
        <v>37</v>
      </c>
      <c r="C215" s="96" t="s">
        <v>413</v>
      </c>
      <c r="D215" s="100">
        <v>1</v>
      </c>
      <c r="E215" s="532"/>
      <c r="F215" s="149" t="e">
        <f>(VLOOKUP('Quick Input'!M$23,Auswahlfelder!$D$49:$E$51,2,FALSE)-1)*0.25%</f>
        <v>#N/A</v>
      </c>
      <c r="G215" s="420"/>
      <c r="H215" s="421"/>
      <c r="I215" s="149" t="e">
        <f>(VLOOKUP('Quick Input'!P$23,Auswahlfelder!$D$49:$E$51,2,FALSE)-1)*0.25%</f>
        <v>#N/A</v>
      </c>
      <c r="J215" s="420"/>
      <c r="K215" s="421"/>
      <c r="L215" s="149" t="e">
        <f>(VLOOKUP('Quick Input'!S$23,Auswahlfelder!$D$49:$E$51,2,FALSE)-1)*0.25%</f>
        <v>#N/A</v>
      </c>
      <c r="M215" s="420"/>
      <c r="N215" s="421"/>
      <c r="O215" s="149"/>
      <c r="P215" s="420"/>
      <c r="Q215" s="421"/>
      <c r="R215" s="149"/>
      <c r="S215" s="420"/>
      <c r="T215" s="421"/>
      <c r="U215" s="149"/>
      <c r="V215" s="11"/>
    </row>
    <row r="216" spans="2:24" ht="15" thickBot="1" x14ac:dyDescent="0.25">
      <c r="B216" s="466">
        <v>37</v>
      </c>
      <c r="C216" s="96" t="s">
        <v>348</v>
      </c>
      <c r="D216" s="102"/>
      <c r="E216" s="532"/>
      <c r="F216" s="149">
        <f>MIN(1.5%,6/F107*1.5%)</f>
        <v>8.9999999999999998E-4</v>
      </c>
      <c r="G216" s="420"/>
      <c r="H216" s="421"/>
      <c r="I216" s="149">
        <f>MIN(1.5%,6/I107*1.5%)</f>
        <v>8.9999999999999998E-4</v>
      </c>
      <c r="J216" s="420"/>
      <c r="K216" s="421"/>
      <c r="L216" s="149">
        <f>MIN(1.5%,6/L107*1.5%)</f>
        <v>8.9999999999999998E-4</v>
      </c>
      <c r="M216" s="420"/>
      <c r="N216" s="421"/>
      <c r="O216" s="149"/>
      <c r="P216" s="420"/>
      <c r="Q216" s="421"/>
      <c r="R216" s="149"/>
      <c r="S216" s="420"/>
      <c r="T216" s="421"/>
      <c r="U216" s="149"/>
      <c r="V216" s="11"/>
    </row>
    <row r="217" spans="2:24" ht="15" x14ac:dyDescent="0.25">
      <c r="B217" s="466">
        <v>37</v>
      </c>
      <c r="C217" s="95" t="s">
        <v>792</v>
      </c>
      <c r="D217" s="100" t="s">
        <v>94</v>
      </c>
      <c r="E217" s="535" t="s">
        <v>456</v>
      </c>
      <c r="F217" s="880">
        <f>IFERROR(IF(Refkalkulation!H$90=0,F218+F219+F220,Refkalkulation!H$90),0)</f>
        <v>0.02</v>
      </c>
      <c r="G217" s="881"/>
      <c r="H217" s="882"/>
      <c r="I217" s="880">
        <f>IFERROR(IF(Refkalkulation!K$90=0,I218+I219+I220,Refkalkulation!K$90),0)</f>
        <v>0.02</v>
      </c>
      <c r="J217" s="881"/>
      <c r="K217" s="882"/>
      <c r="L217" s="880">
        <f>IFERROR(IF(Refkalkulation!N$90=0,L218+L219+L220,Refkalkulation!N$90),0)</f>
        <v>0.02</v>
      </c>
      <c r="M217" s="881"/>
      <c r="N217" s="882"/>
      <c r="O217" s="880"/>
      <c r="P217" s="881"/>
      <c r="Q217" s="882"/>
      <c r="R217" s="880"/>
      <c r="S217" s="881"/>
      <c r="T217" s="882"/>
      <c r="U217" s="880"/>
      <c r="V217" s="11"/>
      <c r="X217" s="503"/>
    </row>
    <row r="218" spans="2:24" x14ac:dyDescent="0.2">
      <c r="B218" s="466">
        <v>37</v>
      </c>
      <c r="C218" s="96" t="s">
        <v>411</v>
      </c>
      <c r="D218" s="100" t="s">
        <v>388</v>
      </c>
      <c r="E218" s="530" t="s">
        <v>530</v>
      </c>
      <c r="F218" s="149">
        <f>0.5%+(VLOOKUP('Quick Input'!M$21,Auswahlfelder!$D$16:$E$19,2,FALSE)-2)*0.25%</f>
        <v>7.4999999999999997E-3</v>
      </c>
      <c r="G218" s="420"/>
      <c r="H218" s="421"/>
      <c r="I218" s="149">
        <f>0.5%+(VLOOKUP('Quick Input'!P$21,Auswahlfelder!$D$16:$E$19,2,FALSE)-2)*0.25%</f>
        <v>7.4999999999999997E-3</v>
      </c>
      <c r="J218" s="420"/>
      <c r="K218" s="421"/>
      <c r="L218" s="149">
        <f>0.5%+(VLOOKUP('Quick Input'!S$21,Auswahlfelder!$D$16:$E$19,2,FALSE)-2)*0.25%</f>
        <v>5.0000000000000001E-3</v>
      </c>
      <c r="M218" s="420"/>
      <c r="N218" s="421"/>
      <c r="O218" s="149"/>
      <c r="P218" s="420"/>
      <c r="Q218" s="421"/>
      <c r="R218" s="149"/>
      <c r="S218" s="420"/>
      <c r="T218" s="421"/>
      <c r="U218" s="149"/>
      <c r="V218" s="11"/>
    </row>
    <row r="219" spans="2:24" x14ac:dyDescent="0.2">
      <c r="B219" s="466">
        <v>37</v>
      </c>
      <c r="C219" s="96" t="s">
        <v>851</v>
      </c>
      <c r="D219" s="100" t="s">
        <v>388</v>
      </c>
      <c r="E219" s="530" t="s">
        <v>530</v>
      </c>
      <c r="F219" s="149">
        <f>IF('Quick Input'!M$26="ja",0.3%,0)+IF('Quick Input'!M$27="ja",0.1%,0)+IF('Quick Input'!M$28="ja",0.6%,0)</f>
        <v>4.0000000000000001E-3</v>
      </c>
      <c r="G219" s="420"/>
      <c r="H219" s="421"/>
      <c r="I219" s="149">
        <f>IF('Quick Input'!P$26="ja",0.3%,0)+IF('Quick Input'!P$27="ja",0.1%,0)+IF('Quick Input'!P$28="ja",0.6%,0)</f>
        <v>4.0000000000000001E-3</v>
      </c>
      <c r="J219" s="420"/>
      <c r="K219" s="421"/>
      <c r="L219" s="149">
        <f>IF('Quick Input'!S$26="ja",0.3%,0)+IF('Quick Input'!S$27="ja",0.1%,0)+IF('Quick Input'!S$28="ja",0.6%,0)</f>
        <v>4.0000000000000001E-3</v>
      </c>
      <c r="M219" s="420"/>
      <c r="N219" s="421"/>
      <c r="O219" s="149"/>
      <c r="P219" s="420"/>
      <c r="Q219" s="421"/>
      <c r="R219" s="149"/>
      <c r="S219" s="420"/>
      <c r="T219" s="421"/>
      <c r="U219" s="149"/>
      <c r="V219" s="11"/>
    </row>
    <row r="220" spans="2:24" ht="15" thickBot="1" x14ac:dyDescent="0.25">
      <c r="B220" s="466">
        <v>37</v>
      </c>
      <c r="C220" s="96" t="s">
        <v>348</v>
      </c>
      <c r="D220" s="100" t="s">
        <v>388</v>
      </c>
      <c r="E220" s="530" t="s">
        <v>530</v>
      </c>
      <c r="F220" s="149">
        <f>MIN(0.5%,3/F107*4%)</f>
        <v>1.1999999999999999E-3</v>
      </c>
      <c r="G220" s="420"/>
      <c r="H220" s="421"/>
      <c r="I220" s="149">
        <f>MIN(0.5%,3/I107*4%)</f>
        <v>1.1999999999999999E-3</v>
      </c>
      <c r="J220" s="420"/>
      <c r="K220" s="421"/>
      <c r="L220" s="149">
        <f>MIN(0.5%,3/L107*4%)</f>
        <v>1.1999999999999999E-3</v>
      </c>
      <c r="M220" s="420"/>
      <c r="N220" s="421"/>
      <c r="O220" s="149"/>
      <c r="P220" s="420"/>
      <c r="Q220" s="421"/>
      <c r="R220" s="149"/>
      <c r="S220" s="420"/>
      <c r="T220" s="421"/>
      <c r="U220" s="149"/>
      <c r="V220" s="11"/>
    </row>
    <row r="221" spans="2:24" ht="15.75" thickBot="1" x14ac:dyDescent="0.3">
      <c r="B221" s="466">
        <v>43</v>
      </c>
      <c r="C221" s="95" t="s">
        <v>793</v>
      </c>
      <c r="D221" s="98"/>
      <c r="E221" s="535" t="s">
        <v>456</v>
      </c>
      <c r="F221" s="616">
        <f>IF(Refkalkulation!H$121=0,'Länder-DB'!$I$33,Refkalkulation!H$121)</f>
        <v>0.12</v>
      </c>
      <c r="G221" s="7"/>
      <c r="H221" s="7"/>
      <c r="I221" s="616">
        <f>IF(Refkalkulation!K$121=0,'Länder-DB'!$I$33,Refkalkulation!K$121)</f>
        <v>0.12</v>
      </c>
      <c r="J221" s="7"/>
      <c r="K221" s="7"/>
      <c r="L221" s="616">
        <f>IF(Refkalkulation!N$121=0,'Länder-DB'!$I$33,Refkalkulation!N$121)</f>
        <v>0.12</v>
      </c>
      <c r="M221" s="7"/>
      <c r="N221" s="7"/>
      <c r="O221" s="616"/>
      <c r="P221" s="7"/>
      <c r="Q221" s="7"/>
      <c r="R221" s="616"/>
      <c r="S221" s="7"/>
      <c r="T221" s="7"/>
      <c r="U221" s="616"/>
      <c r="V221" s="11"/>
      <c r="X221" s="503"/>
    </row>
    <row r="222" spans="2:24" ht="15" x14ac:dyDescent="0.25">
      <c r="B222" s="510">
        <v>62</v>
      </c>
      <c r="C222" s="95" t="s">
        <v>518</v>
      </c>
      <c r="D222" s="98"/>
      <c r="E222" s="535" t="s">
        <v>456</v>
      </c>
      <c r="F222" s="208">
        <f>F$223*F$226/MIN(F$224,F$277/Refkalkulation!H$59)</f>
        <v>0</v>
      </c>
      <c r="G222" s="418"/>
      <c r="H222" s="419"/>
      <c r="I222" s="208">
        <f>I$223*I$226/MIN(I$224,I$277/Refkalkulation!K$59)</f>
        <v>0</v>
      </c>
      <c r="J222" s="418"/>
      <c r="K222" s="419"/>
      <c r="L222" s="208">
        <f>L$223*L$226/MIN(L$224,L$277/Refkalkulation!N$59)</f>
        <v>0</v>
      </c>
      <c r="M222" s="418"/>
      <c r="N222" s="419"/>
      <c r="O222" s="208"/>
      <c r="P222" s="418"/>
      <c r="Q222" s="419"/>
      <c r="R222" s="208"/>
      <c r="S222" s="418"/>
      <c r="T222" s="419"/>
      <c r="U222" s="208"/>
      <c r="V222" s="8"/>
      <c r="X222" s="503"/>
    </row>
    <row r="223" spans="2:24" x14ac:dyDescent="0.2">
      <c r="B223" s="466">
        <f>B222</f>
        <v>62</v>
      </c>
      <c r="C223" s="96" t="s">
        <v>588</v>
      </c>
      <c r="D223" s="100"/>
      <c r="E223" s="530" t="s">
        <v>455</v>
      </c>
      <c r="F223" s="210">
        <f>IFERROR(Refkalkulation!H$56*F$46,0)</f>
        <v>0</v>
      </c>
      <c r="G223" s="420"/>
      <c r="H223" s="421"/>
      <c r="I223" s="210">
        <f>IFERROR(Refkalkulation!K$56*I$46,0)</f>
        <v>0</v>
      </c>
      <c r="J223" s="420"/>
      <c r="K223" s="421"/>
      <c r="L223" s="210">
        <f>IFERROR(Refkalkulation!N$56*L$46,0)</f>
        <v>0</v>
      </c>
      <c r="M223" s="420"/>
      <c r="N223" s="421"/>
      <c r="O223" s="210"/>
      <c r="P223" s="420"/>
      <c r="Q223" s="421"/>
      <c r="R223" s="210"/>
      <c r="S223" s="420"/>
      <c r="T223" s="421"/>
      <c r="U223" s="210"/>
      <c r="V223" s="11"/>
      <c r="W223" s="479"/>
    </row>
    <row r="224" spans="2:24" ht="15" x14ac:dyDescent="0.25">
      <c r="B224" s="466">
        <f>B223</f>
        <v>62</v>
      </c>
      <c r="C224" s="96" t="s">
        <v>863</v>
      </c>
      <c r="D224" s="504">
        <v>8</v>
      </c>
      <c r="E224" s="530" t="s">
        <v>455</v>
      </c>
      <c r="F224" s="205">
        <f>'Länder-DB'!$M$51</f>
        <v>40</v>
      </c>
      <c r="G224" s="420"/>
      <c r="H224" s="421"/>
      <c r="I224" s="205">
        <f>'Länder-DB'!$M$51</f>
        <v>40</v>
      </c>
      <c r="J224" s="420"/>
      <c r="K224" s="421"/>
      <c r="L224" s="205">
        <f>'Länder-DB'!$M$51</f>
        <v>40</v>
      </c>
      <c r="M224" s="420"/>
      <c r="N224" s="421"/>
      <c r="O224" s="205"/>
      <c r="P224" s="420"/>
      <c r="Q224" s="421"/>
      <c r="R224" s="205"/>
      <c r="S224" s="420"/>
      <c r="T224" s="421"/>
      <c r="U224" s="205"/>
      <c r="V224" s="5"/>
    </row>
    <row r="225" spans="2:25" ht="15" x14ac:dyDescent="0.25">
      <c r="B225" s="466">
        <f>B224</f>
        <v>62</v>
      </c>
      <c r="C225" s="96" t="s">
        <v>587</v>
      </c>
      <c r="D225" s="504">
        <v>14</v>
      </c>
      <c r="E225" s="530" t="s">
        <v>586</v>
      </c>
      <c r="F225" s="729">
        <f>IF(F223=0,0,IFERROR(IF('Quick Input'!M22=Auswahlfelder!$D$38,$D$224,$D$225),0))</f>
        <v>0</v>
      </c>
      <c r="G225" s="420"/>
      <c r="H225" s="421"/>
      <c r="I225" s="729">
        <f>IF(I223=0,0,IFERROR(IF('Quick Input'!P22=Auswahlfelder!$D$38,$D$224,$D$225),0))</f>
        <v>0</v>
      </c>
      <c r="J225" s="420"/>
      <c r="K225" s="421"/>
      <c r="L225" s="729">
        <f>IF(L223=0,0,IFERROR(IF('Quick Input'!S22=Auswahlfelder!$D$38,$D$224,$D$225),0))</f>
        <v>0</v>
      </c>
      <c r="M225" s="420"/>
      <c r="N225" s="421"/>
      <c r="O225" s="729"/>
      <c r="P225" s="420"/>
      <c r="Q225" s="421"/>
      <c r="R225" s="729"/>
      <c r="S225" s="420"/>
      <c r="T225" s="421"/>
      <c r="U225" s="729"/>
      <c r="V225" s="5"/>
    </row>
    <row r="226" spans="2:25" ht="15" thickBot="1" x14ac:dyDescent="0.25">
      <c r="B226" s="511">
        <f>B224</f>
        <v>62</v>
      </c>
      <c r="C226" s="97" t="s">
        <v>519</v>
      </c>
      <c r="D226" s="102"/>
      <c r="E226" s="531" t="s">
        <v>455</v>
      </c>
      <c r="F226" s="644">
        <f>'Länder-DB'!$M$53*(1+18%*(VLOOKUP('Quick Input'!M$46,DB_Länder,5,FALSE)/'Länder-DB'!$E$2-1))</f>
        <v>3.08</v>
      </c>
      <c r="G226" s="422"/>
      <c r="H226" s="423"/>
      <c r="I226" s="644">
        <f>'Länder-DB'!$M$53*(1+18%*(VLOOKUP('Quick Input'!P$46,DB_Länder,5,FALSE)/'Länder-DB'!$E$2-1))</f>
        <v>2.6980511137162955</v>
      </c>
      <c r="J226" s="422"/>
      <c r="K226" s="423"/>
      <c r="L226" s="644">
        <f>'Länder-DB'!$M$53*(1+18%*(VLOOKUP('Quick Input'!S$46,DB_Länder,5,FALSE)/'Länder-DB'!$E$2-1))</f>
        <v>3.08</v>
      </c>
      <c r="M226" s="422"/>
      <c r="N226" s="423"/>
      <c r="O226" s="644"/>
      <c r="P226" s="422"/>
      <c r="Q226" s="423"/>
      <c r="R226" s="644"/>
      <c r="S226" s="422"/>
      <c r="T226" s="423"/>
      <c r="U226" s="644"/>
      <c r="V226" s="32"/>
    </row>
    <row r="227" spans="2:25" ht="15" x14ac:dyDescent="0.25">
      <c r="B227" s="17">
        <v>20</v>
      </c>
      <c r="C227" s="99" t="s">
        <v>766</v>
      </c>
      <c r="D227" s="100"/>
      <c r="E227" s="529" t="s">
        <v>456</v>
      </c>
      <c r="F227" s="851">
        <f>F229+F230+F231</f>
        <v>5.2999999999999999E-2</v>
      </c>
      <c r="G227" s="852"/>
      <c r="H227" s="852"/>
      <c r="I227" s="851">
        <f>I229+I230+I231</f>
        <v>0.1237</v>
      </c>
      <c r="J227" s="852"/>
      <c r="K227" s="852"/>
      <c r="L227" s="851">
        <f t="shared" ref="L227" si="2">L229+L230+L231</f>
        <v>5.2999999999999999E-2</v>
      </c>
      <c r="M227" s="852"/>
      <c r="N227" s="852"/>
      <c r="O227" s="851"/>
      <c r="P227" s="852"/>
      <c r="Q227" s="852"/>
      <c r="R227" s="851"/>
      <c r="S227" s="852"/>
      <c r="T227" s="852"/>
      <c r="U227" s="851"/>
      <c r="V227" s="11"/>
    </row>
    <row r="228" spans="2:25" x14ac:dyDescent="0.2">
      <c r="B228" s="466">
        <f>B227</f>
        <v>20</v>
      </c>
      <c r="C228" s="96" t="s">
        <v>764</v>
      </c>
      <c r="D228" s="100"/>
      <c r="E228" s="532" t="s">
        <v>530</v>
      </c>
      <c r="F228" s="455" t="str">
        <f>IFERROR(VLOOKUP(Refkalkulation!H29,Auswahlfelder!$D$71:$D$73,1,FALSE),VLOOKUP(Refkalkulation!H29,Auswahlfelder!$C$71:$D$73,2,FALSE))</f>
        <v>Gas</v>
      </c>
      <c r="G228" s="10"/>
      <c r="H228" s="10"/>
      <c r="I228" s="455" t="str">
        <f>IFERROR(VLOOKUP(Refkalkulation!K29,Auswahlfelder!$D$71:$D$73,1,FALSE),VLOOKUP(Refkalkulation!K29,Auswahlfelder!$C$71:$D$73,2,FALSE))</f>
        <v>Gas</v>
      </c>
      <c r="J228" s="10"/>
      <c r="K228" s="10"/>
      <c r="L228" s="455" t="str">
        <f>IFERROR(VLOOKUP(Refkalkulation!N29,Auswahlfelder!$D$71:$D$73,1,FALSE),VLOOKUP(Refkalkulation!N29,Auswahlfelder!$C$71:$D$73,2,FALSE))</f>
        <v>Gas</v>
      </c>
      <c r="M228" s="10"/>
      <c r="N228" s="10"/>
      <c r="O228" s="455"/>
      <c r="P228" s="10"/>
      <c r="Q228" s="10"/>
      <c r="R228" s="455"/>
      <c r="S228" s="10"/>
      <c r="T228" s="10"/>
      <c r="U228" s="455"/>
      <c r="V228" s="11"/>
    </row>
    <row r="229" spans="2:25" x14ac:dyDescent="0.2">
      <c r="B229" s="466">
        <f>B228</f>
        <v>20</v>
      </c>
      <c r="C229" s="96" t="s">
        <v>767</v>
      </c>
      <c r="D229" s="799"/>
      <c r="E229" s="532" t="s">
        <v>530</v>
      </c>
      <c r="F229" s="462">
        <f>IF(F$228=Auswahlfelder!$D71,VLOOKUP('Quick Input'!M$46,DB_Länder,9,FALSE),0)</f>
        <v>5.2999999999999999E-2</v>
      </c>
      <c r="G229" s="420"/>
      <c r="H229" s="421"/>
      <c r="I229" s="462">
        <f>IF(I$228=Auswahlfelder!$D71,VLOOKUP('Quick Input'!P$46,DB_Länder,9,FALSE),0)</f>
        <v>0.1237</v>
      </c>
      <c r="J229" s="420"/>
      <c r="K229" s="421"/>
      <c r="L229" s="462">
        <f>IF(L$228=Auswahlfelder!$D71,VLOOKUP('Quick Input'!S$46,DB_Länder,9,FALSE),0)</f>
        <v>5.2999999999999999E-2</v>
      </c>
      <c r="M229" s="420"/>
      <c r="N229" s="421"/>
      <c r="O229" s="462"/>
      <c r="P229" s="420"/>
      <c r="Q229" s="421"/>
      <c r="R229" s="462"/>
      <c r="S229" s="420"/>
      <c r="T229" s="421"/>
      <c r="U229" s="462"/>
      <c r="V229" s="11"/>
    </row>
    <row r="230" spans="2:25" x14ac:dyDescent="0.2">
      <c r="B230" s="466">
        <f>B229</f>
        <v>20</v>
      </c>
      <c r="C230" s="96" t="s">
        <v>768</v>
      </c>
      <c r="E230" s="532" t="s">
        <v>530</v>
      </c>
      <c r="F230" s="462">
        <f>IF(F$228=Auswahlfelder!$D72,VLOOKUP('Quick Input'!M$46,DB_Länder,7,FALSE),0)</f>
        <v>0</v>
      </c>
      <c r="G230" s="420"/>
      <c r="H230" s="421"/>
      <c r="I230" s="462">
        <f>IF(I$228=Auswahlfelder!$D72,VLOOKUP('Quick Input'!P$46,DB_Länder,7,FALSE),0)</f>
        <v>0</v>
      </c>
      <c r="J230" s="420"/>
      <c r="K230" s="421"/>
      <c r="L230" s="462">
        <f>IF(L$228=Auswahlfelder!$D72,VLOOKUP('Quick Input'!S$46,DB_Länder,7,FALSE),0)</f>
        <v>0</v>
      </c>
      <c r="M230" s="420"/>
      <c r="N230" s="421"/>
      <c r="O230" s="462"/>
      <c r="P230" s="420"/>
      <c r="Q230" s="421"/>
      <c r="R230" s="462"/>
      <c r="S230" s="420"/>
      <c r="T230" s="421"/>
      <c r="U230" s="462"/>
      <c r="V230" s="11"/>
    </row>
    <row r="231" spans="2:25" ht="15.75" thickBot="1" x14ac:dyDescent="0.3">
      <c r="B231" s="466">
        <f>B230</f>
        <v>20</v>
      </c>
      <c r="C231" s="96" t="s">
        <v>772</v>
      </c>
      <c r="D231" s="656">
        <f>11.8*1000</f>
        <v>11800</v>
      </c>
      <c r="E231" s="532"/>
      <c r="F231" s="462">
        <f>IF(F$228=Auswahlfelder!$D73,F237/$D$231,0)</f>
        <v>0</v>
      </c>
      <c r="G231" s="420"/>
      <c r="H231" s="421"/>
      <c r="I231" s="462">
        <f>IF(I$228=Auswahlfelder!$D73,I237/$D$231,0)</f>
        <v>0</v>
      </c>
      <c r="J231" s="420"/>
      <c r="K231" s="421"/>
      <c r="L231" s="462">
        <f>IF(L$228=Auswahlfelder!$D73,L237/$D$231,0)</f>
        <v>0</v>
      </c>
      <c r="M231" s="420"/>
      <c r="N231" s="421"/>
      <c r="O231" s="462"/>
      <c r="P231" s="420"/>
      <c r="Q231" s="421"/>
      <c r="R231" s="462"/>
      <c r="S231" s="420"/>
      <c r="T231" s="421"/>
      <c r="U231" s="462"/>
      <c r="V231" s="11"/>
    </row>
    <row r="232" spans="2:25" ht="15" x14ac:dyDescent="0.25">
      <c r="B232" s="1221">
        <v>54</v>
      </c>
      <c r="C232" s="95" t="s">
        <v>1040</v>
      </c>
      <c r="D232" s="100"/>
      <c r="E232" s="6"/>
      <c r="F232" s="161">
        <f>IF(F233,IF(F234&gt;0,1,0),0)</f>
        <v>1</v>
      </c>
      <c r="G232" s="435"/>
      <c r="H232" s="461"/>
      <c r="I232" s="161">
        <f>IF(I233,IF(I234&gt;0,1,0),0)</f>
        <v>1</v>
      </c>
      <c r="J232" s="435"/>
      <c r="K232" s="461"/>
      <c r="L232" s="161">
        <f>IF(L233,IF(L234&gt;0,1,0),0)</f>
        <v>1</v>
      </c>
      <c r="M232" s="435"/>
      <c r="N232" s="461"/>
      <c r="O232" s="161">
        <f>IF(O233,IF(O234&gt;0,1,0),0)</f>
        <v>0</v>
      </c>
      <c r="P232" s="435"/>
      <c r="Q232" s="461"/>
      <c r="R232" s="161">
        <f>IF(R233,IF(R234&gt;0,1,0),0)</f>
        <v>0</v>
      </c>
      <c r="S232" s="435"/>
      <c r="T232" s="461"/>
      <c r="U232" s="161">
        <f>IF(U233,IF(U234&gt;0,1,0),0)</f>
        <v>0</v>
      </c>
      <c r="V232" s="8"/>
      <c r="W232" s="718"/>
      <c r="X232" s="718"/>
      <c r="Y232" s="718"/>
    </row>
    <row r="233" spans="2:25" x14ac:dyDescent="0.2">
      <c r="B233" s="1222">
        <f>B232</f>
        <v>54</v>
      </c>
      <c r="C233" s="96" t="s">
        <v>1041</v>
      </c>
      <c r="D233" s="100"/>
      <c r="E233" s="9"/>
      <c r="F233" s="1223">
        <f>IF(VLOOKUP(F53,Auswahlfelder!$D$36:$E$38,2,FALSE)=1,1,IF(VLOOKUP('Quick Input'!M$23,Auswahlfelder!$D$41:$E$47,2,FALSE)&gt;2,1,0))</f>
        <v>1</v>
      </c>
      <c r="G233" s="445"/>
      <c r="H233" s="446"/>
      <c r="I233" s="1223">
        <f>IF(VLOOKUP(I53,Auswahlfelder!$D$36:$E$38,2,FALSE)=1,1,IF(VLOOKUP('Quick Input'!P$23,Auswahlfelder!$D$41:$E$47,2,FALSE)&gt;2,1,0))</f>
        <v>1</v>
      </c>
      <c r="J233" s="445"/>
      <c r="K233" s="446"/>
      <c r="L233" s="1223">
        <f>IF(VLOOKUP(L53,Auswahlfelder!$D$36:$E$38,2,FALSE)=1,1,IF(VLOOKUP('Quick Input'!S$23,Auswahlfelder!$D$81:$E$87,2,FALSE)&gt;2,1,0))</f>
        <v>1</v>
      </c>
      <c r="M233" s="445"/>
      <c r="N233" s="446"/>
      <c r="O233" s="1223">
        <f>IF(VLOOKUP(O53,[3]Auswahlfelder!$D$36:$E$38,2,FALSE)=1,1,IF(VLOOKUP('[3]Quick Input'!V$23,[3]Auswahlfelder!$D$41:$E$47,2,FALSE)&gt;2,1,0))</f>
        <v>1</v>
      </c>
      <c r="P233" s="445"/>
      <c r="Q233" s="446"/>
      <c r="R233" s="1223">
        <f>IF(VLOOKUP(R53,[3]Auswahlfelder!$D$36:$E$38,2,FALSE)=1,1,IF(VLOOKUP('[3]Quick Input'!Y$23,[3]Auswahlfelder!$D$41:$E$47,2,FALSE)&gt;2,1,0))</f>
        <v>1</v>
      </c>
      <c r="S233" s="445"/>
      <c r="T233" s="446"/>
      <c r="U233" s="1223">
        <f>IF(VLOOKUP(U53,[3]Auswahlfelder!$D$36:$E$38,2,FALSE)=1,1,IF(VLOOKUP('[3]Quick Input'!AB$23,[3]Auswahlfelder!$D$41:$E$47,2,FALSE)&gt;2,1,0))</f>
        <v>1</v>
      </c>
      <c r="V233" s="11"/>
      <c r="W233" s="718"/>
      <c r="X233" s="718"/>
      <c r="Y233" s="718"/>
    </row>
    <row r="234" spans="2:25" x14ac:dyDescent="0.2">
      <c r="B234" s="1222">
        <f>B233</f>
        <v>54</v>
      </c>
      <c r="C234" s="96" t="s">
        <v>1042</v>
      </c>
      <c r="D234" s="100"/>
      <c r="E234" s="9"/>
      <c r="F234" s="1223">
        <f>VLOOKUP('Quick Input'!M$21,Auswahlfelder!$D$16:$E$19,2,FALSE)-1</f>
        <v>2</v>
      </c>
      <c r="G234" s="445"/>
      <c r="H234" s="446"/>
      <c r="I234" s="1223">
        <f>VLOOKUP('Quick Input'!P$21,Auswahlfelder!$D$16:$E$19,2,FALSE)-1</f>
        <v>2</v>
      </c>
      <c r="J234" s="445"/>
      <c r="K234" s="446"/>
      <c r="L234" s="1223">
        <f>VLOOKUP('Quick Input'!S$21,Auswahlfelder!$D$16:$E$19,2,FALSE)-1</f>
        <v>1</v>
      </c>
      <c r="M234" s="445"/>
      <c r="N234" s="446"/>
      <c r="O234" s="1223">
        <f>VLOOKUP('[3]Quick Input'!V$21,[3]Auswahlfelder!$D$16:$E$19,2,FALSE)-1</f>
        <v>0</v>
      </c>
      <c r="P234" s="445"/>
      <c r="Q234" s="446"/>
      <c r="R234" s="1223">
        <f>VLOOKUP('[3]Quick Input'!Y$21,[3]Auswahlfelder!$D$16:$E$19,2,FALSE)-1</f>
        <v>0</v>
      </c>
      <c r="S234" s="445"/>
      <c r="T234" s="446"/>
      <c r="U234" s="1223">
        <f>VLOOKUP('[3]Quick Input'!AB$21,[3]Auswahlfelder!$D$16:$E$19,2,FALSE)-1</f>
        <v>0</v>
      </c>
      <c r="V234" s="11"/>
      <c r="W234" s="718"/>
      <c r="X234" s="718"/>
      <c r="Y234" s="718"/>
    </row>
    <row r="235" spans="2:25" x14ac:dyDescent="0.2">
      <c r="B235" s="1222">
        <f>B234</f>
        <v>54</v>
      </c>
      <c r="C235" s="96" t="s">
        <v>1043</v>
      </c>
      <c r="D235" s="1224">
        <v>0.6</v>
      </c>
      <c r="E235" s="9"/>
      <c r="F235" s="1225">
        <f>ROUND(IF(F234&gt;1,(F234-0.5)/2,0),0)*$D235*F29</f>
        <v>30</v>
      </c>
      <c r="G235" s="445"/>
      <c r="H235" s="446"/>
      <c r="I235" s="1225">
        <f>ROUND(IF(I234&gt;1,(I234-0.5)/2,0),0)*$D235*I29</f>
        <v>30</v>
      </c>
      <c r="J235" s="445"/>
      <c r="K235" s="446"/>
      <c r="L235" s="1225">
        <f>ROUND(IF(L234&gt;1,(L234-0.5)/2,0),0)*$D235*L29</f>
        <v>0</v>
      </c>
      <c r="M235" s="445"/>
      <c r="N235" s="446"/>
      <c r="O235" s="1225">
        <f>ROUND(IF(O234&gt;1,(O234-0.5)/2,0),0)*$D235*O34</f>
        <v>0</v>
      </c>
      <c r="P235" s="445"/>
      <c r="Q235" s="446"/>
      <c r="R235" s="1225">
        <f>ROUND(IF(R234&gt;1,(R234-0.5)/2,0),0)*$D235*R34</f>
        <v>0</v>
      </c>
      <c r="S235" s="445"/>
      <c r="T235" s="446"/>
      <c r="U235" s="1225">
        <f>ROUND(IF(U234&gt;1,(U234-0.5)/2,0),0)*$D235*U34</f>
        <v>0</v>
      </c>
      <c r="V235" s="11"/>
      <c r="W235" s="718"/>
      <c r="X235" s="718"/>
      <c r="Y235" s="718"/>
    </row>
    <row r="236" spans="2:25" ht="15" thickBot="1" x14ac:dyDescent="0.25">
      <c r="B236" s="714">
        <v>54</v>
      </c>
      <c r="C236" s="97" t="s">
        <v>1044</v>
      </c>
      <c r="D236" s="1226">
        <v>0.75</v>
      </c>
      <c r="E236" s="12"/>
      <c r="F236" s="1227">
        <f>ROUND(IF(F234&gt;0,(F234+1)/2,0),0)*$D236*F30</f>
        <v>60</v>
      </c>
      <c r="G236" s="422"/>
      <c r="H236" s="423"/>
      <c r="I236" s="1227">
        <f>ROUND(IF(I234&gt;0,(I234+1)/2,0),0)*$D236*I30</f>
        <v>60</v>
      </c>
      <c r="J236" s="422"/>
      <c r="K236" s="423"/>
      <c r="L236" s="1227">
        <f>ROUND(IF(L234&gt;0,(L234+1)/2,0),0)*$D236*L30</f>
        <v>30</v>
      </c>
      <c r="M236" s="422"/>
      <c r="N236" s="423"/>
      <c r="O236" s="1227">
        <f>ROUND(IF(O234&gt;0,(O234+1)/2,0),0)*$D236*O35</f>
        <v>0</v>
      </c>
      <c r="P236" s="422"/>
      <c r="Q236" s="423"/>
      <c r="R236" s="1227">
        <f>ROUND(IF(R234&gt;0,(R234+1)/2,0),0)*$D236*R35</f>
        <v>0</v>
      </c>
      <c r="S236" s="422"/>
      <c r="T236" s="423"/>
      <c r="U236" s="1227">
        <f>ROUND(IF(U234&gt;0,(U234+1)/2,0),0)*$D236*U35</f>
        <v>0</v>
      </c>
      <c r="V236" s="126"/>
      <c r="W236" s="718"/>
      <c r="X236" s="718"/>
      <c r="Y236" s="718"/>
    </row>
    <row r="237" spans="2:25" ht="15" thickBot="1" x14ac:dyDescent="0.25">
      <c r="B237" s="511">
        <f>B231</f>
        <v>20</v>
      </c>
      <c r="C237" s="97" t="s">
        <v>773</v>
      </c>
      <c r="D237" s="870">
        <v>135</v>
      </c>
      <c r="E237" s="533" t="s">
        <v>530</v>
      </c>
      <c r="F237" s="458">
        <f>IFERROR(VLOOKUP("Heizöl",#REF!,4,FALSE),VLOOKUP("Heizöl",'Länder-DB'!$A$20:$B$51,2,FALSE))+$D$237</f>
        <v>568</v>
      </c>
      <c r="G237" s="422"/>
      <c r="H237" s="423"/>
      <c r="I237" s="458">
        <f>IFERROR(VLOOKUP("Heizöl",#REF!,4,FALSE),VLOOKUP("Heizöl",'Länder-DB'!$A$20:$B$51,2,FALSE))+$D$237</f>
        <v>568</v>
      </c>
      <c r="J237" s="422"/>
      <c r="K237" s="423"/>
      <c r="L237" s="458">
        <f>IFERROR(VLOOKUP("Heizöl",#REF!,4,FALSE),VLOOKUP("Heizöl",'Länder-DB'!$A$20:$B$51,2,FALSE))+$D$237</f>
        <v>568</v>
      </c>
      <c r="M237" s="422"/>
      <c r="N237" s="423"/>
      <c r="O237" s="458"/>
      <c r="P237" s="422"/>
      <c r="Q237" s="423"/>
      <c r="R237" s="458"/>
      <c r="S237" s="422"/>
      <c r="T237" s="423"/>
      <c r="U237" s="458"/>
      <c r="V237" s="126"/>
      <c r="X237" s="503"/>
    </row>
    <row r="238" spans="2:25" ht="15" x14ac:dyDescent="0.25">
      <c r="B238" s="539">
        <v>20</v>
      </c>
      <c r="C238" s="95" t="s">
        <v>852</v>
      </c>
      <c r="D238" s="98"/>
      <c r="E238" s="535" t="s">
        <v>456</v>
      </c>
      <c r="F238" s="161">
        <f>VLOOKUP(F$118,DB_Ofen,7,FALSE)</f>
        <v>400</v>
      </c>
      <c r="G238" s="435"/>
      <c r="H238" s="419"/>
      <c r="I238" s="161">
        <f>VLOOKUP(I$118,DB_Ofen,7,FALSE)</f>
        <v>400</v>
      </c>
      <c r="J238" s="435"/>
      <c r="K238" s="419"/>
      <c r="L238" s="161">
        <f>VLOOKUP(L$118,DB_Ofen,7,FALSE)</f>
        <v>400</v>
      </c>
      <c r="M238" s="435"/>
      <c r="N238" s="419"/>
      <c r="O238" s="161"/>
      <c r="P238" s="435"/>
      <c r="Q238" s="419"/>
      <c r="R238" s="161"/>
      <c r="S238" s="435"/>
      <c r="T238" s="419"/>
      <c r="U238" s="161"/>
      <c r="V238" s="8"/>
      <c r="X238" s="503"/>
    </row>
    <row r="239" spans="2:25" x14ac:dyDescent="0.2">
      <c r="B239" s="538">
        <f>B238</f>
        <v>20</v>
      </c>
      <c r="C239" s="96" t="s">
        <v>853</v>
      </c>
      <c r="D239" s="100"/>
      <c r="E239" s="530" t="s">
        <v>456</v>
      </c>
      <c r="F239" s="587">
        <f>VLOOKUP(F$118+1,DB_Ofen,7,FALSE)</f>
        <v>2000</v>
      </c>
      <c r="G239" s="420"/>
      <c r="H239" s="421"/>
      <c r="I239" s="587">
        <f>VLOOKUP(I$118+1,DB_Ofen,7,FALSE)</f>
        <v>2000</v>
      </c>
      <c r="J239" s="420"/>
      <c r="K239" s="421"/>
      <c r="L239" s="587">
        <f>VLOOKUP(L$118+1,DB_Ofen,7,FALSE)</f>
        <v>2000</v>
      </c>
      <c r="M239" s="420"/>
      <c r="N239" s="421"/>
      <c r="O239" s="587"/>
      <c r="P239" s="420"/>
      <c r="Q239" s="421"/>
      <c r="R239" s="587"/>
      <c r="S239" s="420"/>
      <c r="T239" s="421"/>
      <c r="U239" s="587"/>
      <c r="V239" s="11"/>
    </row>
    <row r="240" spans="2:25" x14ac:dyDescent="0.2">
      <c r="B240" s="538">
        <f t="shared" ref="B240:B241" si="3">B239</f>
        <v>20</v>
      </c>
      <c r="C240" s="96" t="s">
        <v>854</v>
      </c>
      <c r="D240" s="100"/>
      <c r="E240" s="530" t="s">
        <v>456</v>
      </c>
      <c r="F240" s="587">
        <f>VLOOKUP(F$118+2,DB_Ofen,7,FALSE)</f>
        <v>3000</v>
      </c>
      <c r="G240" s="445"/>
      <c r="H240" s="446"/>
      <c r="I240" s="587">
        <f>VLOOKUP(I$118+2,DB_Ofen,7,FALSE)</f>
        <v>3000</v>
      </c>
      <c r="J240" s="445"/>
      <c r="K240" s="446"/>
      <c r="L240" s="587">
        <f>VLOOKUP(L$118+2,DB_Ofen,7,FALSE)</f>
        <v>3000</v>
      </c>
      <c r="M240" s="445"/>
      <c r="N240" s="446"/>
      <c r="O240" s="587"/>
      <c r="P240" s="445"/>
      <c r="Q240" s="446"/>
      <c r="R240" s="587"/>
      <c r="S240" s="445"/>
      <c r="T240" s="446"/>
      <c r="U240" s="587"/>
      <c r="V240" s="11"/>
    </row>
    <row r="241" spans="2:27" ht="15" thickBot="1" x14ac:dyDescent="0.25">
      <c r="B241" s="891">
        <f t="shared" si="3"/>
        <v>20</v>
      </c>
      <c r="C241" s="97" t="s">
        <v>855</v>
      </c>
      <c r="D241" s="102"/>
      <c r="E241" s="531" t="s">
        <v>456</v>
      </c>
      <c r="F241" s="977">
        <f>IFERROR(VLOOKUP(F$118+3,DB_Ofen,7,FALSE),"")</f>
        <v>5000</v>
      </c>
      <c r="G241" s="459"/>
      <c r="H241" s="460"/>
      <c r="I241" s="977">
        <f>IFERROR(VLOOKUP(I$118+3,DB_Ofen,7,FALSE),"")</f>
        <v>5000</v>
      </c>
      <c r="J241" s="459"/>
      <c r="K241" s="460"/>
      <c r="L241" s="977">
        <f>IFERROR(VLOOKUP(L$118+3,DB_Ofen,7,FALSE),"")</f>
        <v>5000</v>
      </c>
      <c r="M241" s="459"/>
      <c r="N241" s="460"/>
      <c r="O241" s="977"/>
      <c r="P241" s="459"/>
      <c r="Q241" s="460"/>
      <c r="R241" s="977"/>
      <c r="S241" s="459"/>
      <c r="T241" s="460"/>
      <c r="U241" s="977"/>
      <c r="V241" s="126"/>
    </row>
    <row r="242" spans="2:27" ht="15" x14ac:dyDescent="0.25">
      <c r="B242" s="466">
        <v>63</v>
      </c>
      <c r="C242" s="95" t="s">
        <v>659</v>
      </c>
      <c r="D242" s="100"/>
      <c r="E242" s="529" t="s">
        <v>456</v>
      </c>
      <c r="F242" s="345">
        <f>F243+F244/60*F21</f>
        <v>13.884145</v>
      </c>
      <c r="G242" s="435"/>
      <c r="H242" s="419"/>
      <c r="I242" s="345">
        <f>I243+I244/60*I21</f>
        <v>9.4911577999999999</v>
      </c>
      <c r="J242" s="435"/>
      <c r="K242" s="419"/>
      <c r="L242" s="345">
        <f>L243+L244/60*L21</f>
        <v>13.884145</v>
      </c>
      <c r="M242" s="435"/>
      <c r="N242" s="419"/>
      <c r="O242" s="345"/>
      <c r="P242" s="435"/>
      <c r="Q242" s="419"/>
      <c r="R242" s="345"/>
      <c r="S242" s="435"/>
      <c r="T242" s="419"/>
      <c r="U242" s="345"/>
      <c r="V242" s="8"/>
      <c r="W242" s="718"/>
      <c r="X242" s="503"/>
    </row>
    <row r="243" spans="2:27" x14ac:dyDescent="0.2">
      <c r="B243" s="466">
        <f t="shared" ref="B243:B246" si="4">B242</f>
        <v>63</v>
      </c>
      <c r="C243" s="96" t="s">
        <v>662</v>
      </c>
      <c r="D243" s="798"/>
      <c r="E243" s="530" t="s">
        <v>455</v>
      </c>
      <c r="F243" s="455">
        <f>'Länder-DB'!$M$41</f>
        <v>8</v>
      </c>
      <c r="G243" s="420"/>
      <c r="H243" s="421"/>
      <c r="I243" s="455">
        <f>'Länder-DB'!$M$41</f>
        <v>8</v>
      </c>
      <c r="J243" s="420"/>
      <c r="K243" s="421"/>
      <c r="L243" s="455">
        <f>'Länder-DB'!$M$41</f>
        <v>8</v>
      </c>
      <c r="M243" s="420"/>
      <c r="N243" s="421"/>
      <c r="O243" s="455"/>
      <c r="P243" s="420"/>
      <c r="Q243" s="421"/>
      <c r="R243" s="455"/>
      <c r="S243" s="420"/>
      <c r="T243" s="421"/>
      <c r="U243" s="455"/>
      <c r="V243" s="11"/>
    </row>
    <row r="244" spans="2:27" x14ac:dyDescent="0.2">
      <c r="B244" s="466">
        <f t="shared" si="4"/>
        <v>63</v>
      </c>
      <c r="C244" s="96" t="s">
        <v>661</v>
      </c>
      <c r="D244" s="799"/>
      <c r="E244" s="530" t="s">
        <v>455</v>
      </c>
      <c r="F244" s="444">
        <f>'Länder-DB'!$M$45</f>
        <v>12</v>
      </c>
      <c r="G244" s="420"/>
      <c r="H244" s="421"/>
      <c r="I244" s="444">
        <f>'Länder-DB'!$M$45</f>
        <v>12</v>
      </c>
      <c r="J244" s="420"/>
      <c r="K244" s="421"/>
      <c r="L244" s="444">
        <f>'Länder-DB'!$M$45</f>
        <v>12</v>
      </c>
      <c r="M244" s="420"/>
      <c r="N244" s="421"/>
      <c r="O244" s="444"/>
      <c r="P244" s="420"/>
      <c r="Q244" s="421"/>
      <c r="R244" s="444"/>
      <c r="S244" s="420"/>
      <c r="T244" s="421"/>
      <c r="U244" s="444"/>
      <c r="V244" s="11"/>
      <c r="X244" s="503"/>
    </row>
    <row r="245" spans="2:27" x14ac:dyDescent="0.2">
      <c r="B245" s="466">
        <f t="shared" si="4"/>
        <v>63</v>
      </c>
      <c r="C245" s="96" t="s">
        <v>660</v>
      </c>
      <c r="D245" s="799"/>
      <c r="E245" s="530" t="s">
        <v>456</v>
      </c>
      <c r="F245" s="444">
        <f>ROUND('Länder-DB'!$M$43*(1+F246),1)</f>
        <v>14.8</v>
      </c>
      <c r="G245" s="445"/>
      <c r="H245" s="446"/>
      <c r="I245" s="444">
        <f>ROUND('Länder-DB'!$M$43*(1+I246),1)</f>
        <v>25.4</v>
      </c>
      <c r="J245" s="445"/>
      <c r="K245" s="446"/>
      <c r="L245" s="444">
        <f>ROUND('Länder-DB'!$M$43*(1+L246),1)</f>
        <v>25.4</v>
      </c>
      <c r="M245" s="445"/>
      <c r="N245" s="446"/>
      <c r="O245" s="444"/>
      <c r="P245" s="445"/>
      <c r="Q245" s="446"/>
      <c r="R245" s="444"/>
      <c r="S245" s="445"/>
      <c r="T245" s="446"/>
      <c r="U245" s="444"/>
      <c r="V245" s="11"/>
    </row>
    <row r="246" spans="2:27" ht="15" thickBot="1" x14ac:dyDescent="0.25">
      <c r="B246" s="511">
        <f t="shared" si="4"/>
        <v>63</v>
      </c>
      <c r="C246" s="97" t="s">
        <v>664</v>
      </c>
      <c r="D246" s="102"/>
      <c r="E246" s="531" t="s">
        <v>586</v>
      </c>
      <c r="F246" s="800">
        <f>0.08*(-6+F23/4%+6%/VLOOKUP('Quick Input'!M$10,'Material-DB'!$A$4:$R$37,18,FALSE))</f>
        <v>-0.26233333333333336</v>
      </c>
      <c r="G246" s="459"/>
      <c r="H246" s="460"/>
      <c r="I246" s="800">
        <f>0.08*(-6+I23/4%+6%/VLOOKUP('Quick Input'!P$10,'Material-DB'!$A$4:$R$37,18,FALSE))</f>
        <v>0.27100000000000002</v>
      </c>
      <c r="J246" s="459"/>
      <c r="K246" s="460"/>
      <c r="L246" s="800">
        <f>0.08*(-6+L23/4%+6%/VLOOKUP('Quick Input'!S$10,'Material-DB'!$A$4:$R$37,18,FALSE))</f>
        <v>0.27100000000000002</v>
      </c>
      <c r="M246" s="459"/>
      <c r="N246" s="460"/>
      <c r="O246" s="800"/>
      <c r="P246" s="459"/>
      <c r="Q246" s="460"/>
      <c r="R246" s="800"/>
      <c r="S246" s="459"/>
      <c r="T246" s="460"/>
      <c r="U246" s="800"/>
      <c r="V246" s="126"/>
      <c r="AA246" s="503"/>
    </row>
    <row r="247" spans="2:27" ht="15" x14ac:dyDescent="0.25">
      <c r="B247" s="466" t="s">
        <v>69</v>
      </c>
      <c r="C247" s="95" t="s">
        <v>814</v>
      </c>
      <c r="D247" s="100"/>
      <c r="E247" s="535" t="s">
        <v>456</v>
      </c>
      <c r="F247" s="851">
        <f>IFERROR((F251/60*F254*2)/Refkalkulation!H$65,0)</f>
        <v>0</v>
      </c>
      <c r="G247" s="852"/>
      <c r="H247" s="852"/>
      <c r="I247" s="851">
        <f>IFERROR((I251/60*I254*2)/Refkalkulation!K$65,0)</f>
        <v>0</v>
      </c>
      <c r="J247" s="852"/>
      <c r="K247" s="852"/>
      <c r="L247" s="851">
        <f>IFERROR((L251/60*L254*2)/Refkalkulation!N$65,0)</f>
        <v>0</v>
      </c>
      <c r="M247" s="852"/>
      <c r="N247" s="852"/>
      <c r="O247" s="851"/>
      <c r="P247" s="852"/>
      <c r="Q247" s="852"/>
      <c r="R247" s="851"/>
      <c r="S247" s="852"/>
      <c r="T247" s="852"/>
      <c r="U247" s="851"/>
      <c r="V247" s="8"/>
      <c r="W247" s="718"/>
      <c r="X247" s="503"/>
    </row>
    <row r="248" spans="2:27" x14ac:dyDescent="0.2">
      <c r="B248" s="466" t="str">
        <f t="shared" ref="B248:B256" si="5">B247</f>
        <v>?</v>
      </c>
      <c r="C248" s="96" t="s">
        <v>819</v>
      </c>
      <c r="D248" s="100"/>
      <c r="E248" s="530" t="s">
        <v>455</v>
      </c>
      <c r="F248" s="444" t="str">
        <f>IF('Quick Input'!M$23=Auswahlfelder!$D$51,Auswahlfelder!$D$54,VLOOKUP('Quick Input'!M$25,Auswahlfelder!$D$54:$E$57,1,FALSE))</f>
        <v>BeachBox</v>
      </c>
      <c r="G248" s="445"/>
      <c r="H248" s="446"/>
      <c r="I248" s="444" t="str">
        <f>IF('Quick Input'!P$23=Auswahlfelder!$D$51,Auswahlfelder!$D$54,VLOOKUP('Quick Input'!P$25,Auswahlfelder!$D$54:$E$57,1,FALSE))</f>
        <v>Hot Box</v>
      </c>
      <c r="J248" s="445"/>
      <c r="K248" s="446"/>
      <c r="L248" s="444" t="str">
        <f>IF('Quick Input'!S$23=Auswahlfelder!$D$51,Auswahlfelder!$D$54,VLOOKUP('Quick Input'!S$25,Auswahlfelder!$D$54:$E$57,1,FALSE))</f>
        <v>Co2-Kerne</v>
      </c>
      <c r="M248" s="445"/>
      <c r="N248" s="446"/>
      <c r="O248" s="444"/>
      <c r="P248" s="445"/>
      <c r="Q248" s="446"/>
      <c r="R248" s="444"/>
      <c r="S248" s="445"/>
      <c r="T248" s="446"/>
      <c r="U248" s="444"/>
      <c r="V248" s="11"/>
    </row>
    <row r="249" spans="2:27" x14ac:dyDescent="0.2">
      <c r="B249" s="466" t="str">
        <f t="shared" si="5"/>
        <v>?</v>
      </c>
      <c r="C249" s="96" t="s">
        <v>820</v>
      </c>
      <c r="D249" s="100"/>
      <c r="E249" s="530" t="s">
        <v>455</v>
      </c>
      <c r="F249" s="887">
        <f>VLOOKUP(F248,Auswahlfelder!$D$54:$E$57,2,FALSE)</f>
        <v>4</v>
      </c>
      <c r="G249" s="445"/>
      <c r="H249" s="446"/>
      <c r="I249" s="887">
        <f>VLOOKUP(I248,Auswahlfelder!$D$54:$E$57,2,FALSE)</f>
        <v>2</v>
      </c>
      <c r="J249" s="445"/>
      <c r="K249" s="446"/>
      <c r="L249" s="887">
        <f>VLOOKUP(L248,Auswahlfelder!$D$54:$E$57,2,FALSE)</f>
        <v>3</v>
      </c>
      <c r="M249" s="445"/>
      <c r="N249" s="446"/>
      <c r="O249" s="887"/>
      <c r="P249" s="445"/>
      <c r="Q249" s="446"/>
      <c r="R249" s="887"/>
      <c r="S249" s="445"/>
      <c r="T249" s="446"/>
      <c r="U249" s="887"/>
      <c r="V249" s="11"/>
      <c r="Z249" s="1158"/>
    </row>
    <row r="250" spans="2:27" x14ac:dyDescent="0.2">
      <c r="B250" s="1129" t="str">
        <f t="shared" si="5"/>
        <v>?</v>
      </c>
      <c r="C250" s="96" t="s">
        <v>815</v>
      </c>
      <c r="D250" s="799"/>
      <c r="E250" s="530"/>
      <c r="F250" s="887">
        <f>IF(F249=1,IFERROR(VLOOKUP(Refkalkulation!H$65/2,'Maschinen-DB'!$K$47:$O$51,5,TRUE),1)+1,IFERROR(VLOOKUP(Refkalkulation!H$65/2,'Maschinen-DB'!$K$57:$O$59,5,TRUE),7))</f>
        <v>7</v>
      </c>
      <c r="G250" s="420"/>
      <c r="H250" s="421"/>
      <c r="I250" s="887">
        <f>IF(I249=1,IFERROR(VLOOKUP(Refkalkulation!K$65/2,'Maschinen-DB'!$K$47:$O$51,5,TRUE),1)+1,IFERROR(VLOOKUP(Refkalkulation!K$65/2,'Maschinen-DB'!$K$57:$O$59,5,TRUE),7))</f>
        <v>7</v>
      </c>
      <c r="J250" s="420"/>
      <c r="K250" s="421"/>
      <c r="L250" s="887">
        <f>IF(L249=1,IFERROR(VLOOKUP(Refkalkulation!N$65/2,'Maschinen-DB'!$K$47:$O$51,5,TRUE),1)+1,IFERROR(VLOOKUP(Refkalkulation!N$65/2,'Maschinen-DB'!$K$57:$O$59,5,TRUE),7))</f>
        <v>7</v>
      </c>
      <c r="M250" s="420"/>
      <c r="N250" s="421"/>
      <c r="O250" s="887"/>
      <c r="P250" s="420"/>
      <c r="Q250" s="421"/>
      <c r="R250" s="887"/>
      <c r="S250" s="420"/>
      <c r="T250" s="421"/>
      <c r="U250" s="887"/>
      <c r="V250" s="11"/>
      <c r="Y250" s="503"/>
      <c r="Z250" s="503"/>
    </row>
    <row r="251" spans="2:27" ht="15" x14ac:dyDescent="0.25">
      <c r="B251" s="1129" t="str">
        <f t="shared" si="5"/>
        <v>?</v>
      </c>
      <c r="C251" s="96" t="s">
        <v>817</v>
      </c>
      <c r="D251" s="656">
        <v>0</v>
      </c>
      <c r="E251" s="530" t="s">
        <v>455</v>
      </c>
      <c r="F251" s="1160" t="b">
        <f>IF(F249=1,VLOOKUP(F250,'Maschinen-DB'!$C$46:$N$51,7,FALSE)/60+IF(F249=3,$D$253,IF(F249=4,$D$254,0)),IF(F249=2,VLOOKUP(F250,'Maschinen-DB'!$C$57:$N$59,7,FALSE)/60+D251+IF(F249=3,$D$253,IF(F249=4,$D$254,0))))</f>
        <v>0</v>
      </c>
      <c r="G251" s="420"/>
      <c r="H251" s="421"/>
      <c r="I251" s="455">
        <f>VLOOKUP(I250,'Maschinen-DB'!$C$46:$N$59,7,FALSE)/60+IF(I249=2,$D$251,IF(I249=3,$D$253,IF(I249=4,$D$254,0)))</f>
        <v>1.3333333333333333</v>
      </c>
      <c r="J251" s="420"/>
      <c r="K251" s="421"/>
      <c r="L251" s="455">
        <f>VLOOKUP(L250,'Maschinen-DB'!$C$46:$N$59,7,FALSE)/60+IF(L249=2,$D$251,IF(L249=3,$D$253,IF(L249=4,$D$254,0)))</f>
        <v>2.833333333333333</v>
      </c>
      <c r="M251" s="420"/>
      <c r="N251" s="421"/>
      <c r="O251" s="455"/>
      <c r="P251" s="420"/>
      <c r="Q251" s="421"/>
      <c r="R251" s="455"/>
      <c r="S251" s="420"/>
      <c r="T251" s="421"/>
      <c r="U251" s="455"/>
      <c r="V251" s="11"/>
      <c r="Z251" s="503"/>
    </row>
    <row r="252" spans="2:27" ht="15" x14ac:dyDescent="0.25">
      <c r="B252" s="1129"/>
      <c r="C252" s="96" t="s">
        <v>949</v>
      </c>
      <c r="D252" s="656"/>
      <c r="E252" s="530"/>
      <c r="F252" s="455">
        <f>VLOOKUP(F250,'Maschinen-DB'!$C$46:$N$59,12,FALSE)</f>
        <v>300000</v>
      </c>
      <c r="G252" s="420"/>
      <c r="H252" s="421"/>
      <c r="I252" s="455">
        <f>VLOOKUP(I250,'Maschinen-DB'!$C$46:$N$59,12,FALSE)</f>
        <v>300000</v>
      </c>
      <c r="J252" s="420"/>
      <c r="K252" s="421"/>
      <c r="L252" s="455">
        <f>VLOOKUP(L250,'Maschinen-DB'!$C$46:$N$59,12,FALSE)</f>
        <v>300000</v>
      </c>
      <c r="M252" s="420"/>
      <c r="N252" s="421"/>
      <c r="O252" s="455"/>
      <c r="P252" s="420"/>
      <c r="Q252" s="421"/>
      <c r="R252" s="455"/>
      <c r="S252" s="420"/>
      <c r="T252" s="421"/>
      <c r="U252" s="455"/>
      <c r="V252" s="11"/>
      <c r="Y252" s="503"/>
      <c r="Z252" s="503"/>
    </row>
    <row r="253" spans="2:27" ht="15" x14ac:dyDescent="0.25">
      <c r="B253" s="1129" t="str">
        <f>B251</f>
        <v>?</v>
      </c>
      <c r="C253" s="96" t="s">
        <v>818</v>
      </c>
      <c r="D253" s="656">
        <v>1.5</v>
      </c>
      <c r="E253" s="530" t="s">
        <v>455</v>
      </c>
      <c r="F253" s="455">
        <f>(VLOOKUP(F250,'Maschinen-DB'!$C$46:$N$59,12,FALSE)/'Länder-DB'!$I$27+VLOOKUP(F250,'Maschinen-DB'!$C$46:$N$59,12,FALSE)*'Länder-DB'!$I$29)/F166</f>
        <v>23.588466183574877</v>
      </c>
      <c r="G253" s="420"/>
      <c r="H253" s="421"/>
      <c r="I253" s="455">
        <f>(VLOOKUP(I250,'Maschinen-DB'!$C$46:$N$59,12,FALSE)/'Länder-DB'!$I$27+VLOOKUP(I250,'Maschinen-DB'!$C$46:$N$59,12,FALSE)*'Länder-DB'!$I$29)/I166</f>
        <v>27.751136686558684</v>
      </c>
      <c r="J253" s="420"/>
      <c r="K253" s="421"/>
      <c r="L253" s="455">
        <f>(VLOOKUP(L250,'Maschinen-DB'!$C$46:$N$59,12,FALSE)/'Länder-DB'!$I$27+VLOOKUP(L250,'Maschinen-DB'!$C$46:$N$59,12,FALSE)*'Länder-DB'!$I$29)/L166</f>
        <v>37.741545893719803</v>
      </c>
      <c r="M253" s="420"/>
      <c r="N253" s="421"/>
      <c r="O253" s="455"/>
      <c r="P253" s="420"/>
      <c r="Q253" s="421"/>
      <c r="R253" s="455"/>
      <c r="S253" s="420"/>
      <c r="T253" s="421"/>
      <c r="U253" s="455"/>
      <c r="V253" s="11"/>
      <c r="X253" s="503"/>
    </row>
    <row r="254" spans="2:27" ht="15" x14ac:dyDescent="0.25">
      <c r="B254" s="466" t="str">
        <f t="shared" si="5"/>
        <v>?</v>
      </c>
      <c r="C254" s="96" t="s">
        <v>821</v>
      </c>
      <c r="D254" s="656">
        <v>1.1000000000000001</v>
      </c>
      <c r="E254" s="530" t="s">
        <v>455</v>
      </c>
      <c r="F254" s="344">
        <f>F253+F255*F21</f>
        <v>82.429916183574875</v>
      </c>
      <c r="G254" s="426"/>
      <c r="H254" s="427"/>
      <c r="I254" s="344">
        <f>I253+I255*I21</f>
        <v>42.662714686558679</v>
      </c>
      <c r="J254" s="426"/>
      <c r="K254" s="427"/>
      <c r="L254" s="344">
        <f>L253+L255*L21</f>
        <v>96.582995893719797</v>
      </c>
      <c r="M254" s="426"/>
      <c r="N254" s="427"/>
      <c r="O254" s="344"/>
      <c r="P254" s="426"/>
      <c r="Q254" s="427"/>
      <c r="R254" s="344"/>
      <c r="S254" s="426"/>
      <c r="T254" s="427"/>
      <c r="U254" s="344"/>
      <c r="V254" s="11"/>
      <c r="Z254" s="503"/>
    </row>
    <row r="255" spans="2:27" x14ac:dyDescent="0.2">
      <c r="B255" s="466" t="str">
        <f t="shared" si="5"/>
        <v>?</v>
      </c>
      <c r="C255" s="96" t="s">
        <v>816</v>
      </c>
      <c r="D255" s="100"/>
      <c r="E255" s="530" t="s">
        <v>455</v>
      </c>
      <c r="F255" s="444">
        <f>MAX(1,ROUNDDOWN(MIN(2,F250/2),0))</f>
        <v>2</v>
      </c>
      <c r="G255" s="445"/>
      <c r="H255" s="446"/>
      <c r="I255" s="444">
        <f>MAX(1,ROUNDDOWN(MIN(2,I250/2),0))</f>
        <v>2</v>
      </c>
      <c r="J255" s="445"/>
      <c r="K255" s="446"/>
      <c r="L255" s="444">
        <f t="shared" ref="L255" si="6">MAX(1,ROUNDDOWN(MIN(2,L250/2),0))</f>
        <v>2</v>
      </c>
      <c r="M255" s="445"/>
      <c r="N255" s="446"/>
      <c r="O255" s="444"/>
      <c r="P255" s="445"/>
      <c r="Q255" s="446"/>
      <c r="R255" s="444"/>
      <c r="S255" s="445"/>
      <c r="T255" s="446"/>
      <c r="U255" s="444"/>
      <c r="V255" s="11"/>
      <c r="Z255" s="503"/>
    </row>
    <row r="256" spans="2:27" ht="15" thickBot="1" x14ac:dyDescent="0.25">
      <c r="B256" s="891" t="str">
        <f t="shared" si="5"/>
        <v>?</v>
      </c>
      <c r="C256" s="97" t="s">
        <v>346</v>
      </c>
      <c r="D256" s="102"/>
      <c r="E256" s="531"/>
      <c r="F256" s="438"/>
      <c r="G256" s="422"/>
      <c r="H256" s="423"/>
      <c r="I256" s="438"/>
      <c r="J256" s="422"/>
      <c r="K256" s="423"/>
      <c r="L256" s="438"/>
      <c r="M256" s="422"/>
      <c r="N256" s="423"/>
      <c r="O256" s="438"/>
      <c r="P256" s="422"/>
      <c r="Q256" s="423"/>
      <c r="R256" s="438"/>
      <c r="S256" s="422"/>
      <c r="T256" s="423"/>
      <c r="U256" s="438"/>
      <c r="V256" s="126"/>
    </row>
    <row r="257" spans="2:24" ht="15" x14ac:dyDescent="0.25">
      <c r="B257" s="466" t="s">
        <v>69</v>
      </c>
      <c r="C257" s="99" t="s">
        <v>803</v>
      </c>
      <c r="D257" s="100"/>
      <c r="E257" s="535" t="s">
        <v>456</v>
      </c>
      <c r="F257" s="161">
        <f>IFERROR(F258*(1+F259+F260),0)</f>
        <v>38.941609682128764</v>
      </c>
      <c r="G257" s="885"/>
      <c r="H257" s="886"/>
      <c r="I257" s="161">
        <f>IFERROR(I258*(1+I259+I260),0)</f>
        <v>30.139248634013285</v>
      </c>
      <c r="J257" s="885"/>
      <c r="K257" s="886"/>
      <c r="L257" s="161">
        <f t="shared" ref="L257" si="7">IFERROR(L258*(1+L259+L260),0)</f>
        <v>26.139248634013285</v>
      </c>
      <c r="M257" s="885"/>
      <c r="N257" s="886"/>
      <c r="O257" s="161"/>
      <c r="P257" s="885"/>
      <c r="Q257" s="886"/>
      <c r="R257" s="161"/>
      <c r="S257" s="885"/>
      <c r="T257" s="886"/>
      <c r="U257" s="161"/>
      <c r="V257" s="11"/>
      <c r="X257" s="503"/>
    </row>
    <row r="258" spans="2:24" ht="15" x14ac:dyDescent="0.25">
      <c r="B258" s="466" t="str">
        <f>B257</f>
        <v>?</v>
      </c>
      <c r="C258" s="96" t="s">
        <v>801</v>
      </c>
      <c r="D258" s="656">
        <v>20</v>
      </c>
      <c r="E258" s="530" t="s">
        <v>455</v>
      </c>
      <c r="F258" s="30">
        <f>IF('Quick Input'!M$26="ja",$D$258,0)</f>
        <v>20</v>
      </c>
      <c r="G258" s="420"/>
      <c r="H258" s="421"/>
      <c r="I258" s="30">
        <f>IF('Quick Input'!P$26="ja",$D$258,0)</f>
        <v>20</v>
      </c>
      <c r="J258" s="420"/>
      <c r="K258" s="421"/>
      <c r="L258" s="30">
        <f>IF('Quick Input'!S$26="ja",$D$258,0)</f>
        <v>20</v>
      </c>
      <c r="M258" s="420"/>
      <c r="N258" s="421"/>
      <c r="O258" s="30"/>
      <c r="P258" s="420"/>
      <c r="Q258" s="421"/>
      <c r="R258" s="30"/>
      <c r="S258" s="420"/>
      <c r="T258" s="421"/>
      <c r="U258" s="30"/>
      <c r="V258" s="11"/>
    </row>
    <row r="259" spans="2:24" x14ac:dyDescent="0.2">
      <c r="B259" s="466" t="str">
        <f>B258</f>
        <v>?</v>
      </c>
      <c r="C259" s="96" t="s">
        <v>180</v>
      </c>
      <c r="D259" s="100"/>
      <c r="E259" s="530" t="s">
        <v>455</v>
      </c>
      <c r="F259" s="201">
        <f>MAX(0,POWER(VLOOKUP('Quick Input'!M$21,Auswahlfelder!$D$16:$E$19,2,FALSE)-1,2)/15)</f>
        <v>0.26666666666666666</v>
      </c>
      <c r="G259" s="430"/>
      <c r="H259" s="431"/>
      <c r="I259" s="201">
        <f>MAX(0,POWER(VLOOKUP('Quick Input'!P$21,Auswahlfelder!$D$16:$E$19,2,FALSE)-1,2)/15)</f>
        <v>0.26666666666666666</v>
      </c>
      <c r="J259" s="430"/>
      <c r="K259" s="431"/>
      <c r="L259" s="201">
        <f>MAX(0,POWER(VLOOKUP('Quick Input'!S$21,Auswahlfelder!$D$16:$E$19,2,FALSE)-1,2)/15)</f>
        <v>6.6666666666666666E-2</v>
      </c>
      <c r="M259" s="430"/>
      <c r="N259" s="431"/>
      <c r="O259" s="201"/>
      <c r="P259" s="430"/>
      <c r="Q259" s="431"/>
      <c r="R259" s="201"/>
      <c r="S259" s="430"/>
      <c r="T259" s="431"/>
      <c r="U259" s="201"/>
      <c r="V259" s="11"/>
      <c r="X259" s="503"/>
    </row>
    <row r="260" spans="2:24" ht="15" thickBot="1" x14ac:dyDescent="0.25">
      <c r="B260" s="511" t="str">
        <f>B259</f>
        <v>?</v>
      </c>
      <c r="C260" s="97" t="s">
        <v>177</v>
      </c>
      <c r="D260" s="733">
        <v>0.25</v>
      </c>
      <c r="E260" s="530" t="s">
        <v>455</v>
      </c>
      <c r="F260" s="850">
        <f>SQRT('Quick Input'!M$20/2000)*$D$260</f>
        <v>0.6804138174397717</v>
      </c>
      <c r="G260" s="422"/>
      <c r="H260" s="423"/>
      <c r="I260" s="850">
        <f>SQRT('Quick Input'!P$20/2000)*$D$260</f>
        <v>0.24029576503399763</v>
      </c>
      <c r="J260" s="422"/>
      <c r="K260" s="423"/>
      <c r="L260" s="850">
        <f>SQRT('Quick Input'!S$20/2000)*$D$260</f>
        <v>0.24029576503399763</v>
      </c>
      <c r="M260" s="422"/>
      <c r="N260" s="423"/>
      <c r="O260" s="850"/>
      <c r="P260" s="422"/>
      <c r="Q260" s="423"/>
      <c r="R260" s="850"/>
      <c r="S260" s="422"/>
      <c r="T260" s="423"/>
      <c r="U260" s="850"/>
      <c r="V260" s="11"/>
    </row>
    <row r="261" spans="2:24" ht="15" x14ac:dyDescent="0.25">
      <c r="B261" s="466" t="s">
        <v>69</v>
      </c>
      <c r="C261" s="95" t="s">
        <v>808</v>
      </c>
      <c r="D261" s="100"/>
      <c r="E261" s="535" t="s">
        <v>456</v>
      </c>
      <c r="F261" s="705">
        <f>IFERROR(F262*F263/F264/'Quick Input'!M$19*1000,0)</f>
        <v>32.083333333333336</v>
      </c>
      <c r="G261" s="852"/>
      <c r="H261" s="852"/>
      <c r="I261" s="705">
        <f>IFERROR(I262*I263/I264/'Quick Input'!P$19*1000,0)</f>
        <v>42.777777777777786</v>
      </c>
      <c r="J261" s="852"/>
      <c r="K261" s="852"/>
      <c r="L261" s="705">
        <f>IFERROR(L262*L263/L264/'Quick Input'!S$19*1000,0)</f>
        <v>42.777777777777786</v>
      </c>
      <c r="M261" s="852"/>
      <c r="N261" s="852"/>
      <c r="O261" s="705"/>
      <c r="P261" s="852"/>
      <c r="Q261" s="852"/>
      <c r="R261" s="705"/>
      <c r="S261" s="852"/>
      <c r="T261" s="852"/>
      <c r="U261" s="705"/>
      <c r="V261" s="8"/>
      <c r="W261" s="718"/>
      <c r="X261" s="503"/>
    </row>
    <row r="262" spans="2:24" ht="15" x14ac:dyDescent="0.25">
      <c r="B262" s="466" t="str">
        <f t="shared" ref="B262:B264" si="8">B261</f>
        <v>?</v>
      </c>
      <c r="C262" s="96" t="s">
        <v>805</v>
      </c>
      <c r="D262" s="656">
        <v>22</v>
      </c>
      <c r="E262" s="530" t="s">
        <v>455</v>
      </c>
      <c r="F262" s="30">
        <f>IF('Quick Input'!M$27="ja",$D$262,0)</f>
        <v>22</v>
      </c>
      <c r="G262" s="420"/>
      <c r="H262" s="421"/>
      <c r="I262" s="30">
        <f>IF('Quick Input'!P$27="ja",$D$262,0)</f>
        <v>22</v>
      </c>
      <c r="J262" s="420"/>
      <c r="K262" s="421"/>
      <c r="L262" s="30">
        <f>IF('Quick Input'!S$27="ja",$D$262,0)</f>
        <v>22</v>
      </c>
      <c r="M262" s="420"/>
      <c r="N262" s="421"/>
      <c r="O262" s="30"/>
      <c r="P262" s="420"/>
      <c r="Q262" s="421"/>
      <c r="R262" s="30"/>
      <c r="S262" s="420"/>
      <c r="T262" s="421"/>
      <c r="U262" s="30"/>
      <c r="V262" s="11"/>
    </row>
    <row r="263" spans="2:24" ht="15" x14ac:dyDescent="0.25">
      <c r="B263" s="466" t="str">
        <f t="shared" si="8"/>
        <v>?</v>
      </c>
      <c r="C263" s="96" t="s">
        <v>806</v>
      </c>
      <c r="D263" s="656">
        <v>3.5</v>
      </c>
      <c r="E263" s="530" t="s">
        <v>455</v>
      </c>
      <c r="F263" s="344">
        <f>$D$263/60</f>
        <v>5.8333333333333334E-2</v>
      </c>
      <c r="G263" s="420"/>
      <c r="H263" s="421"/>
      <c r="I263" s="344">
        <f>$D$263/60</f>
        <v>5.8333333333333334E-2</v>
      </c>
      <c r="J263" s="420"/>
      <c r="K263" s="421"/>
      <c r="L263" s="344">
        <f>$D$263/60</f>
        <v>5.8333333333333334E-2</v>
      </c>
      <c r="M263" s="420"/>
      <c r="N263" s="421"/>
      <c r="O263" s="344"/>
      <c r="P263" s="420"/>
      <c r="Q263" s="421"/>
      <c r="R263" s="344"/>
      <c r="S263" s="420"/>
      <c r="T263" s="421"/>
      <c r="U263" s="344"/>
      <c r="V263" s="11"/>
      <c r="X263" s="503"/>
    </row>
    <row r="264" spans="2:24" ht="15.75" thickBot="1" x14ac:dyDescent="0.3">
      <c r="B264" s="511" t="str">
        <f t="shared" si="8"/>
        <v>?</v>
      </c>
      <c r="C264" s="97" t="s">
        <v>807</v>
      </c>
      <c r="D264" s="902">
        <v>30</v>
      </c>
      <c r="E264" s="530" t="s">
        <v>455</v>
      </c>
      <c r="F264" s="887">
        <f>MAX(MIN(ROUNDDOWN($D$264/'Quick Input'!M$19,0),Refkalkulation!H$59),1)</f>
        <v>1</v>
      </c>
      <c r="G264" s="426"/>
      <c r="H264" s="427"/>
      <c r="I264" s="887">
        <f>MAX(MIN(ROUNDDOWN($D$264/'Quick Input'!P$19,0),Refkalkulation!K$59),1)</f>
        <v>6</v>
      </c>
      <c r="J264" s="426"/>
      <c r="K264" s="427"/>
      <c r="L264" s="887">
        <f>MAX(MIN(ROUNDDOWN($D$264/'Quick Input'!S$19,0),Refkalkulation!N$59),1)</f>
        <v>6</v>
      </c>
      <c r="M264" s="426"/>
      <c r="N264" s="427"/>
      <c r="O264" s="887"/>
      <c r="P264" s="426"/>
      <c r="Q264" s="427"/>
      <c r="R264" s="887"/>
      <c r="S264" s="426"/>
      <c r="T264" s="427"/>
      <c r="U264" s="887"/>
      <c r="V264" s="11"/>
    </row>
    <row r="265" spans="2:24" ht="15" x14ac:dyDescent="0.25">
      <c r="B265" s="466" t="s">
        <v>69</v>
      </c>
      <c r="C265" s="99" t="s">
        <v>804</v>
      </c>
      <c r="D265" s="100"/>
      <c r="E265" s="535" t="s">
        <v>456</v>
      </c>
      <c r="F265" s="161">
        <f>IFERROR(F266*(1+F267+F268),0)</f>
        <v>0</v>
      </c>
      <c r="G265" s="885"/>
      <c r="H265" s="886"/>
      <c r="I265" s="161">
        <f>IFERROR(I266*(1+I267+I268),0)</f>
        <v>0</v>
      </c>
      <c r="J265" s="885"/>
      <c r="K265" s="886"/>
      <c r="L265" s="161">
        <f t="shared" ref="L265" si="9">IFERROR(L266*(1+L267+L268),0)</f>
        <v>0</v>
      </c>
      <c r="M265" s="885"/>
      <c r="N265" s="886"/>
      <c r="O265" s="161"/>
      <c r="P265" s="885"/>
      <c r="Q265" s="886"/>
      <c r="R265" s="161"/>
      <c r="S265" s="885"/>
      <c r="T265" s="886"/>
      <c r="U265" s="161"/>
      <c r="V265" s="11"/>
      <c r="X265" s="503"/>
    </row>
    <row r="266" spans="2:24" ht="15" x14ac:dyDescent="0.25">
      <c r="B266" s="466" t="str">
        <f>B265</f>
        <v>?</v>
      </c>
      <c r="C266" s="96" t="s">
        <v>802</v>
      </c>
      <c r="D266" s="656">
        <v>15</v>
      </c>
      <c r="E266" s="530" t="s">
        <v>455</v>
      </c>
      <c r="F266" s="30">
        <f>IF('Quick Input'!M$28="nein",0,$D$266+IF('Quick Input'!M$19&gt;8,$D$267,0))</f>
        <v>0</v>
      </c>
      <c r="G266" s="420"/>
      <c r="H266" s="421"/>
      <c r="I266" s="30">
        <f>IF('Quick Input'!P$28="nein",0,$D$266+IF('Quick Input'!P$19&gt;8,$D$267,0))</f>
        <v>0</v>
      </c>
      <c r="J266" s="420"/>
      <c r="K266" s="421"/>
      <c r="L266" s="30">
        <f>IF('Quick Input'!S$28="nein",0,$D$266+IF('Quick Input'!S$19&gt;8,$D$267,0))</f>
        <v>0</v>
      </c>
      <c r="M266" s="420"/>
      <c r="N266" s="421"/>
      <c r="O266" s="30"/>
      <c r="P266" s="420"/>
      <c r="Q266" s="421"/>
      <c r="R266" s="30"/>
      <c r="S266" s="420"/>
      <c r="T266" s="421"/>
      <c r="U266" s="30"/>
      <c r="V266" s="11"/>
    </row>
    <row r="267" spans="2:24" ht="15" x14ac:dyDescent="0.25">
      <c r="B267" s="466" t="str">
        <f t="shared" ref="B267:B268" si="10">B266</f>
        <v>?</v>
      </c>
      <c r="C267" s="96" t="s">
        <v>850</v>
      </c>
      <c r="D267" s="656">
        <v>35</v>
      </c>
      <c r="E267" s="530" t="s">
        <v>455</v>
      </c>
      <c r="F267" s="201">
        <f>MAX(0,POWER(VLOOKUP('Quick Input'!M$21,Auswahlfelder!$D$16:$E$19,2,FALSE)-1,2)/8)</f>
        <v>0.5</v>
      </c>
      <c r="G267" s="430"/>
      <c r="H267" s="431"/>
      <c r="I267" s="201">
        <f>MAX(0,POWER(VLOOKUP('Quick Input'!P$21,Auswahlfelder!$D$16:$E$19,2,FALSE)-1,2)/8)</f>
        <v>0.5</v>
      </c>
      <c r="J267" s="430"/>
      <c r="K267" s="431"/>
      <c r="L267" s="201">
        <f>MAX(0,POWER(VLOOKUP('Quick Input'!S$21,Auswahlfelder!$D$16:$E$19,2,FALSE)-1,2)/8)</f>
        <v>0.125</v>
      </c>
      <c r="M267" s="430"/>
      <c r="N267" s="431"/>
      <c r="O267" s="201"/>
      <c r="P267" s="430"/>
      <c r="Q267" s="431"/>
      <c r="R267" s="201"/>
      <c r="S267" s="430"/>
      <c r="T267" s="431"/>
      <c r="U267" s="201"/>
      <c r="V267" s="11"/>
      <c r="X267" s="503"/>
    </row>
    <row r="268" spans="2:24" ht="15" thickBot="1" x14ac:dyDescent="0.25">
      <c r="B268" s="511" t="str">
        <f t="shared" si="10"/>
        <v>?</v>
      </c>
      <c r="C268" s="97" t="s">
        <v>177</v>
      </c>
      <c r="D268" s="733">
        <v>0.35</v>
      </c>
      <c r="E268" s="531" t="s">
        <v>455</v>
      </c>
      <c r="F268" s="343">
        <f>SQRT('Quick Input'!M$20/2000)*$D$268</f>
        <v>0.95257934441568026</v>
      </c>
      <c r="G268" s="422"/>
      <c r="H268" s="423"/>
      <c r="I268" s="343">
        <f>SQRT('Quick Input'!P$20/2000)*$D$268</f>
        <v>0.33641407104759669</v>
      </c>
      <c r="J268" s="422"/>
      <c r="K268" s="423"/>
      <c r="L268" s="343">
        <f>SQRT('Quick Input'!S$20/2000)*$D$268</f>
        <v>0.33641407104759669</v>
      </c>
      <c r="M268" s="422"/>
      <c r="N268" s="423"/>
      <c r="O268" s="343"/>
      <c r="P268" s="422"/>
      <c r="Q268" s="423"/>
      <c r="R268" s="343"/>
      <c r="S268" s="422"/>
      <c r="T268" s="423"/>
      <c r="U268" s="343"/>
      <c r="V268" s="126"/>
    </row>
    <row r="269" spans="2:24" ht="15" x14ac:dyDescent="0.25">
      <c r="B269" s="17">
        <v>39</v>
      </c>
      <c r="C269" s="99" t="s">
        <v>568</v>
      </c>
      <c r="D269" s="100"/>
      <c r="E269" s="529" t="s">
        <v>456</v>
      </c>
      <c r="F269" s="705">
        <f>IF('Quick Input'!M$29=Auswahlfelder!$D$22,0,ROUND(F270*(1+F$271),2))</f>
        <v>14.06</v>
      </c>
      <c r="G269" s="10"/>
      <c r="H269" s="10"/>
      <c r="I269" s="705">
        <f>IF('Quick Input'!P$29=Auswahlfelder!$D$22,0,ROUND(I270*(1+I$271),2))</f>
        <v>3.32</v>
      </c>
      <c r="J269" s="10"/>
      <c r="K269" s="10"/>
      <c r="L269" s="705">
        <f>IF('Quick Input'!S$29=Auswahlfelder!$D$22,0,ROUND(L270*(1+L$271),2))</f>
        <v>7.39</v>
      </c>
      <c r="M269" s="10"/>
      <c r="N269" s="10"/>
      <c r="O269" s="705"/>
      <c r="P269" s="10"/>
      <c r="Q269" s="10"/>
      <c r="R269" s="705"/>
      <c r="S269" s="10"/>
      <c r="T269" s="10"/>
      <c r="U269" s="705"/>
      <c r="V269" s="11"/>
    </row>
    <row r="270" spans="2:24" x14ac:dyDescent="0.2">
      <c r="B270" s="17">
        <v>39</v>
      </c>
      <c r="C270" s="96" t="s">
        <v>569</v>
      </c>
      <c r="D270" s="100"/>
      <c r="E270" s="532" t="s">
        <v>530</v>
      </c>
      <c r="F270" s="455">
        <f>'Länder-DB'!$I$39*(0.2+0.8*VLOOKUP(F$19,DB_Länder,5,FALSE)/'Länder-DB'!$E$2)</f>
        <v>4</v>
      </c>
      <c r="G270" s="10"/>
      <c r="H270" s="10"/>
      <c r="I270" s="455">
        <f>'Länder-DB'!$I$39*(0.2+0.8*VLOOKUP(I$19,DB_Länder,5,FALSE)/'Länder-DB'!$E$2)</f>
        <v>1.7953888237592812</v>
      </c>
      <c r="J270" s="10"/>
      <c r="K270" s="10"/>
      <c r="L270" s="455">
        <f>'Länder-DB'!$I$39*(0.2+0.8*VLOOKUP(L$19,DB_Länder,5,FALSE)/'Länder-DB'!$E$2)</f>
        <v>4</v>
      </c>
      <c r="M270" s="10"/>
      <c r="N270" s="10"/>
      <c r="O270" s="455"/>
      <c r="P270" s="10"/>
      <c r="Q270" s="10"/>
      <c r="R270" s="455"/>
      <c r="S270" s="10"/>
      <c r="T270" s="10"/>
      <c r="U270" s="455"/>
      <c r="V270" s="11"/>
    </row>
    <row r="271" spans="2:24" ht="15" thickBot="1" x14ac:dyDescent="0.25">
      <c r="B271" s="17">
        <v>39</v>
      </c>
      <c r="C271" s="96" t="s">
        <v>177</v>
      </c>
      <c r="D271" s="102"/>
      <c r="E271" s="533" t="s">
        <v>530</v>
      </c>
      <c r="F271" s="343">
        <f>SQRT(MAX(0,'Quick Input'!M$19-0.5))*40%</f>
        <v>2.5139610179953071</v>
      </c>
      <c r="G271" s="10"/>
      <c r="H271" s="10"/>
      <c r="I271" s="343">
        <f>SQRT(MAX(0,'Quick Input'!P$19-0.5))*40%</f>
        <v>0.84852813742385702</v>
      </c>
      <c r="J271" s="10"/>
      <c r="K271" s="10"/>
      <c r="L271" s="343">
        <f>SQRT(MAX(0,'Quick Input'!S$19-0.5))*40%</f>
        <v>0.84852813742385702</v>
      </c>
      <c r="M271" s="10"/>
      <c r="N271" s="10"/>
      <c r="O271" s="343"/>
      <c r="P271" s="10"/>
      <c r="Q271" s="10"/>
      <c r="R271" s="343"/>
      <c r="S271" s="10"/>
      <c r="T271" s="10"/>
      <c r="U271" s="343"/>
      <c r="V271" s="11"/>
    </row>
    <row r="272" spans="2:24" ht="15" x14ac:dyDescent="0.25">
      <c r="B272" s="17">
        <v>39</v>
      </c>
      <c r="C272" s="95" t="s">
        <v>570</v>
      </c>
      <c r="D272" s="100"/>
      <c r="E272" s="529" t="s">
        <v>456</v>
      </c>
      <c r="F272" s="345">
        <f>IF('Quick Input'!M30=Auswahlfelder!$D$22,0,ROUND(F273*(1+F274),2))</f>
        <v>24.85</v>
      </c>
      <c r="G272" s="7"/>
      <c r="H272" s="7"/>
      <c r="I272" s="345">
        <f>IF('Quick Input'!P30=Auswahlfelder!$D$22,0,ROUND(I273*(1+I274),2))</f>
        <v>7.25</v>
      </c>
      <c r="J272" s="7"/>
      <c r="K272" s="7"/>
      <c r="L272" s="345">
        <f>IF('Quick Input'!S30=Auswahlfelder!$D$22,0,ROUND(L273*(1+L274),2))</f>
        <v>12.36</v>
      </c>
      <c r="M272" s="7"/>
      <c r="N272" s="7"/>
      <c r="O272" s="345"/>
      <c r="P272" s="7"/>
      <c r="Q272" s="7"/>
      <c r="R272" s="345"/>
      <c r="S272" s="7"/>
      <c r="T272" s="7"/>
      <c r="U272" s="345"/>
      <c r="V272" s="11"/>
    </row>
    <row r="273" spans="2:24" x14ac:dyDescent="0.2">
      <c r="B273" s="17">
        <v>39</v>
      </c>
      <c r="C273" s="96" t="s">
        <v>571</v>
      </c>
      <c r="D273" s="100"/>
      <c r="E273" s="532" t="s">
        <v>530</v>
      </c>
      <c r="F273" s="455">
        <f>'Länder-DB'!$I$41*(0.4+0.6*VLOOKUP(F$19,DB_Länder,5,FALSE)/'Länder-DB'!$E$2)</f>
        <v>6</v>
      </c>
      <c r="G273" s="10"/>
      <c r="H273" s="10"/>
      <c r="I273" s="455">
        <f>'Länder-DB'!$I$41*(0.4+0.6*VLOOKUP(I$19,DB_Länder,5,FALSE)/'Länder-DB'!$E$2)</f>
        <v>3.519812426729191</v>
      </c>
      <c r="J273" s="10"/>
      <c r="K273" s="10"/>
      <c r="L273" s="455">
        <f>'Länder-DB'!$I$41*(0.4+0.6*VLOOKUP(L$19,DB_Länder,5,FALSE)/'Länder-DB'!$E$2)</f>
        <v>6</v>
      </c>
      <c r="M273" s="10"/>
      <c r="N273" s="10"/>
      <c r="O273" s="455"/>
      <c r="P273" s="10"/>
      <c r="Q273" s="10"/>
      <c r="R273" s="455"/>
      <c r="S273" s="10"/>
      <c r="T273" s="10"/>
      <c r="U273" s="455"/>
      <c r="V273" s="11"/>
    </row>
    <row r="274" spans="2:24" ht="15" thickBot="1" x14ac:dyDescent="0.25">
      <c r="B274" s="285">
        <v>39</v>
      </c>
      <c r="C274" s="97" t="s">
        <v>177</v>
      </c>
      <c r="D274" s="102"/>
      <c r="E274" s="533" t="s">
        <v>530</v>
      </c>
      <c r="F274" s="343">
        <f>SQRT(MAX(0,'Quick Input'!M$19-0.5))*50%</f>
        <v>3.1424512724941338</v>
      </c>
      <c r="G274" s="422"/>
      <c r="H274" s="423"/>
      <c r="I274" s="343">
        <f>SQRT(MAX(0,'Quick Input'!P$19-0.5))*50%</f>
        <v>1.0606601717798212</v>
      </c>
      <c r="J274" s="422"/>
      <c r="K274" s="423"/>
      <c r="L274" s="343">
        <f>SQRT(MAX(0,'Quick Input'!S$19-0.5))*50%</f>
        <v>1.0606601717798212</v>
      </c>
      <c r="M274" s="422"/>
      <c r="N274" s="423"/>
      <c r="O274" s="343"/>
      <c r="P274" s="422"/>
      <c r="Q274" s="423"/>
      <c r="R274" s="343"/>
      <c r="S274" s="422"/>
      <c r="T274" s="423"/>
      <c r="U274" s="343"/>
      <c r="V274" s="126"/>
    </row>
    <row r="275" spans="2:24" ht="15" thickBot="1" x14ac:dyDescent="0.25">
      <c r="B275" s="706">
        <v>39</v>
      </c>
      <c r="C275" s="707"/>
      <c r="D275" s="708" t="s">
        <v>572</v>
      </c>
      <c r="E275" s="709"/>
      <c r="F275" s="710" t="str">
        <f>CONCATENATE(IF(F269&gt;0,"US ",""),IF(F272&gt;0,"PT ",""),IF(F194&gt;0,IF(Deutsch,"Röntgen ","X-ray "),""),IF(SUM(F192:F194)=0,IF(Deutsch,"ohne Prfg.","no test"),IF(Deutsch,"prüfen","test")))</f>
        <v>US PT Röntgen prüfen</v>
      </c>
      <c r="G275" s="711"/>
      <c r="H275" s="711"/>
      <c r="I275" s="710" t="str">
        <f>CONCATENATE(IF(I269&gt;0,"US ",""),IF(I272&gt;0,"PT ",""),IF(I194&gt;0,IF(Deutsch,"Röntgen ","X-ray "),""),IF(SUM(I192:I194)=0,IF(Deutsch,"ohne Prfg.","no test"),IF(Deutsch,"prüfen","test")))</f>
        <v>US PT Röntgen prüfen</v>
      </c>
      <c r="J275" s="711"/>
      <c r="K275" s="711"/>
      <c r="L275" s="710" t="str">
        <f>CONCATENATE(IF(L269&gt;0,"US ",""),IF(L272&gt;0,"PT ",""),IF(L194&gt;0,IF(Deutsch,"Röntgen ","X-ray "),""),IF(SUM(L192:L194)=0,IF(Deutsch,"ohne Prfg.","no test"),IF(Deutsch,"prüfen","test")))</f>
        <v>US PT Röntgen prüfen</v>
      </c>
      <c r="M275" s="711"/>
      <c r="N275" s="711"/>
      <c r="O275" s="710"/>
      <c r="P275" s="711"/>
      <c r="Q275" s="711"/>
      <c r="R275" s="710"/>
      <c r="S275" s="711"/>
      <c r="T275" s="711"/>
      <c r="U275" s="710"/>
      <c r="V275" s="712"/>
    </row>
    <row r="276" spans="2:24" ht="15" x14ac:dyDescent="0.25">
      <c r="B276" s="466">
        <v>44</v>
      </c>
      <c r="C276" s="95" t="s">
        <v>374</v>
      </c>
      <c r="D276" s="98"/>
      <c r="E276" s="535" t="s">
        <v>456</v>
      </c>
      <c r="F276" s="204">
        <f>ROUNDDOWN(F$59*HLOOKUP(F$281,'Länder-DB'!$M$54:$O$55,2,FALSE)*(1-F$283-F$284-F$285),-1)</f>
        <v>23400</v>
      </c>
      <c r="G276" s="7"/>
      <c r="H276" s="7"/>
      <c r="I276" s="204">
        <f>ROUNDDOWN(I$59*HLOOKUP(I$281,'Länder-DB'!$M$54:$O$55,2,FALSE)*(1-I$283-I$284-I$285),-1)</f>
        <v>23130</v>
      </c>
      <c r="J276" s="7"/>
      <c r="K276" s="7"/>
      <c r="L276" s="204">
        <f>ROUNDDOWN(L$59*HLOOKUP(L$281,'Länder-DB'!$M$54:$O$55,2,FALSE)*(1-L$283-L$284-L$285),-1)</f>
        <v>23090</v>
      </c>
      <c r="M276" s="7"/>
      <c r="N276" s="7"/>
      <c r="O276" s="204"/>
      <c r="P276" s="28"/>
      <c r="Q276" s="28"/>
      <c r="R276" s="204"/>
      <c r="S276" s="28"/>
      <c r="T276" s="28"/>
      <c r="U276" s="204"/>
      <c r="V276" s="11"/>
    </row>
    <row r="277" spans="2:24" x14ac:dyDescent="0.2">
      <c r="B277" s="466">
        <v>44</v>
      </c>
      <c r="C277" s="467" t="s">
        <v>496</v>
      </c>
      <c r="D277" s="100">
        <v>1</v>
      </c>
      <c r="E277" s="532"/>
      <c r="F277" s="527">
        <f>IFERROR('Quick Input'!M$45,1)</f>
        <v>30000</v>
      </c>
      <c r="G277" s="10"/>
      <c r="H277" s="10"/>
      <c r="I277" s="527">
        <f>IFERROR('Quick Input'!P$45,1)</f>
        <v>30000</v>
      </c>
      <c r="J277" s="10"/>
      <c r="K277" s="10"/>
      <c r="L277" s="527">
        <f>IFERROR('Quick Input'!S$45,1)</f>
        <v>30000</v>
      </c>
      <c r="M277" s="10"/>
      <c r="N277" s="10"/>
      <c r="O277" s="527"/>
      <c r="P277" s="4"/>
      <c r="Q277" s="4"/>
      <c r="R277" s="527"/>
      <c r="S277" s="4"/>
      <c r="T277" s="4"/>
      <c r="U277" s="527"/>
      <c r="V277" s="11"/>
    </row>
    <row r="278" spans="2:24" x14ac:dyDescent="0.2">
      <c r="B278" s="466">
        <v>44</v>
      </c>
      <c r="C278" s="467" t="s">
        <v>444</v>
      </c>
      <c r="D278" s="100">
        <v>1</v>
      </c>
      <c r="E278" s="532"/>
      <c r="F278" s="527">
        <f>ROUNDDOWN(F$59*'Länder-DB'!$M$55*(1-F$283-F$284-F$285),-1)</f>
        <v>930</v>
      </c>
      <c r="G278" s="528"/>
      <c r="H278" s="10"/>
      <c r="I278" s="527">
        <f>ROUNDDOWN(I$59*'Länder-DB'!$M$55*(1-I$283-I$284-I$285),-1)</f>
        <v>920</v>
      </c>
      <c r="J278" s="528"/>
      <c r="K278" s="10"/>
      <c r="L278" s="527">
        <f>ROUNDDOWN(L$59*'Länder-DB'!$M$55*(1-L$283-L$284-L$285),-1)</f>
        <v>920</v>
      </c>
      <c r="M278" s="528"/>
      <c r="N278" s="10"/>
      <c r="O278" s="527"/>
      <c r="P278" s="528"/>
      <c r="Q278" s="10"/>
      <c r="R278" s="527"/>
      <c r="S278" s="528"/>
      <c r="T278" s="10"/>
      <c r="U278" s="527"/>
      <c r="V278" s="11"/>
    </row>
    <row r="279" spans="2:24" x14ac:dyDescent="0.2">
      <c r="B279" s="466">
        <v>44</v>
      </c>
      <c r="C279" s="467" t="s">
        <v>441</v>
      </c>
      <c r="D279" s="100">
        <v>1</v>
      </c>
      <c r="E279" s="532"/>
      <c r="F279" s="527">
        <f>F$59*'Länder-DB'!$N$55*(1-F$283-F$284-F$285)</f>
        <v>9362.4705882352937</v>
      </c>
      <c r="G279" s="528"/>
      <c r="H279" s="10"/>
      <c r="I279" s="527">
        <f>I$59*'Länder-DB'!$N$55*(1-I$283-I$284-I$285)</f>
        <v>9252.0705882352941</v>
      </c>
      <c r="J279" s="10"/>
      <c r="K279" s="10"/>
      <c r="L279" s="527">
        <f>L$59*'Länder-DB'!$N$55*(1-L$283-L$284-L$285)</f>
        <v>9236.4705882352937</v>
      </c>
      <c r="M279" s="10"/>
      <c r="N279" s="10"/>
      <c r="O279" s="527"/>
      <c r="P279" s="4"/>
      <c r="Q279" s="4"/>
      <c r="R279" s="527"/>
      <c r="S279" s="4"/>
      <c r="T279" s="4"/>
      <c r="U279" s="527"/>
      <c r="V279" s="11"/>
    </row>
    <row r="280" spans="2:24" x14ac:dyDescent="0.2">
      <c r="B280" s="466">
        <v>44</v>
      </c>
      <c r="C280" s="467" t="s">
        <v>442</v>
      </c>
      <c r="D280" s="100">
        <v>1</v>
      </c>
      <c r="E280" s="532"/>
      <c r="F280" s="527">
        <f>F$59*'Länder-DB'!$O$55*(1-F$283-F$284-F$285)</f>
        <v>23406.176470588234</v>
      </c>
      <c r="G280" s="528"/>
      <c r="H280" s="10"/>
      <c r="I280" s="527">
        <f>I$59*'Länder-DB'!$O$55*(1-I$283-I$284-I$285)</f>
        <v>23130.176470588234</v>
      </c>
      <c r="J280" s="10"/>
      <c r="K280" s="10"/>
      <c r="L280" s="527">
        <f>L$59*'Länder-DB'!$O$55*(1-L$283-L$284-L$285)</f>
        <v>23091.176470588234</v>
      </c>
      <c r="M280" s="10"/>
      <c r="N280" s="10"/>
      <c r="O280" s="527"/>
      <c r="P280" s="4"/>
      <c r="Q280" s="4"/>
      <c r="R280" s="527"/>
      <c r="S280" s="4"/>
      <c r="T280" s="4"/>
      <c r="U280" s="527"/>
      <c r="V280" s="11"/>
    </row>
    <row r="281" spans="2:24" x14ac:dyDescent="0.2">
      <c r="B281" s="466">
        <v>44</v>
      </c>
      <c r="C281" s="467" t="s">
        <v>443</v>
      </c>
      <c r="D281" s="543" t="s">
        <v>461</v>
      </c>
      <c r="E281" s="530" t="s">
        <v>456</v>
      </c>
      <c r="F281" s="527" t="str">
        <f>IF(F$277&gt;MIN(F$280,2*F$279),'Länder-DB'!$O$54,IF(F$277&gt;MIN(F$279,3*F$278),'Länder-DB'!$N$54,'Länder-DB'!$M$54))</f>
        <v>Alu</v>
      </c>
      <c r="G281" s="10"/>
      <c r="H281" s="10"/>
      <c r="I281" s="527" t="str">
        <f>IF(I$277&gt;MIN(I$280,2*I$279),'Länder-DB'!$O$54,IF(I$277&gt;MIN(I$279,3*I$278),'Länder-DB'!$N$54,'Länder-DB'!$M$54))</f>
        <v>Alu</v>
      </c>
      <c r="J281" s="10"/>
      <c r="K281" s="10"/>
      <c r="L281" s="527" t="str">
        <f>IF(L$277&gt;MIN(L$280,2*L$279),'Länder-DB'!$O$54,IF(L$277&gt;MIN(L$279,3*L$278),'Länder-DB'!$N$54,'Länder-DB'!$M$54))</f>
        <v>Alu</v>
      </c>
      <c r="M281" s="10"/>
      <c r="N281" s="10"/>
      <c r="O281" s="527"/>
      <c r="P281" s="10"/>
      <c r="Q281" s="10"/>
      <c r="R281" s="527"/>
      <c r="S281" s="10"/>
      <c r="T281" s="10"/>
      <c r="U281" s="527"/>
      <c r="V281" s="11"/>
    </row>
    <row r="282" spans="2:24" x14ac:dyDescent="0.2">
      <c r="B282" s="466">
        <v>44</v>
      </c>
      <c r="C282" s="467" t="s">
        <v>497</v>
      </c>
      <c r="D282" s="543" t="s">
        <v>461</v>
      </c>
      <c r="E282" s="530" t="s">
        <v>456</v>
      </c>
      <c r="F282" s="527">
        <f>ROUNDUP(F277/F276,0)</f>
        <v>2</v>
      </c>
      <c r="G282" s="10"/>
      <c r="H282" s="10"/>
      <c r="I282" s="527">
        <f>ROUNDUP(I277/I276,0)</f>
        <v>2</v>
      </c>
      <c r="J282" s="10"/>
      <c r="K282" s="10"/>
      <c r="L282" s="527">
        <f>ROUNDUP(L277/L276,0)</f>
        <v>2</v>
      </c>
      <c r="M282" s="10"/>
      <c r="N282" s="10"/>
      <c r="O282" s="527"/>
      <c r="P282" s="4"/>
      <c r="Q282" s="4"/>
      <c r="R282" s="527"/>
      <c r="S282" s="4"/>
      <c r="T282" s="4"/>
      <c r="U282" s="527"/>
      <c r="V282" s="11"/>
    </row>
    <row r="283" spans="2:24" x14ac:dyDescent="0.2">
      <c r="B283" s="466">
        <v>44</v>
      </c>
      <c r="C283" s="96" t="s">
        <v>141</v>
      </c>
      <c r="D283" s="100" t="s">
        <v>388</v>
      </c>
      <c r="E283" s="530" t="s">
        <v>455</v>
      </c>
      <c r="F283" s="149">
        <f>10%*(0.85-F$27)</f>
        <v>1.1399999999999988E-2</v>
      </c>
      <c r="G283" s="10"/>
      <c r="H283" s="10"/>
      <c r="I283" s="149">
        <f>10%*(0.85-I$27)</f>
        <v>2.2440000000000005E-2</v>
      </c>
      <c r="J283" s="10"/>
      <c r="K283" s="10"/>
      <c r="L283" s="149">
        <f>10%*(0.85-L$27)</f>
        <v>3.9E-2</v>
      </c>
      <c r="M283" s="10"/>
      <c r="N283" s="10"/>
      <c r="O283" s="149"/>
      <c r="P283" s="4"/>
      <c r="Q283" s="4"/>
      <c r="R283" s="149"/>
      <c r="S283" s="4"/>
      <c r="T283" s="4"/>
      <c r="U283" s="149"/>
      <c r="V283" s="11"/>
    </row>
    <row r="284" spans="2:24" x14ac:dyDescent="0.2">
      <c r="B284" s="466">
        <v>44</v>
      </c>
      <c r="C284" s="96" t="s">
        <v>140</v>
      </c>
      <c r="D284" s="100" t="s">
        <v>388</v>
      </c>
      <c r="E284" s="530" t="s">
        <v>455</v>
      </c>
      <c r="F284" s="149">
        <f>1.5%*(VLOOKUP('Quick Input'!M$21,Auswahlfelder!$D$16:$E$19,2,FALSE)-1)</f>
        <v>0.03</v>
      </c>
      <c r="G284" s="10"/>
      <c r="H284" s="10"/>
      <c r="I284" s="149">
        <f>1.5%*(VLOOKUP('Quick Input'!P$21,Auswahlfelder!$D$16:$E$19,2,FALSE)-1)</f>
        <v>0.03</v>
      </c>
      <c r="J284" s="10"/>
      <c r="K284" s="10"/>
      <c r="L284" s="149">
        <f>1.5%*(VLOOKUP('Quick Input'!S$21,Auswahlfelder!$D$16:$E$19,2,FALSE)-1)</f>
        <v>1.4999999999999999E-2</v>
      </c>
      <c r="M284" s="10"/>
      <c r="N284" s="10"/>
      <c r="O284" s="149"/>
      <c r="P284" s="10"/>
      <c r="Q284" s="10"/>
      <c r="R284" s="149"/>
      <c r="S284" s="10"/>
      <c r="T284" s="10"/>
      <c r="U284" s="149"/>
      <c r="V284" s="5"/>
    </row>
    <row r="285" spans="2:24" ht="15" thickBot="1" x14ac:dyDescent="0.25">
      <c r="B285" s="466">
        <v>44</v>
      </c>
      <c r="C285" s="97" t="s">
        <v>144</v>
      </c>
      <c r="D285" s="102" t="s">
        <v>388</v>
      </c>
      <c r="E285" s="531" t="s">
        <v>455</v>
      </c>
      <c r="F285" s="605">
        <f>4%*(('Quick Input'!$E$18-1.2)/('Quick Input'!M$18-1.2))</f>
        <v>2.2352941176470589E-2</v>
      </c>
      <c r="G285" s="13"/>
      <c r="H285" s="13"/>
      <c r="I285" s="605">
        <f>4%*(('Quick Input'!$E$18-1.2)/('Quick Input'!P$18-1.2))</f>
        <v>2.2352941176470589E-2</v>
      </c>
      <c r="J285" s="13"/>
      <c r="K285" s="13"/>
      <c r="L285" s="605">
        <f>4%*(('Quick Input'!$E$18-1.2)/('Quick Input'!S$18-1.2))</f>
        <v>2.2352941176470589E-2</v>
      </c>
      <c r="M285" s="13"/>
      <c r="N285" s="13"/>
      <c r="O285" s="605"/>
      <c r="P285" s="27"/>
      <c r="Q285" s="27"/>
      <c r="R285" s="605"/>
      <c r="S285" s="27"/>
      <c r="T285" s="27"/>
      <c r="U285" s="605"/>
      <c r="V285" s="32"/>
    </row>
    <row r="286" spans="2:24" ht="15" x14ac:dyDescent="0.25">
      <c r="B286" s="466">
        <v>49</v>
      </c>
      <c r="C286" s="95" t="s">
        <v>528</v>
      </c>
      <c r="D286" s="98"/>
      <c r="E286" s="535" t="s">
        <v>456</v>
      </c>
      <c r="F286" s="204">
        <f>ROUND(F288*(1+F289+F290),-2)</f>
        <v>11700</v>
      </c>
      <c r="G286" s="418"/>
      <c r="H286" s="419"/>
      <c r="I286" s="204">
        <f>ROUND(I288*(1+I289+I290),-2)</f>
        <v>9800</v>
      </c>
      <c r="J286" s="418"/>
      <c r="K286" s="419"/>
      <c r="L286" s="204">
        <f>ROUND(L288*(1+L289+L290),-2)</f>
        <v>10100</v>
      </c>
      <c r="M286" s="418"/>
      <c r="N286" s="419"/>
      <c r="O286" s="204"/>
      <c r="P286" s="418"/>
      <c r="Q286" s="419"/>
      <c r="R286" s="204"/>
      <c r="S286" s="418"/>
      <c r="T286" s="419"/>
      <c r="U286" s="204"/>
      <c r="V286" s="11"/>
      <c r="X286" s="503"/>
    </row>
    <row r="287" spans="2:24" x14ac:dyDescent="0.2">
      <c r="B287" s="466">
        <v>49</v>
      </c>
      <c r="C287" s="96" t="s">
        <v>182</v>
      </c>
      <c r="D287" s="100"/>
      <c r="E287" s="530" t="s">
        <v>530</v>
      </c>
      <c r="F287" s="205">
        <f>SQRT(F$36)*10</f>
        <v>447.21359549995793</v>
      </c>
      <c r="G287" s="420"/>
      <c r="H287" s="421"/>
      <c r="I287" s="205">
        <f>SQRT(I$36)*10</f>
        <v>424.26406871192853</v>
      </c>
      <c r="J287" s="420"/>
      <c r="K287" s="421"/>
      <c r="L287" s="205">
        <f>SQRT(L$36)*10</f>
        <v>424.26406871192853</v>
      </c>
      <c r="M287" s="420"/>
      <c r="N287" s="421"/>
      <c r="O287" s="205"/>
      <c r="P287" s="420"/>
      <c r="Q287" s="421"/>
      <c r="R287" s="205"/>
      <c r="S287" s="420"/>
      <c r="T287" s="421"/>
      <c r="U287" s="205"/>
      <c r="V287" s="11"/>
      <c r="W287" s="479"/>
    </row>
    <row r="288" spans="2:24" x14ac:dyDescent="0.2">
      <c r="B288" s="466">
        <v>49</v>
      </c>
      <c r="C288" s="96" t="s">
        <v>529</v>
      </c>
      <c r="D288" s="100"/>
      <c r="E288" s="530" t="s">
        <v>455</v>
      </c>
      <c r="F288" s="205">
        <f>F$287*SQRT(Refkalkulation!H$49)*0.15*SQRT(HLOOKUP(F$281,'Länder-DB'!$M$54:$O$55,2,FALSE))</f>
        <v>10606.601717798214</v>
      </c>
      <c r="G288" s="420"/>
      <c r="H288" s="421"/>
      <c r="I288" s="205">
        <f>I$287*SQRT(Refkalkulation!K$49)*0.15*SQRT(HLOOKUP(I$281,'Länder-DB'!$M$54:$O$55,2,FALSE))</f>
        <v>10062.305898749055</v>
      </c>
      <c r="J288" s="420"/>
      <c r="K288" s="421"/>
      <c r="L288" s="205">
        <f>L$287*SQRT(Refkalkulation!N$49)*0.15*SQRT(HLOOKUP(L$281,'Länder-DB'!$M$54:$O$55,2,FALSE))</f>
        <v>10062.305898749055</v>
      </c>
      <c r="M288" s="420"/>
      <c r="N288" s="421"/>
      <c r="O288" s="205"/>
      <c r="P288" s="420"/>
      <c r="Q288" s="421"/>
      <c r="R288" s="205"/>
      <c r="S288" s="420"/>
      <c r="T288" s="421"/>
      <c r="U288" s="205"/>
      <c r="V288" s="5"/>
    </row>
    <row r="289" spans="1:25" x14ac:dyDescent="0.2">
      <c r="B289" s="466">
        <v>49</v>
      </c>
      <c r="C289" s="96" t="s">
        <v>181</v>
      </c>
      <c r="D289" s="100"/>
      <c r="E289" s="530" t="s">
        <v>455</v>
      </c>
      <c r="F289" s="201">
        <f>10%*(VLOOKUP('Quick Input'!M$21,Auswahlfelder!$D$16:$E$19,2,FALSE)-2)</f>
        <v>0.1</v>
      </c>
      <c r="G289" s="420"/>
      <c r="H289" s="421"/>
      <c r="I289" s="201">
        <f>10%*(VLOOKUP('Quick Input'!P$21,Auswahlfelder!$D$16:$E$19,2,FALSE)-2)</f>
        <v>0.1</v>
      </c>
      <c r="J289" s="420"/>
      <c r="K289" s="421"/>
      <c r="L289" s="201">
        <f>10%*(VLOOKUP('Quick Input'!S$21,Auswahlfelder!$D$16:$E$19,2,FALSE)-2)</f>
        <v>0</v>
      </c>
      <c r="M289" s="420"/>
      <c r="N289" s="421"/>
      <c r="O289" s="201"/>
      <c r="P289" s="420"/>
      <c r="Q289" s="421"/>
      <c r="R289" s="201"/>
      <c r="S289" s="420"/>
      <c r="T289" s="421"/>
      <c r="U289" s="201"/>
      <c r="V289" s="5"/>
    </row>
    <row r="290" spans="1:25" ht="15" thickBot="1" x14ac:dyDescent="0.25">
      <c r="B290" s="466">
        <v>49</v>
      </c>
      <c r="C290" s="96" t="s">
        <v>183</v>
      </c>
      <c r="D290" s="102"/>
      <c r="E290" s="531" t="s">
        <v>455</v>
      </c>
      <c r="F290" s="201">
        <f>18%*(VLOOKUP(F$19,DB_Länder,5,FALSE)/'Länder-DB'!$E$2-1)</f>
        <v>0</v>
      </c>
      <c r="G290" s="422"/>
      <c r="H290" s="421"/>
      <c r="I290" s="201">
        <f>18%*(VLOOKUP(I$19,DB_Länder,5,FALSE)/'Länder-DB'!$E$2-1)</f>
        <v>-0.12400937866354043</v>
      </c>
      <c r="J290" s="422"/>
      <c r="K290" s="421"/>
      <c r="L290" s="201">
        <f>18%*(VLOOKUP(L$19,DB_Länder,5,FALSE)/'Länder-DB'!$E$2-1)</f>
        <v>0</v>
      </c>
      <c r="M290" s="422"/>
      <c r="N290" s="421"/>
      <c r="O290" s="201"/>
      <c r="P290" s="422"/>
      <c r="Q290" s="421"/>
      <c r="R290" s="201"/>
      <c r="S290" s="422"/>
      <c r="T290" s="421"/>
      <c r="U290" s="201"/>
      <c r="V290" s="32"/>
    </row>
    <row r="291" spans="1:25" ht="15" x14ac:dyDescent="0.25">
      <c r="B291" s="466">
        <v>55</v>
      </c>
      <c r="C291" s="95" t="s">
        <v>375</v>
      </c>
      <c r="D291" s="100"/>
      <c r="E291" s="535" t="s">
        <v>456</v>
      </c>
      <c r="F291" s="161">
        <f>ROUND(IF('Quick Input'!M23=Auswahlfelder!$D$49,0,350+ROUND(SQRT(F292*1000)*$D$292,0)/F293),-2)</f>
        <v>2500</v>
      </c>
      <c r="G291" s="435"/>
      <c r="H291" s="419"/>
      <c r="I291" s="161">
        <f>ROUND(IF('Quick Input'!P23=Auswahlfelder!$D$49,0,350+ROUND(SQRT(I292*1000)*$D$292,0)/I293),-2)</f>
        <v>1100</v>
      </c>
      <c r="J291" s="435"/>
      <c r="K291" s="419"/>
      <c r="L291" s="161">
        <f>ROUND(IF('Quick Input'!S23=Auswahlfelder!$D$49,0,350+ROUND(SQRT(L292*1000)*$D$292,0)/L293),-2)</f>
        <v>1200</v>
      </c>
      <c r="M291" s="435"/>
      <c r="N291" s="419"/>
      <c r="O291" s="161"/>
      <c r="P291" s="435"/>
      <c r="Q291" s="419"/>
      <c r="R291" s="161"/>
      <c r="S291" s="435"/>
      <c r="T291" s="419"/>
      <c r="U291" s="161"/>
      <c r="V291" s="8"/>
    </row>
    <row r="292" spans="1:25" x14ac:dyDescent="0.2">
      <c r="B292" s="466">
        <f>B291</f>
        <v>55</v>
      </c>
      <c r="C292" s="96" t="s">
        <v>544</v>
      </c>
      <c r="D292" s="871">
        <v>1.9</v>
      </c>
      <c r="E292" s="530" t="s">
        <v>455</v>
      </c>
      <c r="F292" s="455">
        <f>200+20*Refkalkulation!H$65*SQRT(IF('Quick Input'!M$23=Auswahlfelder!$D$51,0.8,F249*2))</f>
        <v>1331.3708498984761</v>
      </c>
      <c r="G292" s="420"/>
      <c r="H292" s="421"/>
      <c r="I292" s="455">
        <f>200+20*Refkalkulation!K$65*SQRT(IF('Quick Input'!P$23=Auswahlfelder!$D$51,0.8,I249*2))</f>
        <v>200</v>
      </c>
      <c r="J292" s="420"/>
      <c r="K292" s="421"/>
      <c r="L292" s="455">
        <f>200+20*Refkalkulation!N$65*SQRT(IF('Quick Input'!S$23=Auswahlfelder!$D$51,0.8,L249*2))</f>
        <v>200</v>
      </c>
      <c r="M292" s="420"/>
      <c r="N292" s="421"/>
      <c r="O292" s="455"/>
      <c r="P292" s="420"/>
      <c r="Q292" s="421"/>
      <c r="R292" s="455"/>
      <c r="S292" s="420"/>
      <c r="T292" s="421"/>
      <c r="U292" s="455"/>
      <c r="V292" s="11"/>
    </row>
    <row r="293" spans="1:25" ht="15" thickBot="1" x14ac:dyDescent="0.25">
      <c r="B293" s="511">
        <f>B292</f>
        <v>55</v>
      </c>
      <c r="C293" s="97" t="s">
        <v>349</v>
      </c>
      <c r="D293" s="102"/>
      <c r="E293" s="531" t="s">
        <v>455</v>
      </c>
      <c r="F293" s="458">
        <f>1+0.25*(1-VLOOKUP(F$19,DB_Länder,4,FALSE)/'Länder-DB'!$D$2)</f>
        <v>1</v>
      </c>
      <c r="G293" s="459"/>
      <c r="H293" s="460"/>
      <c r="I293" s="458">
        <f>1+0.25*(1-VLOOKUP(I$19,DB_Länder,4,FALSE)/'Länder-DB'!$D$2)</f>
        <v>1.1839643652561247</v>
      </c>
      <c r="J293" s="459"/>
      <c r="K293" s="460"/>
      <c r="L293" s="458">
        <f>1+0.25*(1-VLOOKUP(L$19,DB_Länder,4,FALSE)/'Länder-DB'!$D$2)</f>
        <v>1</v>
      </c>
      <c r="M293" s="459"/>
      <c r="N293" s="460"/>
      <c r="O293" s="458"/>
      <c r="P293" s="459"/>
      <c r="Q293" s="460"/>
      <c r="R293" s="458"/>
      <c r="S293" s="459"/>
      <c r="T293" s="460"/>
      <c r="U293" s="458"/>
      <c r="V293" s="126"/>
    </row>
    <row r="294" spans="1:25" x14ac:dyDescent="0.2">
      <c r="A294" s="503"/>
      <c r="B294" s="503"/>
      <c r="C294" s="503"/>
      <c r="D294" s="503"/>
      <c r="E294" s="503"/>
      <c r="F294" s="503"/>
      <c r="G294" s="503"/>
      <c r="H294" s="503"/>
      <c r="I294" s="503"/>
      <c r="J294" s="503"/>
      <c r="K294" s="503"/>
      <c r="L294" s="503"/>
      <c r="M294" s="503"/>
      <c r="N294" s="503"/>
      <c r="O294" s="503"/>
      <c r="P294" s="503"/>
      <c r="Q294" s="503"/>
      <c r="R294" s="503"/>
      <c r="S294" s="503"/>
      <c r="T294" s="503"/>
      <c r="U294" s="503"/>
      <c r="V294" s="503"/>
      <c r="W294" s="503"/>
      <c r="X294" s="503"/>
    </row>
    <row r="296" spans="1:25" ht="15" thickBot="1" x14ac:dyDescent="0.25"/>
    <row r="297" spans="1:25" s="55" customFormat="1" ht="15" thickBot="1" x14ac:dyDescent="0.25">
      <c r="E297" s="559">
        <v>0</v>
      </c>
      <c r="F297" s="553" t="s">
        <v>483</v>
      </c>
      <c r="G297" s="554"/>
      <c r="H297" s="549">
        <v>0</v>
      </c>
      <c r="I297" s="553" t="s">
        <v>483</v>
      </c>
      <c r="J297" s="554"/>
      <c r="K297" s="549">
        <v>0</v>
      </c>
      <c r="L297" s="553" t="s">
        <v>483</v>
      </c>
      <c r="M297" s="554"/>
      <c r="N297" s="549">
        <v>0</v>
      </c>
      <c r="O297" s="553" t="s">
        <v>483</v>
      </c>
      <c r="P297" s="554"/>
      <c r="Q297" s="549">
        <v>0</v>
      </c>
      <c r="R297" s="553" t="s">
        <v>483</v>
      </c>
      <c r="S297" s="554"/>
      <c r="T297" s="549">
        <v>0</v>
      </c>
      <c r="U297" s="553" t="s">
        <v>483</v>
      </c>
      <c r="V297" s="554"/>
      <c r="W297" s="606" t="s">
        <v>391</v>
      </c>
      <c r="X297" s="555" t="s">
        <v>482</v>
      </c>
      <c r="Y297" s="560"/>
    </row>
    <row r="298" spans="1:25" ht="15" thickBot="1" x14ac:dyDescent="0.25">
      <c r="E298" s="124">
        <f>IF(F298,E297+1,E297)</f>
        <v>1</v>
      </c>
      <c r="F298" s="549" t="b">
        <f>F$84&lt;&gt;F$73</f>
        <v>1</v>
      </c>
      <c r="G298" s="562"/>
      <c r="H298" s="549">
        <f>IF(I298,H297+1,H297)</f>
        <v>1</v>
      </c>
      <c r="I298" s="549" t="b">
        <f>I$84&lt;&gt;I$73</f>
        <v>1</v>
      </c>
      <c r="J298" s="549"/>
      <c r="K298" s="549">
        <f>IF(L298,K297+1,K297)</f>
        <v>1</v>
      </c>
      <c r="L298" s="549" t="b">
        <f>L$84&lt;&gt;L$73</f>
        <v>1</v>
      </c>
      <c r="M298" s="549"/>
      <c r="N298" s="549">
        <f>IF(O298,N297+1,N297)</f>
        <v>0</v>
      </c>
      <c r="O298" s="549" t="b">
        <f>O$84&lt;&gt;O$73</f>
        <v>0</v>
      </c>
      <c r="P298" s="549"/>
      <c r="Q298" s="549">
        <f>IF(R298,Q297+1,Q297)</f>
        <v>0</v>
      </c>
      <c r="R298" s="549" t="b">
        <f>R$84&lt;&gt;R$73</f>
        <v>0</v>
      </c>
      <c r="S298" s="549"/>
      <c r="T298" s="549">
        <f>IF(U298,T297+1,T297)</f>
        <v>0</v>
      </c>
      <c r="U298" s="549" t="b">
        <f>U$84&lt;&gt;U$73</f>
        <v>0</v>
      </c>
      <c r="V298" s="563"/>
      <c r="W298" s="124" t="str">
        <f>C87</f>
        <v>Empfehlung Giesstechnik</v>
      </c>
      <c r="X298" s="552" t="s">
        <v>533</v>
      </c>
      <c r="Y298" s="37"/>
    </row>
    <row r="299" spans="1:25" ht="15" thickBot="1" x14ac:dyDescent="0.25">
      <c r="E299" s="124">
        <f>IF(F298,E298+1,E298)</f>
        <v>2</v>
      </c>
      <c r="F299" s="551" t="e">
        <f>F87</f>
        <v>#N/A</v>
      </c>
      <c r="G299" s="562"/>
      <c r="H299" s="549">
        <f>IF(I298,H298+1,H298)</f>
        <v>2</v>
      </c>
      <c r="I299" s="551" t="e">
        <f>I87</f>
        <v>#N/A</v>
      </c>
      <c r="J299" s="551"/>
      <c r="K299" s="549">
        <f>IF(L298,K298+1,K298)</f>
        <v>2</v>
      </c>
      <c r="L299" s="551" t="e">
        <f>L87</f>
        <v>#N/A</v>
      </c>
      <c r="M299" s="551"/>
      <c r="N299" s="549">
        <f>IF(O298,N298+1,N298)</f>
        <v>0</v>
      </c>
      <c r="O299" s="551">
        <f>O87</f>
        <v>0</v>
      </c>
      <c r="P299" s="551"/>
      <c r="Q299" s="549">
        <f>IF(R298,Q298+1,Q298)</f>
        <v>0</v>
      </c>
      <c r="R299" s="551">
        <f>R87</f>
        <v>0</v>
      </c>
      <c r="S299" s="551"/>
      <c r="T299" s="549">
        <f>IF(U298,T298+1,T298)</f>
        <v>0</v>
      </c>
      <c r="U299" s="551">
        <f>U87</f>
        <v>0</v>
      </c>
      <c r="V299" s="564"/>
      <c r="W299" s="550"/>
      <c r="X299" s="27"/>
      <c r="Y299" s="32"/>
    </row>
    <row r="300" spans="1:25" ht="15" thickBot="1" x14ac:dyDescent="0.25">
      <c r="E300" s="124">
        <f ca="1">IF(F300,E299+1,E299)</f>
        <v>2</v>
      </c>
      <c r="F300" s="549" t="b">
        <f ca="1">IFERROR(F91/F90&lt;3%,FALSE)</f>
        <v>0</v>
      </c>
      <c r="G300" s="562"/>
      <c r="H300" s="549">
        <f>IF(I300,H299+1,H299)</f>
        <v>2</v>
      </c>
      <c r="I300" s="549" t="b">
        <f>IFERROR(I91/I90&lt;3%,FALSE)</f>
        <v>0</v>
      </c>
      <c r="J300" s="549"/>
      <c r="K300" s="549">
        <f>IF(L300,K299+1,K299)</f>
        <v>2</v>
      </c>
      <c r="L300" s="549" t="b">
        <f>IFERROR(L91/L90&lt;3%,FALSE)</f>
        <v>0</v>
      </c>
      <c r="M300" s="549"/>
      <c r="N300" s="549">
        <f>IF(O300,N299+1,N299)</f>
        <v>0</v>
      </c>
      <c r="O300" s="549" t="b">
        <f>IFERROR(O91/O90&lt;3%,FALSE)</f>
        <v>0</v>
      </c>
      <c r="P300" s="549"/>
      <c r="Q300" s="549">
        <f>IF(R300,Q299+1,Q299)</f>
        <v>0</v>
      </c>
      <c r="R300" s="549" t="b">
        <f>IFERROR(R91/R90&lt;3%,FALSE)</f>
        <v>0</v>
      </c>
      <c r="S300" s="549"/>
      <c r="T300" s="549">
        <f>IF(U300,T299+1,T299)</f>
        <v>0</v>
      </c>
      <c r="U300" s="549" t="b">
        <f>IFERROR(U91/U90&lt;3%,FALSE)</f>
        <v>0</v>
      </c>
      <c r="V300" s="549"/>
      <c r="W300" s="552" t="str">
        <f>C89</f>
        <v>Kastenausnutzung (Volumen)</v>
      </c>
      <c r="X300" s="552" t="s">
        <v>534</v>
      </c>
      <c r="Y300" s="37"/>
    </row>
    <row r="301" spans="1:25" ht="15" thickBot="1" x14ac:dyDescent="0.25">
      <c r="E301" s="124">
        <f ca="1">IF(F300,E300+1,E300)</f>
        <v>2</v>
      </c>
      <c r="F301" s="653" t="str">
        <f ca="1">IF(F300,TEXT(F$89,"0%")," ")</f>
        <v xml:space="preserve"> </v>
      </c>
      <c r="G301" s="562"/>
      <c r="H301" s="549">
        <f>IF(I300,H300+1,H300)</f>
        <v>2</v>
      </c>
      <c r="I301" s="653" t="str">
        <f>IF(I300,TEXT(I$89,"0%")," ")</f>
        <v xml:space="preserve"> </v>
      </c>
      <c r="J301" s="551"/>
      <c r="K301" s="549">
        <f>IF(L300,K300+1,K300)</f>
        <v>2</v>
      </c>
      <c r="L301" s="653" t="str">
        <f>IF(L300,TEXT(L$89,"0%")," ")</f>
        <v xml:space="preserve"> </v>
      </c>
      <c r="M301" s="551"/>
      <c r="N301" s="549">
        <f>IF(O300,N300+1,N300)</f>
        <v>0</v>
      </c>
      <c r="O301" s="653" t="str">
        <f>IF(O300,TEXT(O$89,"0%")," ")</f>
        <v xml:space="preserve"> </v>
      </c>
      <c r="P301" s="551"/>
      <c r="Q301" s="549">
        <f>IF(R300,Q300+1,Q300)</f>
        <v>0</v>
      </c>
      <c r="R301" s="653" t="str">
        <f>IF(R300,TEXT(R$89,"0%")," ")</f>
        <v xml:space="preserve"> </v>
      </c>
      <c r="S301" s="551"/>
      <c r="T301" s="549">
        <f>IF(U300,T300+1,T300)</f>
        <v>0</v>
      </c>
      <c r="U301" s="653" t="str">
        <f>IF(U300,TEXT(U$89,"0%")," ")</f>
        <v xml:space="preserve"> </v>
      </c>
      <c r="V301" s="551"/>
      <c r="W301" s="27"/>
      <c r="X301" s="27"/>
      <c r="Y301" s="32"/>
    </row>
    <row r="302" spans="1:25" ht="15" thickBot="1" x14ac:dyDescent="0.25">
      <c r="E302" s="124">
        <f ca="1">IF(F302,E301+1,E301)</f>
        <v>2</v>
      </c>
      <c r="F302" s="549" t="b">
        <f ca="1">IFERROR(Refkalkulation!H64/(Refkalkulation!H64+Refkalkulation!H58)&gt;15%,FALSE)</f>
        <v>0</v>
      </c>
      <c r="G302" s="562"/>
      <c r="H302" s="549">
        <f>IF(I302,H301+1,H301)</f>
        <v>2</v>
      </c>
      <c r="I302" s="549" t="b">
        <f>IFERROR(Refkalkulation!K64/(Refkalkulation!K64+Refkalkulation!K58)&gt;15%,FALSE)</f>
        <v>0</v>
      </c>
      <c r="J302" s="549"/>
      <c r="K302" s="549">
        <f>IF(L302,K301+1,K301)</f>
        <v>2</v>
      </c>
      <c r="L302" s="549" t="b">
        <f>IFERROR(Refkalkulation!N64/(Refkalkulation!N64+Refkalkulation!N58)&gt;15%,FALSE)</f>
        <v>0</v>
      </c>
      <c r="M302" s="549"/>
      <c r="N302" s="549">
        <f>IF(O302,N301+1,N301)</f>
        <v>0</v>
      </c>
      <c r="O302" s="549" t="b">
        <f>IFERROR(Refkalkulation!#REF!/(Refkalkulation!#REF!+Refkalkulation!#REF!)&gt;15%,FALSE)</f>
        <v>0</v>
      </c>
      <c r="P302" s="549"/>
      <c r="Q302" s="549">
        <f>IF(R302,Q301+1,Q301)</f>
        <v>0</v>
      </c>
      <c r="R302" s="549" t="b">
        <f>IFERROR(Refkalkulation!#REF!/(Refkalkulation!#REF!+Refkalkulation!#REF!)&gt;15%,FALSE)</f>
        <v>0</v>
      </c>
      <c r="S302" s="549"/>
      <c r="T302" s="549">
        <f>IF(U302,T301+1,T301)</f>
        <v>0</v>
      </c>
      <c r="U302" s="549" t="b">
        <f>IFERROR(Refkalkulation!#REF!/(Refkalkulation!#REF!+Refkalkulation!#REF!)&gt;15%,FALSE)</f>
        <v>0</v>
      </c>
      <c r="V302" s="549"/>
      <c r="W302" s="552" t="s">
        <v>500</v>
      </c>
      <c r="X302" s="552" t="s">
        <v>536</v>
      </c>
      <c r="Y302" s="37"/>
    </row>
    <row r="303" spans="1:25" ht="15" thickBot="1" x14ac:dyDescent="0.25">
      <c r="E303" s="124">
        <f ca="1">IF(F302,E302+1,E302)</f>
        <v>2</v>
      </c>
      <c r="F303" s="654" t="e">
        <f ca="1">TEXT(Refkalkulation!H60/(Refkalkulation!H60+Refkalkulation!H57*Refkalkulation!H59/60/Refkalkulation!H49),"0,0 %")</f>
        <v>#N/A</v>
      </c>
      <c r="G303" s="562"/>
      <c r="H303" s="549">
        <f>IF(I302,H302+1,H302)</f>
        <v>2</v>
      </c>
      <c r="I303" s="652" t="e">
        <f>TEXT(Refkalkulation!K60/(Refkalkulation!K60+Refkalkulation!K57*Refkalkulation!K59/60/Refkalkulation!K49),"0,0 %")</f>
        <v>#N/A</v>
      </c>
      <c r="J303" s="551"/>
      <c r="K303" s="549">
        <f>IF(L302,K302+1,K302)</f>
        <v>2</v>
      </c>
      <c r="L303" s="652" t="e">
        <f>TEXT(Refkalkulation!N60/(Refkalkulation!N60+Refkalkulation!N57*Refkalkulation!N59/60/Refkalkulation!N49),"0,0 %")</f>
        <v>#N/A</v>
      </c>
      <c r="M303" s="551"/>
      <c r="N303" s="549">
        <f>IF(O302,N302+1,N302)</f>
        <v>0</v>
      </c>
      <c r="O303" s="652" t="e">
        <f>TEXT(Refkalkulation!#REF!/(Refkalkulation!#REF!+Refkalkulation!#REF!*Refkalkulation!#REF!/60/Refkalkulation!#REF!),"0,0 %")</f>
        <v>#REF!</v>
      </c>
      <c r="P303" s="551"/>
      <c r="Q303" s="549">
        <f>IF(R302,Q302+1,Q302)</f>
        <v>0</v>
      </c>
      <c r="R303" s="652" t="e">
        <f>TEXT(Refkalkulation!#REF!/(Refkalkulation!#REF!+Refkalkulation!#REF!*Refkalkulation!#REF!/60/Refkalkulation!#REF!),"0,0 %")</f>
        <v>#REF!</v>
      </c>
      <c r="S303" s="551"/>
      <c r="T303" s="549">
        <f>IF(U302,T302+1,T302)</f>
        <v>0</v>
      </c>
      <c r="U303" s="652" t="e">
        <f>TEXT(Refkalkulation!#REF!/(Refkalkulation!#REF!+Refkalkulation!#REF!*Refkalkulation!#REF!/60/Refkalkulation!#REF!),"0,0 %")</f>
        <v>#REF!</v>
      </c>
      <c r="V303" s="551"/>
      <c r="W303" s="27"/>
      <c r="X303" s="27"/>
      <c r="Y303" s="32"/>
    </row>
    <row r="304" spans="1:25" ht="15" thickBot="1" x14ac:dyDescent="0.25">
      <c r="E304" s="124">
        <f ca="1">IF(F304,E303+1,E303)</f>
        <v>3</v>
      </c>
      <c r="F304" s="549" t="b">
        <f>IFERROR(F282&gt;1,FALSE)</f>
        <v>1</v>
      </c>
      <c r="G304" s="562"/>
      <c r="H304" s="549">
        <f>IF(I304,H303+1,H303)</f>
        <v>3</v>
      </c>
      <c r="I304" s="549" t="b">
        <f>IFERROR(I282&gt;1,FALSE)</f>
        <v>1</v>
      </c>
      <c r="J304" s="549"/>
      <c r="K304" s="549">
        <f>IF(L304,K303+1,K303)</f>
        <v>3</v>
      </c>
      <c r="L304" s="549" t="b">
        <f>IFERROR(L282&gt;1,FALSE)</f>
        <v>1</v>
      </c>
      <c r="M304" s="549"/>
      <c r="N304" s="549">
        <f>IF(O304,N303+1,N303)</f>
        <v>0</v>
      </c>
      <c r="O304" s="549" t="b">
        <f>IFERROR(O282&gt;1,FALSE)</f>
        <v>0</v>
      </c>
      <c r="P304" s="549"/>
      <c r="Q304" s="549">
        <f>IF(R304,Q303+1,Q303)</f>
        <v>0</v>
      </c>
      <c r="R304" s="549" t="b">
        <f>IFERROR(R282&gt;1,FALSE)</f>
        <v>0</v>
      </c>
      <c r="S304" s="549"/>
      <c r="T304" s="549">
        <f>IF(U304,T303+1,T303)</f>
        <v>0</v>
      </c>
      <c r="U304" s="549" t="b">
        <f>IFERROR(U282&gt;1,FALSE)</f>
        <v>0</v>
      </c>
      <c r="V304" s="549"/>
      <c r="W304" s="552" t="s">
        <v>499</v>
      </c>
      <c r="X304" s="552" t="s">
        <v>532</v>
      </c>
      <c r="Y304" s="37"/>
    </row>
    <row r="305" spans="5:25" ht="15" thickBot="1" x14ac:dyDescent="0.25">
      <c r="E305" s="124">
        <f ca="1">IF(F304,E304+1,E304)</f>
        <v>4</v>
      </c>
      <c r="F305" s="566" t="str">
        <f>CONCATENATE(F282,IF(Deutsch," WKZ aus "," tool from "),F281)</f>
        <v>2 WKZ aus Alu</v>
      </c>
      <c r="G305" s="562"/>
      <c r="H305" s="549">
        <f>IF(I304,H304+1,H304)</f>
        <v>4</v>
      </c>
      <c r="I305" s="566" t="str">
        <f>CONCATENATE(I282,IF(Deutsch," WKZ aus "," tool from "),I281)</f>
        <v>2 WKZ aus Alu</v>
      </c>
      <c r="J305" s="551"/>
      <c r="K305" s="549">
        <f>IF(L304,K304+1,K304)</f>
        <v>4</v>
      </c>
      <c r="L305" s="566" t="str">
        <f>CONCATENATE(L282,IF(Deutsch," WKZ aus "," tool from "),L281)</f>
        <v>2 WKZ aus Alu</v>
      </c>
      <c r="M305" s="551"/>
      <c r="N305" s="549">
        <f>IF(O304,N304+1,N304)</f>
        <v>0</v>
      </c>
      <c r="O305" s="566" t="str">
        <f>CONCATENATE(O282,IF(Deutsch," WKZ aus "," tool from "),O281)</f>
        <v xml:space="preserve"> WKZ aus </v>
      </c>
      <c r="P305" s="551"/>
      <c r="Q305" s="549">
        <f>IF(R304,Q304+1,Q304)</f>
        <v>0</v>
      </c>
      <c r="R305" s="566" t="str">
        <f>CONCATENATE(R282,IF(Deutsch," WKZ aus "," tool from "),R281)</f>
        <v xml:space="preserve"> WKZ aus </v>
      </c>
      <c r="S305" s="551"/>
      <c r="T305" s="549">
        <f>IF(U304,T304+1,T304)</f>
        <v>0</v>
      </c>
      <c r="U305" s="566" t="str">
        <f>CONCATENATE(U282,IF(Deutsch," WKZ aus "," tool from "),U281)</f>
        <v xml:space="preserve"> WKZ aus </v>
      </c>
      <c r="V305" s="551"/>
      <c r="W305" s="27"/>
      <c r="X305" s="27"/>
      <c r="Y305" s="32"/>
    </row>
    <row r="306" spans="5:25" ht="15" thickBot="1" x14ac:dyDescent="0.25">
      <c r="E306" s="124">
        <f ca="1">IF(F306,E305+1,E305)</f>
        <v>4</v>
      </c>
      <c r="F306" s="646" t="b">
        <f>IFERROR(F$142&lt;30%,FALSE)</f>
        <v>0</v>
      </c>
      <c r="G306" s="562"/>
      <c r="H306" s="549">
        <f>IF(I306,H305+1,H305)</f>
        <v>4</v>
      </c>
      <c r="I306" s="646" t="b">
        <f>IFERROR(I$142&lt;30%,FALSE)</f>
        <v>0</v>
      </c>
      <c r="J306" s="549"/>
      <c r="K306" s="549">
        <f>IF(L306,K305+1,K305)</f>
        <v>4</v>
      </c>
      <c r="L306" s="646" t="b">
        <f>IFERROR(L$142&lt;30%,FALSE)</f>
        <v>0</v>
      </c>
      <c r="M306" s="549"/>
      <c r="N306" s="549">
        <f>IF(O306,N305+1,N305)</f>
        <v>1</v>
      </c>
      <c r="O306" s="646" t="b">
        <f>IFERROR(O$142&lt;30%,FALSE)</f>
        <v>1</v>
      </c>
      <c r="P306" s="549"/>
      <c r="Q306" s="549">
        <f>IF(R306,Q305+1,Q305)</f>
        <v>1</v>
      </c>
      <c r="R306" s="646" t="b">
        <f>IFERROR(R$142&lt;30%,FALSE)</f>
        <v>1</v>
      </c>
      <c r="S306" s="549"/>
      <c r="T306" s="549">
        <f>IF(U306,T305+1,T305)</f>
        <v>1</v>
      </c>
      <c r="U306" s="646" t="b">
        <f>IFERROR(U$142&lt;30%,FALSE)</f>
        <v>1</v>
      </c>
      <c r="V306" s="549"/>
      <c r="W306" s="552" t="s">
        <v>531</v>
      </c>
      <c r="X306" s="552" t="s">
        <v>535</v>
      </c>
      <c r="Y306" s="37"/>
    </row>
    <row r="307" spans="5:25" ht="15" thickBot="1" x14ac:dyDescent="0.25">
      <c r="E307" s="124">
        <f ca="1">IF(F306,E306+1,E306)</f>
        <v>4</v>
      </c>
      <c r="F307" s="652" t="str">
        <f>TEXT(F$142,"0 %")</f>
        <v>56 %</v>
      </c>
      <c r="G307" s="562"/>
      <c r="H307" s="549">
        <f>IF(I306,H306+1,H306)</f>
        <v>4</v>
      </c>
      <c r="I307" s="652" t="str">
        <f>TEXT(I$142,"0 %")</f>
        <v>54 %</v>
      </c>
      <c r="J307" s="551"/>
      <c r="K307" s="549">
        <f>IF(L306,K306+1,K306)</f>
        <v>4</v>
      </c>
      <c r="L307" s="652" t="str">
        <f>TEXT(L$142,"0 %")</f>
        <v>54 %</v>
      </c>
      <c r="M307" s="551"/>
      <c r="N307" s="549">
        <f>IF(O306,N306+1,N306)</f>
        <v>2</v>
      </c>
      <c r="O307" s="652" t="str">
        <f>TEXT(O$142,"0 %")</f>
        <v>0 %</v>
      </c>
      <c r="P307" s="551"/>
      <c r="Q307" s="549">
        <f>IF(R306,Q306+1,Q306)</f>
        <v>2</v>
      </c>
      <c r="R307" s="652" t="str">
        <f>TEXT(R$142,"0 %")</f>
        <v>0 %</v>
      </c>
      <c r="S307" s="551"/>
      <c r="T307" s="549">
        <f>IF(U306,T306+1,T306)</f>
        <v>2</v>
      </c>
      <c r="U307" s="652" t="str">
        <f>TEXT(U$142,"0 %")</f>
        <v>0 %</v>
      </c>
      <c r="V307" s="551"/>
      <c r="W307" s="27"/>
      <c r="X307" s="27"/>
      <c r="Y307" s="32"/>
    </row>
    <row r="308" spans="5:25" ht="15" thickBot="1" x14ac:dyDescent="0.25">
      <c r="E308" s="124">
        <f ca="1">IF(F308,E307+1,E307)</f>
        <v>4</v>
      </c>
      <c r="F308" s="549" t="b">
        <f>IFERROR(F74&gt;F83,FALSE)</f>
        <v>0</v>
      </c>
      <c r="G308" s="562"/>
      <c r="H308" s="549">
        <f>IF(I308,H307+1,H307)</f>
        <v>4</v>
      </c>
      <c r="I308" s="549" t="b">
        <f>IFERROR(I74&gt;I83,FALSE)</f>
        <v>0</v>
      </c>
      <c r="J308" s="549"/>
      <c r="K308" s="549">
        <f>IF(L308,K307+1,K307)</f>
        <v>4</v>
      </c>
      <c r="L308" s="549" t="b">
        <f>IFERROR(L74&gt;L83,FALSE)</f>
        <v>0</v>
      </c>
      <c r="M308" s="549"/>
      <c r="N308" s="549">
        <f>IF(O308,N307+1,N307)</f>
        <v>2</v>
      </c>
      <c r="O308" s="549" t="b">
        <f>IFERROR(O74&gt;O83,FALSE)</f>
        <v>0</v>
      </c>
      <c r="P308" s="549"/>
      <c r="Q308" s="549">
        <f>IF(R308,Q307+1,Q307)</f>
        <v>2</v>
      </c>
      <c r="R308" s="549" t="b">
        <f>IFERROR(R74&gt;R83,FALSE)</f>
        <v>0</v>
      </c>
      <c r="S308" s="549"/>
      <c r="T308" s="549">
        <f>IF(U308,T307+1,T307)</f>
        <v>2</v>
      </c>
      <c r="U308" s="549" t="b">
        <f>IFERROR(U74&gt;U83,FALSE)</f>
        <v>0</v>
      </c>
      <c r="V308" s="549"/>
      <c r="W308" s="552" t="s">
        <v>582</v>
      </c>
      <c r="X308" s="552" t="s">
        <v>583</v>
      </c>
      <c r="Y308" s="37"/>
    </row>
    <row r="309" spans="5:25" ht="15" thickBot="1" x14ac:dyDescent="0.25">
      <c r="E309" s="124">
        <f ca="1">IF(F308,E308+1,E308)</f>
        <v>4</v>
      </c>
      <c r="F309" s="566" t="str">
        <f>IF(F308,"","")</f>
        <v/>
      </c>
      <c r="G309" s="562"/>
      <c r="H309" s="549">
        <f>IF(I308,H308+1,H308)</f>
        <v>4</v>
      </c>
      <c r="I309" s="566" t="str">
        <f>IF(I308,"","")</f>
        <v/>
      </c>
      <c r="J309" s="551"/>
      <c r="K309" s="549">
        <f>IF(L308,K308+1,K308)</f>
        <v>4</v>
      </c>
      <c r="L309" s="566" t="str">
        <f>IF(L308,"","")</f>
        <v/>
      </c>
      <c r="M309" s="551"/>
      <c r="N309" s="549">
        <f>IF(O308,N308+1,N308)</f>
        <v>2</v>
      </c>
      <c r="O309" s="566" t="str">
        <f>IF(O308,"","")</f>
        <v/>
      </c>
      <c r="P309" s="551"/>
      <c r="Q309" s="549">
        <f>IF(R308,Q308+1,Q308)</f>
        <v>2</v>
      </c>
      <c r="R309" s="566" t="str">
        <f>IF(R308,"","")</f>
        <v/>
      </c>
      <c r="S309" s="551"/>
      <c r="T309" s="549">
        <f>IF(U308,T308+1,T308)</f>
        <v>2</v>
      </c>
      <c r="U309" s="566" t="str">
        <f>IF(U308,"","")</f>
        <v/>
      </c>
      <c r="V309" s="551"/>
      <c r="W309" s="27"/>
      <c r="X309" s="27"/>
      <c r="Y309" s="32"/>
    </row>
    <row r="310" spans="5:25" ht="15" thickBot="1" x14ac:dyDescent="0.25">
      <c r="E310" s="124">
        <f ca="1">IF(F310,E309+1,E309)</f>
        <v>5</v>
      </c>
      <c r="F310" s="549" t="b">
        <v>1</v>
      </c>
      <c r="G310" s="562"/>
      <c r="H310" s="549">
        <f>IF(I310,H309+1,H309)</f>
        <v>5</v>
      </c>
      <c r="I310" s="549" t="b">
        <v>1</v>
      </c>
      <c r="J310" s="549"/>
      <c r="K310" s="549">
        <f>IF(L310,K309+1,K309)</f>
        <v>5</v>
      </c>
      <c r="L310" s="549" t="b">
        <v>1</v>
      </c>
      <c r="M310" s="549"/>
      <c r="N310" s="549">
        <f>IF(O310,N309+1,N309)</f>
        <v>3</v>
      </c>
      <c r="O310" s="549" t="b">
        <v>1</v>
      </c>
      <c r="P310" s="549"/>
      <c r="Q310" s="549">
        <f>IF(R310,Q309+1,Q309)</f>
        <v>3</v>
      </c>
      <c r="R310" s="549" t="b">
        <v>1</v>
      </c>
      <c r="S310" s="549"/>
      <c r="T310" s="549">
        <f>IF(U310,T309+1,T309)</f>
        <v>3</v>
      </c>
      <c r="U310" s="549" t="b">
        <v>1</v>
      </c>
      <c r="V310" s="549"/>
      <c r="W310" s="552" t="s">
        <v>33</v>
      </c>
      <c r="X310" s="552" t="s">
        <v>33</v>
      </c>
      <c r="Y310" s="37"/>
    </row>
    <row r="311" spans="5:25" ht="15" thickBot="1" x14ac:dyDescent="0.25">
      <c r="E311" s="124">
        <f ca="1">IF(F310,E310+1,E310)</f>
        <v>6</v>
      </c>
      <c r="F311" s="566" t="s">
        <v>33</v>
      </c>
      <c r="G311" s="562"/>
      <c r="H311" s="549">
        <f>IF(I310,H310+1,H310)</f>
        <v>6</v>
      </c>
      <c r="I311" s="566" t="s">
        <v>33</v>
      </c>
      <c r="J311" s="551"/>
      <c r="K311" s="549">
        <f>IF(L310,K310+1,K310)</f>
        <v>6</v>
      </c>
      <c r="L311" s="566" t="s">
        <v>33</v>
      </c>
      <c r="M311" s="551"/>
      <c r="N311" s="549">
        <f>IF(O310,N310+1,N310)</f>
        <v>4</v>
      </c>
      <c r="O311" s="566" t="s">
        <v>33</v>
      </c>
      <c r="P311" s="551"/>
      <c r="Q311" s="549">
        <f>IF(R310,Q310+1,Q310)</f>
        <v>4</v>
      </c>
      <c r="R311" s="566" t="s">
        <v>33</v>
      </c>
      <c r="S311" s="551"/>
      <c r="T311" s="549">
        <f>IF(U310,T310+1,T310)</f>
        <v>4</v>
      </c>
      <c r="U311" s="566" t="s">
        <v>33</v>
      </c>
      <c r="V311" s="551"/>
      <c r="W311" s="27"/>
      <c r="X311" s="27"/>
      <c r="Y311" s="32"/>
    </row>
    <row r="312" spans="5:25" ht="15" thickBot="1" x14ac:dyDescent="0.25">
      <c r="E312" s="124">
        <f ca="1">IF(F312,E311+1,E311)</f>
        <v>7</v>
      </c>
      <c r="F312" s="549" t="b">
        <v>1</v>
      </c>
      <c r="G312" s="562"/>
      <c r="H312" s="549">
        <f>IF(I312,H311+1,H311)</f>
        <v>7</v>
      </c>
      <c r="I312" s="549" t="b">
        <v>1</v>
      </c>
      <c r="J312" s="549"/>
      <c r="K312" s="549">
        <f>IF(L312,K311+1,K311)</f>
        <v>7</v>
      </c>
      <c r="L312" s="549" t="b">
        <v>1</v>
      </c>
      <c r="M312" s="549"/>
      <c r="N312" s="549">
        <f>IF(O312,N311+1,N311)</f>
        <v>5</v>
      </c>
      <c r="O312" s="549" t="b">
        <v>1</v>
      </c>
      <c r="P312" s="549"/>
      <c r="Q312" s="549">
        <f>IF(R312,Q311+1,Q311)</f>
        <v>5</v>
      </c>
      <c r="R312" s="549" t="b">
        <v>1</v>
      </c>
      <c r="S312" s="549"/>
      <c r="T312" s="549">
        <f>IF(U312,T311+1,T311)</f>
        <v>5</v>
      </c>
      <c r="U312" s="549" t="b">
        <v>1</v>
      </c>
      <c r="V312" s="549"/>
      <c r="W312" s="552" t="s">
        <v>33</v>
      </c>
      <c r="X312" s="552" t="s">
        <v>33</v>
      </c>
      <c r="Y312" s="37"/>
    </row>
    <row r="313" spans="5:25" ht="15" thickBot="1" x14ac:dyDescent="0.25">
      <c r="E313" s="124">
        <f ca="1">IF(F312,E312+1,E312)</f>
        <v>8</v>
      </c>
      <c r="F313" s="566" t="s">
        <v>33</v>
      </c>
      <c r="G313" s="562"/>
      <c r="H313" s="549">
        <f>IF(I312,H312+1,H312)</f>
        <v>8</v>
      </c>
      <c r="I313" s="566" t="s">
        <v>33</v>
      </c>
      <c r="J313" s="551"/>
      <c r="K313" s="549">
        <f>IF(L312,K312+1,K312)</f>
        <v>8</v>
      </c>
      <c r="L313" s="566" t="s">
        <v>33</v>
      </c>
      <c r="M313" s="551"/>
      <c r="N313" s="549">
        <f>IF(O312,N312+1,N312)</f>
        <v>6</v>
      </c>
      <c r="O313" s="566" t="s">
        <v>33</v>
      </c>
      <c r="P313" s="551"/>
      <c r="Q313" s="549">
        <f>IF(R312,Q312+1,Q312)</f>
        <v>6</v>
      </c>
      <c r="R313" s="566" t="s">
        <v>33</v>
      </c>
      <c r="S313" s="551"/>
      <c r="T313" s="549">
        <f>IF(U312,T312+1,T312)</f>
        <v>6</v>
      </c>
      <c r="U313" s="566" t="s">
        <v>33</v>
      </c>
      <c r="V313" s="551"/>
      <c r="W313" s="27"/>
      <c r="X313" s="27"/>
      <c r="Y313" s="32"/>
    </row>
    <row r="314" spans="5:25" ht="15" thickBot="1" x14ac:dyDescent="0.25">
      <c r="E314" s="124">
        <f ca="1">IF(F314,E313+1,E313)</f>
        <v>9</v>
      </c>
      <c r="F314" s="549" t="b">
        <v>1</v>
      </c>
      <c r="G314" s="562"/>
      <c r="H314" s="549">
        <f>IF(I314,H313+1,H313)</f>
        <v>9</v>
      </c>
      <c r="I314" s="549" t="b">
        <v>1</v>
      </c>
      <c r="J314" s="549"/>
      <c r="K314" s="549">
        <f>IF(L314,K313+1,K313)</f>
        <v>9</v>
      </c>
      <c r="L314" s="549" t="b">
        <v>1</v>
      </c>
      <c r="M314" s="549"/>
      <c r="N314" s="549">
        <f>IF(O314,N313+1,N313)</f>
        <v>7</v>
      </c>
      <c r="O314" s="549" t="b">
        <v>1</v>
      </c>
      <c r="P314" s="549"/>
      <c r="Q314" s="549">
        <f>IF(R314,Q313+1,Q313)</f>
        <v>7</v>
      </c>
      <c r="R314" s="549" t="b">
        <v>1</v>
      </c>
      <c r="S314" s="549"/>
      <c r="T314" s="549">
        <f>IF(U314,T313+1,T313)</f>
        <v>7</v>
      </c>
      <c r="U314" s="549" t="b">
        <v>1</v>
      </c>
      <c r="V314" s="549"/>
      <c r="W314" s="552" t="s">
        <v>33</v>
      </c>
      <c r="X314" s="552" t="s">
        <v>33</v>
      </c>
      <c r="Y314" s="37"/>
    </row>
    <row r="315" spans="5:25" ht="15" thickBot="1" x14ac:dyDescent="0.25">
      <c r="E315" s="561">
        <f ca="1">IF(F314,E314+1,E314)</f>
        <v>10</v>
      </c>
      <c r="F315" s="566" t="s">
        <v>33</v>
      </c>
      <c r="G315" s="551"/>
      <c r="H315" s="565">
        <f>IF(I314,H314+1,H314)</f>
        <v>10</v>
      </c>
      <c r="I315" s="566" t="s">
        <v>33</v>
      </c>
      <c r="J315" s="551"/>
      <c r="K315" s="565">
        <f>IF(L314,K314+1,K314)</f>
        <v>10</v>
      </c>
      <c r="L315" s="566" t="s">
        <v>33</v>
      </c>
      <c r="M315" s="551"/>
      <c r="N315" s="565">
        <f>IF(O314,N314+1,N314)</f>
        <v>8</v>
      </c>
      <c r="O315" s="566" t="s">
        <v>33</v>
      </c>
      <c r="P315" s="551"/>
      <c r="Q315" s="565">
        <f>IF(R314,Q314+1,Q314)</f>
        <v>8</v>
      </c>
      <c r="R315" s="566" t="s">
        <v>33</v>
      </c>
      <c r="S315" s="551"/>
      <c r="T315" s="565">
        <f>IF(U314,T314+1,T314)</f>
        <v>8</v>
      </c>
      <c r="U315" s="566" t="s">
        <v>33</v>
      </c>
      <c r="V315" s="551"/>
      <c r="W315" s="27"/>
      <c r="X315" s="27"/>
      <c r="Y315" s="32"/>
    </row>
  </sheetData>
  <autoFilter ref="B3:D269" xr:uid="{00000000-0009-0000-0000-00000A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B8A6605A-1DEC-4ECB-88E6-8B86CB01C7F0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2"/>
  <dimension ref="A1:A2"/>
  <sheetViews>
    <sheetView workbookViewId="0">
      <selection sqref="A1:B2"/>
    </sheetView>
  </sheetViews>
  <sheetFormatPr baseColWidth="10" defaultColWidth="11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>
    <row r="1" spans="1:1" x14ac:dyDescent="0.2">
      <c r="A1" s="1150"/>
    </row>
    <row r="2" spans="1:1" x14ac:dyDescent="0.2">
      <c r="A2" s="1150"/>
    </row>
  </sheetData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"/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074" bestFit="1" customWidth="1"/>
    <col min="2" max="2" width="8" style="1074" bestFit="1" customWidth="1"/>
    <col min="3" max="3" width="8.625" style="1074" bestFit="1" customWidth="1"/>
    <col min="4" max="4" width="8.5" style="1074" bestFit="1" customWidth="1"/>
    <col min="5" max="5" width="8" style="1074" bestFit="1" customWidth="1"/>
    <col min="6" max="6" width="11.75" style="1074" bestFit="1" customWidth="1"/>
    <col min="7" max="7" width="9.875" style="1074" bestFit="1" customWidth="1"/>
    <col min="8" max="8" width="8.75" style="1074" bestFit="1" customWidth="1"/>
    <col min="9" max="9" width="16.75" style="1074" bestFit="1" customWidth="1"/>
    <col min="10" max="10" width="3.75" style="1074" customWidth="1"/>
    <col min="11" max="11" width="16.5" style="1097"/>
    <col min="12" max="16384" width="16.5" style="1074"/>
  </cols>
  <sheetData>
    <row r="1" spans="1:14" x14ac:dyDescent="0.2">
      <c r="A1" s="1073"/>
      <c r="B1" s="1073"/>
      <c r="C1" s="1073"/>
      <c r="D1" s="1073"/>
      <c r="E1" s="1073" t="str">
        <f>CONCATENATE(MID($D$9,1,2),".",MID($D$9,3,2),".",MID($D$9,5,4))</f>
        <v>12.06.20</v>
      </c>
      <c r="F1" s="1073"/>
      <c r="G1" s="1073"/>
      <c r="H1" s="1073"/>
      <c r="I1" s="1073"/>
      <c r="N1" s="1097" t="s">
        <v>899</v>
      </c>
    </row>
    <row r="2" spans="1:14" ht="38.25" x14ac:dyDescent="0.2">
      <c r="A2" s="1073" t="s">
        <v>877</v>
      </c>
      <c r="B2" s="1073" t="s">
        <v>878</v>
      </c>
      <c r="C2" s="1073" t="s">
        <v>879</v>
      </c>
      <c r="D2" s="1073" t="s">
        <v>880</v>
      </c>
      <c r="E2" s="1075" t="s">
        <v>881</v>
      </c>
      <c r="F2" s="1076" t="s">
        <v>882</v>
      </c>
      <c r="G2" s="1077" t="s">
        <v>883</v>
      </c>
      <c r="H2" s="1078" t="s">
        <v>886</v>
      </c>
      <c r="I2" s="1079" t="s">
        <v>887</v>
      </c>
      <c r="N2" s="1097" t="s">
        <v>900</v>
      </c>
    </row>
    <row r="3" spans="1:14" s="1085" customFormat="1" x14ac:dyDescent="0.2">
      <c r="A3" s="1080" t="s">
        <v>884</v>
      </c>
      <c r="B3" s="1081">
        <v>121400</v>
      </c>
      <c r="C3" s="1081">
        <v>121400</v>
      </c>
      <c r="D3" s="1081"/>
      <c r="E3" s="1096" t="str">
        <f t="shared" ref="E3:E5" si="0">MID($B$9,1,6)</f>
        <v>1,1319</v>
      </c>
      <c r="F3" s="1082"/>
      <c r="G3" s="1081"/>
      <c r="H3" s="1083">
        <f t="shared" ref="H3:H5" si="1">(C3/100+G3*E3)/1000*(1+F3)</f>
        <v>1.214</v>
      </c>
      <c r="I3" s="1084">
        <f t="shared" ref="I3:I5" si="2">H3/E3</f>
        <v>1.0725329092676033</v>
      </c>
      <c r="N3" s="1098"/>
    </row>
    <row r="4" spans="1:14" s="1092" customFormat="1" x14ac:dyDescent="0.2">
      <c r="A4" s="1086" t="s">
        <v>885</v>
      </c>
      <c r="B4" s="1087">
        <v>121000</v>
      </c>
      <c r="C4" s="1087">
        <v>121000</v>
      </c>
      <c r="D4" s="1087"/>
      <c r="E4" s="1095" t="str">
        <f t="shared" si="0"/>
        <v>1,1319</v>
      </c>
      <c r="F4" s="1088">
        <v>0.1</v>
      </c>
      <c r="G4" s="1089">
        <v>180</v>
      </c>
      <c r="H4" s="1090">
        <f t="shared" si="1"/>
        <v>1.5551162000000003</v>
      </c>
      <c r="I4" s="1091">
        <f t="shared" si="2"/>
        <v>1.3738989310009722</v>
      </c>
      <c r="K4" s="1092" t="s">
        <v>909</v>
      </c>
      <c r="N4" s="1099"/>
    </row>
    <row r="5" spans="1:14" s="1085" customFormat="1" x14ac:dyDescent="0.2">
      <c r="A5" s="1080" t="s">
        <v>905</v>
      </c>
      <c r="B5" s="1081">
        <v>120600</v>
      </c>
      <c r="C5" s="1081">
        <v>120600</v>
      </c>
      <c r="D5" s="1081"/>
      <c r="E5" s="1096" t="str">
        <f t="shared" si="0"/>
        <v>1,1319</v>
      </c>
      <c r="F5" s="1082"/>
      <c r="G5" s="1081"/>
      <c r="H5" s="1083">
        <f t="shared" si="1"/>
        <v>1.206</v>
      </c>
      <c r="I5" s="1084">
        <f t="shared" si="2"/>
        <v>1.0654651470978003</v>
      </c>
      <c r="N5" s="1098"/>
    </row>
    <row r="6" spans="1:14" x14ac:dyDescent="0.2">
      <c r="A6" s="1073"/>
      <c r="B6" s="1073"/>
      <c r="C6" s="1073"/>
      <c r="D6" s="1073"/>
      <c r="E6" s="1073"/>
      <c r="F6" s="1073"/>
      <c r="G6" s="1073"/>
      <c r="H6" s="1073"/>
      <c r="I6" s="1073"/>
      <c r="N6" s="1097"/>
    </row>
    <row r="7" spans="1:14" x14ac:dyDescent="0.2">
      <c r="N7" s="1097"/>
    </row>
    <row r="8" spans="1:14" ht="14.25" x14ac:dyDescent="0.2">
      <c r="A8" s="503" t="s">
        <v>888</v>
      </c>
      <c r="B8" t="s">
        <v>889</v>
      </c>
      <c r="C8" t="s">
        <v>890</v>
      </c>
      <c r="D8" t="s">
        <v>72</v>
      </c>
      <c r="E8" t="s">
        <v>891</v>
      </c>
      <c r="F8" t="s">
        <v>892</v>
      </c>
      <c r="G8" t="s">
        <v>893</v>
      </c>
      <c r="H8" t="s">
        <v>894</v>
      </c>
      <c r="N8" s="1097" t="s">
        <v>901</v>
      </c>
    </row>
    <row r="9" spans="1:14" ht="14.25" x14ac:dyDescent="0.2">
      <c r="A9" s="1093" t="s">
        <v>895</v>
      </c>
      <c r="B9" s="1093" t="s">
        <v>911</v>
      </c>
      <c r="C9" s="1093" t="s">
        <v>912</v>
      </c>
      <c r="D9">
        <v>120620</v>
      </c>
      <c r="E9" s="1094">
        <v>0.47638888888888886</v>
      </c>
      <c r="F9" s="1093" t="s">
        <v>913</v>
      </c>
      <c r="G9" s="1093" t="s">
        <v>914</v>
      </c>
      <c r="H9" s="1093" t="s">
        <v>915</v>
      </c>
    </row>
    <row r="10" spans="1:14" ht="14.25" x14ac:dyDescent="0.2">
      <c r="A10" s="1093" t="s">
        <v>895</v>
      </c>
      <c r="B10" s="1093" t="s">
        <v>916</v>
      </c>
      <c r="C10" s="1093" t="s">
        <v>896</v>
      </c>
      <c r="D10">
        <v>100620</v>
      </c>
      <c r="E10" s="1094">
        <v>0.5854166666666667</v>
      </c>
      <c r="F10" s="1093" t="s">
        <v>897</v>
      </c>
      <c r="G10" s="1093" t="s">
        <v>916</v>
      </c>
      <c r="H10" s="1093" t="s">
        <v>916</v>
      </c>
    </row>
    <row r="11" spans="1:14" ht="14.25" x14ac:dyDescent="0.2">
      <c r="A11" s="1093" t="s">
        <v>895</v>
      </c>
      <c r="B11" s="1093" t="s">
        <v>914</v>
      </c>
      <c r="C11" s="1093" t="s">
        <v>917</v>
      </c>
      <c r="D11">
        <v>110620</v>
      </c>
      <c r="E11" s="1094">
        <v>0.55277777777777781</v>
      </c>
      <c r="F11" s="1093" t="s">
        <v>897</v>
      </c>
      <c r="G11" s="1093" t="s">
        <v>914</v>
      </c>
      <c r="H11" s="1093" t="s">
        <v>914</v>
      </c>
    </row>
    <row r="12" spans="1:14" ht="14.25" x14ac:dyDescent="0.2">
      <c r="A12" s="1093" t="s">
        <v>895</v>
      </c>
      <c r="B12" s="1093" t="s">
        <v>911</v>
      </c>
      <c r="C12" s="1093" t="s">
        <v>918</v>
      </c>
      <c r="D12">
        <v>120620</v>
      </c>
      <c r="E12" s="1094">
        <v>0.47569444444444442</v>
      </c>
      <c r="F12" s="1093" t="s">
        <v>897</v>
      </c>
      <c r="G12" s="1093" t="s">
        <v>914</v>
      </c>
      <c r="H12" s="1093" t="s">
        <v>919</v>
      </c>
    </row>
    <row r="13" spans="1:14" ht="14.25" x14ac:dyDescent="0.2">
      <c r="A13" s="1093" t="s">
        <v>898</v>
      </c>
      <c r="B13" s="1093" t="s">
        <v>920</v>
      </c>
      <c r="C13" s="1093" t="s">
        <v>921</v>
      </c>
      <c r="D13">
        <v>120620</v>
      </c>
      <c r="E13" s="1094">
        <v>0.46597222222222223</v>
      </c>
      <c r="F13" s="1093" t="s">
        <v>922</v>
      </c>
      <c r="G13" s="1093" t="s">
        <v>923</v>
      </c>
      <c r="H13" s="1093" t="s">
        <v>924</v>
      </c>
    </row>
    <row r="16" spans="1:14" x14ac:dyDescent="0.2">
      <c r="E16" s="1073" t="str">
        <f>CONCATENATE(MID($D$9,1,2),".",MID($D$9,3,2),".",MID($D$9,5,4))</f>
        <v>12.06.20</v>
      </c>
    </row>
    <row r="17" spans="1:14" ht="38.25" x14ac:dyDescent="0.2">
      <c r="A17" s="1073" t="s">
        <v>877</v>
      </c>
      <c r="B17" s="1073" t="s">
        <v>878</v>
      </c>
      <c r="C17" s="1073" t="s">
        <v>879</v>
      </c>
      <c r="D17" s="1073" t="s">
        <v>880</v>
      </c>
      <c r="E17" s="1075" t="s">
        <v>881</v>
      </c>
      <c r="F17" s="1076" t="s">
        <v>882</v>
      </c>
      <c r="G17" s="1077" t="s">
        <v>883</v>
      </c>
      <c r="H17" s="1078" t="s">
        <v>886</v>
      </c>
      <c r="I17" s="1079" t="s">
        <v>887</v>
      </c>
    </row>
    <row r="18" spans="1:14" x14ac:dyDescent="0.2">
      <c r="A18" s="1080" t="s">
        <v>884</v>
      </c>
      <c r="B18" s="1081">
        <v>158200</v>
      </c>
      <c r="C18" s="1081">
        <v>158200</v>
      </c>
      <c r="D18" s="1081"/>
      <c r="E18" s="1096" t="str">
        <f t="shared" ref="E18:E21" si="3">MID($B$9,1,6)</f>
        <v>1,1319</v>
      </c>
      <c r="F18" s="1082"/>
      <c r="G18" s="1081"/>
      <c r="H18" s="1083">
        <f t="shared" ref="H18:H21" si="4">(C18/100+G18*E18)/1000*(1+F18)</f>
        <v>1.5820000000000001</v>
      </c>
      <c r="I18" s="1084">
        <f t="shared" ref="I18:I21" si="5">H18/E18</f>
        <v>1.3976499690785407</v>
      </c>
      <c r="N18" s="1097" t="s">
        <v>907</v>
      </c>
    </row>
    <row r="19" spans="1:14" x14ac:dyDescent="0.2">
      <c r="A19" s="1086" t="s">
        <v>885</v>
      </c>
      <c r="B19" s="1086">
        <v>160550</v>
      </c>
      <c r="C19" s="1086">
        <v>160550</v>
      </c>
      <c r="D19" s="1086"/>
      <c r="E19" s="1086" t="str">
        <f t="shared" si="3"/>
        <v>1,1319</v>
      </c>
      <c r="F19" s="1088">
        <v>0.1</v>
      </c>
      <c r="G19" s="1089">
        <v>400</v>
      </c>
      <c r="H19" s="1090">
        <f t="shared" si="4"/>
        <v>2.2640860000000003</v>
      </c>
      <c r="I19" s="1091">
        <f t="shared" si="5"/>
        <v>2.0002526724975707</v>
      </c>
      <c r="K19" s="1092" t="s">
        <v>908</v>
      </c>
    </row>
    <row r="20" spans="1:14" x14ac:dyDescent="0.2">
      <c r="A20" s="1080" t="s">
        <v>905</v>
      </c>
      <c r="B20" s="1081">
        <v>170500</v>
      </c>
      <c r="C20" s="1081">
        <v>170500</v>
      </c>
      <c r="D20" s="1081"/>
      <c r="E20" s="1096" t="str">
        <f t="shared" si="3"/>
        <v>1,1319</v>
      </c>
      <c r="F20" s="1082"/>
      <c r="G20" s="1081"/>
      <c r="H20" s="1083">
        <f t="shared" si="4"/>
        <v>1.7050000000000001</v>
      </c>
      <c r="I20" s="1084">
        <f t="shared" si="5"/>
        <v>1.5063168124392616</v>
      </c>
    </row>
    <row r="21" spans="1:14" x14ac:dyDescent="0.2">
      <c r="A21" s="1080" t="s">
        <v>906</v>
      </c>
      <c r="B21" s="1081">
        <v>178150</v>
      </c>
      <c r="C21" s="1081">
        <v>178150</v>
      </c>
      <c r="D21" s="1081"/>
      <c r="E21" s="1096" t="str">
        <f t="shared" si="3"/>
        <v>1,1319</v>
      </c>
      <c r="F21" s="1082"/>
      <c r="G21" s="1081"/>
      <c r="H21" s="1083">
        <f t="shared" si="4"/>
        <v>1.7815000000000001</v>
      </c>
      <c r="I21" s="1084">
        <f t="shared" si="5"/>
        <v>1.5739022881880027</v>
      </c>
    </row>
  </sheetData>
  <hyperlinks>
    <hyperlink ref="N18" r:id="rId1" location="tabIndex=0" display="https://www.lme.com/Metals/Non-ferrous/Aluminium - tabIndex=0" xr:uid="{00000000-0004-0000-0C00-000000000000}"/>
  </hyperlinks>
  <pageMargins left="0.7" right="0.7" top="0.78740157499999996" bottom="0.78740157499999996" header="0.3" footer="0.3"/>
  <pageSetup paperSize="9" orientation="portrait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2022-03-09T15:56:58Z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
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z0030rnw\Users\Z0030RNW\Technologien\Aluminium Casting\Internal Prametrics\10th June 2021 Updates\Meetig Update Ostermeier\"/>
    </mc:Choice>
  </mc:AlternateContent>
  <xr:revisionPtr revIDLastSave="0" documentId="13_ncr:1_{7127F935-923A-4202-AEDF-7081E7DC78DB}" xr6:coauthVersionLast="46" xr6:coauthVersionMax="46" xr10:uidLastSave="{00000000-0000-0000-0000-000000000000}"/>
  <bookViews>
    <workbookView xWindow="-120" yWindow="-120" windowWidth="29040" windowHeight="17640" tabRatio="955" activeTab="8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Refkalkulation!$A$1:$X$126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Refkalkulation!$A$1:$X$126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P74" i="3"/>
  <c r="S74" i="3"/>
  <c r="R74" i="3" s="1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6" i="7" s="1"/>
  <c r="L49" i="31" s="1"/>
  <c r="Y58" i="3"/>
  <c r="T126" i="7" s="1"/>
  <c r="P58" i="3"/>
  <c r="K126" i="7" s="1"/>
  <c r="H49" i="31" s="1"/>
  <c r="V58" i="3"/>
  <c r="Q126" i="7" s="1"/>
  <c r="AB58" i="3"/>
  <c r="W126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O74" i="3"/>
  <c r="M76" i="3"/>
  <c r="L76" i="3" s="1"/>
  <c r="M75" i="3"/>
  <c r="L75" i="3" s="1"/>
  <c r="M74" i="3"/>
  <c r="L74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6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4" i="7"/>
  <c r="T94" i="7"/>
  <c r="Q94" i="7"/>
  <c r="N94" i="7"/>
  <c r="K94" i="7"/>
  <c r="H94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5" i="7"/>
  <c r="D126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99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08" i="7"/>
  <c r="D104" i="7"/>
  <c r="C38" i="31" s="1"/>
  <c r="D109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98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4" i="7"/>
  <c r="D121" i="7"/>
  <c r="D111" i="7"/>
  <c r="D106" i="7"/>
  <c r="D63" i="7"/>
  <c r="D55" i="7"/>
  <c r="D52" i="7"/>
  <c r="D35" i="7"/>
  <c r="D28" i="7"/>
  <c r="D5" i="7"/>
  <c r="D132" i="7"/>
  <c r="D124" i="7"/>
  <c r="D118" i="7"/>
  <c r="D97" i="7"/>
  <c r="D84" i="7"/>
  <c r="D82" i="7"/>
  <c r="D64" i="7"/>
  <c r="D51" i="7"/>
  <c r="D38" i="7"/>
  <c r="D34" i="7"/>
  <c r="D26" i="7"/>
  <c r="C35" i="30" s="1"/>
  <c r="D130" i="7"/>
  <c r="D123" i="7"/>
  <c r="D116" i="7"/>
  <c r="D110" i="7"/>
  <c r="D103" i="7"/>
  <c r="C43" i="31" s="1"/>
  <c r="D95" i="7"/>
  <c r="D101" i="7"/>
  <c r="D66" i="7"/>
  <c r="D62" i="7"/>
  <c r="D59" i="7"/>
  <c r="D54" i="7"/>
  <c r="D49" i="7"/>
  <c r="D41" i="7"/>
  <c r="D37" i="7"/>
  <c r="D17" i="7"/>
  <c r="D128" i="7"/>
  <c r="D122" i="7"/>
  <c r="D114" i="7"/>
  <c r="D94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3" i="7"/>
  <c r="I74" i="3"/>
  <c r="C69" i="24" s="1"/>
  <c r="I76" i="3"/>
  <c r="C71" i="24" s="1"/>
  <c r="D92" i="7"/>
  <c r="D91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2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42" i="30"/>
  <c r="G42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0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6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0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3" i="7"/>
  <c r="C77" i="24"/>
  <c r="C5" i="24"/>
  <c r="C61" i="24"/>
  <c r="D61" i="7"/>
  <c r="C14" i="31" s="1"/>
  <c r="C76" i="24"/>
  <c r="D112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34" i="30" l="1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0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C32" i="24" l="1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5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0" i="7"/>
  <c r="W120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0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1" i="7" s="1"/>
  <c r="I270" i="15"/>
  <c r="I268" i="15" s="1"/>
  <c r="K125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5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5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5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5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0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1" i="7" s="1"/>
  <c r="U192" i="15"/>
  <c r="W101" i="7" s="1"/>
  <c r="I192" i="15"/>
  <c r="R192" i="15"/>
  <c r="T101" i="7" s="1"/>
  <c r="L192" i="15"/>
  <c r="N101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97" i="7"/>
  <c r="H98" i="7" s="1"/>
  <c r="E42" i="31" s="1"/>
  <c r="F189" i="15"/>
  <c r="F275" i="15"/>
  <c r="K101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97" i="7"/>
  <c r="T98" i="7" s="1"/>
  <c r="I71" i="15"/>
  <c r="I275" i="15" s="1"/>
  <c r="I73" i="15"/>
  <c r="F78" i="15"/>
  <c r="F111" i="15"/>
  <c r="F109" i="15" s="1"/>
  <c r="H62" i="7" s="1"/>
  <c r="N97" i="7"/>
  <c r="N98" i="7" s="1"/>
  <c r="M42" i="31" s="1"/>
  <c r="N18" i="7"/>
  <c r="Q97" i="7"/>
  <c r="Q98" i="7" s="1"/>
  <c r="W97" i="7"/>
  <c r="W98" i="7" s="1"/>
  <c r="K97" i="7"/>
  <c r="K98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4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18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18" i="7" s="1"/>
  <c r="G49" i="7"/>
  <c r="E275" i="15"/>
  <c r="W51" i="7"/>
  <c r="W118" i="7" s="1"/>
  <c r="O160" i="15"/>
  <c r="O158" i="15" s="1"/>
  <c r="O156" i="15" s="1"/>
  <c r="O276" i="15"/>
  <c r="U276" i="15"/>
  <c r="Q51" i="7"/>
  <c r="Q118" i="7" s="1"/>
  <c r="U160" i="15"/>
  <c r="U158" i="15" s="1"/>
  <c r="K275" i="15"/>
  <c r="O259" i="15" l="1"/>
  <c r="Q123" i="7" s="1"/>
  <c r="I37" i="30"/>
  <c r="I35" i="31"/>
  <c r="O129" i="15"/>
  <c r="O130" i="15" s="1"/>
  <c r="O131" i="15" s="1"/>
  <c r="Q49" i="7" s="1"/>
  <c r="O265" i="15"/>
  <c r="O263" i="15" s="1"/>
  <c r="Q124" i="7" s="1"/>
  <c r="L265" i="15"/>
  <c r="L263" i="15" s="1"/>
  <c r="N124" i="7" s="1"/>
  <c r="L48" i="31" s="1"/>
  <c r="M49" i="31" s="1"/>
  <c r="R265" i="15"/>
  <c r="R263" i="15" s="1"/>
  <c r="T124" i="7" s="1"/>
  <c r="U265" i="15"/>
  <c r="U263" i="15" s="1"/>
  <c r="W124" i="7" s="1"/>
  <c r="U156" i="15"/>
  <c r="W59" i="7" s="1"/>
  <c r="U104" i="15" s="1"/>
  <c r="U282" i="15"/>
  <c r="W123" i="7"/>
  <c r="R282" i="15"/>
  <c r="T123" i="7"/>
  <c r="F282" i="15"/>
  <c r="H123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3" i="7" s="1"/>
  <c r="N59" i="7"/>
  <c r="N60" i="7" s="1"/>
  <c r="I109" i="15"/>
  <c r="K62" i="7" s="1"/>
  <c r="K65" i="7" s="1"/>
  <c r="K66" i="7" s="1"/>
  <c r="I78" i="15"/>
  <c r="I263" i="15"/>
  <c r="K124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18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18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3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0" i="7"/>
  <c r="N131" i="7"/>
  <c r="N133" i="7"/>
  <c r="N132" i="7"/>
  <c r="R278" i="15"/>
  <c r="N135" i="7"/>
  <c r="N134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0" i="7"/>
  <c r="W43" i="7"/>
  <c r="W45" i="7" s="1"/>
  <c r="W21" i="7"/>
  <c r="W23" i="7" s="1"/>
  <c r="W25" i="7" s="1"/>
  <c r="H278" i="15"/>
  <c r="H279" i="15" s="1"/>
  <c r="T292" i="15"/>
  <c r="W131" i="7" s="1"/>
  <c r="W132" i="7"/>
  <c r="W134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0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1" i="7"/>
  <c r="T130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5" i="7"/>
  <c r="T133" i="7"/>
  <c r="T132" i="7"/>
  <c r="T134" i="7"/>
  <c r="W135" i="7"/>
  <c r="W133" i="7"/>
  <c r="Q134" i="7"/>
  <c r="Q132" i="7"/>
  <c r="Q130" i="7"/>
  <c r="N292" i="15"/>
  <c r="Q131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4" i="7"/>
  <c r="N43" i="7"/>
  <c r="N45" i="7" s="1"/>
  <c r="N47" i="7" s="1"/>
  <c r="M39" i="31" s="1"/>
  <c r="Q43" i="7"/>
  <c r="Q45" i="7" s="1"/>
  <c r="Q47" i="7" s="1"/>
  <c r="Q100" i="7" s="1"/>
  <c r="Q114" i="7" s="1"/>
  <c r="H47" i="7"/>
  <c r="E39" i="31" s="1"/>
  <c r="H25" i="7"/>
  <c r="T26" i="7"/>
  <c r="W103" i="7"/>
  <c r="W104" i="7" s="1"/>
  <c r="K132" i="7"/>
  <c r="K131" i="7"/>
  <c r="K135" i="7"/>
  <c r="K130" i="7"/>
  <c r="K134" i="7"/>
  <c r="K133" i="7"/>
  <c r="E284" i="15"/>
  <c r="E285" i="15" s="1"/>
  <c r="E286" i="15" s="1"/>
  <c r="E287" i="15" s="1"/>
  <c r="E288" i="15" s="1"/>
  <c r="E289" i="15" s="1"/>
  <c r="E290" i="15" s="1"/>
  <c r="E291" i="15" s="1"/>
  <c r="E292" i="15" s="1"/>
  <c r="H133" i="7" s="1"/>
  <c r="Q135" i="7"/>
  <c r="Q133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0" i="7" s="1"/>
  <c r="T103" i="7" s="1"/>
  <c r="T104" i="7" s="1"/>
  <c r="H100" i="7"/>
  <c r="H103" i="7" s="1"/>
  <c r="E43" i="31" s="1"/>
  <c r="D38" i="31" s="1"/>
  <c r="D57" i="31" s="1"/>
  <c r="E41" i="30"/>
  <c r="N26" i="7"/>
  <c r="L35" i="30" s="1"/>
  <c r="N100" i="7"/>
  <c r="N103" i="7" s="1"/>
  <c r="M43" i="31" s="1"/>
  <c r="L38" i="31" s="1"/>
  <c r="M41" i="30"/>
  <c r="H26" i="7"/>
  <c r="D35" i="30" s="1"/>
  <c r="W107" i="7"/>
  <c r="W109" i="7" s="1"/>
  <c r="K26" i="7"/>
  <c r="H35" i="30" s="1"/>
  <c r="Q103" i="7"/>
  <c r="Q104" i="7" s="1"/>
  <c r="K100" i="7"/>
  <c r="H131" i="7"/>
  <c r="H130" i="7"/>
  <c r="H132" i="7"/>
  <c r="H135" i="7"/>
  <c r="H134" i="7"/>
  <c r="C57" i="31" l="1"/>
  <c r="D58" i="31" s="1"/>
  <c r="E58" i="31" s="1"/>
  <c r="C63" i="31"/>
  <c r="D64" i="31" s="1"/>
  <c r="C68" i="31"/>
  <c r="D69" i="31" s="1"/>
  <c r="N114" i="7"/>
  <c r="T114" i="7"/>
  <c r="K114" i="7"/>
  <c r="H114" i="7"/>
  <c r="N104" i="7"/>
  <c r="D68" i="31" s="1"/>
  <c r="H104" i="7"/>
  <c r="T107" i="7"/>
  <c r="T109" i="7" s="1"/>
  <c r="K103" i="7"/>
  <c r="I43" i="31" s="1"/>
  <c r="H38" i="31" s="1"/>
  <c r="Q107" i="7"/>
  <c r="Q109" i="7" s="1"/>
  <c r="Q110" i="7"/>
  <c r="W110" i="7"/>
  <c r="W111" i="7" s="1"/>
  <c r="L47" i="30" l="1"/>
  <c r="L45" i="31"/>
  <c r="E69" i="31"/>
  <c r="D47" i="30"/>
  <c r="D45" i="31"/>
  <c r="H47" i="30"/>
  <c r="H45" i="31"/>
  <c r="N110" i="7"/>
  <c r="L40" i="30"/>
  <c r="M45" i="30"/>
  <c r="E45" i="30"/>
  <c r="D40" i="30"/>
  <c r="K104" i="7"/>
  <c r="H107" i="7"/>
  <c r="H109" i="7" s="1"/>
  <c r="N107" i="7"/>
  <c r="H110" i="7"/>
  <c r="Q111" i="7"/>
  <c r="W116" i="7"/>
  <c r="W2" i="7" s="1"/>
  <c r="W3" i="7" s="1"/>
  <c r="W4" i="7" s="1"/>
  <c r="T110" i="7"/>
  <c r="F63" i="31" l="1"/>
  <c r="F68" i="31"/>
  <c r="F57" i="31"/>
  <c r="D63" i="31"/>
  <c r="E64" i="31" s="1"/>
  <c r="K107" i="7"/>
  <c r="K109" i="7" s="1"/>
  <c r="I45" i="30"/>
  <c r="H40" i="30"/>
  <c r="N109" i="7"/>
  <c r="N111" i="7" s="1"/>
  <c r="L44" i="31" s="1"/>
  <c r="H111" i="7"/>
  <c r="D44" i="31" s="1"/>
  <c r="K110" i="7"/>
  <c r="Q116" i="7"/>
  <c r="Q2" i="7" s="1"/>
  <c r="Q3" i="7" s="1"/>
  <c r="Q4" i="7" s="1"/>
  <c r="W121" i="7"/>
  <c r="W122" i="7" s="1"/>
  <c r="T111" i="7"/>
  <c r="E57" i="31" l="1"/>
  <c r="F58" i="31" s="1"/>
  <c r="D46" i="31"/>
  <c r="E47" i="31" s="1"/>
  <c r="E68" i="31"/>
  <c r="F69" i="31" s="1"/>
  <c r="L46" i="31"/>
  <c r="M47" i="31" s="1"/>
  <c r="K111" i="7"/>
  <c r="N116" i="7"/>
  <c r="N2" i="7" s="1"/>
  <c r="N3" i="7" s="1"/>
  <c r="N4" i="7" s="1"/>
  <c r="L46" i="30"/>
  <c r="L48" i="30" s="1"/>
  <c r="H116" i="7"/>
  <c r="H2" i="7" s="1"/>
  <c r="H3" i="7" s="1"/>
  <c r="H4" i="7" s="1"/>
  <c r="D46" i="30"/>
  <c r="D48" i="30" s="1"/>
  <c r="Q121" i="7"/>
  <c r="Q122" i="7" s="1"/>
  <c r="T116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6" i="7"/>
  <c r="K2" i="7" s="1"/>
  <c r="K3" i="7" s="1"/>
  <c r="K4" i="7" s="1"/>
  <c r="H121" i="7"/>
  <c r="H122" i="7" s="1"/>
  <c r="N121" i="7"/>
  <c r="N122" i="7" s="1"/>
  <c r="E46" i="30"/>
  <c r="E47" i="30"/>
  <c r="M46" i="30"/>
  <c r="M47" i="30"/>
  <c r="T121" i="7"/>
  <c r="T122" i="7" s="1"/>
  <c r="T2" i="7"/>
  <c r="T3" i="7" s="1"/>
  <c r="T4" i="7" s="1"/>
  <c r="I46" i="30" l="1"/>
  <c r="E63" i="31"/>
  <c r="F64" i="31" s="1"/>
  <c r="H46" i="31"/>
  <c r="I47" i="31" s="1"/>
  <c r="K121" i="7"/>
  <c r="K122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<sst xmlns="http://schemas.openxmlformats.org/spreadsheetml/2006/main" count="3647" uniqueCount="999">
  <si>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</si>
  <si>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</si>
  <si>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</si>
  <si>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</si>
  <si>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</si>
  <si>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</si>
  <si>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</si>
  <si>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</si>
  <si>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</si>
  <si>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</si>
  <si>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</si>
  <si>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</si>
  <si>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</si>
  <si>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</si>
  <si>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</si>
  <si>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</si>
  <si>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</si>
  <si>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</si>
  <si>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</si>
  <si>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</si>
  <si>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</si>
  <si>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</si>
  <si>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</si>
  <si>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</si>
  <si>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</si>
  <si>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</si>
  <si>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</si>
  <si>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</si>
  <si>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</si>
  <si>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</si>
  <si>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</si>
  <si>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</si>
  <si>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</si>
  <si>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</si>
  <si>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</si>
  <si>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</si>
  <si>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</si>
  <si>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</si>
  <si>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</si>
  <si>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</si>
  <si>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</si>
  <si>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</si>
  <si>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</si>
  <si>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</si>
  <si>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</si>
  <si>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</si>
  <si>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</si>
  <si>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</si>
  <si>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</si>
  <si>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</si>
  <si>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</si>
  <si>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</si>
  <si>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</si>
  <si>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</si>
  <si>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</si>
  <si>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</si>
  <si>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</si>
  <si>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</si>
  <si>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</si>
  <si>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</si>
  <si>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</si>
  <si>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</si>
  <si>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</si>
  <si>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</si>
  <si>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</si>
  <si>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</si>
  <si>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</si>
  <si>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</si>
  <si>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</si>
  <si>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</si>
  <si>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</si>
  <si>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</si>
  <si>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</si>
  <si>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</si>
  <si>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</si>
  <si>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</si>
  <si>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</si>
  <si>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</si>
  <si>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</si>
  <si>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</si>
  <si>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</si>
  <si>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</si>
  <si>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</si>
  <si>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</si>
  <si>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</si>
  <si>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</si>
  <si>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</si>
  <si>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</si>
  <si>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</si>
  <si>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</si>
  <si>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</si>
  <si>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</si>
  <si>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</si>
  <si>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</si>
  <si>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</si>
  <si>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</si>
  <si>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</si>
  <si>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</si>
  <si>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</si>
  <si>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</si>
  <si>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</si>
  <si>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</si>
  <si>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</si>
  <si>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</si>
  <si>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</si>
  <si>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</si>
  <si>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</si>
  <si>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</si>
  <si>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</si>
  <si>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</si>
  <si>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</si>
  <si>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</si>
  <si>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</si>
  <si>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</si>
  <si>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</si>
  <si>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</si>
  <si>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</si>
  <si>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</si>
  <si>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</si>
  <si>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</si>
  <si>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</si>
  <si>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</si>
  <si>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</si>
  <si>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</si>
  <si>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</si>
  <si>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</si>
  <si>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</si>
  <si>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</si>
  <si>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</si>
  <si>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</si>
  <si>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</si>
  <si>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</si>
  <si>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</si>
  <si>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</si>
  <si>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</si>
  <si>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</si>
  <si>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</si>
  <si>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</si>
  <si>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</si>
  <si>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</si>
  <si>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</si>
  <si>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</si>
  <si>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</si>
  <si>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</si>
  <si>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</si>
  <si>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</si>
  <si>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</si>
  <si>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</si>
  <si>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</si>
  <si>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</si>
  <si>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</si>
  <si>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</si>
  <si>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</si>
  <si>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</si>
  <si>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</si>
  <si>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</si>
  <si>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</si>
  <si>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</si>
  <si>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</si>
  <si>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</si>
  <si>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</si>
  <si>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</si>
  <si>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</si>
  <si>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</si>
  <si>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</si>
  <si>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</si>
  <si>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</si>
  <si>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</si>
  <si>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</si>
  <si>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</si>
  <si>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</si>
  <si>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</si>
  <si>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</si>
  <si>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</si>
  <si>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</si>
  <si>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</si>
  <si>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</si>
  <si>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</si>
  <si>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</si>
  <si>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</si>
  <si>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Prüfzeit/Teil (sec)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</si>
  <si>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</si>
  <si>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</si>
  <si>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</si>
  <si>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</si>
  <si>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</si>
  <si>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</si>
  <si>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</si>
  <si>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</si>
  <si>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</si>
  <si>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</si>
  <si>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</si>
  <si>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</si>
  <si>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</si>
  <si>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</si>
  <si>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</si>
  <si>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</si>
  <si>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</si>
  <si>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</si>
  <si>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</si>
  <si>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</si>
  <si>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</si>
  <si>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</si>
  <si>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</si>
  <si>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</si>
  <si>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</si>
  <si>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</si>
  <si>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</si>
  <si>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</si>
  <si>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</si>
  <si>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</si>
  <si>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</si>
  <si>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</si>
  <si>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</si>
  <si>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</si>
  <si>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</si>
  <si>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</si>
  <si>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</si>
  <si>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</si>
  <si>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</si>
  <si>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</si>
  <si>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</si>
  <si>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</si>
  <si>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</si>
  <si>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</si>
  <si>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</si>
  <si>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</si>
  <si>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</si>
  <si>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</si>
  <si>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</si>
  <si>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</si>
  <si>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testing time (s)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</si>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</sst>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6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71.170839430980834</c:v>
                </c:pt>
                <c:pt idx="11">
                  <c:v>16.128790953001545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11.393238277647779</c:v>
                </c:pt>
                <c:pt idx="11">
                  <c:v>3.7993070385944443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17.371466777293559</c:v>
                </c:pt>
                <c:pt idx="11">
                  <c:v>4.994952738523601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F2ABC9C-35FA-4DE6-B13B-C69DE956A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Data/pawar00p/000_CCE_Casting%20Core%20Team%20(Manfred%20Rost)/Parametric/AlloyCalculator/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0030rnw/Desktop/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44375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Polen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928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921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Refkalkulation!D104</f>
        <v>Fertigungskosten gesamt</v>
      </c>
      <c r="D38" s="1133">
        <f>SUM(E39:E43)</f>
        <v>71.170839430980834</v>
      </c>
      <c r="E38" s="1141"/>
      <c r="F38" s="1037"/>
      <c r="G38" s="1132" t="str">
        <f t="shared" si="0"/>
        <v>Fertigungskosten gesamt</v>
      </c>
      <c r="H38" s="1133">
        <f>SUM(I39:I43)</f>
        <v>11.393238277647779</v>
      </c>
      <c r="I38" s="1141"/>
      <c r="J38" s="1037"/>
      <c r="K38" s="1132" t="str">
        <f t="shared" si="1"/>
        <v>Fertigungskosten gesamt</v>
      </c>
      <c r="L38" s="1133">
        <f>SUM(M39:M43)</f>
        <v>17.371466777293559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0.83550167745339732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13.39478130950847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0.72795053785045649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Refkalkulation!H98+Refkalkulation!H101/Refkalkulation!H61</f>
        <v>3.0850166666666663</v>
      </c>
      <c r="F42" s="1041"/>
      <c r="G42" s="1142" t="str">
        <f t="shared" si="0"/>
        <v xml:space="preserve">               Prüfen</v>
      </c>
      <c r="H42" s="1145"/>
      <c r="I42" s="1144">
        <f>Refkalkulation!K98+Refkalkulation!K101/Refkalkulation!K61</f>
        <v>0.48995958333333334</v>
      </c>
      <c r="J42" s="1041"/>
      <c r="K42" s="1142" t="str">
        <f t="shared" si="1"/>
        <v xml:space="preserve">               Prüfen</v>
      </c>
      <c r="L42" s="1145"/>
      <c r="M42" s="1144">
        <f>Refkalkulation!N98+Refkalkulation!N101/Refkalkulation!N61</f>
        <v>0.83400899999999978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",Refkalkulation!D103)</f>
        <v xml:space="preserve">               Fertigungsgemeinkosten</v>
      </c>
      <c r="D43" s="1145"/>
      <c r="E43" s="1144">
        <f>Refkalkulation!H103</f>
        <v>6.4700763119073486</v>
      </c>
      <c r="F43" s="1041"/>
      <c r="G43" s="1142" t="str">
        <f t="shared" si="0"/>
        <v xml:space="preserve">               Fertigungsgemeinkosten</v>
      </c>
      <c r="H43" s="1145"/>
      <c r="I43" s="1144">
        <f>Refkalkulation!K103</f>
        <v>1.0357489343316162</v>
      </c>
      <c r="J43" s="1041"/>
      <c r="K43" s="1142" t="str">
        <f t="shared" si="1"/>
        <v xml:space="preserve">               Fertigungsgemeinkosten</v>
      </c>
      <c r="L43" s="1145"/>
      <c r="M43" s="1144">
        <f>Refkalkulation!N103</f>
        <v>1.5792242524812325</v>
      </c>
      <c r="N43" s="1041"/>
      <c r="O43" s="995"/>
    </row>
    <row r="44" spans="1:16" x14ac:dyDescent="0.2">
      <c r="A44" s="993"/>
      <c r="B44" s="996"/>
      <c r="C44" s="1146" t="str">
        <f>Refkalkulation!D111</f>
        <v>Gesamtgemeinkosten</v>
      </c>
      <c r="D44" s="1147">
        <f>Refkalkulation!H111</f>
        <v>16.128790953001545</v>
      </c>
      <c r="E44" s="1148">
        <f>D44/D46</f>
        <v>0.15645629515654896</v>
      </c>
      <c r="F44" s="1041"/>
      <c r="G44" s="1146" t="str">
        <f t="shared" si="0"/>
        <v>Gesamtgemeinkosten</v>
      </c>
      <c r="H44" s="1147">
        <f>Refkalkulation!K111</f>
        <v>3.7993070385944443</v>
      </c>
      <c r="I44" s="1148">
        <f>H44/H46</f>
        <v>0.13634835852273908</v>
      </c>
      <c r="J44" s="996"/>
      <c r="K44" s="1146" t="str">
        <f t="shared" si="1"/>
        <v>Gesamtgemeinkosten</v>
      </c>
      <c r="L44" s="1147">
        <f>Refkalkulation!N111</f>
        <v>4.994952738523601</v>
      </c>
      <c r="M44" s="1148">
        <f>L44/L46</f>
        <v>0.1425557939297768</v>
      </c>
      <c r="N44" s="996"/>
      <c r="O44" s="995"/>
    </row>
    <row r="45" spans="1:16" ht="18" customHeight="1" x14ac:dyDescent="0.25">
      <c r="A45" s="993"/>
      <c r="B45" s="996"/>
      <c r="C45" s="1149" t="str">
        <f>Refkalkulation!D114</f>
        <v>Gesamtgewinn</v>
      </c>
      <c r="D45" s="1147">
        <f>Refkalkulation!H114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Refkalkulation!K114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Refkalkulation!N114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Refkalkulation!D116</f>
        <v>Bauteilpreis gesamt</v>
      </c>
      <c r="D46" s="1151">
        <f>SUM(D33:D45)</f>
        <v>103.08815594069385</v>
      </c>
      <c r="E46" s="1152" t="s">
        <v>922</v>
      </c>
      <c r="F46" s="1114"/>
      <c r="G46" s="1155" t="str">
        <f t="shared" si="0"/>
        <v>Bauteilpreis gesamt</v>
      </c>
      <c r="H46" s="1151">
        <f>SUM(H33:H45)</f>
        <v>27.864706841782965</v>
      </c>
      <c r="I46" s="1152" t="s">
        <v>922</v>
      </c>
      <c r="J46" s="1114"/>
      <c r="K46" s="1155" t="str">
        <f t="shared" si="1"/>
        <v>Bauteilpreis gesamt</v>
      </c>
      <c r="L46" s="1151">
        <f>SUM(L33:L45)</f>
        <v>35.038581041357901</v>
      </c>
      <c r="M46" s="1152" t="s">
        <v>922</v>
      </c>
      <c r="N46" s="1052"/>
      <c r="O46" s="995"/>
    </row>
    <row r="47" spans="1:16" x14ac:dyDescent="0.2">
      <c r="A47" s="993"/>
      <c r="B47" s="996"/>
      <c r="C47" s="1156" t="str">
        <f>Refkalkulation!D120</f>
        <v>Zielpreis Bauteil</v>
      </c>
      <c r="D47" s="1153">
        <f>Refkalkulation!H120</f>
        <v>55</v>
      </c>
      <c r="E47" s="1154">
        <f>(D47-D46)*D13</f>
        <v>-240440.77970346925</v>
      </c>
      <c r="F47" s="1114"/>
      <c r="G47" s="1156" t="str">
        <f>C47</f>
        <v>Zielpreis Bauteil</v>
      </c>
      <c r="H47" s="1153">
        <f>Refkalkulation!K120</f>
        <v>55</v>
      </c>
      <c r="I47" s="1154">
        <f>(H47-H46)*H13</f>
        <v>135676.46579108518</v>
      </c>
      <c r="J47" s="1114"/>
      <c r="K47" s="1156" t="str">
        <f>C47</f>
        <v>Zielpreis Bauteil</v>
      </c>
      <c r="L47" s="1153">
        <f>Refkalkulation!N120</f>
        <v>55</v>
      </c>
      <c r="M47" s="1154">
        <f>(L47-L46)*L13</f>
        <v>99807.09479321049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Refkalkulation!H124+Refkalkulation!H125</f>
        <v>10100</v>
      </c>
      <c r="E48" s="1152" t="s">
        <v>923</v>
      </c>
      <c r="F48" s="1114"/>
      <c r="G48" s="1155" t="str">
        <f>C48</f>
        <v>Modellkosten geschätzt</v>
      </c>
      <c r="H48" s="1151">
        <f>Refkalkulation!K124+Refkalkulation!K125</f>
        <v>8500</v>
      </c>
      <c r="I48" s="1152" t="s">
        <v>923</v>
      </c>
      <c r="J48" s="1114"/>
      <c r="K48" s="1155" t="str">
        <f>C48</f>
        <v>Modellkosten geschätzt</v>
      </c>
      <c r="L48" s="1151">
        <f>Refkalkulation!N124+Refkalkulation!N125</f>
        <v>8800</v>
      </c>
      <c r="M48" s="1152" t="s">
        <v>923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Refkalkulation!D126</f>
        <v>Modellkosten Angebot</v>
      </c>
      <c r="D49" s="1153">
        <f>Refkalkulation!H126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Refkalkulation!K126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Refkalkulation!N126</f>
        <v>7500</v>
      </c>
      <c r="M49" s="1154">
        <f>L49-L48</f>
        <v>-1300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924</v>
      </c>
      <c r="D56" s="992" t="s">
        <v>925</v>
      </c>
      <c r="E56" s="992" t="s">
        <v>926</v>
      </c>
      <c r="F56" s="992" t="s">
        <v>927</v>
      </c>
      <c r="G56" s="992" t="s">
        <v>930</v>
      </c>
      <c r="H56" s="992" t="s">
        <v>929</v>
      </c>
      <c r="I56" s="992" t="s">
        <v>931</v>
      </c>
    </row>
    <row r="57" spans="1:15" ht="0.2" customHeight="1" x14ac:dyDescent="0.2">
      <c r="C57" s="1121">
        <f>D33</f>
        <v>15.78852555671148</v>
      </c>
      <c r="D57" s="1121">
        <f>D38</f>
        <v>71.170839430980834</v>
      </c>
      <c r="E57" s="1121">
        <f>D44</f>
        <v>16.128790953001545</v>
      </c>
      <c r="F57" s="1121">
        <f>D45</f>
        <v>0</v>
      </c>
      <c r="G57" s="1121">
        <f>D46</f>
        <v>103.08815594069385</v>
      </c>
      <c r="H57" s="1121">
        <f>I57-G57</f>
        <v>-48.088155940693852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86.959364987692311</v>
      </c>
      <c r="F58" s="1121">
        <f>E57+E58</f>
        <v>103.08815594069385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924</v>
      </c>
      <c r="D62" s="992" t="s">
        <v>925</v>
      </c>
      <c r="E62" s="992" t="s">
        <v>926</v>
      </c>
      <c r="F62" s="992" t="s">
        <v>927</v>
      </c>
      <c r="G62" s="992" t="s">
        <v>930</v>
      </c>
      <c r="H62" s="992" t="s">
        <v>929</v>
      </c>
      <c r="I62" s="992" t="s">
        <v>931</v>
      </c>
    </row>
    <row r="63" spans="1:15" ht="0.2" customHeight="1" x14ac:dyDescent="0.2">
      <c r="C63" s="1121">
        <f>H33</f>
        <v>12.672161525540741</v>
      </c>
      <c r="D63" s="1121">
        <f>H38</f>
        <v>11.393238277647779</v>
      </c>
      <c r="E63" s="1121">
        <f>H44</f>
        <v>3.7993070385944443</v>
      </c>
      <c r="F63" s="1121">
        <f>H45</f>
        <v>0</v>
      </c>
      <c r="G63" s="1121">
        <f>H46</f>
        <v>27.864706841782965</v>
      </c>
      <c r="H63" s="1121">
        <f>I63-G63</f>
        <v>27.135293158217035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24.065399803188519</v>
      </c>
      <c r="F64" s="1121">
        <f>E63+E64</f>
        <v>27.864706841782965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Polen</v>
      </c>
      <c r="C67" s="992" t="s">
        <v>924</v>
      </c>
      <c r="D67" s="992" t="s">
        <v>925</v>
      </c>
      <c r="E67" s="992" t="s">
        <v>926</v>
      </c>
      <c r="F67" s="992" t="s">
        <v>927</v>
      </c>
      <c r="G67" s="992" t="s">
        <v>930</v>
      </c>
      <c r="H67" s="992" t="s">
        <v>929</v>
      </c>
      <c r="I67" s="992" t="s">
        <v>931</v>
      </c>
    </row>
    <row r="68" spans="1:9" ht="0.2" customHeight="1" x14ac:dyDescent="0.2">
      <c r="C68" s="1121">
        <f>L33</f>
        <v>12.672161525540741</v>
      </c>
      <c r="D68" s="1121">
        <f>L38</f>
        <v>17.371466777293559</v>
      </c>
      <c r="E68" s="1121">
        <f>L44</f>
        <v>4.994952738523601</v>
      </c>
      <c r="F68" s="1121">
        <f>L45</f>
        <v>0</v>
      </c>
      <c r="G68" s="1121">
        <f>L46</f>
        <v>35.038581041357901</v>
      </c>
      <c r="H68" s="1121">
        <f>I68-G68</f>
        <v>19.961418958642099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30.0436283028343</v>
      </c>
      <c r="F69" s="1121">
        <f>E68+E69</f>
        <v>35.038581041357901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44375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Polen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ohne Prfg.</v>
      </c>
      <c r="D16" s="996"/>
      <c r="E16" s="995"/>
      <c r="F16" s="996"/>
      <c r="G16" s="993" t="str">
        <f>Refkalkulation!K88</f>
        <v>ohne Prfg.</v>
      </c>
      <c r="H16" s="996"/>
      <c r="I16" s="995"/>
      <c r="J16" s="996"/>
      <c r="K16" s="993" t="str">
        <f>Refkalkulation!N88</f>
        <v>ohne Prfg.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915</v>
      </c>
      <c r="D40" s="1035">
        <f>Refkalkulation!H104</f>
        <v>71.170839430980834</v>
      </c>
      <c r="E40" s="1036"/>
      <c r="F40" s="1037"/>
      <c r="G40" s="1034" t="str">
        <f t="shared" si="0"/>
        <v>Fertigungskosten</v>
      </c>
      <c r="H40" s="1035">
        <f>Refkalkulation!K104</f>
        <v>11.393238277647779</v>
      </c>
      <c r="I40" s="1036"/>
      <c r="J40" s="1037"/>
      <c r="K40" s="1034" t="str">
        <f t="shared" si="1"/>
        <v>Fertigungskosten</v>
      </c>
      <c r="L40" s="1035">
        <f>Refkalkulation!N104</f>
        <v>17.371466777293559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0.83550167745339732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13.39478130950847</v>
      </c>
      <c r="N42" s="1041"/>
      <c r="O42" s="995"/>
    </row>
    <row r="43" spans="1:15" x14ac:dyDescent="0.2">
      <c r="A43" s="993"/>
      <c r="B43" s="996"/>
      <c r="C43" s="1038" t="s">
        <v>916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0.72795053785045649</v>
      </c>
      <c r="N43" s="1041"/>
      <c r="O43" s="995"/>
    </row>
    <row r="44" spans="1:15" x14ac:dyDescent="0.2">
      <c r="A44" s="993"/>
      <c r="B44" s="996"/>
      <c r="C44" s="1038" t="s">
        <v>917</v>
      </c>
      <c r="D44" s="1042"/>
      <c r="E44" s="1040">
        <f>Refkalkulation!H98</f>
        <v>3.0850166666666663</v>
      </c>
      <c r="F44" s="1041"/>
      <c r="G44" s="1038" t="str">
        <f t="shared" si="0"/>
        <v xml:space="preserve">               Prüfen</v>
      </c>
      <c r="H44" s="1042"/>
      <c r="I44" s="1040">
        <f>Refkalkulation!K98</f>
        <v>0.48995958333333334</v>
      </c>
      <c r="J44" s="1041"/>
      <c r="K44" s="1038" t="str">
        <f t="shared" si="1"/>
        <v xml:space="preserve">               Prüfen</v>
      </c>
      <c r="L44" s="1042"/>
      <c r="M44" s="1040">
        <f>Refkalkulation!N98</f>
        <v>0.83400899999999978</v>
      </c>
      <c r="N44" s="1041"/>
      <c r="O44" s="995"/>
    </row>
    <row r="45" spans="1:15" x14ac:dyDescent="0.2">
      <c r="A45" s="993"/>
      <c r="B45" s="996"/>
      <c r="C45" s="1038" t="s">
        <v>918</v>
      </c>
      <c r="D45" s="1042"/>
      <c r="E45" s="1040">
        <f>Refkalkulation!H104-Refkalkulation!H100</f>
        <v>6.4700763119073486</v>
      </c>
      <c r="F45" s="1041"/>
      <c r="G45" s="1038" t="str">
        <f t="shared" si="0"/>
        <v xml:space="preserve">               Fertigungsnebenkosten</v>
      </c>
      <c r="H45" s="1042"/>
      <c r="I45" s="1040">
        <f>Refkalkulation!K104-Refkalkulation!K100</f>
        <v>1.0357489343316164</v>
      </c>
      <c r="J45" s="1041"/>
      <c r="K45" s="1038" t="str">
        <f t="shared" si="1"/>
        <v xml:space="preserve">               Fertigungsnebenkosten</v>
      </c>
      <c r="L45" s="1042"/>
      <c r="M45" s="1040">
        <f>Refkalkulation!N104-Refkalkulation!N100</f>
        <v>1.5792242524812341</v>
      </c>
      <c r="N45" s="1041"/>
      <c r="O45" s="995"/>
    </row>
    <row r="46" spans="1:15" ht="15" x14ac:dyDescent="0.25">
      <c r="A46" s="993"/>
      <c r="B46" s="996"/>
      <c r="C46" s="1043" t="str">
        <f>Refkalkulation!D111</f>
        <v>Gesamtgemeinkosten</v>
      </c>
      <c r="D46" s="1044">
        <f>Refkalkulation!H111</f>
        <v>16.128790953001545</v>
      </c>
      <c r="E46" s="1045">
        <f>D46/D48</f>
        <v>0.15645629515654896</v>
      </c>
      <c r="F46" s="1041"/>
      <c r="G46" s="1043" t="str">
        <f t="shared" si="0"/>
        <v>Gesamtgemeinkosten</v>
      </c>
      <c r="H46" s="1044">
        <f>Refkalkulation!K111</f>
        <v>3.7993070385944443</v>
      </c>
      <c r="I46" s="1045">
        <f>H46/H48</f>
        <v>0.13634835852273908</v>
      </c>
      <c r="J46" s="996"/>
      <c r="K46" s="1043" t="str">
        <f t="shared" si="1"/>
        <v>Gesamtgemeinkosten</v>
      </c>
      <c r="L46" s="1044">
        <f>Refkalkulation!N111</f>
        <v>4.994952738523601</v>
      </c>
      <c r="M46" s="1045">
        <f>L46/L48</f>
        <v>0.1425557939297768</v>
      </c>
      <c r="N46" s="996"/>
      <c r="O46" s="995"/>
    </row>
    <row r="47" spans="1:15" ht="18" customHeight="1" x14ac:dyDescent="0.25">
      <c r="A47" s="993"/>
      <c r="B47" s="996"/>
      <c r="C47" s="1046" t="str">
        <f>Refkalkulation!D114</f>
        <v>Gesamtgewinn</v>
      </c>
      <c r="D47" s="1047">
        <f>Refkalkulation!H114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Refkalkulation!K114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Refkalkulation!N114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Refkalkulation!D116</f>
        <v>Bauteilpreis gesamt</v>
      </c>
      <c r="D48" s="1050">
        <f>SUM(D35:D47)</f>
        <v>103.08815594069385</v>
      </c>
      <c r="E48" s="1051"/>
      <c r="F48" s="1052"/>
      <c r="G48" s="1049" t="str">
        <f t="shared" si="0"/>
        <v>Bauteilpreis gesamt</v>
      </c>
      <c r="H48" s="1050">
        <f>SUM(H35:H47)</f>
        <v>27.864706841782965</v>
      </c>
      <c r="I48" s="1051"/>
      <c r="J48" s="1052"/>
      <c r="K48" s="1049" t="str">
        <f t="shared" si="1"/>
        <v>Bauteilpreis gesamt</v>
      </c>
      <c r="L48" s="1050">
        <f>SUM(L35:L47)</f>
        <v>35.038581041357901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19" sqref="L19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235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235</v>
      </c>
      <c r="T2" s="7"/>
      <c r="U2" s="376" t="s">
        <v>565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556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235</v>
      </c>
      <c r="K3" s="10"/>
      <c r="L3" s="828" t="s">
        <v>920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235</v>
      </c>
      <c r="T3" s="4"/>
      <c r="U3" s="190" t="s">
        <v>958</v>
      </c>
      <c r="V3" s="4"/>
      <c r="W3" s="4"/>
      <c r="X3" s="676" t="s">
        <v>905</v>
      </c>
      <c r="Y3" s="10"/>
      <c r="Z3" s="4"/>
      <c r="AA3" s="881" t="s">
        <v>848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44375</v>
      </c>
      <c r="H4" s="125"/>
      <c r="I4" s="260" t="str">
        <f>IF(Deutsch,C4,D4)</f>
        <v>Datum</v>
      </c>
      <c r="J4" s="262" t="s">
        <v>235</v>
      </c>
      <c r="K4" s="34">
        <f ca="1">TODAY()</f>
        <v>44375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235</v>
      </c>
      <c r="T4" s="10"/>
      <c r="U4" s="190" t="s">
        <v>960</v>
      </c>
      <c r="V4" s="4"/>
      <c r="W4" s="4"/>
      <c r="X4" s="186" t="b">
        <f>ISERROR('Artikel-DB'!$B$2)</f>
        <v>0</v>
      </c>
      <c r="Y4" s="10"/>
      <c r="Z4" s="4"/>
      <c r="AA4" s="883" t="s">
        <v>849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235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235</v>
      </c>
      <c r="T5" s="10"/>
      <c r="U5" s="190" t="s">
        <v>959</v>
      </c>
      <c r="V5" s="4"/>
      <c r="W5" s="4"/>
      <c r="X5" s="186" t="b">
        <f>X4</f>
        <v>0</v>
      </c>
      <c r="Y5" s="4"/>
      <c r="Z5" s="4"/>
      <c r="AA5" s="870" t="s">
        <v>712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247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239</v>
      </c>
      <c r="D7" s="324" t="s">
        <v>256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966</v>
      </c>
      <c r="M9" s="104" t="str">
        <f>L$9</f>
        <v>Housing</v>
      </c>
      <c r="N9" s="104"/>
      <c r="O9" s="52" t="s">
        <v>966</v>
      </c>
      <c r="P9" s="104" t="str">
        <f>O$9</f>
        <v>Housing</v>
      </c>
      <c r="Q9" s="104"/>
      <c r="R9" s="52" t="s">
        <v>966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341</v>
      </c>
      <c r="M10" s="104" t="str">
        <f>IF(L$10=0,$G10,IF(L$10=" ",$G10,L$10))</f>
        <v>EN AC-46100</v>
      </c>
      <c r="N10" s="104"/>
      <c r="O10" s="47" t="s">
        <v>309</v>
      </c>
      <c r="P10" s="104" t="str">
        <f>IF(O$10=0,$G10,IF(O$10=" ",$G10,O$10))</f>
        <v>EN AC-43100</v>
      </c>
      <c r="Q10" s="104"/>
      <c r="R10" s="47" t="s">
        <v>309</v>
      </c>
      <c r="S10" s="104" t="str">
        <f>IF(R$10=0,$G10,IF(R$10=" ",$G10,R$10))</f>
        <v>EN AC-43100</v>
      </c>
      <c r="T10" s="104"/>
      <c r="U10" s="47" t="s">
        <v>309</v>
      </c>
      <c r="V10" s="104" t="str">
        <f>IF(U$10=0,$G10,IF(U$10=" ",$G10,U$10))</f>
        <v>EN AC-43100</v>
      </c>
      <c r="W10" s="104"/>
      <c r="X10" s="47" t="s">
        <v>309</v>
      </c>
      <c r="Y10" s="104" t="str">
        <f>IF(X$10=0,$G10,IF(X$10=" ",$G10,X$10))</f>
        <v>EN AC-43100</v>
      </c>
      <c r="Z10" s="104"/>
      <c r="AA10" s="47" t="s">
        <v>309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809</v>
      </c>
      <c r="D13" s="324" t="s">
        <v>810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392</v>
      </c>
      <c r="D16" s="324" t="s">
        <v>393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369</v>
      </c>
      <c r="D19" s="324" t="s">
        <v>370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191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453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439</v>
      </c>
      <c r="M21" s="104" t="str">
        <f>IFERROR(VLOOKUP(L$21,Auswahlfelder!$D$16:$D$19,1,FALSE),VLOOKUP(L$21,Auswahlfelder!$C$16:$D$19,2,FALSE))</f>
        <v>mäßig</v>
      </c>
      <c r="N21" s="104"/>
      <c r="O21" s="52" t="s">
        <v>439</v>
      </c>
      <c r="P21" s="104" t="str">
        <f>IFERROR(VLOOKUP(O$21,Auswahlfelder!$D$16:$D$19,1,FALSE),VLOOKUP(O$21,Auswahlfelder!$C$16:$D$19,2,FALSE))</f>
        <v>mäßig</v>
      </c>
      <c r="Q21" s="104"/>
      <c r="R21" s="52" t="s">
        <v>439</v>
      </c>
      <c r="S21" s="104" t="str">
        <f>IFERROR(VLOOKUP(R$21,Auswahlfelder!$D$16:$D$19,1,FALSE),VLOOKUP(R$21,Auswahlfelder!$C$16:$D$19,2,FALSE))</f>
        <v>mäßig</v>
      </c>
      <c r="T21" s="104"/>
      <c r="U21" s="52" t="s">
        <v>439</v>
      </c>
      <c r="V21" s="104" t="str">
        <f>IFERROR(VLOOKUP(U$21,Auswahlfelder!$D$16:$D$19,1,FALSE),VLOOKUP(U$21,Auswahlfelder!$C$16:$D$19,2,FALSE))</f>
        <v>mäßig</v>
      </c>
      <c r="W21" s="104"/>
      <c r="X21" s="52" t="s">
        <v>439</v>
      </c>
      <c r="Y21" s="104" t="str">
        <f>IFERROR(VLOOKUP(X$21,Auswahlfelder!$D$16:$D$19,1,FALSE),VLOOKUP(X$21,Auswahlfelder!$C$16:$D$19,2,FALSE))</f>
        <v>mäßig</v>
      </c>
      <c r="Z21" s="104"/>
      <c r="AA21" s="52" t="s">
        <v>439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478</v>
      </c>
      <c r="D22" s="324" t="s">
        <v>477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473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374</v>
      </c>
      <c r="P22" s="104" t="str">
        <f>IFERROR(VLOOKUP(O$22,Auswahlfelder!$D$36:$D$38,1,FALSE),VLOOKUP(O$22,Auswahlfelder!$C$36:$D$38,2,FALSE))</f>
        <v>Handformen</v>
      </c>
      <c r="Q22" s="104"/>
      <c r="R22" s="543" t="s">
        <v>374</v>
      </c>
      <c r="S22" s="104" t="str">
        <f>IFERROR(VLOOKUP(R$22,Auswahlfelder!$D$36:$D$38,1,FALSE),VLOOKUP(R$22,Auswahlfelder!$C$36:$D$38,2,FALSE))</f>
        <v>Handformen</v>
      </c>
      <c r="T22" s="104"/>
      <c r="U22" s="543" t="s">
        <v>475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475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475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451</v>
      </c>
      <c r="C23" s="324" t="s">
        <v>354</v>
      </c>
      <c r="D23" s="324" t="s">
        <v>355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267</v>
      </c>
      <c r="M23" s="104" t="str">
        <f>IFERROR(VLOOKUP(L$23,Auswahlfelder!$D$49:$D$51,1,FALSE),VLOOKUP(L$23,Auswahlfelder!$C$49:$D$51,2,FALSE))</f>
        <v>ohne</v>
      </c>
      <c r="N23" s="104"/>
      <c r="O23" s="52" t="s">
        <v>267</v>
      </c>
      <c r="P23" s="104" t="str">
        <f>IFERROR(VLOOKUP(O$23,Auswahlfelder!$D$49:$D$51,1,FALSE),VLOOKUP(O$23,Auswahlfelder!$C$49:$D$51,2,FALSE))</f>
        <v>ohne</v>
      </c>
      <c r="Q23" s="104"/>
      <c r="R23" s="52" t="s">
        <v>267</v>
      </c>
      <c r="S23" s="104" t="str">
        <f>IFERROR(VLOOKUP(R$23,Auswahlfelder!$D$49:$D$51,1,FALSE),VLOOKUP(R$23,Auswahlfelder!$C$49:$D$51,2,FALSE))</f>
        <v>ohne</v>
      </c>
      <c r="T23" s="104"/>
      <c r="U23" s="52" t="s">
        <v>267</v>
      </c>
      <c r="V23" s="104" t="str">
        <f>IFERROR(VLOOKUP(U$23,Auswahlfelder!$D$49:$D$51,1,FALSE),VLOOKUP(U$23,Auswahlfelder!$C$49:$D$51,2,FALSE))</f>
        <v>ohne</v>
      </c>
      <c r="W23" s="104"/>
      <c r="X23" s="52" t="s">
        <v>267</v>
      </c>
      <c r="Y23" s="104" t="str">
        <f>IFERROR(VLOOKUP(X$23,Auswahlfelder!$D$49:$D$51,1,FALSE),VLOOKUP(X$23,Auswahlfelder!$C$49:$D$51,2,FALSE))</f>
        <v>ohne</v>
      </c>
      <c r="Z23" s="104"/>
      <c r="AA23" s="52" t="s">
        <v>267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772</v>
      </c>
      <c r="D24" s="324" t="s">
        <v>771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768</v>
      </c>
      <c r="M24" s="104" t="str">
        <f>IFERROR(VLOOKUP(L$24,Auswahlfelder!$D$54:$D$57,1,FALSE),VLOOKUP(L$24,Auswahlfelder!$C$54:$D$57,2,FALSE))</f>
        <v>Cold Box</v>
      </c>
      <c r="N24" s="104"/>
      <c r="O24" s="47" t="s">
        <v>768</v>
      </c>
      <c r="P24" s="104" t="str">
        <f>IFERROR(VLOOKUP(O$24,Auswahlfelder!$D$54:$D$57,1,FALSE),VLOOKUP(O$24,Auswahlfelder!$C$54:$D$57,2,FALSE))</f>
        <v>Cold Box</v>
      </c>
      <c r="Q24" s="104"/>
      <c r="R24" s="47" t="s">
        <v>768</v>
      </c>
      <c r="S24" s="104" t="str">
        <f>IFERROR(VLOOKUP(R$24,Auswahlfelder!$D$54:$D$57,1,FALSE),VLOOKUP(R$24,Auswahlfelder!$C$54:$D$57,2,FALSE))</f>
        <v>Cold Box</v>
      </c>
      <c r="T24" s="104"/>
      <c r="U24" s="47" t="s">
        <v>768</v>
      </c>
      <c r="V24" s="104" t="str">
        <f>IFERROR(VLOOKUP(U$24,Auswahlfelder!$D$54:$D$57,1,FALSE),VLOOKUP(U$24,Auswahlfelder!$C$54:$D$57,2,FALSE))</f>
        <v>Cold Box</v>
      </c>
      <c r="W24" s="104"/>
      <c r="X24" s="47" t="s">
        <v>768</v>
      </c>
      <c r="Y24" s="104" t="str">
        <f>IFERROR(VLOOKUP(X$24,Auswahlfelder!$D$54:$D$57,1,FALSE),VLOOKUP(X$24,Auswahlfelder!$C$54:$D$57,2,FALSE))</f>
        <v>Cold Box</v>
      </c>
      <c r="Z24" s="104"/>
      <c r="AA24" s="47" t="s">
        <v>768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775</v>
      </c>
      <c r="D25" s="324" t="s">
        <v>776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777</v>
      </c>
      <c r="D26" s="324" t="s">
        <v>778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779</v>
      </c>
      <c r="D27" s="324" t="s">
        <v>780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606</v>
      </c>
      <c r="D28" s="324" t="s">
        <v>607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608</v>
      </c>
      <c r="D29" s="324" t="s">
        <v>609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610</v>
      </c>
      <c r="D30" s="324" t="s">
        <v>611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265</v>
      </c>
      <c r="D31" s="324" t="s">
        <v>268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267</v>
      </c>
      <c r="M31" s="104" t="str">
        <f>IFERROR(VLOOKUP(L$31,Auswahlfelder!$D$31:$D$33,1,FALSE),VLOOKUP(L$31,Auswahlfelder!$C$31:$D$33,2,FALSE))</f>
        <v>ohne</v>
      </c>
      <c r="N31" s="104"/>
      <c r="O31" s="47" t="s">
        <v>267</v>
      </c>
      <c r="P31" s="104" t="str">
        <f>IFERROR(VLOOKUP(O$31,Auswahlfelder!$D$31:$D$33,1,FALSE),VLOOKUP(O$31,Auswahlfelder!$C$31:$D$33,2,FALSE))</f>
        <v>ohne</v>
      </c>
      <c r="Q31" s="104"/>
      <c r="R31" s="47" t="s">
        <v>267</v>
      </c>
      <c r="S31" s="104" t="str">
        <f>IFERROR(VLOOKUP(R$31,Auswahlfelder!$D$31:$D$33,1,FALSE),VLOOKUP(R$31,Auswahlfelder!$C$31:$D$33,2,FALSE))</f>
        <v>ohne</v>
      </c>
      <c r="T31" s="104"/>
      <c r="U31" s="47" t="s">
        <v>267</v>
      </c>
      <c r="V31" s="104" t="str">
        <f>IFERROR(VLOOKUP(U$31,Auswahlfelder!$D$31:$D$33,1,FALSE),VLOOKUP(U$31,Auswahlfelder!$C$31:$D$33,2,FALSE))</f>
        <v>ohne</v>
      </c>
      <c r="W31" s="104"/>
      <c r="X31" s="47" t="s">
        <v>267</v>
      </c>
      <c r="Y31" s="104" t="str">
        <f>IFERROR(VLOOKUP(X$31,Auswahlfelder!$D$31:$D$33,1,FALSE),VLOOKUP(X$31,Auswahlfelder!$C$31:$D$33,2,FALSE))</f>
        <v>ohne</v>
      </c>
      <c r="Z31" s="104"/>
      <c r="AA31" s="47" t="s">
        <v>267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298</v>
      </c>
      <c r="D32" s="324" t="s">
        <v>302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574</v>
      </c>
      <c r="M32" s="104" t="str">
        <f>IFERROR(VLOOKUP(L$32,Auswahlfelder!$D$41:$D$46,1,FALSE),VLOOKUP(L$32,Auswahlfelder!$C$41:$D$46,2,FALSE))</f>
        <v>ohne (F)</v>
      </c>
      <c r="N32" s="104"/>
      <c r="O32" s="47" t="s">
        <v>574</v>
      </c>
      <c r="P32" s="104" t="str">
        <f>IFERROR(VLOOKUP(O$32,Auswahlfelder!$D$41:$D$46,1,FALSE),VLOOKUP(O$32,Auswahlfelder!$C$41:$D$46,2,FALSE))</f>
        <v>ohne (F)</v>
      </c>
      <c r="Q32" s="104"/>
      <c r="R32" s="47" t="s">
        <v>574</v>
      </c>
      <c r="S32" s="104" t="str">
        <f>IFERROR(VLOOKUP(R$32,Auswahlfelder!$D$41:$D$46,1,FALSE),VLOOKUP(R$32,Auswahlfelder!$C$41:$D$46,2,FALSE))</f>
        <v>ohne (F)</v>
      </c>
      <c r="T32" s="104"/>
      <c r="U32" s="47" t="s">
        <v>574</v>
      </c>
      <c r="V32" s="104" t="str">
        <f>IFERROR(VLOOKUP(U$32,Auswahlfelder!$D$41:$D$46,1,FALSE),VLOOKUP(U$32,Auswahlfelder!$C$41:$D$46,2,FALSE))</f>
        <v>ohne (F)</v>
      </c>
      <c r="W32" s="104"/>
      <c r="X32" s="47" t="s">
        <v>574</v>
      </c>
      <c r="Y32" s="104" t="str">
        <f>IFERROR(VLOOKUP(X$32,Auswahlfelder!$D$41:$D$46,1,FALSE),VLOOKUP(X$32,Auswahlfelder!$C$41:$D$46,2,FALSE))</f>
        <v>ohne (F)</v>
      </c>
      <c r="Z32" s="104"/>
      <c r="AA32" s="47" t="s">
        <v>574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461</v>
      </c>
      <c r="D33" s="324" t="s">
        <v>456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267</v>
      </c>
      <c r="M33" s="104" t="str">
        <f>IFERROR(VLOOKUP(L$33,Auswahlfelder!$D$60:$D$62,1,FALSE),VLOOKUP(L$33,Auswahlfelder!$C$60:$D$62,2,FALSE))</f>
        <v>ohne</v>
      </c>
      <c r="N33" s="453"/>
      <c r="O33" s="452" t="s">
        <v>267</v>
      </c>
      <c r="P33" s="104" t="str">
        <f>IFERROR(VLOOKUP(O$33,Auswahlfelder!$D$60:$D$62,1,FALSE),VLOOKUP(O$33,Auswahlfelder!$C$60:$D$62,2,FALSE))</f>
        <v>ohne</v>
      </c>
      <c r="Q33" s="453"/>
      <c r="R33" s="452" t="s">
        <v>267</v>
      </c>
      <c r="S33" s="104" t="str">
        <f>IFERROR(VLOOKUP(R$33,Auswahlfelder!$D$60:$D$62,1,FALSE),VLOOKUP(R$33,Auswahlfelder!$C$60:$D$62,2,FALSE))</f>
        <v>ohne</v>
      </c>
      <c r="T33" s="453"/>
      <c r="U33" s="452" t="s">
        <v>267</v>
      </c>
      <c r="V33" s="104" t="str">
        <f>IFERROR(VLOOKUP(U$33,Auswahlfelder!$D$60:$D$62,1,FALSE),VLOOKUP(U$33,Auswahlfelder!$C$60:$D$62,2,FALSE))</f>
        <v>ohne</v>
      </c>
      <c r="W33" s="453"/>
      <c r="X33" s="452" t="s">
        <v>267</v>
      </c>
      <c r="Y33" s="104" t="str">
        <f>IFERROR(VLOOKUP(X$33,Auswahlfelder!$D$60:$D$62,1,FALSE),VLOOKUP(X$33,Auswahlfelder!$C$60:$D$62,2,FALSE))</f>
        <v>ohne</v>
      </c>
      <c r="Z33" s="453"/>
      <c r="AA33" s="452" t="s">
        <v>267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284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604</v>
      </c>
      <c r="P45" s="104" t="str">
        <f>IFERROR(VLOOKUP(O$45,Auswahlfelder!$I$3:$I$15,1,FALSE),VLOOKUP(O$45,Auswahlfelder!$H$3:$I$15,2,FALSE))</f>
        <v>Türkei</v>
      </c>
      <c r="Q45" s="132"/>
      <c r="R45" s="296" t="s">
        <v>17</v>
      </c>
      <c r="S45" s="104" t="str">
        <f>IFERROR(VLOOKUP(R$45,Auswahlfelder!$I$3:$I$15,1,FALSE),VLOOKUP(R$45,Auswahlfelder!$H$3:$I$15,2,FALSE))</f>
        <v>Polen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589</v>
      </c>
      <c r="D50" s="324" t="s">
        <v>189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782</v>
      </c>
      <c r="D57" s="324" t="s">
        <v>240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783</v>
      </c>
      <c r="D58" s="330" t="s">
        <v>781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232</v>
      </c>
      <c r="D59" s="331" t="s">
        <v>168</v>
      </c>
      <c r="E59" s="345">
        <v>0.01</v>
      </c>
      <c r="F59" s="346">
        <v>0.09</v>
      </c>
      <c r="G59" s="240" t="s">
        <v>190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827</v>
      </c>
      <c r="E60" s="341">
        <v>0.05</v>
      </c>
      <c r="F60" s="342">
        <v>0.12</v>
      </c>
      <c r="G60" s="240" t="s">
        <v>190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816</v>
      </c>
      <c r="D61" s="324" t="s">
        <v>815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913</v>
      </c>
      <c r="D62" s="324" t="s">
        <v>914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385</v>
      </c>
      <c r="D63" s="324" t="s">
        <v>386</v>
      </c>
      <c r="E63" s="339">
        <v>1</v>
      </c>
      <c r="F63" s="340">
        <v>12</v>
      </c>
      <c r="G63" s="240" t="s">
        <v>190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254</v>
      </c>
      <c r="D64" s="324" t="s">
        <v>255</v>
      </c>
      <c r="E64" s="339">
        <v>1</v>
      </c>
      <c r="F64" s="340"/>
      <c r="G64" s="240" t="s">
        <v>190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570</v>
      </c>
      <c r="D65" s="324" t="s">
        <v>571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194</v>
      </c>
      <c r="E66" s="339">
        <v>1</v>
      </c>
      <c r="F66" s="347">
        <v>10000</v>
      </c>
      <c r="G66" s="240" t="s">
        <v>190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361</v>
      </c>
      <c r="D67" s="324" t="s">
        <v>362</v>
      </c>
      <c r="E67" s="339">
        <v>0</v>
      </c>
      <c r="F67" s="347">
        <v>60</v>
      </c>
      <c r="G67" s="240" t="s">
        <v>190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840</v>
      </c>
      <c r="D68" s="324" t="s">
        <v>841</v>
      </c>
      <c r="E68" s="341">
        <v>0</v>
      </c>
      <c r="F68" s="342">
        <v>0.08</v>
      </c>
      <c r="G68" s="240" t="s">
        <v>190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837</v>
      </c>
      <c r="D69" s="324" t="s">
        <v>836</v>
      </c>
      <c r="E69" s="339">
        <v>0</v>
      </c>
      <c r="F69" s="347">
        <v>60</v>
      </c>
      <c r="G69" s="240" t="s">
        <v>190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838</v>
      </c>
      <c r="D70" s="324" t="s">
        <v>839</v>
      </c>
      <c r="E70" s="339">
        <v>0</v>
      </c>
      <c r="F70" s="347">
        <v>60</v>
      </c>
      <c r="G70" s="240" t="s">
        <v>190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298</v>
      </c>
      <c r="D71" s="324" t="s">
        <v>302</v>
      </c>
      <c r="E71" s="339">
        <v>0</v>
      </c>
      <c r="F71" s="340">
        <v>2</v>
      </c>
      <c r="G71" s="240" t="s">
        <v>190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842</v>
      </c>
      <c r="D72" s="324" t="s">
        <v>843</v>
      </c>
      <c r="E72" s="341">
        <v>0</v>
      </c>
      <c r="F72" s="342">
        <v>0.04</v>
      </c>
      <c r="G72" s="240" t="s">
        <v>190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180</v>
      </c>
      <c r="D73" s="324" t="s">
        <v>231</v>
      </c>
      <c r="E73" s="339">
        <v>0</v>
      </c>
      <c r="F73" s="347">
        <v>20000</v>
      </c>
      <c r="G73" s="240" t="s">
        <v>190</v>
      </c>
      <c r="H73" s="17"/>
      <c r="I73" s="21" t="str">
        <f t="shared" si="22"/>
        <v>Prüfzeit/Teil (sec)</v>
      </c>
      <c r="J73" s="18"/>
      <c r="K73" s="120"/>
      <c r="L73" s="187">
        <f>M$73</f>
        <v>300</v>
      </c>
      <c r="M73" s="278">
        <f>Refkalkulation!H$89</f>
        <v>300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612</v>
      </c>
      <c r="D74" s="324" t="s">
        <v>613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</v>
      </c>
      <c r="M74" s="278">
        <f>Refkalkulation!H$91</f>
        <v>0</v>
      </c>
      <c r="N74" s="279"/>
      <c r="O74" s="961">
        <f>P$74</f>
        <v>0</v>
      </c>
      <c r="P74" s="278">
        <f>Refkalkulation!K$91</f>
        <v>0</v>
      </c>
      <c r="Q74" s="279"/>
      <c r="R74" s="961">
        <f t="shared" ref="R74" si="50">S$74</f>
        <v>0</v>
      </c>
      <c r="S74" s="278">
        <f>Refkalkulation!N$91</f>
        <v>0</v>
      </c>
      <c r="T74" s="279"/>
      <c r="U74" s="961">
        <f t="shared" ref="U74" si="51">V$74</f>
        <v>0</v>
      </c>
      <c r="V74" s="278">
        <f>Refkalkulation!Q$91</f>
        <v>0</v>
      </c>
      <c r="W74" s="279"/>
      <c r="X74" s="961">
        <f t="shared" ref="X74" si="52">Y$74</f>
        <v>0</v>
      </c>
      <c r="Y74" s="278">
        <f>Refkalkulation!T$91</f>
        <v>0</v>
      </c>
      <c r="Z74" s="279"/>
      <c r="AA74" s="961">
        <f t="shared" ref="AA74" si="53">AB$74</f>
        <v>0</v>
      </c>
      <c r="AB74" s="380">
        <f>Refkalkulation!W$91</f>
        <v>0</v>
      </c>
      <c r="AC74" s="3"/>
    </row>
    <row r="75" spans="1:29" hidden="1" x14ac:dyDescent="0.2">
      <c r="A75" s="26"/>
      <c r="B75" s="327">
        <v>39</v>
      </c>
      <c r="C75" s="324" t="s">
        <v>614</v>
      </c>
      <c r="D75" s="324" t="s">
        <v>615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</v>
      </c>
      <c r="M75" s="235">
        <f>Refkalkulation!H$92</f>
        <v>0</v>
      </c>
      <c r="N75" s="279"/>
      <c r="O75" s="961">
        <f>P$75</f>
        <v>0</v>
      </c>
      <c r="P75" s="235">
        <f>Refkalkulation!K$92</f>
        <v>0</v>
      </c>
      <c r="Q75" s="279"/>
      <c r="R75" s="961">
        <f t="shared" ref="R75" si="55">S$75</f>
        <v>0</v>
      </c>
      <c r="S75" s="235">
        <f>Refkalkulation!N$92</f>
        <v>0</v>
      </c>
      <c r="T75" s="279"/>
      <c r="U75" s="961">
        <f t="shared" ref="U75" si="56">V$75</f>
        <v>0</v>
      </c>
      <c r="V75" s="235">
        <f>Refkalkulation!Q$92</f>
        <v>0</v>
      </c>
      <c r="W75" s="279"/>
      <c r="X75" s="961">
        <f t="shared" ref="X75" si="57">Y$75</f>
        <v>0</v>
      </c>
      <c r="Y75" s="235">
        <f>Refkalkulation!T$92</f>
        <v>0</v>
      </c>
      <c r="Z75" s="279"/>
      <c r="AA75" s="961">
        <f t="shared" ref="AA75" si="58">AB$75</f>
        <v>0</v>
      </c>
      <c r="AB75" s="277">
        <f>Refkalkulation!W$92</f>
        <v>0</v>
      </c>
      <c r="AC75" s="3"/>
    </row>
    <row r="76" spans="1:29" hidden="1" x14ac:dyDescent="0.2">
      <c r="A76" s="26"/>
      <c r="B76" s="327">
        <v>39</v>
      </c>
      <c r="C76" s="324" t="s">
        <v>616</v>
      </c>
      <c r="D76" s="324" t="s">
        <v>617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Refkalkulation!H$93</f>
        <v>0</v>
      </c>
      <c r="N76" s="279"/>
      <c r="O76" s="961">
        <f>P$76</f>
        <v>0</v>
      </c>
      <c r="P76" s="235">
        <f>Refkalkulation!K$93</f>
        <v>0</v>
      </c>
      <c r="Q76" s="279"/>
      <c r="R76" s="961">
        <f t="shared" ref="R76" si="59">S$76</f>
        <v>0</v>
      </c>
      <c r="S76" s="235">
        <f>Refkalkulation!N$93</f>
        <v>0</v>
      </c>
      <c r="T76" s="279"/>
      <c r="U76" s="961">
        <f t="shared" ref="U76" si="60">V$76</f>
        <v>0</v>
      </c>
      <c r="V76" s="235">
        <f>Refkalkulation!Q$93</f>
        <v>0</v>
      </c>
      <c r="W76" s="279"/>
      <c r="X76" s="961">
        <f t="shared" ref="X76" si="61">Y$76</f>
        <v>0</v>
      </c>
      <c r="Y76" s="235">
        <f>Refkalkulation!T$93</f>
        <v>0</v>
      </c>
      <c r="Z76" s="279"/>
      <c r="AA76" s="961">
        <f t="shared" ref="AA76" si="62">AB$76</f>
        <v>0</v>
      </c>
      <c r="AB76" s="277">
        <f>Refkalkulation!W$93</f>
        <v>0</v>
      </c>
      <c r="AC76" s="3"/>
    </row>
    <row r="77" spans="1:29" hidden="1" x14ac:dyDescent="0.2">
      <c r="A77" s="26"/>
      <c r="B77" s="327">
        <v>39</v>
      </c>
      <c r="C77" s="324" t="s">
        <v>630</v>
      </c>
      <c r="D77" s="324" t="s">
        <v>631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Refkalkulation!H$96</f>
        <v>0.5</v>
      </c>
      <c r="N77" s="279"/>
      <c r="O77" s="794">
        <f>P$77</f>
        <v>0.5</v>
      </c>
      <c r="P77" s="235">
        <f>Refkalkulation!K$96</f>
        <v>0.5</v>
      </c>
      <c r="Q77" s="279"/>
      <c r="R77" s="794">
        <f>S$77</f>
        <v>0.5</v>
      </c>
      <c r="S77" s="235">
        <f>Refkalkulation!N$96</f>
        <v>0.5</v>
      </c>
      <c r="T77" s="279"/>
      <c r="U77" s="794">
        <f>V$77</f>
        <v>0.5</v>
      </c>
      <c r="V77" s="235">
        <f>Refkalkulation!Q$96</f>
        <v>0.5</v>
      </c>
      <c r="W77" s="279"/>
      <c r="X77" s="794">
        <f>Y$77</f>
        <v>0.5</v>
      </c>
      <c r="Y77" s="235">
        <f>Refkalkulation!T$96</f>
        <v>0.5</v>
      </c>
      <c r="Z77" s="279"/>
      <c r="AA77" s="794">
        <f>AB$77</f>
        <v>0.5</v>
      </c>
      <c r="AB77" s="277">
        <f>Refkalkulation!W$96</f>
        <v>0.5</v>
      </c>
      <c r="AC77" s="3"/>
    </row>
    <row r="78" spans="1:29" hidden="1" x14ac:dyDescent="0.2">
      <c r="A78" s="26"/>
      <c r="B78" s="666">
        <v>13</v>
      </c>
      <c r="C78" s="324" t="s">
        <v>557</v>
      </c>
      <c r="D78" s="324" t="s">
        <v>558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Refkalkulation!H$95</f>
        <v>0</v>
      </c>
      <c r="N78" s="122"/>
      <c r="O78" s="135">
        <f>P$78</f>
        <v>0</v>
      </c>
      <c r="P78" s="122">
        <f>Refkalkulation!K$95</f>
        <v>0</v>
      </c>
      <c r="Q78" s="279"/>
      <c r="R78" s="135">
        <f>S$78</f>
        <v>0</v>
      </c>
      <c r="S78" s="122">
        <f>Refkalkulation!N$95</f>
        <v>0</v>
      </c>
      <c r="T78" s="279"/>
      <c r="U78" s="135">
        <f>V$78</f>
        <v>0</v>
      </c>
      <c r="V78" s="122">
        <f>Refkalkulation!Q$95</f>
        <v>0</v>
      </c>
      <c r="W78" s="279"/>
      <c r="X78" s="135">
        <f>Y$78</f>
        <v>0</v>
      </c>
      <c r="Y78" s="122">
        <f>Refkalkulation!T$95</f>
        <v>0</v>
      </c>
      <c r="Z78" s="279"/>
      <c r="AA78" s="135">
        <f>AB$78</f>
        <v>0</v>
      </c>
      <c r="AB78" s="681">
        <f>Refkalkulation!W$95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251</v>
      </c>
      <c r="E79" s="341">
        <v>0.05</v>
      </c>
      <c r="F79" s="342">
        <v>0.3</v>
      </c>
      <c r="G79" s="240" t="s">
        <v>190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Refkalkulation!H$102</f>
        <v>0.1</v>
      </c>
      <c r="N79" s="279"/>
      <c r="O79" s="135">
        <f>P$79</f>
        <v>0.1</v>
      </c>
      <c r="P79" s="235">
        <f>Refkalkulation!K$102</f>
        <v>0.1</v>
      </c>
      <c r="Q79" s="279"/>
      <c r="R79" s="135">
        <f>S$79</f>
        <v>0.1</v>
      </c>
      <c r="S79" s="235">
        <f>Refkalkulation!N$102</f>
        <v>0.1</v>
      </c>
      <c r="T79" s="279"/>
      <c r="U79" s="135">
        <f>V$79</f>
        <v>0</v>
      </c>
      <c r="V79" s="235">
        <f>Refkalkulation!Q$102</f>
        <v>0</v>
      </c>
      <c r="W79" s="279"/>
      <c r="X79" s="135">
        <f>Y$79</f>
        <v>0</v>
      </c>
      <c r="Y79" s="235">
        <f>Refkalkulation!T$102</f>
        <v>0</v>
      </c>
      <c r="Z79" s="279"/>
      <c r="AA79" s="135">
        <f>AB$79</f>
        <v>0</v>
      </c>
      <c r="AB79" s="277">
        <f>Refkalkulation!W$102</f>
        <v>0</v>
      </c>
      <c r="AC79" s="3"/>
    </row>
    <row r="80" spans="1:29" hidden="1" x14ac:dyDescent="0.2">
      <c r="A80" s="26"/>
      <c r="B80" s="327"/>
      <c r="C80" s="324" t="s">
        <v>835</v>
      </c>
      <c r="D80" s="324" t="s">
        <v>834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Refkalkulation!H$108</f>
        <v>0.12</v>
      </c>
      <c r="N80" s="279"/>
      <c r="O80" s="135">
        <f>P$80</f>
        <v>0.12</v>
      </c>
      <c r="P80" s="235">
        <f>Refkalkulation!K$108</f>
        <v>0.12</v>
      </c>
      <c r="Q80" s="279"/>
      <c r="R80" s="135">
        <f t="shared" ref="R80" si="64">S$80</f>
        <v>0.12</v>
      </c>
      <c r="S80" s="235">
        <f>Refkalkulation!N$108</f>
        <v>0.12</v>
      </c>
      <c r="T80" s="279"/>
      <c r="U80" s="135">
        <f t="shared" ref="U80" si="65">V$80</f>
        <v>0.12</v>
      </c>
      <c r="V80" s="235">
        <f>Refkalkulation!Q$108</f>
        <v>0.12</v>
      </c>
      <c r="W80" s="279"/>
      <c r="X80" s="135">
        <f t="shared" ref="X80" si="66">Y$80</f>
        <v>0.12</v>
      </c>
      <c r="Y80" s="235">
        <f>Refkalkulation!T$108</f>
        <v>0.12</v>
      </c>
      <c r="Z80" s="279"/>
      <c r="AA80" s="135">
        <f t="shared" ref="AA80" si="67">AB$80</f>
        <v>0.12</v>
      </c>
      <c r="AB80" s="277">
        <f>Refkalkulation!W$108</f>
        <v>0.12</v>
      </c>
      <c r="AC80" s="3"/>
    </row>
    <row r="81" spans="1:29" hidden="1" x14ac:dyDescent="0.2">
      <c r="A81" s="26"/>
      <c r="B81" s="327">
        <v>32</v>
      </c>
      <c r="C81" s="324" t="s">
        <v>241</v>
      </c>
      <c r="D81" s="324" t="s">
        <v>252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Refkalkulation!H$112</f>
        <v>0</v>
      </c>
      <c r="N81" s="279"/>
      <c r="O81" s="135">
        <f>P$81</f>
        <v>0</v>
      </c>
      <c r="P81" s="235">
        <f>Refkalkulation!K$112</f>
        <v>0</v>
      </c>
      <c r="Q81" s="279"/>
      <c r="R81" s="135">
        <f t="shared" ref="R81" si="68">S$81</f>
        <v>0</v>
      </c>
      <c r="S81" s="235">
        <f>Refkalkulation!N$112</f>
        <v>0</v>
      </c>
      <c r="T81" s="279"/>
      <c r="U81" s="135">
        <f t="shared" ref="U81" si="69">V$81</f>
        <v>0</v>
      </c>
      <c r="V81" s="235">
        <f>Refkalkulation!Q$112</f>
        <v>0</v>
      </c>
      <c r="W81" s="279"/>
      <c r="X81" s="135">
        <f t="shared" ref="X81" si="70">Y$81</f>
        <v>0</v>
      </c>
      <c r="Y81" s="235">
        <f>Refkalkulation!T$112</f>
        <v>0</v>
      </c>
      <c r="Z81" s="279"/>
      <c r="AA81" s="135">
        <f t="shared" ref="AA81" si="71">AB$81</f>
        <v>0</v>
      </c>
      <c r="AB81" s="235">
        <f>Refkalkulation!W$112</f>
        <v>0</v>
      </c>
      <c r="AC81" s="3"/>
    </row>
    <row r="82" spans="1:29" hidden="1" x14ac:dyDescent="0.2">
      <c r="A82" s="26"/>
      <c r="B82" s="327">
        <v>32</v>
      </c>
      <c r="C82" s="324" t="s">
        <v>237</v>
      </c>
      <c r="D82" s="324" t="s">
        <v>253</v>
      </c>
      <c r="E82" s="341">
        <v>0</v>
      </c>
      <c r="F82" s="342">
        <v>0.12</v>
      </c>
      <c r="G82" s="240" t="s">
        <v>190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Refkalkulation!H$113</f>
        <v>0</v>
      </c>
      <c r="N82" s="279"/>
      <c r="O82" s="135">
        <f>P$82</f>
        <v>0</v>
      </c>
      <c r="P82" s="235">
        <f>Refkalkulation!K$113</f>
        <v>0</v>
      </c>
      <c r="Q82" s="279"/>
      <c r="R82" s="135">
        <f>S$82</f>
        <v>0</v>
      </c>
      <c r="S82" s="235">
        <f>Refkalkulation!N$113</f>
        <v>0</v>
      </c>
      <c r="T82" s="279"/>
      <c r="U82" s="135">
        <f>V$82</f>
        <v>0</v>
      </c>
      <c r="V82" s="235">
        <f>Refkalkulation!Q$113</f>
        <v>0</v>
      </c>
      <c r="W82" s="279"/>
      <c r="X82" s="135">
        <f>Y$82</f>
        <v>0</v>
      </c>
      <c r="Y82" s="235">
        <f>Refkalkulation!T$113</f>
        <v>0</v>
      </c>
      <c r="Z82" s="279"/>
      <c r="AA82" s="135">
        <f>AB$82</f>
        <v>0</v>
      </c>
      <c r="AB82" s="277">
        <f>Refkalkulation!W$113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190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886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sheetProtection algorithmName="SHA-512" hashValue="1wLho7DbymfJhU1PfVBV5G06lQD46TptemlDqZlltE5iPss4Sw/0nzBww20D8HouWIKkJfz6hCC7DtB716K3oQ==" saltValue="7JLB6JZqrSYJw/t6MEGeuw==" spinCount="100000" sheet="1" objects="1" scenarios="1"/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36" priority="65" stopIfTrue="1">
      <formula>VALUE(L12="Materialdatenbank")</formula>
    </cfRule>
  </conditionalFormatting>
  <conditionalFormatting sqref="O36 R36 U36 AA36 L36 X36">
    <cfRule type="cellIs" dxfId="235" priority="66" stopIfTrue="1" operator="notBetween">
      <formula>$E$36</formula>
      <formula>$F$36</formula>
    </cfRule>
  </conditionalFormatting>
  <conditionalFormatting sqref="L11 L20 O20 X20 R20 U20 AA20 O11 R11 U11 X11 AA11">
    <cfRule type="expression" dxfId="234" priority="70" stopIfTrue="1">
      <formula>K$11=0</formula>
    </cfRule>
  </conditionalFormatting>
  <conditionalFormatting sqref="L44">
    <cfRule type="cellIs" dxfId="233" priority="71" stopIfTrue="1" operator="lessThan">
      <formula>$E44</formula>
    </cfRule>
  </conditionalFormatting>
  <conditionalFormatting sqref="AA37:AA43 R37:R43 U37:U43 X37:X43 O37:O43 L37:L43">
    <cfRule type="cellIs" dxfId="232" priority="72" stopIfTrue="1" operator="greaterThan">
      <formula>M$36</formula>
    </cfRule>
  </conditionalFormatting>
  <conditionalFormatting sqref="AA8:AA9 O8:O9 R8:R9 U8:U9 X8:X9 L9">
    <cfRule type="cellIs" dxfId="231" priority="73" operator="equal">
      <formula>"?"</formula>
    </cfRule>
  </conditionalFormatting>
  <conditionalFormatting sqref="X4:X5">
    <cfRule type="cellIs" dxfId="230" priority="74" operator="equal">
      <formula>FALSE</formula>
    </cfRule>
  </conditionalFormatting>
  <conditionalFormatting sqref="L13 O13 R13 U13 X13 AA13">
    <cfRule type="cellIs" dxfId="229" priority="431" operator="notBetween">
      <formula>$E13</formula>
      <formula>$F13</formula>
    </cfRule>
  </conditionalFormatting>
  <conditionalFormatting sqref="L28">
    <cfRule type="expression" dxfId="228" priority="60" stopIfTrue="1">
      <formula>VALUE(#REF!="Materialdatenbank")</formula>
    </cfRule>
  </conditionalFormatting>
  <conditionalFormatting sqref="L29">
    <cfRule type="expression" dxfId="227" priority="59" stopIfTrue="1">
      <formula>VALUE(#REF!="Materialdatenbank")</formula>
    </cfRule>
  </conditionalFormatting>
  <conditionalFormatting sqref="L30">
    <cfRule type="expression" dxfId="226" priority="58" stopIfTrue="1">
      <formula>VALUE(#REF!="Materialdatenbank")</formula>
    </cfRule>
  </conditionalFormatting>
  <conditionalFormatting sqref="O28">
    <cfRule type="expression" dxfId="225" priority="57" stopIfTrue="1">
      <formula>VALUE(#REF!="Materialdatenbank")</formula>
    </cfRule>
  </conditionalFormatting>
  <conditionalFormatting sqref="O29">
    <cfRule type="expression" dxfId="224" priority="56" stopIfTrue="1">
      <formula>VALUE(#REF!="Materialdatenbank")</formula>
    </cfRule>
  </conditionalFormatting>
  <conditionalFormatting sqref="O30">
    <cfRule type="expression" dxfId="223" priority="55" stopIfTrue="1">
      <formula>VALUE(#REF!="Materialdatenbank")</formula>
    </cfRule>
  </conditionalFormatting>
  <conditionalFormatting sqref="R28">
    <cfRule type="expression" dxfId="222" priority="42" stopIfTrue="1">
      <formula>VALUE(#REF!="Materialdatenbank")</formula>
    </cfRule>
  </conditionalFormatting>
  <conditionalFormatting sqref="R29">
    <cfRule type="expression" dxfId="221" priority="41" stopIfTrue="1">
      <formula>VALUE(#REF!="Materialdatenbank")</formula>
    </cfRule>
  </conditionalFormatting>
  <conditionalFormatting sqref="R30">
    <cfRule type="expression" dxfId="220" priority="40" stopIfTrue="1">
      <formula>VALUE(#REF!="Materialdatenbank")</formula>
    </cfRule>
  </conditionalFormatting>
  <conditionalFormatting sqref="U28">
    <cfRule type="expression" dxfId="219" priority="39" stopIfTrue="1">
      <formula>VALUE(#REF!="Materialdatenbank")</formula>
    </cfRule>
  </conditionalFormatting>
  <conditionalFormatting sqref="U29">
    <cfRule type="expression" dxfId="218" priority="38" stopIfTrue="1">
      <formula>VALUE(#REF!="Materialdatenbank")</formula>
    </cfRule>
  </conditionalFormatting>
  <conditionalFormatting sqref="U30">
    <cfRule type="expression" dxfId="217" priority="37" stopIfTrue="1">
      <formula>VALUE(#REF!="Materialdatenbank")</formula>
    </cfRule>
  </conditionalFormatting>
  <conditionalFormatting sqref="X28">
    <cfRule type="expression" dxfId="216" priority="36" stopIfTrue="1">
      <formula>VALUE(#REF!="Materialdatenbank")</formula>
    </cfRule>
  </conditionalFormatting>
  <conditionalFormatting sqref="X29">
    <cfRule type="expression" dxfId="215" priority="35" stopIfTrue="1">
      <formula>VALUE(#REF!="Materialdatenbank")</formula>
    </cfRule>
  </conditionalFormatting>
  <conditionalFormatting sqref="X30">
    <cfRule type="expression" dxfId="214" priority="34" stopIfTrue="1">
      <formula>VALUE(#REF!="Materialdatenbank")</formula>
    </cfRule>
  </conditionalFormatting>
  <conditionalFormatting sqref="AA28">
    <cfRule type="expression" dxfId="213" priority="33" stopIfTrue="1">
      <formula>VALUE(#REF!="Materialdatenbank")</formula>
    </cfRule>
  </conditionalFormatting>
  <conditionalFormatting sqref="AA29">
    <cfRule type="expression" dxfId="212" priority="32" stopIfTrue="1">
      <formula>VALUE(#REF!="Materialdatenbank")</formula>
    </cfRule>
  </conditionalFormatting>
  <conditionalFormatting sqref="AA30">
    <cfRule type="expression" dxfId="211" priority="31" stopIfTrue="1">
      <formula>VALUE(#REF!="Materialdatenbank")</formula>
    </cfRule>
  </conditionalFormatting>
  <conditionalFormatting sqref="L25">
    <cfRule type="expression" dxfId="210" priority="23" stopIfTrue="1">
      <formula>VALUE(#REF!="Materialdatenbank")</formula>
    </cfRule>
  </conditionalFormatting>
  <conditionalFormatting sqref="O25">
    <cfRule type="expression" dxfId="209" priority="22" stopIfTrue="1">
      <formula>VALUE(#REF!="Materialdatenbank")</formula>
    </cfRule>
  </conditionalFormatting>
  <conditionalFormatting sqref="R25">
    <cfRule type="expression" dxfId="208" priority="21" stopIfTrue="1">
      <formula>VALUE(#REF!="Materialdatenbank")</formula>
    </cfRule>
  </conditionalFormatting>
  <conditionalFormatting sqref="U25">
    <cfRule type="expression" dxfId="207" priority="20" stopIfTrue="1">
      <formula>VALUE(#REF!="Materialdatenbank")</formula>
    </cfRule>
  </conditionalFormatting>
  <conditionalFormatting sqref="X25">
    <cfRule type="expression" dxfId="206" priority="19" stopIfTrue="1">
      <formula>VALUE(#REF!="Materialdatenbank")</formula>
    </cfRule>
  </conditionalFormatting>
  <conditionalFormatting sqref="AA25">
    <cfRule type="expression" dxfId="205" priority="18" stopIfTrue="1">
      <formula>VALUE(#REF!="Materialdatenbank")</formula>
    </cfRule>
  </conditionalFormatting>
  <conditionalFormatting sqref="L26">
    <cfRule type="expression" dxfId="204" priority="17" stopIfTrue="1">
      <formula>VALUE(#REF!="Materialdatenbank")</formula>
    </cfRule>
  </conditionalFormatting>
  <conditionalFormatting sqref="O26">
    <cfRule type="expression" dxfId="203" priority="16" stopIfTrue="1">
      <formula>VALUE(#REF!="Materialdatenbank")</formula>
    </cfRule>
  </conditionalFormatting>
  <conditionalFormatting sqref="R26">
    <cfRule type="expression" dxfId="202" priority="15" stopIfTrue="1">
      <formula>VALUE(#REF!="Materialdatenbank")</formula>
    </cfRule>
  </conditionalFormatting>
  <conditionalFormatting sqref="U26">
    <cfRule type="expression" dxfId="201" priority="14" stopIfTrue="1">
      <formula>VALUE(#REF!="Materialdatenbank")</formula>
    </cfRule>
  </conditionalFormatting>
  <conditionalFormatting sqref="X26">
    <cfRule type="expression" dxfId="200" priority="13" stopIfTrue="1">
      <formula>VALUE(#REF!="Materialdatenbank")</formula>
    </cfRule>
  </conditionalFormatting>
  <conditionalFormatting sqref="AA26">
    <cfRule type="expression" dxfId="199" priority="12" stopIfTrue="1">
      <formula>VALUE(#REF!="Materialdatenbank")</formula>
    </cfRule>
  </conditionalFormatting>
  <conditionalFormatting sqref="L27">
    <cfRule type="expression" dxfId="198" priority="11" stopIfTrue="1">
      <formula>VALUE(#REF!="Materialdatenbank")</formula>
    </cfRule>
  </conditionalFormatting>
  <conditionalFormatting sqref="O27">
    <cfRule type="expression" dxfId="197" priority="10" stopIfTrue="1">
      <formula>VALUE(#REF!="Materialdatenbank")</formula>
    </cfRule>
  </conditionalFormatting>
  <conditionalFormatting sqref="R27">
    <cfRule type="expression" dxfId="196" priority="9" stopIfTrue="1">
      <formula>VALUE(#REF!="Materialdatenbank")</formula>
    </cfRule>
  </conditionalFormatting>
  <conditionalFormatting sqref="U27">
    <cfRule type="expression" dxfId="195" priority="8" stopIfTrue="1">
      <formula>VALUE(#REF!="Materialdatenbank")</formula>
    </cfRule>
  </conditionalFormatting>
  <conditionalFormatting sqref="X27">
    <cfRule type="expression" dxfId="194" priority="7" stopIfTrue="1">
      <formula>VALUE(#REF!="Materialdatenbank")</formula>
    </cfRule>
  </conditionalFormatting>
  <conditionalFormatting sqref="AA27">
    <cfRule type="expression" dxfId="193" priority="6" stopIfTrue="1">
      <formula>VALUE(#REF!="Materialdatenbank")</formula>
    </cfRule>
  </conditionalFormatting>
  <conditionalFormatting sqref="L8">
    <cfRule type="cellIs" dxfId="192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39"/>
  <sheetViews>
    <sheetView zoomScaleNormal="100" workbookViewId="0">
      <pane xSplit="6" ySplit="8" topLeftCell="G84" activePane="bottomRight" state="frozenSplit"/>
      <selection activeCell="L30" sqref="L30"/>
      <selection pane="topRight" activeCell="L30" sqref="L30"/>
      <selection pane="bottomLeft" activeCell="L30" sqref="L30"/>
      <selection pane="bottomRight" activeCell="D4" sqref="D4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OR(ISERROR(H116),H5="?",H5=0,H12=0,H16=0,H24=0)</f>
        <v>0</v>
      </c>
      <c r="I2" s="67"/>
      <c r="J2" s="67"/>
      <c r="K2" s="390" t="b">
        <f>OR(ISERROR(K116),K5="?",K5=0,K12=0,K16=0,K24=0)</f>
        <v>0</v>
      </c>
      <c r="L2" s="67"/>
      <c r="M2" s="67"/>
      <c r="N2" s="390" t="b">
        <f>OR(ISERROR(N116),N5="?",N5=0,N12=0,N16=0,N24=0)</f>
        <v>0</v>
      </c>
      <c r="O2" s="67"/>
      <c r="P2" s="67"/>
      <c r="Q2" s="390" t="b">
        <f>OR(ISERROR(Q116),Q5="?",Q5=0,Q12=0,Q16=0,Q24=0)</f>
        <v>1</v>
      </c>
      <c r="R2" s="67"/>
      <c r="S2" s="67"/>
      <c r="T2" s="390" t="b">
        <f>OR(ISERROR(T116),T5="?",T5=0,T12=0,T16=0,T24=0)</f>
        <v>1</v>
      </c>
      <c r="U2" s="67"/>
      <c r="V2" s="67"/>
      <c r="W2" s="390" t="b">
        <f>OR(ISERROR(W116),W5="?",W5=0,W12=0,W16=0,W24=0)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197" t="str">
        <f>IF(Deutsch,"Artikel (Nr.  /  Bezeichnung)","part (no. / name)")</f>
        <v>Artikel (Nr.  /  Bezeichnung)</v>
      </c>
      <c r="E5" s="1198"/>
      <c r="F5" s="1199"/>
      <c r="G5" s="625"/>
      <c r="H5" s="805">
        <f>'Quick Input'!M$8</f>
        <v>58622</v>
      </c>
      <c r="I5" s="633" t="s">
        <v>290</v>
      </c>
      <c r="J5" s="633"/>
      <c r="K5" s="805">
        <f>'Quick Input'!P$8</f>
        <v>58622</v>
      </c>
      <c r="L5" s="633" t="s">
        <v>290</v>
      </c>
      <c r="M5" s="633"/>
      <c r="N5" s="805">
        <f>'Quick Input'!S$8</f>
        <v>58622</v>
      </c>
      <c r="O5" s="633" t="s">
        <v>290</v>
      </c>
      <c r="P5" s="633"/>
      <c r="Q5" s="805" t="str">
        <f>'Quick Input'!V$8</f>
        <v>?</v>
      </c>
      <c r="R5" s="633" t="s">
        <v>290</v>
      </c>
      <c r="S5" s="633"/>
      <c r="T5" s="805" t="str">
        <f>'Quick Input'!Y$8</f>
        <v>?</v>
      </c>
      <c r="U5" s="633" t="s">
        <v>290</v>
      </c>
      <c r="V5" s="633"/>
      <c r="W5" s="805" t="str">
        <f>'Quick Input'!AB$8</f>
        <v>?</v>
      </c>
      <c r="X5" s="641"/>
      <c r="Y5" s="78"/>
    </row>
    <row r="6" spans="1:25" x14ac:dyDescent="0.2">
      <c r="D6" s="1200"/>
      <c r="E6" s="1201"/>
      <c r="F6" s="1202"/>
      <c r="G6" s="626"/>
      <c r="H6" s="68" t="str">
        <f>'Quick Input'!M$9</f>
        <v>Housing</v>
      </c>
      <c r="I6" s="634" t="s">
        <v>290</v>
      </c>
      <c r="J6" s="634"/>
      <c r="K6" s="70" t="str">
        <f>'Quick Input'!P9</f>
        <v>Housing</v>
      </c>
      <c r="L6" s="518" t="s">
        <v>755</v>
      </c>
      <c r="M6" s="78"/>
      <c r="N6" s="70" t="str">
        <f>'Quick Input'!S9</f>
        <v>Housing</v>
      </c>
      <c r="O6" s="518" t="s">
        <v>755</v>
      </c>
      <c r="P6" s="78"/>
      <c r="Q6" s="70" t="str">
        <f>'Quick Input'!V9</f>
        <v>?</v>
      </c>
      <c r="R6" s="518" t="s">
        <v>755</v>
      </c>
      <c r="S6" s="78"/>
      <c r="T6" s="70" t="str">
        <f>'Quick Input'!Y9</f>
        <v>?</v>
      </c>
      <c r="U6" s="518" t="s">
        <v>755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17" t="str">
        <f>'Quick Input'!$I$45</f>
        <v>Produktionsregion</v>
      </c>
      <c r="E7" s="1218"/>
      <c r="F7" s="1219"/>
      <c r="G7" s="626"/>
      <c r="H7" s="68" t="str">
        <f>VLOOKUP('Quick Input'!M$45,DB_Länder,IF(Deutsch,1,2),FALSE)</f>
        <v>Deutschland</v>
      </c>
      <c r="I7" s="634" t="s">
        <v>755</v>
      </c>
      <c r="J7" s="634"/>
      <c r="K7" s="68" t="str">
        <f>VLOOKUP('Quick Input'!P$45,DB_Länder,IF(Deutsch,1,2),FALSE)</f>
        <v>Türkei</v>
      </c>
      <c r="L7" s="78" t="s">
        <v>290</v>
      </c>
      <c r="M7" s="78"/>
      <c r="N7" s="68" t="str">
        <f>VLOOKUP('Quick Input'!S$45,DB_Länder,IF(Deutsch,1,2),FALSE)</f>
        <v>Polen</v>
      </c>
      <c r="O7" s="78" t="s">
        <v>290</v>
      </c>
      <c r="P7" s="78"/>
      <c r="Q7" s="68" t="str">
        <f>VLOOKUP('Quick Input'!V$45,DB_Länder,IF(Deutsch,1,2),FALSE)</f>
        <v>Deutschland</v>
      </c>
      <c r="R7" s="78" t="s">
        <v>290</v>
      </c>
      <c r="S7" s="78"/>
      <c r="T7" s="68" t="str">
        <f>VLOOKUP('Quick Input'!Y$45,DB_Länder,IF(Deutsch,1,2),FALSE)</f>
        <v>Deutschland</v>
      </c>
      <c r="U7" s="78" t="s">
        <v>290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20" t="str">
        <f>'Quick Input'!$I$4</f>
        <v>Datum</v>
      </c>
      <c r="E8" s="1221"/>
      <c r="F8" s="1222"/>
      <c r="G8" s="630"/>
      <c r="H8" s="691">
        <f>'Quick Input'!M$34</f>
        <v>43531</v>
      </c>
      <c r="I8" s="640" t="s">
        <v>290</v>
      </c>
      <c r="J8" s="640"/>
      <c r="K8" s="691">
        <f>'Quick Input'!P$34</f>
        <v>43531</v>
      </c>
      <c r="L8" s="87" t="s">
        <v>290</v>
      </c>
      <c r="M8" s="87"/>
      <c r="N8" s="691">
        <f>'Quick Input'!S$34</f>
        <v>43531</v>
      </c>
      <c r="O8" s="87" t="s">
        <v>290</v>
      </c>
      <c r="P8" s="87"/>
      <c r="Q8" s="691">
        <f>'Quick Input'!V$34</f>
        <v>43531</v>
      </c>
      <c r="R8" s="87" t="s">
        <v>290</v>
      </c>
      <c r="S8" s="87"/>
      <c r="T8" s="691">
        <f>'Quick Input'!Y$34</f>
        <v>43531</v>
      </c>
      <c r="U8" s="87" t="s">
        <v>290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14" t="str">
        <f>IF(Deutsch,"Materialien","materials")</f>
        <v>Materialien</v>
      </c>
      <c r="E9" s="1215"/>
      <c r="F9" s="1216"/>
      <c r="G9" s="626"/>
      <c r="H9" s="690" t="str">
        <f>'Quick Input'!M$10</f>
        <v>EN AC-46100</v>
      </c>
      <c r="I9" s="634" t="s">
        <v>290</v>
      </c>
      <c r="J9" s="634"/>
      <c r="K9" s="690" t="str">
        <f>'Quick Input'!P$10</f>
        <v>EN AC-43100</v>
      </c>
      <c r="L9" s="518" t="s">
        <v>290</v>
      </c>
      <c r="M9" s="78"/>
      <c r="N9" s="690" t="str">
        <f>'Quick Input'!S$10</f>
        <v>EN AC-43100</v>
      </c>
      <c r="O9" s="78" t="s">
        <v>290</v>
      </c>
      <c r="P9" s="78"/>
      <c r="Q9" s="690" t="str">
        <f>'Quick Input'!V$10</f>
        <v>EN AC-43100</v>
      </c>
      <c r="R9" s="78" t="s">
        <v>290</v>
      </c>
      <c r="S9" s="78"/>
      <c r="T9" s="690" t="str">
        <f>'Quick Input'!Y$10</f>
        <v>EN AC-43100</v>
      </c>
      <c r="U9" s="78" t="s">
        <v>290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14"/>
      <c r="E10" s="1215"/>
      <c r="F10" s="1216"/>
      <c r="G10" s="626"/>
      <c r="H10" s="690" t="str">
        <f>'Quick Input'!M$11</f>
        <v>Al Si10Cu2(Fe)</v>
      </c>
      <c r="I10" s="634" t="s">
        <v>755</v>
      </c>
      <c r="J10" s="634"/>
      <c r="K10" s="690" t="str">
        <f>'Quick Input'!P$11</f>
        <v>Al Si10Mg(b)</v>
      </c>
      <c r="L10" s="902" t="s">
        <v>755</v>
      </c>
      <c r="M10" s="78"/>
      <c r="N10" s="690" t="str">
        <f>'Quick Input'!S$11</f>
        <v>Al Si10Mg(b)</v>
      </c>
      <c r="O10" s="903" t="s">
        <v>755</v>
      </c>
      <c r="P10" s="78"/>
      <c r="Q10" s="690" t="str">
        <f>'Quick Input'!V$11</f>
        <v>Al Si10Mg(b)</v>
      </c>
      <c r="R10" s="903" t="s">
        <v>755</v>
      </c>
      <c r="S10" s="78"/>
      <c r="T10" s="690" t="str">
        <f>'Quick Input'!Y$11</f>
        <v>Al Si10Mg(b)</v>
      </c>
      <c r="U10" s="903" t="s">
        <v>755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06"/>
      <c r="E11" s="1207"/>
      <c r="F11" s="1208"/>
      <c r="G11" s="626"/>
      <c r="H11" s="690" t="str">
        <f>IFERROR(VLOOKUP(H$9,DB_Material,4,FALSE),"")</f>
        <v>LM2, L-2640</v>
      </c>
      <c r="I11" s="634" t="s">
        <v>290</v>
      </c>
      <c r="J11" s="634"/>
      <c r="K11" s="690" t="str">
        <f>IFERROR(VLOOKUP(K$9,DB_Material,4,FALSE),"")</f>
        <v>L239 (b)</v>
      </c>
      <c r="L11" s="78" t="s">
        <v>290</v>
      </c>
      <c r="M11" s="78"/>
      <c r="N11" s="690" t="str">
        <f>IFERROR(VLOOKUP(N$9,DB_Material,4,FALSE),"")</f>
        <v>L239 (b)</v>
      </c>
      <c r="O11" s="78" t="s">
        <v>290</v>
      </c>
      <c r="P11" s="78"/>
      <c r="Q11" s="690" t="str">
        <f>IFERROR(VLOOKUP(Q$9,DB_Material,4,FALSE),"")</f>
        <v>L239 (b)</v>
      </c>
      <c r="R11" s="78" t="s">
        <v>290</v>
      </c>
      <c r="S11" s="78"/>
      <c r="T11" s="690" t="str">
        <f>IFERROR(VLOOKUP(T$9,DB_Material,4,FALSE),"")</f>
        <v>L239 (b)</v>
      </c>
      <c r="U11" s="78" t="s">
        <v>290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290</v>
      </c>
      <c r="J12" s="634"/>
      <c r="K12" s="906">
        <f>'Quick Input'!P$13</f>
        <v>1.9670528580208975</v>
      </c>
      <c r="L12" s="78" t="s">
        <v>290</v>
      </c>
      <c r="M12" s="78"/>
      <c r="N12" s="906">
        <f>'Quick Input'!S$13</f>
        <v>1.9670528580208975</v>
      </c>
      <c r="O12" s="78" t="s">
        <v>290</v>
      </c>
      <c r="P12" s="78"/>
      <c r="Q12" s="906">
        <f>'Quick Input'!V$13</f>
        <v>2.29</v>
      </c>
      <c r="R12" s="78" t="s">
        <v>290</v>
      </c>
      <c r="S12" s="78"/>
      <c r="T12" s="906">
        <f>'Quick Input'!Y$13</f>
        <v>2.29</v>
      </c>
      <c r="U12" s="78" t="s">
        <v>290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290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290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290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290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290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290</v>
      </c>
      <c r="J14" s="634"/>
      <c r="K14" s="594">
        <f>'Quick Input'!P$19</f>
        <v>5</v>
      </c>
      <c r="L14" s="78" t="s">
        <v>290</v>
      </c>
      <c r="M14" s="78"/>
      <c r="N14" s="594">
        <f>'Quick Input'!S$19</f>
        <v>5</v>
      </c>
      <c r="O14" s="78" t="s">
        <v>290</v>
      </c>
      <c r="P14" s="78"/>
      <c r="Q14" s="594" t="str">
        <f>'Quick Input'!V$19</f>
        <v>?</v>
      </c>
      <c r="R14" s="78" t="s">
        <v>290</v>
      </c>
      <c r="S14" s="78"/>
      <c r="T14" s="594" t="str">
        <f>'Quick Input'!Y$19</f>
        <v>?</v>
      </c>
      <c r="U14" s="78" t="s">
        <v>290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290</v>
      </c>
      <c r="J15" s="634"/>
      <c r="K15" s="74">
        <f>K$14*K$12</f>
        <v>9.8352642901044867</v>
      </c>
      <c r="L15" s="78" t="s">
        <v>290</v>
      </c>
      <c r="M15" s="78"/>
      <c r="N15" s="74">
        <f>N$14*N$12</f>
        <v>9.8352642901044867</v>
      </c>
      <c r="O15" s="78" t="s">
        <v>290</v>
      </c>
      <c r="P15" s="78"/>
      <c r="Q15" s="74" t="e">
        <f>Q$14*Q$12</f>
        <v>#VALUE!</v>
      </c>
      <c r="R15" s="78" t="s">
        <v>290</v>
      </c>
      <c r="S15" s="78"/>
      <c r="T15" s="74" t="e">
        <f>T$14*T$12</f>
        <v>#VALUE!</v>
      </c>
      <c r="U15" s="78" t="s">
        <v>290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290</v>
      </c>
      <c r="J17" s="634"/>
      <c r="K17" s="74">
        <f>K$15*(1+Parametrikber!I$42)*K$16</f>
        <v>0.79784922319733242</v>
      </c>
      <c r="L17" s="78" t="s">
        <v>290</v>
      </c>
      <c r="M17" s="78"/>
      <c r="N17" s="74">
        <f>N$15*(1+Parametrikber!L$42)*N$16</f>
        <v>0.79784922319733242</v>
      </c>
      <c r="O17" s="78" t="s">
        <v>290</v>
      </c>
      <c r="P17" s="78"/>
      <c r="Q17" s="74" t="e">
        <f>Q$15*(1+Parametrikber!O$42)*Q$16</f>
        <v>#VALUE!</v>
      </c>
      <c r="R17" s="78" t="s">
        <v>290</v>
      </c>
      <c r="S17" s="78"/>
      <c r="T17" s="74" t="e">
        <f>T$15*(1+Parametrikber!R$42)*T$16</f>
        <v>#VALUE!</v>
      </c>
      <c r="U17" s="78" t="s">
        <v>290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290</v>
      </c>
      <c r="J18" s="634"/>
      <c r="K18" s="85">
        <f>K15+K17</f>
        <v>10.633113513301819</v>
      </c>
      <c r="L18" s="634" t="s">
        <v>290</v>
      </c>
      <c r="M18" s="634"/>
      <c r="N18" s="85">
        <f t="shared" ref="N18" si="0">N15+N17</f>
        <v>10.633113513301819</v>
      </c>
      <c r="O18" s="634" t="s">
        <v>290</v>
      </c>
      <c r="P18" s="634"/>
      <c r="Q18" s="85" t="e">
        <f t="shared" ref="Q18" si="1">Q15+Q17</f>
        <v>#VALUE!</v>
      </c>
      <c r="R18" s="634" t="s">
        <v>290</v>
      </c>
      <c r="S18" s="634"/>
      <c r="T18" s="85" t="e">
        <f t="shared" ref="T18" si="2">T15+T17</f>
        <v>#VALUE!</v>
      </c>
      <c r="U18" s="634" t="s">
        <v>290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290</v>
      </c>
      <c r="J19" s="634"/>
      <c r="K19" s="594">
        <f>Parametrikber!I$75</f>
        <v>173.96295869697622</v>
      </c>
      <c r="L19" s="634" t="s">
        <v>290</v>
      </c>
      <c r="M19" s="634"/>
      <c r="N19" s="594">
        <f>Parametrikber!L$75</f>
        <v>173.96295869697622</v>
      </c>
      <c r="O19" s="634" t="s">
        <v>290</v>
      </c>
      <c r="P19" s="634"/>
      <c r="Q19" s="594" t="e">
        <f>Parametrikber!O$75</f>
        <v>#VALUE!</v>
      </c>
      <c r="R19" s="634" t="s">
        <v>290</v>
      </c>
      <c r="S19" s="634"/>
      <c r="T19" s="594" t="e">
        <f>Parametrikber!R$75</f>
        <v>#VALUE!</v>
      </c>
      <c r="U19" s="634" t="s">
        <v>290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290</v>
      </c>
      <c r="J20" s="634"/>
      <c r="K20" s="74">
        <f>K$19*('Länder-DB'!$M$23*'Länder-DB'!$M$25/1000+Parametrikber!I$79)</f>
        <v>1.0933571954104957</v>
      </c>
      <c r="L20" s="634" t="s">
        <v>290</v>
      </c>
      <c r="M20" s="634"/>
      <c r="N20" s="74">
        <f>N$19*('Länder-DB'!$M$23*'Länder-DB'!$M$25/1000+Parametrikber!L$79)</f>
        <v>1.0933571954104957</v>
      </c>
      <c r="O20" s="634" t="s">
        <v>290</v>
      </c>
      <c r="P20" s="634"/>
      <c r="Q20" s="74" t="e">
        <f>Q$19*('Länder-DB'!$M$23*'Länder-DB'!$M$25/1000+Parametrikber!O$79)</f>
        <v>#VALUE!</v>
      </c>
      <c r="R20" s="634" t="s">
        <v>290</v>
      </c>
      <c r="S20" s="634"/>
      <c r="T20" s="74" t="e">
        <f>T$19*('Länder-DB'!$M$23*'Länder-DB'!$M$25/1000+Parametrikber!R$79)</f>
        <v>#VALUE!</v>
      </c>
      <c r="U20" s="634" t="s">
        <v>290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290</v>
      </c>
      <c r="J21" s="634"/>
      <c r="K21" s="74">
        <f>'Länder-DB'!$M$39*K$33/1000*(1+Parametrikber!I224)</f>
        <v>0.11667090394258404</v>
      </c>
      <c r="L21" s="518" t="s">
        <v>290</v>
      </c>
      <c r="M21" s="518"/>
      <c r="N21" s="74">
        <f>'Länder-DB'!$M$39*N$33/1000*(1+Parametrikber!L224)</f>
        <v>0.11667090394258404</v>
      </c>
      <c r="O21" s="518" t="s">
        <v>290</v>
      </c>
      <c r="P21" s="518"/>
      <c r="Q21" s="74" t="e">
        <f>'Länder-DB'!$M$39*Q$33/1000*(1+Parametrikber!O224)</f>
        <v>#VALUE!</v>
      </c>
      <c r="R21" s="518" t="s">
        <v>290</v>
      </c>
      <c r="S21" s="518"/>
      <c r="T21" s="74" t="e">
        <f>'Länder-DB'!$M$39*T$33/1000*(1+Parametrikber!R224)</f>
        <v>#VALUE!</v>
      </c>
      <c r="U21" s="518" t="s">
        <v>290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290</v>
      </c>
      <c r="J22" s="622"/>
      <c r="K22" s="74">
        <f>Parametrikber!I$205</f>
        <v>0</v>
      </c>
      <c r="L22" s="518" t="s">
        <v>290</v>
      </c>
      <c r="M22" s="166"/>
      <c r="N22" s="74">
        <f>Parametrikber!L$205</f>
        <v>0</v>
      </c>
      <c r="O22" s="518" t="s">
        <v>290</v>
      </c>
      <c r="P22" s="166"/>
      <c r="Q22" s="74" t="e">
        <f>Parametrikber!O$205</f>
        <v>#DIV/0!</v>
      </c>
      <c r="R22" s="518" t="s">
        <v>290</v>
      </c>
      <c r="S22" s="166"/>
      <c r="T22" s="74" t="e">
        <f>Parametrikber!R$205</f>
        <v>#DIV/0!</v>
      </c>
      <c r="U22" s="518" t="s">
        <v>290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290</v>
      </c>
      <c r="J23" s="634"/>
      <c r="K23" s="85">
        <f>K$20+K$21+K$22</f>
        <v>1.2100280993530796</v>
      </c>
      <c r="L23" s="634" t="s">
        <v>290</v>
      </c>
      <c r="M23" s="634"/>
      <c r="N23" s="85">
        <f t="shared" ref="N23" si="4">N$20+N$21+N$22</f>
        <v>1.2100280993530796</v>
      </c>
      <c r="O23" s="634" t="s">
        <v>290</v>
      </c>
      <c r="P23" s="634"/>
      <c r="Q23" s="85" t="e">
        <f t="shared" ref="Q23" si="5">Q$20+Q$21+Q$22</f>
        <v>#VALUE!</v>
      </c>
      <c r="R23" s="634" t="s">
        <v>290</v>
      </c>
      <c r="S23" s="634"/>
      <c r="T23" s="85" t="e">
        <f t="shared" ref="T23" si="6">T$20+T$21+T$22</f>
        <v>#VALUE!</v>
      </c>
      <c r="U23" s="634" t="s">
        <v>290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290</v>
      </c>
      <c r="J25" s="634"/>
      <c r="K25" s="85">
        <f>(K$18+K$23)*K$24</f>
        <v>0.82901991288584298</v>
      </c>
      <c r="L25" s="634" t="s">
        <v>290</v>
      </c>
      <c r="M25" s="634"/>
      <c r="N25" s="85">
        <f t="shared" ref="N25" si="8">(N$18+N$23)*N$24</f>
        <v>0.82901991288584298</v>
      </c>
      <c r="O25" s="634" t="s">
        <v>290</v>
      </c>
      <c r="P25" s="634"/>
      <c r="Q25" s="85" t="e">
        <f t="shared" ref="Q25" si="9">(Q$18+Q$23)*Q$24</f>
        <v>#VALUE!</v>
      </c>
      <c r="R25" s="634" t="s">
        <v>290</v>
      </c>
      <c r="S25" s="634"/>
      <c r="T25" s="85" t="e">
        <f t="shared" ref="T25" si="10">(T$18+T$23)*T$24</f>
        <v>#VALUE!</v>
      </c>
      <c r="U25" s="634" t="s">
        <v>290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290</v>
      </c>
      <c r="J26" s="891"/>
      <c r="K26" s="77">
        <f>K$18+K$23+K$25</f>
        <v>12.672161525540741</v>
      </c>
      <c r="L26" s="890" t="s">
        <v>290</v>
      </c>
      <c r="M26" s="891"/>
      <c r="N26" s="77">
        <f>N$18+N$23+N$25</f>
        <v>12.672161525540741</v>
      </c>
      <c r="O26" s="890" t="s">
        <v>290</v>
      </c>
      <c r="P26" s="891"/>
      <c r="Q26" s="77" t="e">
        <f>Q$18+Q$23+Q$25</f>
        <v>#VALUE!</v>
      </c>
      <c r="R26" s="890" t="s">
        <v>290</v>
      </c>
      <c r="S26" s="891"/>
      <c r="T26" s="77" t="e">
        <f>T$18+T$23+T$25</f>
        <v>#VALUE!</v>
      </c>
      <c r="U26" s="890" t="s">
        <v>290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290</v>
      </c>
      <c r="J27" s="640"/>
      <c r="K27" s="885"/>
      <c r="L27" s="87" t="s">
        <v>290</v>
      </c>
      <c r="M27" s="87"/>
      <c r="N27" s="885"/>
      <c r="O27" s="87" t="s">
        <v>290</v>
      </c>
      <c r="P27" s="87"/>
      <c r="Q27" s="885"/>
      <c r="R27" s="87" t="s">
        <v>290</v>
      </c>
      <c r="S27" s="87"/>
      <c r="T27" s="885"/>
      <c r="U27" s="87" t="s">
        <v>290</v>
      </c>
      <c r="V27" s="87"/>
      <c r="W27" s="885"/>
      <c r="X27" s="644"/>
      <c r="Y27" s="78" t="s">
        <v>33</v>
      </c>
    </row>
    <row r="28" spans="1:25" ht="14.25" customHeight="1" x14ac:dyDescent="0.2">
      <c r="D28" s="1203" t="str">
        <f>IF(Deutsch,"Prozess Schmelzen","melting process")</f>
        <v>Prozess Schmelzen</v>
      </c>
      <c r="E28" s="1209"/>
      <c r="F28" s="1210"/>
      <c r="G28" s="934"/>
      <c r="H28" s="935" t="str">
        <f>CONCATENATE(VLOOKUP(Parametrikber!F$98,DB_Ofen,11,FALSE),"-",IF(Deutsch,"Ofen","oven"))</f>
        <v>Schacht-Ofen</v>
      </c>
      <c r="I28" s="633" t="s">
        <v>290</v>
      </c>
      <c r="J28" s="633"/>
      <c r="K28" s="935" t="str">
        <f>CONCATENATE(VLOOKUP(Parametrikber!I$98,DB_Ofen,11,FALSE),"-",IF(Deutsch,"Ofen","oven"))</f>
        <v>Schacht-Ofen</v>
      </c>
      <c r="L28" s="271" t="s">
        <v>290</v>
      </c>
      <c r="M28" s="271"/>
      <c r="N28" s="935" t="str">
        <f>CONCATENATE(VLOOKUP(Parametrikber!L$98,DB_Ofen,11,FALSE),"-",IF(Deutsch,"Ofen","oven"))</f>
        <v>Schacht-Ofen</v>
      </c>
      <c r="O28" s="271" t="s">
        <v>290</v>
      </c>
      <c r="P28" s="271"/>
      <c r="Q28" s="935" t="e">
        <f>CONCATENATE(VLOOKUP(Parametrikber!O$98,DB_Ofen,11,FALSE),"-",IF(Deutsch,"Ofen","oven"))</f>
        <v>#VALUE!</v>
      </c>
      <c r="R28" s="271" t="s">
        <v>290</v>
      </c>
      <c r="S28" s="271"/>
      <c r="T28" s="935" t="e">
        <f>CONCATENATE(VLOOKUP(Parametrikber!R$98,DB_Ofen,11,FALSE),"-",IF(Deutsch,"Ofen","oven"))</f>
        <v>#VALUE!</v>
      </c>
      <c r="U28" s="271" t="s">
        <v>290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11"/>
      <c r="E29" s="1212"/>
      <c r="F29" s="1213"/>
      <c r="G29" s="892"/>
      <c r="H29" s="591" t="str">
        <f>CONCATENATE(VLOOKUP(Parametrikber!F98,DB_Ofen,5,FALSE)," kg / ",VLOOKUP(Parametrikber!F$98,DB_Ofen,2,FALSE))</f>
        <v>3000 kg / Gas</v>
      </c>
      <c r="I29" s="634" t="s">
        <v>290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290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290</v>
      </c>
      <c r="P29" s="634"/>
      <c r="Q29" s="591" t="e">
        <f>CONCATENATE(VLOOKUP(Parametrikber!O98,DB_Ofen,5,FALSE)," kg / ",VLOOKUP(Parametrikber!O$98,DB_Ofen,2,FALSE))</f>
        <v>#VALUE!</v>
      </c>
      <c r="R29" s="634" t="s">
        <v>290</v>
      </c>
      <c r="S29" s="634"/>
      <c r="T29" s="591" t="e">
        <f>CONCATENATE(VLOOKUP(Parametrikber!R98,DB_Ofen,5,FALSE)," kg / ",VLOOKUP(Parametrikber!R$98,DB_Ofen,2,FALSE))</f>
        <v>#VALUE!</v>
      </c>
      <c r="U29" s="634" t="s">
        <v>290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290</v>
      </c>
      <c r="J33" s="634"/>
      <c r="K33" s="508">
        <f>Parametrikber!I$40/K$50*(1+K$16)</f>
        <v>7.7138297735908372</v>
      </c>
      <c r="L33" s="78" t="s">
        <v>290</v>
      </c>
      <c r="M33" s="78"/>
      <c r="N33" s="508">
        <f>Parametrikber!L$40/N$50*(1+N$16)</f>
        <v>7.7138297735908372</v>
      </c>
      <c r="O33" s="78" t="s">
        <v>290</v>
      </c>
      <c r="P33" s="78"/>
      <c r="Q33" s="508" t="e">
        <f>Parametrikber!O$40/Q$50*(1+Q$16)</f>
        <v>#VALUE!</v>
      </c>
      <c r="R33" s="78" t="s">
        <v>290</v>
      </c>
      <c r="S33" s="78"/>
      <c r="T33" s="508" t="e">
        <f>Parametrikber!R$40/T$50*(1+T$16)</f>
        <v>#VALUE!</v>
      </c>
      <c r="U33" s="78" t="s">
        <v>290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290</v>
      </c>
      <c r="J34" s="634"/>
      <c r="K34" s="114">
        <f>Parametrikber!I$101/K32*60+VLOOKUP(Parametrikber!I$98,DB_Ofen,14,FALSE)</f>
        <v>117</v>
      </c>
      <c r="L34" s="78" t="s">
        <v>290</v>
      </c>
      <c r="M34" s="78"/>
      <c r="N34" s="114">
        <f>Parametrikber!L$101/N32*60+VLOOKUP(Parametrikber!L$98,DB_Ofen,14,FALSE)</f>
        <v>117</v>
      </c>
      <c r="O34" s="78" t="s">
        <v>290</v>
      </c>
      <c r="P34" s="78"/>
      <c r="Q34" s="114" t="e">
        <f>Parametrikber!O$101/Q32*60+VLOOKUP(Parametrikber!O$98,DB_Ofen,14,FALSE)</f>
        <v>#VALUE!</v>
      </c>
      <c r="R34" s="78" t="s">
        <v>290</v>
      </c>
      <c r="S34" s="78"/>
      <c r="T34" s="114" t="e">
        <f>Parametrikber!R$101/T32*60+VLOOKUP(Parametrikber!R$98,DB_Ofen,14,FALSE)</f>
        <v>#VALUE!</v>
      </c>
      <c r="U34" s="78" t="s">
        <v>290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290</v>
      </c>
      <c r="J35" s="634"/>
      <c r="K35" s="136">
        <f>Parametrikber!I$108</f>
        <v>15.821702244116038</v>
      </c>
      <c r="L35" s="78" t="s">
        <v>290</v>
      </c>
      <c r="M35" s="78"/>
      <c r="N35" s="136">
        <f>Parametrikber!L$108</f>
        <v>23.968698175787729</v>
      </c>
      <c r="O35" s="78" t="s">
        <v>290</v>
      </c>
      <c r="P35" s="78"/>
      <c r="Q35" s="136" t="e">
        <f>Parametrikber!O$108</f>
        <v>#VALUE!</v>
      </c>
      <c r="R35" s="78" t="s">
        <v>290</v>
      </c>
      <c r="S35" s="78"/>
      <c r="T35" s="136" t="e">
        <f>Parametrikber!R$108</f>
        <v>#VALUE!</v>
      </c>
      <c r="U35" s="78" t="s">
        <v>290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290</v>
      </c>
      <c r="J36" s="634"/>
      <c r="K36" s="85">
        <f>K$34/60*K$33/Parametrikber!I$101*K$35</f>
        <v>8.2065358547284459E-2</v>
      </c>
      <c r="L36" s="634" t="s">
        <v>290</v>
      </c>
      <c r="M36" s="634"/>
      <c r="N36" s="85">
        <f>N$34/60*N$33/Parametrikber!L$101*N$35</f>
        <v>0.12432289391864736</v>
      </c>
      <c r="O36" s="634" t="s">
        <v>290</v>
      </c>
      <c r="P36" s="634"/>
      <c r="Q36" s="85" t="e">
        <f>Q$34/60*Q$33/Parametrikber!O$101*Q$35</f>
        <v>#VALUE!</v>
      </c>
      <c r="R36" s="634" t="s">
        <v>290</v>
      </c>
      <c r="S36" s="634"/>
      <c r="T36" s="85" t="e">
        <f>T$34/60*T$33/Parametrikber!R$101*T$35</f>
        <v>#VALUE!</v>
      </c>
      <c r="U36" s="634" t="s">
        <v>290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290</v>
      </c>
      <c r="J37" s="634"/>
      <c r="K37" s="80">
        <f>VLOOKUP(Parametrikber!I$98,DB_Ofen,12,FALSE)</f>
        <v>0.68700000000000006</v>
      </c>
      <c r="L37" s="634" t="s">
        <v>290</v>
      </c>
      <c r="M37" s="634"/>
      <c r="N37" s="80">
        <f>VLOOKUP(Parametrikber!L$98,DB_Ofen,12,FALSE)</f>
        <v>0.68700000000000006</v>
      </c>
      <c r="O37" s="634" t="s">
        <v>290</v>
      </c>
      <c r="P37" s="634"/>
      <c r="Q37" s="80" t="e">
        <f>VLOOKUP(Parametrikber!O$98,DB_Ofen,12,FALSE)</f>
        <v>#VALUE!</v>
      </c>
      <c r="R37" s="634" t="s">
        <v>290</v>
      </c>
      <c r="S37" s="634"/>
      <c r="T37" s="80" t="e">
        <f>VLOOKUP(Parametrikber!R$98,DB_Ofen,12,FALSE)</f>
        <v>#VALUE!</v>
      </c>
      <c r="U37" s="634" t="s">
        <v>290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290</v>
      </c>
      <c r="J38" s="634"/>
      <c r="K38" s="101">
        <f>Parametrikber!I$210</f>
        <v>0.04</v>
      </c>
      <c r="L38" s="634" t="s">
        <v>290</v>
      </c>
      <c r="M38" s="634"/>
      <c r="N38" s="101">
        <f>Parametrikber!L$210</f>
        <v>0.1237</v>
      </c>
      <c r="O38" s="634" t="s">
        <v>290</v>
      </c>
      <c r="P38" s="634"/>
      <c r="Q38" s="101">
        <f>Parametrikber!O$210</f>
        <v>5.2999999999999999E-2</v>
      </c>
      <c r="R38" s="634" t="s">
        <v>290</v>
      </c>
      <c r="S38" s="634"/>
      <c r="T38" s="101">
        <f>Parametrikber!R$210</f>
        <v>5.2999999999999999E-2</v>
      </c>
      <c r="U38" s="634" t="s">
        <v>290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290</v>
      </c>
      <c r="J39" s="634"/>
      <c r="K39" s="85">
        <f>K$33*K$37*K$38</f>
        <v>0.2119760421782762</v>
      </c>
      <c r="L39" s="78" t="s">
        <v>290</v>
      </c>
      <c r="M39" s="78"/>
      <c r="N39" s="85">
        <f>N$33*N$37*N$38</f>
        <v>0.6555359104363192</v>
      </c>
      <c r="O39" s="78" t="s">
        <v>290</v>
      </c>
      <c r="P39" s="78"/>
      <c r="Q39" s="85" t="e">
        <f t="shared" ref="Q39" si="12">Q$33*Q$37*Q$38</f>
        <v>#VALUE!</v>
      </c>
      <c r="R39" s="78" t="s">
        <v>290</v>
      </c>
      <c r="S39" s="78"/>
      <c r="T39" s="85" t="e">
        <f t="shared" ref="T39" si="13">T$33*T$37*T$38</f>
        <v>#VALUE!</v>
      </c>
      <c r="U39" s="78" t="s">
        <v>290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290</v>
      </c>
      <c r="J40" s="634"/>
      <c r="K40" s="81">
        <f>Parametrikber!I$133</f>
        <v>0.7</v>
      </c>
      <c r="L40" s="78" t="s">
        <v>290</v>
      </c>
      <c r="M40" s="78"/>
      <c r="N40" s="81">
        <f>Parametrikber!L$133</f>
        <v>0.7</v>
      </c>
      <c r="O40" s="78" t="s">
        <v>290</v>
      </c>
      <c r="P40" s="78"/>
      <c r="Q40" s="81">
        <f>Parametrikber!O$133</f>
        <v>0.7</v>
      </c>
      <c r="R40" s="78" t="s">
        <v>290</v>
      </c>
      <c r="S40" s="78"/>
      <c r="T40" s="81">
        <f>Parametrikber!R$133</f>
        <v>0.7</v>
      </c>
      <c r="U40" s="78" t="s">
        <v>290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290</v>
      </c>
      <c r="J41" s="634"/>
      <c r="K41" s="136">
        <f>Parametrikber!I$21</f>
        <v>5.4197425000000008</v>
      </c>
      <c r="L41" s="78" t="s">
        <v>290</v>
      </c>
      <c r="M41" s="78"/>
      <c r="N41" s="136">
        <f>Parametrikber!L$21</f>
        <v>7.4557889999999984</v>
      </c>
      <c r="O41" s="78" t="s">
        <v>290</v>
      </c>
      <c r="P41" s="78"/>
      <c r="Q41" s="136">
        <f>Parametrikber!O$21</f>
        <v>29.420724999999997</v>
      </c>
      <c r="R41" s="78" t="s">
        <v>290</v>
      </c>
      <c r="S41" s="78"/>
      <c r="T41" s="136">
        <f>Parametrikber!R$21</f>
        <v>29.420724999999997</v>
      </c>
      <c r="U41" s="78" t="s">
        <v>290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290</v>
      </c>
      <c r="J42" s="634"/>
      <c r="K42" s="85">
        <f>K$33*(1+K$16)/Parametrikber!I$101*K$34/60*K$40*K$41</f>
        <v>2.0770243830834815E-2</v>
      </c>
      <c r="L42" s="78" t="s">
        <v>290</v>
      </c>
      <c r="M42" s="78"/>
      <c r="N42" s="85">
        <f>N$33*(1+N$16)/Parametrikber!L$101*N$34/60*N$40*N$41</f>
        <v>2.8573046686490366E-2</v>
      </c>
      <c r="O42" s="78" t="s">
        <v>290</v>
      </c>
      <c r="P42" s="78"/>
      <c r="Q42" s="85" t="e">
        <f>Q$33*(1+Q$16)/Parametrikber!O$101*Q$34/60*Q$40*Q$41</f>
        <v>#VALUE!</v>
      </c>
      <c r="R42" s="78" t="s">
        <v>290</v>
      </c>
      <c r="S42" s="78"/>
      <c r="T42" s="85" t="e">
        <f>T$33*(1+T$16)/Parametrikber!R$101*T$34/60*T$40*T$41</f>
        <v>#VALUE!</v>
      </c>
      <c r="U42" s="78" t="s">
        <v>290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290</v>
      </c>
      <c r="J43" s="634"/>
      <c r="K43" s="81">
        <f>Parametrikber!I223</f>
        <v>25.4</v>
      </c>
      <c r="L43" s="78" t="s">
        <v>290</v>
      </c>
      <c r="M43" s="78"/>
      <c r="N43" s="81">
        <f>Parametrikber!L223</f>
        <v>25.4</v>
      </c>
      <c r="O43" s="78" t="s">
        <v>290</v>
      </c>
      <c r="P43" s="78"/>
      <c r="Q43" s="81">
        <f>Parametrikber!O223</f>
        <v>23.2</v>
      </c>
      <c r="R43" s="78" t="s">
        <v>290</v>
      </c>
      <c r="S43" s="78"/>
      <c r="T43" s="81">
        <f>Parametrikber!R223</f>
        <v>23.2</v>
      </c>
      <c r="U43" s="78" t="s">
        <v>290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290</v>
      </c>
      <c r="J44" s="634"/>
      <c r="K44" s="136">
        <f>Parametrikber!I220</f>
        <v>9.0839485</v>
      </c>
      <c r="L44" s="78" t="s">
        <v>290</v>
      </c>
      <c r="M44" s="78"/>
      <c r="N44" s="136">
        <f>Parametrikber!L220</f>
        <v>9.4911577999999999</v>
      </c>
      <c r="O44" s="78" t="s">
        <v>290</v>
      </c>
      <c r="P44" s="78"/>
      <c r="Q44" s="136">
        <f>Parametrikber!O220</f>
        <v>13.884145</v>
      </c>
      <c r="R44" s="78" t="s">
        <v>290</v>
      </c>
      <c r="S44" s="78"/>
      <c r="T44" s="136">
        <f>Parametrikber!R220</f>
        <v>13.884145</v>
      </c>
      <c r="U44" s="78" t="s">
        <v>290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290</v>
      </c>
      <c r="J45" s="634"/>
      <c r="K45" s="85">
        <f>K$43/60*K$44*K$33/Parametrikber!I$101</f>
        <v>1.0228905879236045E-2</v>
      </c>
      <c r="L45" s="78" t="s">
        <v>290</v>
      </c>
      <c r="M45" s="78"/>
      <c r="N45" s="85">
        <f>N$43/60*N$44*N$33/Parametrikber!L$101</f>
        <v>1.0687440579520794E-2</v>
      </c>
      <c r="O45" s="78" t="s">
        <v>290</v>
      </c>
      <c r="P45" s="78"/>
      <c r="Q45" s="85" t="e">
        <f>Q$43/60*Q$44*Q$33/Parametrikber!O$101</f>
        <v>#VALUE!</v>
      </c>
      <c r="R45" s="78" t="s">
        <v>290</v>
      </c>
      <c r="S45" s="78"/>
      <c r="T45" s="85" t="e">
        <f>T$43/60*T$44*T$33/Parametrikber!R$101</f>
        <v>#VALUE!</v>
      </c>
      <c r="U45" s="78" t="s">
        <v>290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290</v>
      </c>
      <c r="J47" s="1058"/>
      <c r="K47" s="1057">
        <f>(K42+K36+K39+K45)*(1+K46)</f>
        <v>0.33154136144434415</v>
      </c>
      <c r="L47" s="1059" t="s">
        <v>290</v>
      </c>
      <c r="M47" s="1059"/>
      <c r="N47" s="1057">
        <f>(N42+N36+N39+N45)*(1+N46)</f>
        <v>0.83550167745339732</v>
      </c>
      <c r="O47" s="1059" t="s">
        <v>290</v>
      </c>
      <c r="P47" s="1059"/>
      <c r="Q47" s="1057" t="e">
        <f>(Q42+Q36+Q39+Q45)*(1+Q46)</f>
        <v>#VALUE!</v>
      </c>
      <c r="R47" s="1059" t="s">
        <v>290</v>
      </c>
      <c r="S47" s="1059"/>
      <c r="T47" s="1057" t="e">
        <f>(T42+T36+T39+T45)*(1+T46)</f>
        <v>#VALUE!</v>
      </c>
      <c r="U47" s="1059" t="s">
        <v>290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11" t="str">
        <f>IF(Deutsch,"Prozess Formen","sand forming process")</f>
        <v>Prozess Formen</v>
      </c>
      <c r="E48" s="1212"/>
      <c r="F48" s="1213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290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290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290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290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290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290</v>
      </c>
      <c r="J49" s="634"/>
      <c r="K49" s="114">
        <f>IFERROR(Parametrikber!I$131,1)</f>
        <v>1</v>
      </c>
      <c r="L49" s="78" t="s">
        <v>290</v>
      </c>
      <c r="M49" s="78"/>
      <c r="N49" s="114">
        <f>IFERROR(Parametrikber!L$131,1)</f>
        <v>1</v>
      </c>
      <c r="O49" s="78" t="s">
        <v>290</v>
      </c>
      <c r="P49" s="78"/>
      <c r="Q49" s="114">
        <f>IFERROR(Parametrikber!O$131,1)</f>
        <v>1</v>
      </c>
      <c r="R49" s="78" t="s">
        <v>290</v>
      </c>
      <c r="S49" s="78"/>
      <c r="T49" s="114">
        <f>IFERROR(Parametrikber!R$131,1)</f>
        <v>1</v>
      </c>
      <c r="U49" s="78" t="s">
        <v>290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290</v>
      </c>
      <c r="J51" s="634"/>
      <c r="K51" s="114">
        <f>Parametrikber!I$70</f>
        <v>12</v>
      </c>
      <c r="L51" s="634" t="s">
        <v>290</v>
      </c>
      <c r="M51" s="634"/>
      <c r="N51" s="114">
        <f>Parametrikber!L$70</f>
        <v>12</v>
      </c>
      <c r="O51" s="634" t="s">
        <v>290</v>
      </c>
      <c r="P51" s="634"/>
      <c r="Q51" s="114" t="e">
        <f>Parametrikber!O$70</f>
        <v>#VALUE!</v>
      </c>
      <c r="R51" s="634" t="s">
        <v>290</v>
      </c>
      <c r="S51" s="634"/>
      <c r="T51" s="114" t="e">
        <f>Parametrikber!R$70</f>
        <v>#VALUE!</v>
      </c>
      <c r="U51" s="634" t="s">
        <v>290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290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290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290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290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290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290</v>
      </c>
      <c r="J54" s="634"/>
      <c r="K54" s="74">
        <f>Parametrikber!I$137</f>
        <v>441.76907713498633</v>
      </c>
      <c r="L54" s="78" t="s">
        <v>290</v>
      </c>
      <c r="M54" s="67"/>
      <c r="N54" s="74">
        <f>Parametrikber!L$137</f>
        <v>664.11376125384265</v>
      </c>
      <c r="O54" s="78" t="s">
        <v>290</v>
      </c>
      <c r="P54" s="67"/>
      <c r="Q54" s="74">
        <f>Parametrikber!O$137</f>
        <v>545.43805354267306</v>
      </c>
      <c r="R54" s="78" t="s">
        <v>290</v>
      </c>
      <c r="S54" s="67"/>
      <c r="T54" s="74">
        <f>Parametrikber!R$137</f>
        <v>545.43805354267306</v>
      </c>
      <c r="U54" s="78" t="s">
        <v>290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290</v>
      </c>
      <c r="J55" s="634"/>
      <c r="K55" s="267">
        <f>Parametrikber!I$135</f>
        <v>3</v>
      </c>
      <c r="L55" s="78" t="s">
        <v>290</v>
      </c>
      <c r="M55" s="67"/>
      <c r="N55" s="267">
        <f>Parametrikber!L$135</f>
        <v>3</v>
      </c>
      <c r="O55" s="78" t="s">
        <v>290</v>
      </c>
      <c r="P55" s="67"/>
      <c r="Q55" s="267">
        <f>Parametrikber!O$135</f>
        <v>6</v>
      </c>
      <c r="R55" s="78" t="s">
        <v>290</v>
      </c>
      <c r="S55" s="67"/>
      <c r="T55" s="267">
        <f>Parametrikber!R$135</f>
        <v>6</v>
      </c>
      <c r="U55" s="78" t="s">
        <v>290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290</v>
      </c>
      <c r="J56" s="634"/>
      <c r="K56" s="74">
        <f>Parametrikber!I21</f>
        <v>5.4197425000000008</v>
      </c>
      <c r="L56" s="78" t="s">
        <v>290</v>
      </c>
      <c r="M56" s="67"/>
      <c r="N56" s="74">
        <f>Parametrikber!L21</f>
        <v>7.4557889999999984</v>
      </c>
      <c r="O56" s="78" t="s">
        <v>290</v>
      </c>
      <c r="P56" s="67"/>
      <c r="Q56" s="74">
        <f>Parametrikber!O21</f>
        <v>29.420724999999997</v>
      </c>
      <c r="R56" s="78" t="s">
        <v>290</v>
      </c>
      <c r="S56" s="67"/>
      <c r="T56" s="74">
        <f>Parametrikber!R21</f>
        <v>29.420724999999997</v>
      </c>
      <c r="U56" s="78" t="s">
        <v>290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290</v>
      </c>
      <c r="J57" s="634"/>
      <c r="K57" s="74">
        <f>K$54+K$55*K$56</f>
        <v>458.02830463498634</v>
      </c>
      <c r="L57" s="634" t="s">
        <v>290</v>
      </c>
      <c r="M57" s="622"/>
      <c r="N57" s="74">
        <f t="shared" ref="N57" si="15">N$54+N$55*N$56</f>
        <v>686.4811282538426</v>
      </c>
      <c r="O57" s="634" t="s">
        <v>290</v>
      </c>
      <c r="P57" s="622"/>
      <c r="Q57" s="74">
        <f t="shared" ref="Q57" si="16">Q$54+Q$55*Q$56</f>
        <v>721.96240354267297</v>
      </c>
      <c r="R57" s="634" t="s">
        <v>290</v>
      </c>
      <c r="S57" s="622"/>
      <c r="T57" s="74">
        <f t="shared" ref="T57" si="17">T$54+T$55*T$56</f>
        <v>721.96240354267297</v>
      </c>
      <c r="U57" s="634" t="s">
        <v>290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267</v>
      </c>
      <c r="I58" s="494"/>
      <c r="J58" s="637"/>
      <c r="K58" s="706" t="s">
        <v>267</v>
      </c>
      <c r="L58" s="491"/>
      <c r="M58" s="492"/>
      <c r="N58" s="706" t="s">
        <v>267</v>
      </c>
      <c r="O58" s="491"/>
      <c r="P58" s="492"/>
      <c r="Q58" s="706" t="s">
        <v>267</v>
      </c>
      <c r="R58" s="491"/>
      <c r="S58" s="492"/>
      <c r="T58" s="706" t="s">
        <v>267</v>
      </c>
      <c r="U58" s="491"/>
      <c r="V58" s="492"/>
      <c r="W58" s="706" t="s">
        <v>267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290</v>
      </c>
      <c r="J60" s="623">
        <f>K$50</f>
        <v>1</v>
      </c>
      <c r="K60" s="85">
        <f>K$57/3600*K$59/K$50</f>
        <v>5.0892033848331817</v>
      </c>
      <c r="L60" s="78" t="s">
        <v>290</v>
      </c>
      <c r="M60" s="599">
        <f>N$50</f>
        <v>1</v>
      </c>
      <c r="N60" s="85">
        <f>N$57/3600*N$59/N$50</f>
        <v>7.627568091709362</v>
      </c>
      <c r="O60" s="78" t="s">
        <v>290</v>
      </c>
      <c r="P60" s="599">
        <f>Q$50</f>
        <v>1</v>
      </c>
      <c r="Q60" s="85">
        <f>Q$57/3600*Q$59/Q$50</f>
        <v>2.2059962330470562</v>
      </c>
      <c r="R60" s="78" t="s">
        <v>290</v>
      </c>
      <c r="S60" s="599">
        <f>T$50</f>
        <v>1</v>
      </c>
      <c r="T60" s="85">
        <f>T$57/3600*T$59/T$50</f>
        <v>2.2059962330470562</v>
      </c>
      <c r="U60" s="78" t="s">
        <v>290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290</v>
      </c>
      <c r="J63" s="622"/>
      <c r="K63" s="114">
        <f>Parametrikber!I$136</f>
        <v>0</v>
      </c>
      <c r="L63" s="78" t="s">
        <v>290</v>
      </c>
      <c r="M63" s="67"/>
      <c r="N63" s="114">
        <f>Parametrikber!L$136</f>
        <v>0</v>
      </c>
      <c r="O63" s="78" t="s">
        <v>290</v>
      </c>
      <c r="P63" s="67"/>
      <c r="Q63" s="114">
        <f>Parametrikber!O$136</f>
        <v>1</v>
      </c>
      <c r="R63" s="78" t="s">
        <v>290</v>
      </c>
      <c r="S63" s="67"/>
      <c r="T63" s="114">
        <f>Parametrikber!R$136</f>
        <v>1</v>
      </c>
      <c r="U63" s="78" t="s">
        <v>290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290</v>
      </c>
      <c r="J64" s="622"/>
      <c r="K64" s="74">
        <f>Parametrikber!I$22</f>
        <v>5.8795150000000005</v>
      </c>
      <c r="L64" s="78" t="s">
        <v>290</v>
      </c>
      <c r="M64" s="67"/>
      <c r="N64" s="74">
        <f>Parametrikber!L$22</f>
        <v>10.008107999999998</v>
      </c>
      <c r="O64" s="78" t="s">
        <v>290</v>
      </c>
      <c r="P64" s="67"/>
      <c r="Q64" s="74">
        <f>Parametrikber!O$22</f>
        <v>33.535694999999997</v>
      </c>
      <c r="R64" s="78" t="s">
        <v>290</v>
      </c>
      <c r="S64" s="67"/>
      <c r="T64" s="74">
        <f>Parametrikber!R$22</f>
        <v>33.535694999999997</v>
      </c>
      <c r="U64" s="78" t="s">
        <v>290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290</v>
      </c>
      <c r="J65" s="622"/>
      <c r="K65" s="74">
        <f>K$62/60*(K$57+K$63*K$64)</f>
        <v>384.79526732747064</v>
      </c>
      <c r="L65" s="78" t="s">
        <v>290</v>
      </c>
      <c r="M65" s="67"/>
      <c r="N65" s="74">
        <f>N$62/60*(N$57+N$63*N$64)</f>
        <v>576.72132177991091</v>
      </c>
      <c r="O65" s="78" t="s">
        <v>290</v>
      </c>
      <c r="P65" s="67"/>
      <c r="Q65" s="74">
        <f>Q$62/60*(Q$57+Q$63*Q$64)</f>
        <v>566.62357390700481</v>
      </c>
      <c r="R65" s="78" t="s">
        <v>290</v>
      </c>
      <c r="S65" s="67"/>
      <c r="T65" s="74">
        <f>T$62/60*(T$57+T$63*T$64)</f>
        <v>566.62357390700481</v>
      </c>
      <c r="U65" s="78" t="s">
        <v>290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290</v>
      </c>
      <c r="J66" s="622"/>
      <c r="K66" s="85">
        <f>K$65/ROUNDUP(K$61,0)</f>
        <v>3.8479526732747065</v>
      </c>
      <c r="L66" s="634" t="s">
        <v>290</v>
      </c>
      <c r="M66" s="622"/>
      <c r="N66" s="85">
        <f>N$65/ROUNDUP(N$61,0)</f>
        <v>5.7672132177991093</v>
      </c>
      <c r="O66" s="634" t="s">
        <v>290</v>
      </c>
      <c r="P66" s="622"/>
      <c r="Q66" s="85" t="e">
        <f>Q$65/ROUNDUP(Q$61,0)</f>
        <v>#DIV/0!</v>
      </c>
      <c r="R66" s="634" t="s">
        <v>290</v>
      </c>
      <c r="S66" s="622"/>
      <c r="T66" s="85" t="e">
        <f>T$65/ROUNDUP(T$61,0)</f>
        <v>#DIV/0!</v>
      </c>
      <c r="U66" s="634" t="s">
        <v>290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290</v>
      </c>
      <c r="J71" s="634"/>
      <c r="K71" s="74">
        <f t="shared" ref="K71" si="24">K$70*K$60</f>
        <v>0</v>
      </c>
      <c r="L71" s="634" t="s">
        <v>290</v>
      </c>
      <c r="M71" s="634"/>
      <c r="N71" s="74">
        <f t="shared" ref="N71" si="25">N$70*N$60</f>
        <v>0</v>
      </c>
      <c r="O71" s="634" t="s">
        <v>290</v>
      </c>
      <c r="P71" s="634"/>
      <c r="Q71" s="74">
        <f t="shared" ref="Q71" si="26">Q$70*Q$60</f>
        <v>0</v>
      </c>
      <c r="R71" s="634" t="s">
        <v>290</v>
      </c>
      <c r="S71" s="634"/>
      <c r="T71" s="74">
        <f t="shared" ref="T71" si="27">T$70*T$60</f>
        <v>0</v>
      </c>
      <c r="U71" s="634" t="s">
        <v>290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290</v>
      </c>
      <c r="J72" s="887"/>
      <c r="K72" s="886">
        <f>K$60+K$66+K$69+K$71</f>
        <v>8.9371560581078882</v>
      </c>
      <c r="L72" s="640" t="s">
        <v>290</v>
      </c>
      <c r="M72" s="887"/>
      <c r="N72" s="886">
        <f t="shared" ref="N72" si="29">N$60+N$66+N$69+N$71</f>
        <v>13.39478130950847</v>
      </c>
      <c r="O72" s="640" t="s">
        <v>290</v>
      </c>
      <c r="P72" s="887"/>
      <c r="Q72" s="886" t="e">
        <f t="shared" ref="Q72" si="30">Q$60+Q$66+Q$69+Q$71</f>
        <v>#DIV/0!</v>
      </c>
      <c r="R72" s="640" t="s">
        <v>290</v>
      </c>
      <c r="S72" s="887"/>
      <c r="T72" s="886" t="e">
        <f t="shared" ref="T72" si="31">T$60+T$66+T$69+T$71</f>
        <v>#DIV/0!</v>
      </c>
      <c r="U72" s="640" t="s">
        <v>290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23" t="str">
        <f>IF(Deutsch,"Nachbehandlung","after care")</f>
        <v>Nachbehandlung</v>
      </c>
      <c r="E73" s="1224"/>
      <c r="F73" s="1225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290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290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290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290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290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290</v>
      </c>
      <c r="J76" s="634"/>
      <c r="K76" s="74">
        <f>Parametrikber!I$20</f>
        <v>4.1240200000000007</v>
      </c>
      <c r="L76" s="78" t="s">
        <v>290</v>
      </c>
      <c r="M76" s="78"/>
      <c r="N76" s="74">
        <f>Parametrikber!L$20</f>
        <v>5.4818280000000001</v>
      </c>
      <c r="O76" s="78" t="s">
        <v>290</v>
      </c>
      <c r="P76" s="78"/>
      <c r="Q76" s="74">
        <f>Parametrikber!O$20</f>
        <v>24.820870000000003</v>
      </c>
      <c r="R76" s="78" t="s">
        <v>290</v>
      </c>
      <c r="S76" s="78"/>
      <c r="T76" s="74">
        <f>Parametrikber!R$20</f>
        <v>24.820870000000003</v>
      </c>
      <c r="U76" s="78" t="s">
        <v>290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290</v>
      </c>
      <c r="J77" s="634"/>
      <c r="K77" s="85">
        <f>(K74+K75)/60*K76</f>
        <v>0.34366833333333335</v>
      </c>
      <c r="L77" s="634" t="s">
        <v>290</v>
      </c>
      <c r="M77" s="634"/>
      <c r="N77" s="85">
        <f t="shared" ref="N77" si="33">(N74+N75)/60*N76</f>
        <v>0.45681899999999998</v>
      </c>
      <c r="O77" s="634" t="s">
        <v>290</v>
      </c>
      <c r="P77" s="634"/>
      <c r="Q77" s="85">
        <f t="shared" ref="Q77" si="34">(Q74+Q75)/60*Q76</f>
        <v>0</v>
      </c>
      <c r="R77" s="634" t="s">
        <v>290</v>
      </c>
      <c r="S77" s="634"/>
      <c r="T77" s="85">
        <f t="shared" ref="T77" si="35">(T74+T75)/60*T76</f>
        <v>0</v>
      </c>
      <c r="U77" s="634" t="s">
        <v>290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290</v>
      </c>
      <c r="J78" s="634"/>
      <c r="K78" s="140">
        <f>Parametrikber!I$234</f>
        <v>26.139248634013285</v>
      </c>
      <c r="L78" s="634" t="s">
        <v>290</v>
      </c>
      <c r="M78" s="634"/>
      <c r="N78" s="140">
        <f>Parametrikber!L$234</f>
        <v>26.139248634013285</v>
      </c>
      <c r="O78" s="634" t="s">
        <v>290</v>
      </c>
      <c r="P78" s="634"/>
      <c r="Q78" s="140">
        <f>Parametrikber!O$234</f>
        <v>21.333333333333332</v>
      </c>
      <c r="R78" s="634" t="s">
        <v>290</v>
      </c>
      <c r="S78" s="634"/>
      <c r="T78" s="140">
        <f>Parametrikber!R$234</f>
        <v>21.333333333333332</v>
      </c>
      <c r="U78" s="634" t="s">
        <v>290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290</v>
      </c>
      <c r="J79" s="711"/>
      <c r="K79" s="136">
        <f>Parametrikber!I$238</f>
        <v>0</v>
      </c>
      <c r="L79" s="711" t="s">
        <v>290</v>
      </c>
      <c r="M79" s="711"/>
      <c r="N79" s="136">
        <f>Parametrikber!L$238</f>
        <v>0</v>
      </c>
      <c r="O79" s="711" t="s">
        <v>290</v>
      </c>
      <c r="P79" s="711"/>
      <c r="Q79" s="136">
        <f>Parametrikber!O$238</f>
        <v>0</v>
      </c>
      <c r="R79" s="711" t="s">
        <v>290</v>
      </c>
      <c r="S79" s="711"/>
      <c r="T79" s="136">
        <f>Parametrikber!R$238</f>
        <v>0</v>
      </c>
      <c r="U79" s="711" t="s">
        <v>290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290</v>
      </c>
      <c r="J80" s="634"/>
      <c r="K80" s="140">
        <f>Parametrikber!I$242</f>
        <v>0</v>
      </c>
      <c r="L80" s="634" t="s">
        <v>290</v>
      </c>
      <c r="M80" s="634"/>
      <c r="N80" s="140">
        <f>Parametrikber!L$242</f>
        <v>0</v>
      </c>
      <c r="O80" s="634" t="s">
        <v>290</v>
      </c>
      <c r="P80" s="634"/>
      <c r="Q80" s="140">
        <f>Parametrikber!O$242</f>
        <v>0</v>
      </c>
      <c r="R80" s="634" t="s">
        <v>290</v>
      </c>
      <c r="S80" s="634"/>
      <c r="T80" s="140">
        <f>Parametrikber!R$242</f>
        <v>0</v>
      </c>
      <c r="U80" s="634" t="s">
        <v>290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290</v>
      </c>
      <c r="J81" s="634"/>
      <c r="K81" s="85">
        <f>(K$78/3600*K$76)+(K$79/1000*K$14)+(K$80/3600*K$76)</f>
        <v>2.9944106708789858E-2</v>
      </c>
      <c r="L81" s="634" t="s">
        <v>290</v>
      </c>
      <c r="M81" s="634"/>
      <c r="N81" s="85">
        <f>(N$78/3600*N$76)+(N$79/1000*N$14)+(N$80/3600*N$76)</f>
        <v>3.9803018072471053E-2</v>
      </c>
      <c r="O81" s="634" t="s">
        <v>290</v>
      </c>
      <c r="P81" s="634"/>
      <c r="Q81" s="85" t="e">
        <f>(Q$78/3600*Q$76)+(Q$79/1000*Q$14)+(Q$80/3600*Q$76)</f>
        <v>#VALUE!</v>
      </c>
      <c r="R81" s="634" t="s">
        <v>290</v>
      </c>
      <c r="S81" s="634"/>
      <c r="T81" s="85" t="e">
        <f>(T$78/3600*T$76)+(T$79/1000*T$14)+(T$80/3600*T$76)</f>
        <v>#VALUE!</v>
      </c>
      <c r="U81" s="634" t="s">
        <v>290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290</v>
      </c>
      <c r="J82" s="634"/>
      <c r="K82" s="74">
        <f>Parametrikber!I$122</f>
        <v>1.2271468098197256</v>
      </c>
      <c r="L82" s="78" t="s">
        <v>290</v>
      </c>
      <c r="M82" s="78"/>
      <c r="N82" s="74">
        <f>Parametrikber!L$122</f>
        <v>1.2477080261564104</v>
      </c>
      <c r="O82" s="78" t="s">
        <v>290</v>
      </c>
      <c r="P82" s="78"/>
      <c r="Q82" s="74">
        <f>Parametrikber!O$122</f>
        <v>1.4142135623730949</v>
      </c>
      <c r="R82" s="78" t="s">
        <v>290</v>
      </c>
      <c r="S82" s="78"/>
      <c r="T82" s="74">
        <f>Parametrikber!R$122</f>
        <v>1.4142135623730949</v>
      </c>
      <c r="U82" s="78" t="s">
        <v>290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290</v>
      </c>
      <c r="J83" s="634"/>
      <c r="K83" s="85">
        <f>K$82*Parametrikber!I$75/1000</f>
        <v>0.21347808979179506</v>
      </c>
      <c r="L83" s="78" t="s">
        <v>290</v>
      </c>
      <c r="M83" s="78"/>
      <c r="N83" s="85">
        <f>N$82*Parametrikber!L$75/1000</f>
        <v>0.21705497982013336</v>
      </c>
      <c r="O83" s="78" t="s">
        <v>290</v>
      </c>
      <c r="P83" s="78"/>
      <c r="Q83" s="85" t="e">
        <f>Q$82*Parametrikber!O$75/1000</f>
        <v>#VALUE!</v>
      </c>
      <c r="R83" s="78" t="s">
        <v>290</v>
      </c>
      <c r="S83" s="78"/>
      <c r="T83" s="85" t="e">
        <f>T$82*Parametrikber!R$75/1000</f>
        <v>#VALUE!</v>
      </c>
      <c r="U83" s="78" t="s">
        <v>290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290</v>
      </c>
      <c r="J87" s="640"/>
      <c r="K87" s="886">
        <f>(1+K86)*(K77+K81+K$83+K$85)</f>
        <v>0.59883234043059663</v>
      </c>
      <c r="L87" s="640" t="s">
        <v>290</v>
      </c>
      <c r="M87" s="640"/>
      <c r="N87" s="886">
        <f>(1+N86)*(N77+N81+N$83+N$85)</f>
        <v>0.72795053785045649</v>
      </c>
      <c r="O87" s="640" t="s">
        <v>290</v>
      </c>
      <c r="P87" s="640"/>
      <c r="Q87" s="886" t="e">
        <f>(1+Q86)*(Q77+Q81+Q$83+Q$85)</f>
        <v>#VALUE!</v>
      </c>
      <c r="R87" s="640" t="s">
        <v>290</v>
      </c>
      <c r="S87" s="640"/>
      <c r="T87" s="886" t="e">
        <f>(1+T86)*(T77+T81+T$83+T$85)</f>
        <v>#VALUE!</v>
      </c>
      <c r="U87" s="640" t="s">
        <v>290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23" t="str">
        <f>IF(Deutsch,"Prüfen","testing")</f>
        <v>Prüfen</v>
      </c>
      <c r="E88" s="1224"/>
      <c r="F88" s="1225"/>
      <c r="G88" s="626"/>
      <c r="H88" s="949" t="str">
        <f>Parametrikber!F$252</f>
        <v>ohne Prfg.</v>
      </c>
      <c r="I88" s="950" t="s">
        <v>290</v>
      </c>
      <c r="J88" s="950"/>
      <c r="K88" s="949" t="str">
        <f>Parametrikber!I$252</f>
        <v>ohne Prfg.</v>
      </c>
      <c r="L88" s="950" t="s">
        <v>290</v>
      </c>
      <c r="M88" s="950"/>
      <c r="N88" s="949" t="str">
        <f>Parametrikber!L$252</f>
        <v>ohne Prfg.</v>
      </c>
      <c r="O88" s="950" t="s">
        <v>290</v>
      </c>
      <c r="P88" s="950"/>
      <c r="Q88" s="949" t="str">
        <f>Parametrikber!O$252</f>
        <v>ohne Prfg.</v>
      </c>
      <c r="R88" s="950" t="s">
        <v>290</v>
      </c>
      <c r="S88" s="950"/>
      <c r="T88" s="949" t="str">
        <f>Parametrikber!R$252</f>
        <v>ohne Prfg.</v>
      </c>
      <c r="U88" s="950" t="s">
        <v>290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Prüfzeit/Teil (sec)</v>
      </c>
      <c r="E89" s="73"/>
      <c r="F89" s="75"/>
      <c r="G89" s="626"/>
      <c r="H89" s="121">
        <v>300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290</v>
      </c>
      <c r="J90" s="634"/>
      <c r="K90" s="74">
        <f>Parametrikber!I$22</f>
        <v>5.8795150000000005</v>
      </c>
      <c r="L90" s="78" t="s">
        <v>290</v>
      </c>
      <c r="M90" s="78"/>
      <c r="N90" s="74">
        <f>Parametrikber!L$22</f>
        <v>10.008107999999998</v>
      </c>
      <c r="O90" s="78" t="s">
        <v>290</v>
      </c>
      <c r="P90" s="78"/>
      <c r="Q90" s="74">
        <f>Parametrikber!O$22</f>
        <v>33.535694999999997</v>
      </c>
      <c r="R90" s="78" t="s">
        <v>290</v>
      </c>
      <c r="S90" s="78"/>
      <c r="T90" s="74">
        <f>Parametrikber!R$22</f>
        <v>33.535694999999997</v>
      </c>
      <c r="U90" s="78" t="s">
        <v>290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tr">
        <f>IF(Deutsch,'Quick Input'!C28,'Quick Input'!D28)</f>
        <v>Ultraschall Prüfung</v>
      </c>
      <c r="E91" s="73"/>
      <c r="F91" s="75"/>
      <c r="G91" s="626"/>
      <c r="H91" s="348">
        <v>0</v>
      </c>
      <c r="I91" s="635"/>
      <c r="J91" s="635"/>
      <c r="K91" s="348">
        <v>0</v>
      </c>
      <c r="L91" s="361"/>
      <c r="M91" s="361"/>
      <c r="N91" s="348">
        <v>0</v>
      </c>
      <c r="O91" s="361"/>
      <c r="P91" s="361"/>
      <c r="Q91" s="348">
        <v>0</v>
      </c>
      <c r="R91" s="361"/>
      <c r="S91" s="361"/>
      <c r="T91" s="348">
        <v>0</v>
      </c>
      <c r="U91" s="361"/>
      <c r="V91" s="361"/>
      <c r="W91" s="348">
        <v>0</v>
      </c>
      <c r="X91" s="642"/>
      <c r="Y91" s="78"/>
    </row>
    <row r="92" spans="2:25" x14ac:dyDescent="0.2">
      <c r="C92" s="78"/>
      <c r="D92" s="72" t="str">
        <f>IF(Deutsch,'Quick Input'!C29,'Quick Input'!D29)</f>
        <v>Farbeindring Prüfung</v>
      </c>
      <c r="E92" s="73"/>
      <c r="F92" s="75"/>
      <c r="G92" s="626"/>
      <c r="H92" s="348">
        <v>0</v>
      </c>
      <c r="I92" s="635"/>
      <c r="J92" s="635"/>
      <c r="K92" s="348">
        <v>0</v>
      </c>
      <c r="L92" s="361"/>
      <c r="M92" s="361"/>
      <c r="N92" s="348">
        <v>0</v>
      </c>
      <c r="O92" s="361"/>
      <c r="P92" s="361"/>
      <c r="Q92" s="348">
        <v>0</v>
      </c>
      <c r="R92" s="361"/>
      <c r="S92" s="361"/>
      <c r="T92" s="348">
        <v>0</v>
      </c>
      <c r="U92" s="361"/>
      <c r="V92" s="361"/>
      <c r="W92" s="348">
        <v>0</v>
      </c>
      <c r="X92" s="642"/>
      <c r="Y92" s="78"/>
    </row>
    <row r="93" spans="2:25" x14ac:dyDescent="0.2">
      <c r="C93" s="78"/>
      <c r="D93" s="72" t="str">
        <f>IF(Deutsch,'Quick Input'!C30,'Quick Input'!D30)</f>
        <v>Röntgen Prüfung</v>
      </c>
      <c r="E93" s="73"/>
      <c r="F93" s="75"/>
      <c r="G93" s="626"/>
      <c r="H93" s="348">
        <v>0</v>
      </c>
      <c r="I93" s="635"/>
      <c r="J93" s="635"/>
      <c r="K93" s="348">
        <v>0</v>
      </c>
      <c r="L93" s="361"/>
      <c r="M93" s="361"/>
      <c r="N93" s="348">
        <v>0</v>
      </c>
      <c r="O93" s="361"/>
      <c r="P93" s="361"/>
      <c r="Q93" s="348">
        <v>0</v>
      </c>
      <c r="R93" s="361"/>
      <c r="S93" s="361"/>
      <c r="T93" s="348">
        <v>0</v>
      </c>
      <c r="U93" s="361"/>
      <c r="V93" s="361"/>
      <c r="W93" s="348">
        <v>0</v>
      </c>
      <c r="X93" s="642"/>
      <c r="Y93" s="78"/>
    </row>
    <row r="94" spans="2:25" x14ac:dyDescent="0.2">
      <c r="C94" s="78"/>
      <c r="D94" s="72" t="str">
        <f>IF(Deutsch,Auswahlfelder!$B$59,Auswahlfelder!$D$59)</f>
        <v>Reparaturschweißen</v>
      </c>
      <c r="E94" s="73"/>
      <c r="F94" s="75"/>
      <c r="G94" s="626"/>
      <c r="H94" s="80" t="str">
        <f>'Quick Input'!L$33</f>
        <v>ohne</v>
      </c>
      <c r="I94" s="634"/>
      <c r="J94" s="634"/>
      <c r="K94" s="80" t="str">
        <f>'Quick Input'!O$33</f>
        <v>ohne</v>
      </c>
      <c r="L94" s="78"/>
      <c r="M94" s="78"/>
      <c r="N94" s="80" t="str">
        <f>'Quick Input'!R$33</f>
        <v>ohne</v>
      </c>
      <c r="O94" s="78"/>
      <c r="P94" s="78"/>
      <c r="Q94" s="80" t="str">
        <f>'Quick Input'!U$33</f>
        <v>ohne</v>
      </c>
      <c r="R94" s="78"/>
      <c r="S94" s="78"/>
      <c r="T94" s="80" t="str">
        <f>'Quick Input'!X$33</f>
        <v>ohne</v>
      </c>
      <c r="U94" s="78"/>
      <c r="V94" s="78"/>
      <c r="W94" s="80" t="str">
        <f>'Quick Input'!AA$33</f>
        <v>ohne</v>
      </c>
      <c r="X94" s="642"/>
      <c r="Y94" s="78"/>
    </row>
    <row r="95" spans="2:25" x14ac:dyDescent="0.2">
      <c r="C95" s="78"/>
      <c r="D95" s="72" t="str">
        <f>IF(Deutsch,"Reparaturanteil (%)","repair proportion (%)")</f>
        <v>Reparaturanteil (%)</v>
      </c>
      <c r="E95" s="73"/>
      <c r="F95" s="75"/>
      <c r="G95" s="626"/>
      <c r="H95" s="549">
        <v>0</v>
      </c>
      <c r="I95" s="635"/>
      <c r="J95" s="635"/>
      <c r="K95" s="549">
        <v>0</v>
      </c>
      <c r="L95" s="361"/>
      <c r="M95" s="361"/>
      <c r="N95" s="549">
        <v>0</v>
      </c>
      <c r="O95" s="361"/>
      <c r="P95" s="361"/>
      <c r="Q95" s="549">
        <v>0</v>
      </c>
      <c r="R95" s="361"/>
      <c r="S95" s="361"/>
      <c r="T95" s="549">
        <v>0</v>
      </c>
      <c r="U95" s="361"/>
      <c r="V95" s="361"/>
      <c r="W95" s="549">
        <v>0</v>
      </c>
      <c r="X95" s="642"/>
      <c r="Y95" s="78"/>
    </row>
    <row r="96" spans="2:25" x14ac:dyDescent="0.2">
      <c r="C96" s="78"/>
      <c r="D96" s="72" t="str">
        <f>'Quick Input'!$I$77</f>
        <v>Anteil Nachprüfung</v>
      </c>
      <c r="E96" s="73"/>
      <c r="F96" s="75"/>
      <c r="G96" s="626"/>
      <c r="H96" s="720">
        <v>0.5</v>
      </c>
      <c r="I96" s="635"/>
      <c r="J96" s="635"/>
      <c r="K96" s="720">
        <v>0.5</v>
      </c>
      <c r="L96" s="361"/>
      <c r="M96" s="361"/>
      <c r="N96" s="720">
        <v>0.5</v>
      </c>
      <c r="O96" s="361"/>
      <c r="P96" s="361"/>
      <c r="Q96" s="720">
        <v>0.5</v>
      </c>
      <c r="R96" s="361"/>
      <c r="S96" s="361"/>
      <c r="T96" s="720">
        <v>0.5</v>
      </c>
      <c r="U96" s="361"/>
      <c r="V96" s="361"/>
      <c r="W96" s="720">
        <v>0.5</v>
      </c>
      <c r="X96" s="642"/>
      <c r="Y96" s="78"/>
    </row>
    <row r="97" spans="2:25" x14ac:dyDescent="0.2">
      <c r="C97" s="78"/>
      <c r="D97" s="72" t="str">
        <f>IF(Deutsch,"Kosten je Reparatur (€)","cost per repair (€)")</f>
        <v>Kosten je Reparatur (€)</v>
      </c>
      <c r="E97" s="73"/>
      <c r="F97" s="75"/>
      <c r="G97" s="626"/>
      <c r="H97" s="85">
        <f>IF('Quick Input'!M$33=Auswahlfelder!$D$60,0,Parametrikber!F$187)</f>
        <v>0</v>
      </c>
      <c r="I97" s="634"/>
      <c r="J97" s="634"/>
      <c r="K97" s="85">
        <f>IF('Quick Input'!P$33=Auswahlfelder!$D$60,0,Parametrikber!I$187)</f>
        <v>0</v>
      </c>
      <c r="L97" s="78"/>
      <c r="M97" s="78"/>
      <c r="N97" s="85">
        <f>IF('Quick Input'!S$33=Auswahlfelder!$D$60,0,Parametrikber!L$187)</f>
        <v>0</v>
      </c>
      <c r="O97" s="78"/>
      <c r="P97" s="78"/>
      <c r="Q97" s="85">
        <f>IF('Quick Input'!V$33=Auswahlfelder!$D$60,0,Parametrikber!O$187)</f>
        <v>0</v>
      </c>
      <c r="R97" s="78"/>
      <c r="S97" s="78"/>
      <c r="T97" s="85">
        <f>IF('Quick Input'!Y$33=Auswahlfelder!$D$60,0,Parametrikber!R$187)</f>
        <v>0</v>
      </c>
      <c r="U97" s="78"/>
      <c r="V97" s="78"/>
      <c r="W97" s="85">
        <f>IF('Quick Input'!AB$33=Auswahlfelder!$D$60,0,Parametrikber!U$187)</f>
        <v>0</v>
      </c>
      <c r="X97" s="642"/>
      <c r="Y97" s="78"/>
    </row>
    <row r="98" spans="2:25" ht="15" thickBot="1" x14ac:dyDescent="0.25">
      <c r="C98" s="78"/>
      <c r="D98" s="116" t="str">
        <f>IF(Deutsch,"Prüfkosten pro Stück","testing cost per part")</f>
        <v>Prüfkosten pro Stück</v>
      </c>
      <c r="E98" s="73"/>
      <c r="F98" s="75"/>
      <c r="G98" s="888"/>
      <c r="H98" s="886">
        <f>H$89/3600*H$90+(H$91+H$92+H$93)*(1+H$96*H$95)+H$95*H$97</f>
        <v>3.0850166666666663</v>
      </c>
      <c r="I98" s="640" t="s">
        <v>290</v>
      </c>
      <c r="J98" s="640"/>
      <c r="K98" s="886">
        <f>K$89/3600*K$90+(K$91+K$92+K$93)*(1+K$96*K$95)+K$95*K$97</f>
        <v>0.48995958333333334</v>
      </c>
      <c r="L98" s="640" t="s">
        <v>290</v>
      </c>
      <c r="M98" s="640"/>
      <c r="N98" s="886">
        <f>N$89/3600*N$90+(N$91+N$92+N$93)*(1+N$96*N$95)+N$95*N$97</f>
        <v>0.83400899999999978</v>
      </c>
      <c r="O98" s="640" t="s">
        <v>290</v>
      </c>
      <c r="P98" s="640"/>
      <c r="Q98" s="886">
        <f>Q$89/3600*Q$90+(Q$91+Q$92+Q$93)*(1+Q$96*Q$95)+Q$95*Q$97</f>
        <v>0</v>
      </c>
      <c r="R98" s="640" t="s">
        <v>290</v>
      </c>
      <c r="S98" s="640"/>
      <c r="T98" s="886">
        <f>T$89/3600*T$90+(T$91+T$92+T$93)*(1+T$96*T$95)+T$95*T$97</f>
        <v>0</v>
      </c>
      <c r="U98" s="640" t="s">
        <v>290</v>
      </c>
      <c r="V98" s="640"/>
      <c r="W98" s="886">
        <f>W$89/3600*W$90+(W$91+W$92+W$93)*(1+W$96*W$95)+W$95*W$97</f>
        <v>0</v>
      </c>
      <c r="X98" s="644"/>
      <c r="Y98" s="78" t="s">
        <v>33</v>
      </c>
    </row>
    <row r="99" spans="2:25" ht="11.25" customHeight="1" x14ac:dyDescent="0.2">
      <c r="C99" s="78"/>
      <c r="D99" s="1203" t="str">
        <f>IF(Deutsch,"Fertigungsnebenkosten","production cost")</f>
        <v>Fertigungsnebenkosten</v>
      </c>
      <c r="E99" s="1204"/>
      <c r="F99" s="1205"/>
      <c r="G99" s="626"/>
      <c r="H99" s="79"/>
      <c r="I99" s="634" t="s">
        <v>290</v>
      </c>
      <c r="J99" s="634"/>
      <c r="K99" s="79"/>
      <c r="L99" s="78" t="s">
        <v>290</v>
      </c>
      <c r="M99" s="78"/>
      <c r="N99" s="79"/>
      <c r="O99" s="78" t="s">
        <v>290</v>
      </c>
      <c r="P99" s="78"/>
      <c r="Q99" s="79"/>
      <c r="R99" s="78" t="s">
        <v>290</v>
      </c>
      <c r="S99" s="78"/>
      <c r="T99" s="79"/>
      <c r="U99" s="78" t="s">
        <v>290</v>
      </c>
      <c r="V99" s="78"/>
      <c r="W99" s="79"/>
      <c r="X99" s="642"/>
      <c r="Y99" s="78" t="s">
        <v>33</v>
      </c>
    </row>
    <row r="100" spans="2:25" ht="14.25" customHeight="1" x14ac:dyDescent="0.2">
      <c r="C100" s="78"/>
      <c r="D100" s="1206"/>
      <c r="E100" s="1207"/>
      <c r="F100" s="1208"/>
      <c r="G100" s="626"/>
      <c r="H100" s="965">
        <f>H$47+H$72+H87+H$98</f>
        <v>64.700763119073486</v>
      </c>
      <c r="I100" s="634" t="s">
        <v>290</v>
      </c>
      <c r="J100" s="634"/>
      <c r="K100" s="965">
        <f>K$47+K$72+K87+K$98</f>
        <v>10.357489343316162</v>
      </c>
      <c r="L100" s="634" t="s">
        <v>290</v>
      </c>
      <c r="M100" s="634"/>
      <c r="N100" s="965">
        <f>N$47+N$72+N87+N$98</f>
        <v>15.792242524812325</v>
      </c>
      <c r="O100" s="634" t="s">
        <v>290</v>
      </c>
      <c r="P100" s="634"/>
      <c r="Q100" s="965" t="e">
        <f>Q$47+Q$72+Q87+Q$98</f>
        <v>#VALUE!</v>
      </c>
      <c r="R100" s="634" t="s">
        <v>290</v>
      </c>
      <c r="S100" s="634"/>
      <c r="T100" s="965" t="e">
        <f>T$47+T$72+T87+T$98</f>
        <v>#VALUE!</v>
      </c>
      <c r="U100" s="634" t="s">
        <v>290</v>
      </c>
      <c r="V100" s="634"/>
      <c r="W100" s="965" t="e">
        <f>W$47+W$72+W87+W$98</f>
        <v>#VALUE!</v>
      </c>
      <c r="X100" s="642"/>
      <c r="Y100" s="78" t="s">
        <v>33</v>
      </c>
    </row>
    <row r="101" spans="2:25" x14ac:dyDescent="0.2">
      <c r="C101" s="78"/>
      <c r="D101" s="72" t="str">
        <f>CONCATENATE(IF(Deutsch,'Quick Input'!C31,'Quick Input'!D31)," (per lot)")</f>
        <v>Materialprüfzertifikat (per lot)</v>
      </c>
      <c r="E101" s="73"/>
      <c r="F101" s="75"/>
      <c r="G101" s="626"/>
      <c r="H101" s="74">
        <f>Parametrikber!F$192</f>
        <v>0</v>
      </c>
      <c r="I101" s="634" t="s">
        <v>290</v>
      </c>
      <c r="J101" s="634"/>
      <c r="K101" s="74">
        <f>Parametrikber!I$192</f>
        <v>0</v>
      </c>
      <c r="L101" s="634" t="s">
        <v>290</v>
      </c>
      <c r="M101" s="634"/>
      <c r="N101" s="74">
        <f>Parametrikber!L$192</f>
        <v>0</v>
      </c>
      <c r="O101" s="634" t="s">
        <v>290</v>
      </c>
      <c r="P101" s="634"/>
      <c r="Q101" s="74">
        <f>Parametrikber!O$192</f>
        <v>0</v>
      </c>
      <c r="R101" s="634" t="s">
        <v>290</v>
      </c>
      <c r="S101" s="634"/>
      <c r="T101" s="74">
        <f>Parametrikber!R$192</f>
        <v>0</v>
      </c>
      <c r="U101" s="634" t="s">
        <v>290</v>
      </c>
      <c r="V101" s="634"/>
      <c r="W101" s="74">
        <f>Parametrikber!U$192</f>
        <v>0</v>
      </c>
      <c r="X101" s="642"/>
      <c r="Y101" s="78"/>
    </row>
    <row r="102" spans="2:25" ht="14.25" customHeight="1" x14ac:dyDescent="0.2">
      <c r="B102" s="55" t="s">
        <v>127</v>
      </c>
      <c r="C102" s="78"/>
      <c r="D102" s="238" t="str">
        <f>'Quick Input'!I79</f>
        <v>Fertigungsgemeinkosten</v>
      </c>
      <c r="E102" s="73"/>
      <c r="F102" s="75"/>
      <c r="G102" s="626"/>
      <c r="H102" s="119">
        <v>0.1</v>
      </c>
      <c r="I102" s="635"/>
      <c r="J102" s="635"/>
      <c r="K102" s="119">
        <v>0.1</v>
      </c>
      <c r="L102" s="361"/>
      <c r="M102" s="361"/>
      <c r="N102" s="119">
        <v>0.1</v>
      </c>
      <c r="O102" s="361"/>
      <c r="P102" s="361"/>
      <c r="Q102" s="119">
        <v>0</v>
      </c>
      <c r="R102" s="361"/>
      <c r="S102" s="361"/>
      <c r="T102" s="119">
        <v>0</v>
      </c>
      <c r="U102" s="361"/>
      <c r="V102" s="361"/>
      <c r="W102" s="119">
        <v>0</v>
      </c>
      <c r="X102" s="642"/>
      <c r="Y102" s="78" t="s">
        <v>33</v>
      </c>
    </row>
    <row r="103" spans="2:25" x14ac:dyDescent="0.2">
      <c r="C103" s="78"/>
      <c r="D103" s="238" t="str">
        <f>IF(Deutsch,'Quick Input'!C79,'Quick Input'!D79)</f>
        <v>Fertigungsgemeinkosten</v>
      </c>
      <c r="E103" s="73"/>
      <c r="F103" s="75"/>
      <c r="G103" s="626"/>
      <c r="H103" s="74">
        <f>H$102*H$100</f>
        <v>6.4700763119073486</v>
      </c>
      <c r="I103" s="634" t="s">
        <v>290</v>
      </c>
      <c r="J103" s="634"/>
      <c r="K103" s="74">
        <f>K$102*K$100</f>
        <v>1.0357489343316162</v>
      </c>
      <c r="L103" s="78" t="s">
        <v>290</v>
      </c>
      <c r="M103" s="78"/>
      <c r="N103" s="74">
        <f>N$102*N$100</f>
        <v>1.5792242524812325</v>
      </c>
      <c r="O103" s="78" t="s">
        <v>290</v>
      </c>
      <c r="P103" s="78"/>
      <c r="Q103" s="74" t="e">
        <f>Q$102*Q$100</f>
        <v>#VALUE!</v>
      </c>
      <c r="R103" s="78" t="s">
        <v>290</v>
      </c>
      <c r="S103" s="78"/>
      <c r="T103" s="74" t="e">
        <f>T$102*T$100</f>
        <v>#VALUE!</v>
      </c>
      <c r="U103" s="78" t="s">
        <v>290</v>
      </c>
      <c r="V103" s="78"/>
      <c r="W103" s="74" t="e">
        <f>W$102*W$100</f>
        <v>#VALUE!</v>
      </c>
      <c r="X103" s="642"/>
      <c r="Y103" s="78" t="s">
        <v>33</v>
      </c>
    </row>
    <row r="104" spans="2:25" ht="15" customHeight="1" x14ac:dyDescent="0.2">
      <c r="C104" s="78"/>
      <c r="D104" s="116" t="str">
        <f>IF(Deutsch,"Fertigungskosten gesamt","manufacturing cost total")</f>
        <v>Fertigungskosten gesamt</v>
      </c>
      <c r="E104" s="73"/>
      <c r="F104" s="75"/>
      <c r="G104" s="626"/>
      <c r="H104" s="113">
        <f>H$100+H$101/H$61+H$103</f>
        <v>71.170839430980834</v>
      </c>
      <c r="I104" s="634" t="s">
        <v>290</v>
      </c>
      <c r="J104" s="634"/>
      <c r="K104" s="113">
        <f>K$100+K$101/K$61+K$103</f>
        <v>11.393238277647779</v>
      </c>
      <c r="L104" s="634" t="s">
        <v>290</v>
      </c>
      <c r="M104" s="634"/>
      <c r="N104" s="113">
        <f>N$100+N$101/N$61+N$103</f>
        <v>17.371466777293559</v>
      </c>
      <c r="O104" s="634" t="s">
        <v>290</v>
      </c>
      <c r="P104" s="634"/>
      <c r="Q104" s="113" t="e">
        <f>Q$100+Q$101/Q$61+Q$103</f>
        <v>#VALUE!</v>
      </c>
      <c r="R104" s="634" t="s">
        <v>290</v>
      </c>
      <c r="S104" s="634"/>
      <c r="T104" s="113" t="e">
        <f>T$100+T$101/T$61+T$103</f>
        <v>#VALUE!</v>
      </c>
      <c r="U104" s="634" t="s">
        <v>290</v>
      </c>
      <c r="V104" s="634"/>
      <c r="W104" s="113" t="e">
        <f>W$100+W$101/W$61+W$103</f>
        <v>#VALUE!</v>
      </c>
      <c r="X104" s="642"/>
      <c r="Y104" s="78" t="s">
        <v>33</v>
      </c>
    </row>
    <row r="105" spans="2:25" ht="4.5" customHeight="1" thickBot="1" x14ac:dyDescent="0.25">
      <c r="C105" s="87"/>
      <c r="D105" s="88"/>
      <c r="E105" s="87"/>
      <c r="F105" s="89"/>
      <c r="G105" s="626"/>
      <c r="H105" s="91"/>
      <c r="I105" s="634" t="s">
        <v>290</v>
      </c>
      <c r="J105" s="634"/>
      <c r="K105" s="91"/>
      <c r="L105" s="78" t="s">
        <v>290</v>
      </c>
      <c r="M105" s="78"/>
      <c r="N105" s="91"/>
      <c r="O105" s="78" t="s">
        <v>290</v>
      </c>
      <c r="P105" s="78"/>
      <c r="Q105" s="91"/>
      <c r="R105" s="78" t="s">
        <v>290</v>
      </c>
      <c r="S105" s="78"/>
      <c r="T105" s="91"/>
      <c r="U105" s="78" t="s">
        <v>290</v>
      </c>
      <c r="V105" s="78"/>
      <c r="W105" s="91"/>
      <c r="X105" s="644"/>
      <c r="Y105" s="78" t="s">
        <v>33</v>
      </c>
    </row>
    <row r="106" spans="2:25" ht="7.5" customHeight="1" x14ac:dyDescent="0.2">
      <c r="D106" s="1203" t="str">
        <f>IF(Deutsch,"Gemeinkosten &amp; Gewinn","common cost &amp; profit")</f>
        <v>Gemeinkosten &amp; Gewinn</v>
      </c>
      <c r="E106" s="1204"/>
      <c r="F106" s="1205"/>
      <c r="G106" s="626"/>
      <c r="H106" s="79"/>
      <c r="I106" s="634" t="s">
        <v>290</v>
      </c>
      <c r="J106" s="634"/>
      <c r="K106" s="79"/>
      <c r="L106" s="78" t="s">
        <v>290</v>
      </c>
      <c r="M106" s="78"/>
      <c r="N106" s="79"/>
      <c r="O106" s="78" t="s">
        <v>290</v>
      </c>
      <c r="P106" s="78"/>
      <c r="Q106" s="79"/>
      <c r="R106" s="78" t="s">
        <v>290</v>
      </c>
      <c r="S106" s="78"/>
      <c r="T106" s="79"/>
      <c r="U106" s="78" t="s">
        <v>290</v>
      </c>
      <c r="V106" s="78"/>
      <c r="W106" s="79"/>
      <c r="X106" s="642"/>
      <c r="Y106" s="78" t="s">
        <v>33</v>
      </c>
    </row>
    <row r="107" spans="2:25" x14ac:dyDescent="0.2">
      <c r="D107" s="1206"/>
      <c r="E107" s="1207"/>
      <c r="F107" s="1208"/>
      <c r="G107" s="626"/>
      <c r="H107" s="74">
        <f>H$26+H$104</f>
        <v>86.959364987692311</v>
      </c>
      <c r="I107" s="634" t="s">
        <v>290</v>
      </c>
      <c r="J107" s="634"/>
      <c r="K107" s="85">
        <f>K$26+K$104</f>
        <v>24.065399803188519</v>
      </c>
      <c r="L107" s="634" t="s">
        <v>290</v>
      </c>
      <c r="M107" s="634"/>
      <c r="N107" s="85">
        <f>N$26+N$104</f>
        <v>30.0436283028343</v>
      </c>
      <c r="O107" s="634" t="s">
        <v>290</v>
      </c>
      <c r="P107" s="634"/>
      <c r="Q107" s="85" t="e">
        <f>Q$26+Q$104</f>
        <v>#VALUE!</v>
      </c>
      <c r="R107" s="634" t="s">
        <v>290</v>
      </c>
      <c r="S107" s="634"/>
      <c r="T107" s="85" t="e">
        <f>T$26+T$104</f>
        <v>#VALUE!</v>
      </c>
      <c r="U107" s="634" t="s">
        <v>290</v>
      </c>
      <c r="V107" s="634"/>
      <c r="W107" s="85" t="e">
        <f>W$26+W$104</f>
        <v>#VALUE!</v>
      </c>
      <c r="X107" s="642"/>
      <c r="Y107" s="78" t="s">
        <v>33</v>
      </c>
    </row>
    <row r="108" spans="2:25" x14ac:dyDescent="0.2">
      <c r="B108" s="55" t="s">
        <v>127</v>
      </c>
      <c r="D108" s="72" t="str">
        <f>IF(Deutsch,"Vertriebs- und Verw.-gemeinkostensatz","administration cost rate")</f>
        <v>Vertriebs- und Verw.-gemeinkostensatz</v>
      </c>
      <c r="E108" s="67"/>
      <c r="F108" s="75"/>
      <c r="G108" s="626"/>
      <c r="H108" s="119">
        <v>0.12</v>
      </c>
      <c r="I108" s="635"/>
      <c r="J108" s="635"/>
      <c r="K108" s="119">
        <v>0.12</v>
      </c>
      <c r="L108" s="361"/>
      <c r="M108" s="361"/>
      <c r="N108" s="119">
        <v>0.12</v>
      </c>
      <c r="O108" s="361"/>
      <c r="P108" s="361"/>
      <c r="Q108" s="119">
        <v>0.12</v>
      </c>
      <c r="R108" s="361"/>
      <c r="S108" s="361"/>
      <c r="T108" s="119">
        <v>0.12</v>
      </c>
      <c r="U108" s="361"/>
      <c r="V108" s="361"/>
      <c r="W108" s="119">
        <v>0.12</v>
      </c>
      <c r="X108" s="642"/>
      <c r="Y108" s="78" t="s">
        <v>33</v>
      </c>
    </row>
    <row r="109" spans="2:25" x14ac:dyDescent="0.2">
      <c r="D109" s="72" t="str">
        <f>IF(Deutsch,"Vertriebs- und Verw.-gemeinkosten","administration costs")</f>
        <v>Vertriebs- und Verw.-gemeinkosten</v>
      </c>
      <c r="E109" s="67"/>
      <c r="F109" s="75"/>
      <c r="G109" s="626"/>
      <c r="H109" s="74">
        <f>H$107*H108</f>
        <v>10.435123798523078</v>
      </c>
      <c r="I109" s="634" t="s">
        <v>290</v>
      </c>
      <c r="J109" s="634"/>
      <c r="K109" s="74">
        <f>K$107*K108</f>
        <v>2.8878479763826221</v>
      </c>
      <c r="L109" s="634" t="s">
        <v>290</v>
      </c>
      <c r="M109" s="634"/>
      <c r="N109" s="74">
        <f t="shared" ref="N109" si="37">N$107*N108</f>
        <v>3.6052353963401158</v>
      </c>
      <c r="O109" s="634" t="s">
        <v>290</v>
      </c>
      <c r="P109" s="634"/>
      <c r="Q109" s="74" t="e">
        <f t="shared" ref="Q109" si="38">Q$107*Q108</f>
        <v>#VALUE!</v>
      </c>
      <c r="R109" s="634" t="s">
        <v>290</v>
      </c>
      <c r="S109" s="634"/>
      <c r="T109" s="74" t="e">
        <f t="shared" ref="T109" si="39">T$107*T108</f>
        <v>#VALUE!</v>
      </c>
      <c r="U109" s="634" t="s">
        <v>290</v>
      </c>
      <c r="V109" s="634"/>
      <c r="W109" s="74" t="e">
        <f t="shared" ref="W109" si="40">W$107*W108</f>
        <v>#VALUE!</v>
      </c>
      <c r="X109" s="642"/>
      <c r="Y109" s="78" t="s">
        <v>33</v>
      </c>
    </row>
    <row r="110" spans="2:25" x14ac:dyDescent="0.2">
      <c r="D110" s="72" t="str">
        <f>CONCATENATE(IF(Deutsch,"F&amp;E- Kosten (","design and development cost ("),'Länder-DB'!I35*100,"%)")</f>
        <v>F&amp;E- Kosten (8%)</v>
      </c>
      <c r="E110" s="67"/>
      <c r="F110" s="75"/>
      <c r="G110" s="626"/>
      <c r="H110" s="74">
        <f>H$104*'Länder-DB'!$I$35</f>
        <v>5.6936671544784669</v>
      </c>
      <c r="I110" s="634" t="s">
        <v>290</v>
      </c>
      <c r="J110" s="634"/>
      <c r="K110" s="74">
        <f>K$104*'Länder-DB'!$I$35</f>
        <v>0.91145906221182227</v>
      </c>
      <c r="L110" s="78" t="s">
        <v>290</v>
      </c>
      <c r="M110" s="78"/>
      <c r="N110" s="74">
        <f>N$104*'Länder-DB'!$I$35</f>
        <v>1.3897173421834847</v>
      </c>
      <c r="O110" s="78" t="s">
        <v>290</v>
      </c>
      <c r="P110" s="78"/>
      <c r="Q110" s="74" t="e">
        <f>Q$104*'Länder-DB'!$I$35</f>
        <v>#VALUE!</v>
      </c>
      <c r="R110" s="78" t="s">
        <v>290</v>
      </c>
      <c r="S110" s="78"/>
      <c r="T110" s="74" t="e">
        <f>T$104*'Länder-DB'!$I$35</f>
        <v>#VALUE!</v>
      </c>
      <c r="U110" s="78" t="s">
        <v>290</v>
      </c>
      <c r="V110" s="78"/>
      <c r="W110" s="74" t="e">
        <f>W$104*'Länder-DB'!$I$35</f>
        <v>#VALUE!</v>
      </c>
      <c r="X110" s="642"/>
      <c r="Y110" s="78" t="s">
        <v>33</v>
      </c>
    </row>
    <row r="111" spans="2:25" x14ac:dyDescent="0.2">
      <c r="D111" s="82" t="str">
        <f>IF(Deutsch,"Gesamtgemeinkosten","administration cost total")</f>
        <v>Gesamtgemeinkosten</v>
      </c>
      <c r="E111" s="67"/>
      <c r="F111" s="75"/>
      <c r="G111" s="626"/>
      <c r="H111" s="1070">
        <f>H$109+H$110</f>
        <v>16.128790953001545</v>
      </c>
      <c r="I111" s="634" t="s">
        <v>290</v>
      </c>
      <c r="J111" s="634"/>
      <c r="K111" s="1070">
        <f>K$109+K$110</f>
        <v>3.7993070385944443</v>
      </c>
      <c r="L111" s="634" t="s">
        <v>290</v>
      </c>
      <c r="M111" s="634"/>
      <c r="N111" s="1070">
        <f t="shared" ref="N111" si="41">N$109+N$110</f>
        <v>4.994952738523601</v>
      </c>
      <c r="O111" s="634" t="s">
        <v>290</v>
      </c>
      <c r="P111" s="634"/>
      <c r="Q111" s="1070" t="e">
        <f t="shared" ref="Q111" si="42">Q$109+Q$110</f>
        <v>#VALUE!</v>
      </c>
      <c r="R111" s="634" t="s">
        <v>290</v>
      </c>
      <c r="S111" s="634"/>
      <c r="T111" s="1070" t="e">
        <f t="shared" ref="T111" si="43">T$109+T$110</f>
        <v>#VALUE!</v>
      </c>
      <c r="U111" s="634" t="s">
        <v>290</v>
      </c>
      <c r="V111" s="634"/>
      <c r="W111" s="1070" t="e">
        <f t="shared" ref="W111" si="44">W$109+W$110</f>
        <v>#VALUE!</v>
      </c>
      <c r="X111" s="642"/>
      <c r="Y111" s="78" t="s">
        <v>33</v>
      </c>
    </row>
    <row r="112" spans="2:25" x14ac:dyDescent="0.2">
      <c r="B112" s="55" t="s">
        <v>127</v>
      </c>
      <c r="D112" s="72" t="str">
        <f>'Quick Input'!I81</f>
        <v>Gewinn auf Material</v>
      </c>
      <c r="E112" s="67"/>
      <c r="F112" s="75"/>
      <c r="G112" s="626"/>
      <c r="H112" s="119">
        <v>0</v>
      </c>
      <c r="I112" s="635"/>
      <c r="J112" s="635"/>
      <c r="K112" s="119">
        <v>0</v>
      </c>
      <c r="L112" s="635"/>
      <c r="M112" s="635"/>
      <c r="N112" s="119">
        <v>0</v>
      </c>
      <c r="O112" s="635"/>
      <c r="P112" s="635"/>
      <c r="Q112" s="119">
        <v>0</v>
      </c>
      <c r="R112" s="635"/>
      <c r="S112" s="635"/>
      <c r="T112" s="119">
        <v>0</v>
      </c>
      <c r="U112" s="635"/>
      <c r="V112" s="635"/>
      <c r="W112" s="119">
        <v>0</v>
      </c>
      <c r="X112" s="642"/>
      <c r="Y112" s="78" t="s">
        <v>33</v>
      </c>
    </row>
    <row r="113" spans="2:25" x14ac:dyDescent="0.2">
      <c r="B113" s="55" t="s">
        <v>127</v>
      </c>
      <c r="D113" s="72" t="str">
        <f>'Quick Input'!I82</f>
        <v>Gewinn auf Wertschöpfung</v>
      </c>
      <c r="E113" s="67"/>
      <c r="F113" s="75"/>
      <c r="G113" s="626"/>
      <c r="H113" s="119">
        <v>0</v>
      </c>
      <c r="I113" s="635"/>
      <c r="J113" s="635"/>
      <c r="K113" s="119">
        <v>0</v>
      </c>
      <c r="L113" s="635"/>
      <c r="M113" s="635"/>
      <c r="N113" s="119">
        <v>0</v>
      </c>
      <c r="O113" s="635"/>
      <c r="P113" s="635"/>
      <c r="Q113" s="119">
        <v>0</v>
      </c>
      <c r="R113" s="635"/>
      <c r="S113" s="635"/>
      <c r="T113" s="119">
        <v>0</v>
      </c>
      <c r="U113" s="635"/>
      <c r="V113" s="635"/>
      <c r="W113" s="119">
        <v>0</v>
      </c>
      <c r="X113" s="642"/>
      <c r="Y113" s="78" t="s">
        <v>33</v>
      </c>
    </row>
    <row r="114" spans="2:25" x14ac:dyDescent="0.2">
      <c r="D114" s="82" t="str">
        <f>IF(Deutsch,"Gesamtgewinn","profit total")</f>
        <v>Gesamtgewinn</v>
      </c>
      <c r="E114" s="67"/>
      <c r="F114" s="75"/>
      <c r="G114" s="626"/>
      <c r="H114" s="1069">
        <f>H$112*H$26+H$113*H$100</f>
        <v>0</v>
      </c>
      <c r="I114" s="634" t="s">
        <v>290</v>
      </c>
      <c r="J114" s="634"/>
      <c r="K114" s="1069">
        <f>K$112*K$26+K$113*K$100</f>
        <v>0</v>
      </c>
      <c r="L114" s="634" t="s">
        <v>290</v>
      </c>
      <c r="M114" s="634"/>
      <c r="N114" s="1069">
        <f>N$112*N$26+N$113*N$100</f>
        <v>0</v>
      </c>
      <c r="O114" s="634" t="s">
        <v>290</v>
      </c>
      <c r="P114" s="634"/>
      <c r="Q114" s="1069" t="e">
        <f>Q$112*Q$26+Q$113*Q$100</f>
        <v>#VALUE!</v>
      </c>
      <c r="R114" s="634" t="s">
        <v>290</v>
      </c>
      <c r="S114" s="634"/>
      <c r="T114" s="1069" t="e">
        <f>T$112*T$26+T$113*T$100</f>
        <v>#VALUE!</v>
      </c>
      <c r="U114" s="634" t="s">
        <v>290</v>
      </c>
      <c r="V114" s="634"/>
      <c r="W114" s="1069" t="e">
        <f>W$112*W$26+W$113*W$100</f>
        <v>#VALUE!</v>
      </c>
      <c r="X114" s="642"/>
      <c r="Y114" s="78" t="s">
        <v>33</v>
      </c>
    </row>
    <row r="115" spans="2:25" ht="6" customHeight="1" x14ac:dyDescent="0.2">
      <c r="D115" s="72"/>
      <c r="E115" s="67"/>
      <c r="F115" s="75"/>
      <c r="G115" s="626"/>
      <c r="H115" s="86"/>
      <c r="I115" s="634" t="s">
        <v>290</v>
      </c>
      <c r="J115" s="634"/>
      <c r="K115" s="86"/>
      <c r="L115" s="78" t="s">
        <v>290</v>
      </c>
      <c r="M115" s="78"/>
      <c r="N115" s="86"/>
      <c r="O115" s="78" t="s">
        <v>290</v>
      </c>
      <c r="P115" s="78"/>
      <c r="Q115" s="86"/>
      <c r="R115" s="78" t="s">
        <v>290</v>
      </c>
      <c r="S115" s="78"/>
      <c r="T115" s="86"/>
      <c r="U115" s="78" t="s">
        <v>290</v>
      </c>
      <c r="V115" s="78"/>
      <c r="W115" s="86"/>
      <c r="X115" s="642"/>
      <c r="Y115" s="78" t="s">
        <v>33</v>
      </c>
    </row>
    <row r="116" spans="2:25" x14ac:dyDescent="0.2">
      <c r="D116" s="808" t="str">
        <f>IF(Deutsch,"Bauteilpreis gesamt","part cost total")</f>
        <v>Bauteilpreis gesamt</v>
      </c>
      <c r="E116" s="67"/>
      <c r="F116" s="75"/>
      <c r="G116" s="626"/>
      <c r="H116" s="1071">
        <f>H$107+H$111+H$114</f>
        <v>103.08815594069385</v>
      </c>
      <c r="I116" s="634" t="s">
        <v>290</v>
      </c>
      <c r="J116" s="634"/>
      <c r="K116" s="1071">
        <f>K$107+K$111+K$114</f>
        <v>27.864706841782965</v>
      </c>
      <c r="L116" s="634" t="s">
        <v>290</v>
      </c>
      <c r="M116" s="634"/>
      <c r="N116" s="1071">
        <f>N$107+N$111+N$114</f>
        <v>35.038581041357901</v>
      </c>
      <c r="O116" s="634" t="s">
        <v>290</v>
      </c>
      <c r="P116" s="634"/>
      <c r="Q116" s="1071" t="e">
        <f>Q$107+Q$111+Q$114</f>
        <v>#VALUE!</v>
      </c>
      <c r="R116" s="634" t="s">
        <v>290</v>
      </c>
      <c r="S116" s="634"/>
      <c r="T116" s="1071" t="e">
        <f>T$107+T$111+T$114</f>
        <v>#VALUE!</v>
      </c>
      <c r="U116" s="634" t="s">
        <v>290</v>
      </c>
      <c r="V116" s="634"/>
      <c r="W116" s="1071" t="e">
        <f>W$107+W$111+W$114</f>
        <v>#VALUE!</v>
      </c>
      <c r="X116" s="642"/>
      <c r="Y116" s="78" t="s">
        <v>33</v>
      </c>
    </row>
    <row r="117" spans="2:25" ht="6" customHeight="1" thickBot="1" x14ac:dyDescent="0.25">
      <c r="D117" s="82"/>
      <c r="E117" s="67"/>
      <c r="F117" s="75"/>
      <c r="G117" s="626"/>
      <c r="H117" s="92"/>
      <c r="I117" s="634" t="s">
        <v>290</v>
      </c>
      <c r="J117" s="634"/>
      <c r="K117" s="92"/>
      <c r="L117" s="78" t="s">
        <v>290</v>
      </c>
      <c r="M117" s="78"/>
      <c r="N117" s="92"/>
      <c r="O117" s="78" t="s">
        <v>290</v>
      </c>
      <c r="P117" s="78"/>
      <c r="Q117" s="92"/>
      <c r="R117" s="78" t="s">
        <v>290</v>
      </c>
      <c r="S117" s="78"/>
      <c r="T117" s="92"/>
      <c r="U117" s="78" t="s">
        <v>290</v>
      </c>
      <c r="V117" s="78"/>
      <c r="W117" s="92"/>
      <c r="X117" s="642"/>
      <c r="Y117" s="78" t="s">
        <v>33</v>
      </c>
    </row>
    <row r="118" spans="2:25" ht="14.25" customHeight="1" x14ac:dyDescent="0.2">
      <c r="D118" s="1203" t="str">
        <f>IF(Deutsch,"Potenziabschätzung","estimation potential")</f>
        <v>Potenziabschätzung</v>
      </c>
      <c r="E118" s="1204"/>
      <c r="F118" s="1205"/>
      <c r="G118" s="626"/>
      <c r="H118" s="286" t="e">
        <f>IF(H50=Parametrikber!F126,IF(H51=#REF!,TRUE,FALSE),FALSE)</f>
        <v>#REF!</v>
      </c>
      <c r="I118" s="634" t="s">
        <v>290</v>
      </c>
      <c r="J118" s="634"/>
      <c r="K118" s="286" t="e">
        <f>IF(K50=Parametrikber!I126,IF(K51=#REF!,TRUE,FALSE),FALSE)</f>
        <v>#REF!</v>
      </c>
      <c r="L118" s="78" t="s">
        <v>290</v>
      </c>
      <c r="M118" s="364"/>
      <c r="N118" s="286" t="e">
        <f>IF(N50=Parametrikber!L126,IF(N51=#REF!,TRUE,FALSE),FALSE)</f>
        <v>#REF!</v>
      </c>
      <c r="O118" s="78" t="s">
        <v>290</v>
      </c>
      <c r="P118" s="364"/>
      <c r="Q118" s="286" t="e">
        <f>IF(Q50=Parametrikber!O126,IF(Q51=#REF!,TRUE,FALSE),FALSE)</f>
        <v>#VALUE!</v>
      </c>
      <c r="R118" s="78" t="s">
        <v>290</v>
      </c>
      <c r="S118" s="364"/>
      <c r="T118" s="286" t="e">
        <f>IF(T50=Parametrikber!R126,IF(T51=#REF!,TRUE,FALSE),FALSE)</f>
        <v>#VALUE!</v>
      </c>
      <c r="U118" s="78" t="s">
        <v>290</v>
      </c>
      <c r="V118" s="364"/>
      <c r="W118" s="286" t="e">
        <f>IF(W50=Parametrikber!U126,IF(W51=#REF!,TRUE,FALSE),FALSE)</f>
        <v>#VALUE!</v>
      </c>
      <c r="X118" s="641"/>
      <c r="Y118" s="78" t="s">
        <v>33</v>
      </c>
    </row>
    <row r="119" spans="2:25" x14ac:dyDescent="0.2">
      <c r="D119" s="1206"/>
      <c r="E119" s="1207"/>
      <c r="F119" s="1208"/>
      <c r="G119" s="626"/>
      <c r="H119" s="143"/>
      <c r="I119" s="634" t="s">
        <v>290</v>
      </c>
      <c r="J119" s="638"/>
      <c r="K119" s="143"/>
      <c r="L119" s="78" t="s">
        <v>290</v>
      </c>
      <c r="M119" s="144"/>
      <c r="N119" s="143"/>
      <c r="O119" s="78" t="s">
        <v>290</v>
      </c>
      <c r="P119" s="144"/>
      <c r="Q119" s="143"/>
      <c r="R119" s="78" t="s">
        <v>290</v>
      </c>
      <c r="S119" s="144"/>
      <c r="T119" s="143"/>
      <c r="U119" s="78" t="s">
        <v>290</v>
      </c>
      <c r="V119" s="144"/>
      <c r="W119" s="143"/>
      <c r="X119" s="642"/>
      <c r="Y119" s="78" t="s">
        <v>33</v>
      </c>
    </row>
    <row r="120" spans="2:25" x14ac:dyDescent="0.2">
      <c r="B120" s="55" t="s">
        <v>127</v>
      </c>
      <c r="D120" s="72" t="str">
        <f>'Quick Input'!I51</f>
        <v>Zielpreis Bauteil</v>
      </c>
      <c r="E120" s="73"/>
      <c r="F120" s="75"/>
      <c r="G120" s="626"/>
      <c r="H120" s="85">
        <f>AVERAGE('Quick Input'!M$52:M$56)</f>
        <v>55</v>
      </c>
      <c r="I120" s="634" t="s">
        <v>290</v>
      </c>
      <c r="J120" s="638"/>
      <c r="K120" s="85">
        <f>AVERAGE('Quick Input'!P52:P56)</f>
        <v>55</v>
      </c>
      <c r="L120" s="78" t="s">
        <v>290</v>
      </c>
      <c r="M120" s="365"/>
      <c r="N120" s="85">
        <f>AVERAGE('Quick Input'!S52:S56)</f>
        <v>55</v>
      </c>
      <c r="O120" s="78" t="s">
        <v>290</v>
      </c>
      <c r="P120" s="365"/>
      <c r="Q120" s="85" t="e">
        <f>AVERAGE('Quick Input'!V52:V56)</f>
        <v>#DIV/0!</v>
      </c>
      <c r="R120" s="78" t="s">
        <v>290</v>
      </c>
      <c r="S120" s="365"/>
      <c r="T120" s="85" t="e">
        <f>AVERAGE('Quick Input'!Y52:Y56)</f>
        <v>#DIV/0!</v>
      </c>
      <c r="U120" s="78" t="s">
        <v>290</v>
      </c>
      <c r="V120" s="365"/>
      <c r="W120" s="85" t="e">
        <f>AVERAGE('Quick Input'!AB52:AB56)</f>
        <v>#DIV/0!</v>
      </c>
      <c r="X120" s="642"/>
      <c r="Y120" s="78" t="s">
        <v>33</v>
      </c>
    </row>
    <row r="121" spans="2:25" x14ac:dyDescent="0.2">
      <c r="D121" s="72" t="str">
        <f>IF(Deutsch,"Potenzial pro Bauteil","earning per part")</f>
        <v>Potenzial pro Bauteil</v>
      </c>
      <c r="E121" s="73"/>
      <c r="F121" s="75"/>
      <c r="G121" s="626"/>
      <c r="H121" s="85">
        <f>H$120-H$116</f>
        <v>-48.088155940693852</v>
      </c>
      <c r="I121" s="634" t="s">
        <v>290</v>
      </c>
      <c r="J121" s="634"/>
      <c r="K121" s="85">
        <f>K120-K116</f>
        <v>27.135293158217035</v>
      </c>
      <c r="L121" s="78" t="s">
        <v>290</v>
      </c>
      <c r="M121" s="78"/>
      <c r="N121" s="85">
        <f>N120-N116</f>
        <v>19.961418958642099</v>
      </c>
      <c r="O121" s="78" t="s">
        <v>290</v>
      </c>
      <c r="P121" s="78"/>
      <c r="Q121" s="85" t="e">
        <f>Q120-Q116</f>
        <v>#DIV/0!</v>
      </c>
      <c r="R121" s="78" t="s">
        <v>290</v>
      </c>
      <c r="S121" s="78"/>
      <c r="T121" s="85" t="e">
        <f>T120-T116</f>
        <v>#DIV/0!</v>
      </c>
      <c r="U121" s="78" t="s">
        <v>290</v>
      </c>
      <c r="V121" s="78"/>
      <c r="W121" s="85" t="e">
        <f>W120-W116</f>
        <v>#DIV/0!</v>
      </c>
      <c r="X121" s="642"/>
      <c r="Y121" s="78" t="s">
        <v>33</v>
      </c>
    </row>
    <row r="122" spans="2:25" x14ac:dyDescent="0.2">
      <c r="D122" s="72" t="str">
        <f>IF(Deutsch,"Potenzial über Lebenszyklus","earnig per live time")</f>
        <v>Potenzial über Lebenszyklus</v>
      </c>
      <c r="E122" s="73"/>
      <c r="F122" s="75"/>
      <c r="G122" s="626"/>
      <c r="H122" s="93">
        <f>IF(H$121&gt;0,H$121*'Quick Input'!M$44,0)</f>
        <v>0</v>
      </c>
      <c r="I122" s="634" t="s">
        <v>290</v>
      </c>
      <c r="J122" s="634"/>
      <c r="K122" s="93">
        <f>IF(K121&gt;0,K121*'Quick Input'!P44,0)</f>
        <v>814058.79474651103</v>
      </c>
      <c r="L122" s="78" t="s">
        <v>290</v>
      </c>
      <c r="M122" s="78"/>
      <c r="N122" s="93">
        <f>IF(N121&gt;0,N121*'Quick Input'!S44,0)</f>
        <v>598842.56875926303</v>
      </c>
      <c r="O122" s="78" t="s">
        <v>290</v>
      </c>
      <c r="P122" s="78"/>
      <c r="Q122" s="93" t="e">
        <f>IF(Q121&gt;0,Q121*'Quick Input'!V44,0)</f>
        <v>#DIV/0!</v>
      </c>
      <c r="R122" s="78" t="s">
        <v>290</v>
      </c>
      <c r="S122" s="78"/>
      <c r="T122" s="93" t="e">
        <f>IF(T121&gt;0,T121*'Quick Input'!Y44,0)</f>
        <v>#DIV/0!</v>
      </c>
      <c r="U122" s="78" t="s">
        <v>290</v>
      </c>
      <c r="V122" s="78"/>
      <c r="W122" s="93" t="e">
        <f>IF(W121&gt;0,W121*'Quick Input'!AB44,0)</f>
        <v>#DIV/0!</v>
      </c>
      <c r="X122" s="642"/>
      <c r="Y122" s="78" t="s">
        <v>33</v>
      </c>
    </row>
    <row r="123" spans="2:25" x14ac:dyDescent="0.2">
      <c r="D123" s="72" t="str">
        <f>IF(Deutsch,"Anzahl notwendiger Gieß-WKZ","tool sets")</f>
        <v>Anzahl notwendiger Gieß-WKZ</v>
      </c>
      <c r="E123" s="73"/>
      <c r="F123" s="75"/>
      <c r="G123" s="626"/>
      <c r="H123" s="140" t="str">
        <f>CONCATENATE(Parametrikber!F$259," x ",Parametrikber!F$258)</f>
        <v>2 x Alu</v>
      </c>
      <c r="I123" s="634" t="s">
        <v>290</v>
      </c>
      <c r="J123" s="634"/>
      <c r="K123" s="140" t="str">
        <f>CONCATENATE(Parametrikber!I$259," x ",Parametrikber!I$258)</f>
        <v>2 x Alu</v>
      </c>
      <c r="L123" s="78" t="s">
        <v>290</v>
      </c>
      <c r="M123" s="78"/>
      <c r="N123" s="140" t="str">
        <f>CONCATENATE(Parametrikber!L$259," x ",Parametrikber!L$258)</f>
        <v>2 x Alu</v>
      </c>
      <c r="O123" s="78" t="s">
        <v>290</v>
      </c>
      <c r="P123" s="78"/>
      <c r="Q123" s="140" t="e">
        <f>CONCATENATE(Parametrikber!O$259," x ",Parametrikber!O$258)</f>
        <v>#VALUE!</v>
      </c>
      <c r="R123" s="78" t="s">
        <v>290</v>
      </c>
      <c r="S123" s="78"/>
      <c r="T123" s="140" t="e">
        <f>CONCATENATE(Parametrikber!R$259," x ",Parametrikber!R$258)</f>
        <v>#VALUE!</v>
      </c>
      <c r="U123" s="78" t="s">
        <v>290</v>
      </c>
      <c r="V123" s="78"/>
      <c r="W123" s="140" t="e">
        <f>CONCATENATE(Parametrikber!U$259," x ",Parametrikber!U$258)</f>
        <v>#VALUE!</v>
      </c>
      <c r="X123" s="642"/>
      <c r="Y123" s="78"/>
    </row>
    <row r="124" spans="2:25" x14ac:dyDescent="0.2">
      <c r="D124" s="72" t="str">
        <f>IF(Deutsch,"Werkzeuginvest geschätzt","tool invest - calculated")</f>
        <v>Werkzeuginvest geschätzt</v>
      </c>
      <c r="E124" s="73"/>
      <c r="F124" s="75"/>
      <c r="G124" s="626"/>
      <c r="H124" s="93">
        <f>Parametrikber!F$263</f>
        <v>10100</v>
      </c>
      <c r="I124" s="634" t="s">
        <v>290</v>
      </c>
      <c r="J124" s="634"/>
      <c r="K124" s="93">
        <f>Parametrikber!I$263</f>
        <v>8500</v>
      </c>
      <c r="L124" s="634" t="s">
        <v>290</v>
      </c>
      <c r="M124" s="634"/>
      <c r="N124" s="93">
        <f>Parametrikber!L$263</f>
        <v>8800</v>
      </c>
      <c r="O124" s="634" t="s">
        <v>290</v>
      </c>
      <c r="P124" s="634"/>
      <c r="Q124" s="93" t="e">
        <f>Parametrikber!O$263</f>
        <v>#VALUE!</v>
      </c>
      <c r="R124" s="634" t="s">
        <v>290</v>
      </c>
      <c r="S124" s="634"/>
      <c r="T124" s="93" t="e">
        <f>Parametrikber!R$263</f>
        <v>#VALUE!</v>
      </c>
      <c r="U124" s="634" t="s">
        <v>290</v>
      </c>
      <c r="V124" s="634"/>
      <c r="W124" s="93" t="e">
        <f>Parametrikber!U$263</f>
        <v>#VALUE!</v>
      </c>
      <c r="X124" s="642"/>
      <c r="Y124" s="78"/>
    </row>
    <row r="125" spans="2:25" x14ac:dyDescent="0.2">
      <c r="D125" s="72" t="str">
        <f>IF(Deutsch,"Kernkasteninvest geschätzt","tool invest - calculated")</f>
        <v>Kernkasteninvest geschätzt</v>
      </c>
      <c r="E125" s="73"/>
      <c r="F125" s="75"/>
      <c r="G125" s="626"/>
      <c r="H125" s="93">
        <f>Parametrikber!F$268</f>
        <v>0</v>
      </c>
      <c r="I125" s="634" t="s">
        <v>290</v>
      </c>
      <c r="J125" s="634"/>
      <c r="K125" s="93">
        <f>Parametrikber!I$268</f>
        <v>0</v>
      </c>
      <c r="L125" s="634" t="s">
        <v>290</v>
      </c>
      <c r="M125" s="634"/>
      <c r="N125" s="93">
        <f>Parametrikber!L$268</f>
        <v>0</v>
      </c>
      <c r="O125" s="634" t="s">
        <v>290</v>
      </c>
      <c r="P125" s="634"/>
      <c r="Q125" s="93">
        <f>Parametrikber!O$268</f>
        <v>0</v>
      </c>
      <c r="R125" s="634" t="s">
        <v>290</v>
      </c>
      <c r="S125" s="634"/>
      <c r="T125" s="93">
        <f>Parametrikber!R$268</f>
        <v>0</v>
      </c>
      <c r="U125" s="634" t="s">
        <v>290</v>
      </c>
      <c r="V125" s="634"/>
      <c r="W125" s="93">
        <f>Parametrikber!U$268</f>
        <v>0</v>
      </c>
      <c r="X125" s="642"/>
      <c r="Y125" s="78"/>
    </row>
    <row r="126" spans="2:25" ht="15" thickBot="1" x14ac:dyDescent="0.25">
      <c r="D126" s="807" t="str">
        <f>IF(Deutsch,"Modellkosten Angebot","tool invest - supplier")</f>
        <v>Modellkosten Angebot</v>
      </c>
      <c r="E126" s="94"/>
      <c r="F126" s="89"/>
      <c r="G126" s="630"/>
      <c r="H126" s="366">
        <f>'Quick Input'!M57+'Quick Input'!M58</f>
        <v>10000</v>
      </c>
      <c r="I126" s="639" t="s">
        <v>290</v>
      </c>
      <c r="J126" s="640"/>
      <c r="K126" s="366">
        <f>'Quick Input'!P57+'Quick Input'!P58</f>
        <v>5600</v>
      </c>
      <c r="L126" s="639" t="s">
        <v>290</v>
      </c>
      <c r="M126" s="640"/>
      <c r="N126" s="366">
        <f>'Quick Input'!S57+'Quick Input'!S58</f>
        <v>7500</v>
      </c>
      <c r="O126" s="639" t="s">
        <v>290</v>
      </c>
      <c r="P126" s="640"/>
      <c r="Q126" s="366" t="e">
        <f>'Quick Input'!V57+'Quick Input'!V58</f>
        <v>#VALUE!</v>
      </c>
      <c r="R126" s="639" t="s">
        <v>290</v>
      </c>
      <c r="S126" s="640"/>
      <c r="T126" s="366" t="e">
        <f>'Quick Input'!Y57+'Quick Input'!Y58</f>
        <v>#VALUE!</v>
      </c>
      <c r="U126" s="639" t="s">
        <v>290</v>
      </c>
      <c r="V126" s="640"/>
      <c r="W126" s="366" t="e">
        <f>'Quick Input'!AB57+'Quick Input'!AB58</f>
        <v>#VALUE!</v>
      </c>
      <c r="X126" s="644"/>
      <c r="Y126" s="78" t="s">
        <v>33</v>
      </c>
    </row>
    <row r="127" spans="2:25" ht="9" customHeight="1" thickBot="1" x14ac:dyDescent="0.25">
      <c r="G127" s="276"/>
      <c r="Y127" s="55" t="s">
        <v>33</v>
      </c>
    </row>
    <row r="128" spans="2:25" ht="11.25" customHeight="1" x14ac:dyDescent="0.2">
      <c r="D128" s="1191" t="str">
        <f>IF(Deutsch,"Empfehlungen / Info"," suggestion, infos")</f>
        <v>Empfehlungen / Info</v>
      </c>
      <c r="E128" s="1192"/>
      <c r="F128" s="1193"/>
      <c r="G128" s="191"/>
    </row>
    <row r="129" spans="2:25" ht="9.75" customHeight="1" thickBot="1" x14ac:dyDescent="0.25">
      <c r="D129" s="1194"/>
      <c r="E129" s="1195"/>
      <c r="F129" s="1196"/>
      <c r="G129" s="191"/>
    </row>
    <row r="130" spans="2:25" ht="26.25" customHeight="1" x14ac:dyDescent="0.2">
      <c r="B130" s="55" t="s">
        <v>127</v>
      </c>
      <c r="D130" s="603" t="str">
        <f>IF(Deutsch,"Parameter","parameter")</f>
        <v>Parameter</v>
      </c>
      <c r="E130" s="600"/>
      <c r="F130" s="601"/>
      <c r="G130" s="631"/>
      <c r="H130" s="703" t="str">
        <f>VLOOKUP(1,Parametrikber!E$275:$X$291,IF(Deutsch,19,20),FALSE)</f>
        <v>Empfehlung Formverfahren</v>
      </c>
      <c r="I130" s="271" t="s">
        <v>290</v>
      </c>
      <c r="J130" s="602"/>
      <c r="K130" s="703" t="str">
        <f>VLOOKUP(1,Parametrikber!H$275:$X$291,IF(Deutsch,16,17),FALSE)</f>
        <v>Empfehlung Formverfahren</v>
      </c>
      <c r="L130" s="271" t="s">
        <v>290</v>
      </c>
      <c r="M130" s="602"/>
      <c r="N130" s="703" t="str">
        <f>VLOOKUP(1,Parametrikber!K$275:$X$291,IF(Deutsch,13,14),FALSE)</f>
        <v>Empfehlung Formverfahren</v>
      </c>
      <c r="O130" s="271" t="s">
        <v>290</v>
      </c>
      <c r="P130" s="602"/>
      <c r="Q130" s="703" t="str">
        <f>VLOOKUP(1,Parametrikber!N$275:$X$291,IF(Deutsch,10,11),FALSE)</f>
        <v xml:space="preserve"> </v>
      </c>
      <c r="R130" s="271" t="s">
        <v>290</v>
      </c>
      <c r="S130" s="602"/>
      <c r="T130" s="703" t="str">
        <f>VLOOKUP(1,Parametrikber!Q$275:$X$291,IF(Deutsch,7,8),FALSE)</f>
        <v xml:space="preserve"> </v>
      </c>
      <c r="U130" s="271" t="s">
        <v>290</v>
      </c>
      <c r="V130" s="602"/>
      <c r="W130" s="703" t="str">
        <f>VLOOKUP(1,Parametrikber!T$275:$X$291,IF(Deutsch,4,5),FALSE)</f>
        <v xml:space="preserve"> </v>
      </c>
      <c r="X130" s="360"/>
      <c r="Y130" s="78" t="s">
        <v>33</v>
      </c>
    </row>
    <row r="131" spans="2:25" ht="15" thickBot="1" x14ac:dyDescent="0.25">
      <c r="D131" s="142"/>
      <c r="E131" s="94"/>
      <c r="F131" s="89"/>
      <c r="G131" s="632"/>
      <c r="H131" s="724" t="str">
        <f>VLOOKUP(2,Parametrikber!E$275:$X$292,2,FALSE)</f>
        <v>automatisch</v>
      </c>
      <c r="I131" s="87" t="s">
        <v>290</v>
      </c>
      <c r="J131" s="87"/>
      <c r="K131" s="704" t="str">
        <f>VLOOKUP(2,Parametrikber!H$275:$X$292,2,FALSE)</f>
        <v>automatisch</v>
      </c>
      <c r="L131" s="87" t="s">
        <v>290</v>
      </c>
      <c r="M131" s="87"/>
      <c r="N131" s="704" t="str">
        <f>VLOOKUP(2,Parametrikber!K$275:$X$292,2,FALSE)</f>
        <v>automatisch</v>
      </c>
      <c r="O131" s="87" t="s">
        <v>290</v>
      </c>
      <c r="P131" s="87"/>
      <c r="Q131" s="704" t="str">
        <f>VLOOKUP(2,Parametrikber!N$275:$X$292,2,FALSE)</f>
        <v xml:space="preserve"> </v>
      </c>
      <c r="R131" s="87" t="s">
        <v>290</v>
      </c>
      <c r="S131" s="87"/>
      <c r="T131" s="704" t="str">
        <f>VLOOKUP(2,Parametrikber!Q$275:$X$292,2,FALSE)</f>
        <v xml:space="preserve"> </v>
      </c>
      <c r="U131" s="87" t="s">
        <v>290</v>
      </c>
      <c r="V131" s="87"/>
      <c r="W131" s="704" t="str">
        <f>VLOOKUP(2,Parametrikber!T$275:$X$292,2,FALSE)</f>
        <v xml:space="preserve"> </v>
      </c>
      <c r="X131" s="362"/>
      <c r="Y131" s="78" t="s">
        <v>33</v>
      </c>
    </row>
    <row r="132" spans="2:25" ht="25.5" customHeight="1" x14ac:dyDescent="0.2">
      <c r="D132" s="603" t="str">
        <f>IF(Deutsch,"Parameter","parameter")</f>
        <v>Parameter</v>
      </c>
      <c r="E132" s="600"/>
      <c r="F132" s="601"/>
      <c r="G132" s="631"/>
      <c r="H132" s="703" t="str">
        <f>VLOOKUP(3,Parametrikber!E$275:$X$291,IF(Deutsch,19,20),FALSE)</f>
        <v>Kastenausnutzung (Volumen)</v>
      </c>
      <c r="I132" s="271" t="s">
        <v>290</v>
      </c>
      <c r="J132" s="602"/>
      <c r="K132" s="703" t="str">
        <f>VLOOKUP(3,Parametrikber!H$275:$X$291,IF(Deutsch,16,17),FALSE)</f>
        <v>Kastenausnutzung (Volumen)</v>
      </c>
      <c r="L132" s="271" t="s">
        <v>290</v>
      </c>
      <c r="M132" s="602"/>
      <c r="N132" s="703" t="str">
        <f>VLOOKUP(3,Parametrikber!K$275:$X$291,IF(Deutsch,13,14),FALSE)</f>
        <v>Kastenausnutzung (Volumen)</v>
      </c>
      <c r="O132" s="271" t="s">
        <v>290</v>
      </c>
      <c r="P132" s="602"/>
      <c r="Q132" s="703" t="str">
        <f>VLOOKUP(3,Parametrikber!N$275:$X$291,IF(Deutsch,10,11),FALSE)</f>
        <v xml:space="preserve"> </v>
      </c>
      <c r="R132" s="271" t="s">
        <v>290</v>
      </c>
      <c r="S132" s="602"/>
      <c r="T132" s="703" t="str">
        <f>VLOOKUP(3,Parametrikber!Q$275:$X$291,IF(Deutsch,7,8),FALSE)</f>
        <v xml:space="preserve"> </v>
      </c>
      <c r="U132" s="271" t="s">
        <v>290</v>
      </c>
      <c r="V132" s="602"/>
      <c r="W132" s="703" t="str">
        <f>VLOOKUP(3,Parametrikber!T$275:$X$291,IF(Deutsch,4,5),FALSE)</f>
        <v xml:space="preserve"> </v>
      </c>
      <c r="X132" s="360"/>
      <c r="Y132" s="55" t="s">
        <v>33</v>
      </c>
    </row>
    <row r="133" spans="2:25" ht="15" thickBot="1" x14ac:dyDescent="0.25">
      <c r="D133" s="142"/>
      <c r="E133" s="94"/>
      <c r="F133" s="89"/>
      <c r="G133" s="632"/>
      <c r="H133" s="723" t="str">
        <f>VLOOKUP(4,Parametrikber!E$275:$X$292,2,FALSE)</f>
        <v>0%</v>
      </c>
      <c r="I133" s="87" t="s">
        <v>290</v>
      </c>
      <c r="J133" s="87"/>
      <c r="K133" s="723" t="str">
        <f>VLOOKUP(4,Parametrikber!H$275:$X$292,2,FALSE)</f>
        <v>1%</v>
      </c>
      <c r="L133" s="87" t="s">
        <v>290</v>
      </c>
      <c r="M133" s="87"/>
      <c r="N133" s="723" t="str">
        <f>VLOOKUP(4,Parametrikber!K$275:$X$292,2,FALSE)</f>
        <v>1%</v>
      </c>
      <c r="O133" s="87" t="s">
        <v>290</v>
      </c>
      <c r="P133" s="87"/>
      <c r="Q133" s="723" t="str">
        <f>VLOOKUP(4,Parametrikber!N$275:$X$292,2,FALSE)</f>
        <v xml:space="preserve"> </v>
      </c>
      <c r="R133" s="87" t="s">
        <v>290</v>
      </c>
      <c r="S133" s="87"/>
      <c r="T133" s="723" t="str">
        <f>VLOOKUP(4,Parametrikber!Q$275:$X$292,2,FALSE)</f>
        <v xml:space="preserve"> </v>
      </c>
      <c r="U133" s="87" t="s">
        <v>290</v>
      </c>
      <c r="V133" s="87"/>
      <c r="W133" s="723" t="str">
        <f>VLOOKUP(4,Parametrikber!T$275:$X$292,2,FALSE)</f>
        <v xml:space="preserve"> </v>
      </c>
      <c r="X133" s="362"/>
      <c r="Y133" s="55" t="s">
        <v>33</v>
      </c>
    </row>
    <row r="134" spans="2:25" ht="26.25" customHeight="1" x14ac:dyDescent="0.2">
      <c r="D134" s="603" t="str">
        <f>IF(Deutsch,"Parameter","parameter")</f>
        <v>Parameter</v>
      </c>
      <c r="E134" s="600"/>
      <c r="F134" s="601"/>
      <c r="G134" s="631"/>
      <c r="H134" s="703" t="str">
        <f>VLOOKUP(5,Parametrikber!E$275:$X$291,IF(Deutsch,19,20),FALSE)</f>
        <v>Anzahl Modelle &gt;1</v>
      </c>
      <c r="I134" s="271" t="s">
        <v>290</v>
      </c>
      <c r="J134" s="602"/>
      <c r="K134" s="703" t="str">
        <f>VLOOKUP(5,Parametrikber!H$275:$X$291,IF(Deutsch,16,17),FALSE)</f>
        <v>Anteil Rüstzeit zu Prod.-Zeit</v>
      </c>
      <c r="L134" s="271" t="s">
        <v>290</v>
      </c>
      <c r="M134" s="602"/>
      <c r="N134" s="703" t="str">
        <f>VLOOKUP(5,Parametrikber!K$275:$X$291,IF(Deutsch,13,14),FALSE)</f>
        <v>Anteil Rüstzeit zu Prod.-Zeit</v>
      </c>
      <c r="O134" s="271" t="s">
        <v>290</v>
      </c>
      <c r="P134" s="602"/>
      <c r="Q134" s="703" t="str">
        <f>VLOOKUP(5,Parametrikber!N$275:$X$291,IF(Deutsch,10,11),FALSE)</f>
        <v xml:space="preserve"> </v>
      </c>
      <c r="R134" s="271" t="s">
        <v>290</v>
      </c>
      <c r="S134" s="602"/>
      <c r="T134" s="703" t="str">
        <f>VLOOKUP(5,Parametrikber!Q$275:$X$291,IF(Deutsch,7,8),FALSE)</f>
        <v xml:space="preserve"> </v>
      </c>
      <c r="U134" s="271" t="s">
        <v>290</v>
      </c>
      <c r="V134" s="602"/>
      <c r="W134" s="703" t="str">
        <f>VLOOKUP(5,Parametrikber!T$275:$X$291,IF(Deutsch,4,5),FALSE)</f>
        <v xml:space="preserve"> </v>
      </c>
      <c r="X134" s="360"/>
      <c r="Y134" s="55" t="s">
        <v>33</v>
      </c>
    </row>
    <row r="135" spans="2:25" ht="15" thickBot="1" x14ac:dyDescent="0.25">
      <c r="D135" s="142"/>
      <c r="E135" s="94"/>
      <c r="F135" s="89"/>
      <c r="G135" s="632"/>
      <c r="H135" s="704" t="str">
        <f>VLOOKUP(6,Parametrikber!E$275:$X$292,2,FALSE)</f>
        <v>2 WKZ aus Alu</v>
      </c>
      <c r="I135" s="87" t="s">
        <v>290</v>
      </c>
      <c r="J135" s="87"/>
      <c r="K135" s="704" t="str">
        <f>VLOOKUP(6,Parametrikber!H$275:$X$292,2,FALSE)</f>
        <v>43,1 %</v>
      </c>
      <c r="L135" s="87" t="s">
        <v>290</v>
      </c>
      <c r="M135" s="87"/>
      <c r="N135" s="704" t="str">
        <f>VLOOKUP(6,Parametrikber!K$275:$X$292,2,FALSE)</f>
        <v>43,1 %</v>
      </c>
      <c r="O135" s="87" t="s">
        <v>290</v>
      </c>
      <c r="P135" s="87"/>
      <c r="Q135" s="704" t="str">
        <f>VLOOKUP(6,Parametrikber!N$275:$X$292,2,FALSE)</f>
        <v xml:space="preserve"> </v>
      </c>
      <c r="R135" s="87" t="s">
        <v>290</v>
      </c>
      <c r="S135" s="87"/>
      <c r="T135" s="704" t="str">
        <f>VLOOKUP(6,Parametrikber!Q$275:$X$292,2,FALSE)</f>
        <v xml:space="preserve"> </v>
      </c>
      <c r="U135" s="87" t="s">
        <v>290</v>
      </c>
      <c r="V135" s="87"/>
      <c r="W135" s="704" t="str">
        <f>VLOOKUP(6,Parametrikber!T$275:$X$292,2,FALSE)</f>
        <v xml:space="preserve"> </v>
      </c>
      <c r="X135" s="362"/>
      <c r="Y135" s="55" t="s">
        <v>33</v>
      </c>
    </row>
    <row r="136" spans="2:25" x14ac:dyDescent="0.2">
      <c r="G136" s="67"/>
      <c r="Y136" s="55" t="s">
        <v>33</v>
      </c>
    </row>
    <row r="137" spans="2:25" x14ac:dyDescent="0.2">
      <c r="G137" s="67"/>
      <c r="Y137" s="55" t="s">
        <v>33</v>
      </c>
    </row>
    <row r="138" spans="2:25" x14ac:dyDescent="0.2">
      <c r="G138" s="67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</row>
    <row r="182" spans="7:25" x14ac:dyDescent="0.2">
      <c r="G182" s="67"/>
    </row>
    <row r="183" spans="7:25" x14ac:dyDescent="0.2">
      <c r="G183" s="67"/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</sheetData>
  <sheetProtection password="E456" sheet="1" objects="1" scenarios="1"/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28:F129"/>
    <mergeCell ref="D5:F6"/>
    <mergeCell ref="D118:F119"/>
    <mergeCell ref="D28:F29"/>
    <mergeCell ref="D106:F107"/>
    <mergeCell ref="D9:F11"/>
    <mergeCell ref="D7:F7"/>
    <mergeCell ref="D8:F8"/>
    <mergeCell ref="D48:F48"/>
    <mergeCell ref="D99:F100"/>
    <mergeCell ref="D73:F73"/>
    <mergeCell ref="D88:F88"/>
  </mergeCells>
  <phoneticPr fontId="4" type="noConversion"/>
  <conditionalFormatting sqref="N117 Q117 T117 W117 K117 H15 H65 H117 K15 N15 Q15 W15 T15 H109 K109 N109 Q109 T109 W109 H47">
    <cfRule type="expression" dxfId="184" priority="452" stopIfTrue="1">
      <formula>VALUE(H16="Materialdatenbank")</formula>
    </cfRule>
  </conditionalFormatting>
  <conditionalFormatting sqref="H115 K115 N115 Q115 T115 W115 W54 K54 N54 Q54 T54 H54">
    <cfRule type="expression" dxfId="183" priority="453" stopIfTrue="1">
      <formula>VALUE(H56="Materialdatenbank")</formula>
    </cfRule>
  </conditionalFormatting>
  <conditionalFormatting sqref="N60 Q60 T60 W60 K60">
    <cfRule type="expression" dxfId="182" priority="455" stopIfTrue="1">
      <formula>VALUE(K113="Materialdatenbank")</formula>
    </cfRule>
  </conditionalFormatting>
  <conditionalFormatting sqref="H34">
    <cfRule type="expression" dxfId="181" priority="457" stopIfTrue="1">
      <formula>VALUE(H33="Materialdatenbank")</formula>
    </cfRule>
  </conditionalFormatting>
  <conditionalFormatting sqref="H56 K56 N56 Q56 W56 T56">
    <cfRule type="expression" dxfId="180" priority="458" stopIfTrue="1">
      <formula>VALUE(#REF!="Materialdatenbank")</formula>
    </cfRule>
  </conditionalFormatting>
  <conditionalFormatting sqref="H60">
    <cfRule type="expression" dxfId="179" priority="459" stopIfTrue="1">
      <formula>VALUE(H113="Materialdatenbank")</formula>
    </cfRule>
  </conditionalFormatting>
  <conditionalFormatting sqref="K76 N76 Q76 W76 H76">
    <cfRule type="expression" dxfId="178" priority="460" stopIfTrue="1">
      <formula>VALUE(H66="Materialdatenbank")</formula>
    </cfRule>
  </conditionalFormatting>
  <conditionalFormatting sqref="H116 H90:H91 H33 K90:K91 N90:N91 Q90:Q91 T90:T91 W90:W91 K116 N116 Q116 T116 W116 H84:H85 H101 K84:K85 K101 N84:N85 Q84:Q85 T84:T85 W84:W85 N101 Q101 T101 W101">
    <cfRule type="expression" dxfId="177" priority="461" stopIfTrue="1">
      <formula>VALUE(#REF!="Materialdatenbank")</formula>
    </cfRule>
  </conditionalFormatting>
  <conditionalFormatting sqref="H119:H122 K119:K122 N119:N122 Q119:Q122 T119:T122 H124 H57 H25 H14 H68 K14 N14 Q14 T14 W14 W119:W122 K68 N68 Q68 T68 W68 H9:H12 K9:K12 N9:N12 Q9:Q12 T9:T12 W9:W12 K25 N25 Q25 T25 W25 K57 N57 Q57 T57 W57 K126 H126 K124 N124 Q124 T124 W124 N126 Q126 T126 W126">
    <cfRule type="expression" dxfId="176" priority="462" stopIfTrue="1">
      <formula>VALUE(#REF!="Materialdatenbank")</formula>
    </cfRule>
  </conditionalFormatting>
  <conditionalFormatting sqref="H107 K107 N107 Q107 W107 T107">
    <cfRule type="expression" dxfId="175" priority="464" stopIfTrue="1">
      <formula>VALUE(#REF!="Materialdatenbank")</formula>
    </cfRule>
  </conditionalFormatting>
  <conditionalFormatting sqref="H42">
    <cfRule type="expression" dxfId="174" priority="465" stopIfTrue="1">
      <formula>VALUE(#REF!="Materialdatenbank")</formula>
    </cfRule>
  </conditionalFormatting>
  <conditionalFormatting sqref="H37">
    <cfRule type="expression" dxfId="173" priority="466" stopIfTrue="1">
      <formula>VALUE(#REF!="Materialdatenbank")</formula>
    </cfRule>
  </conditionalFormatting>
  <conditionalFormatting sqref="K2:K4 T2:T4 N2:N4 W2:W4 Q2:Q4 H2:H4">
    <cfRule type="cellIs" dxfId="172" priority="467" operator="equal">
      <formula>FALSE</formula>
    </cfRule>
  </conditionalFormatting>
  <conditionalFormatting sqref="H17">
    <cfRule type="expression" dxfId="171" priority="468" stopIfTrue="1">
      <formula>VALUE(H24="Materialdatenbank")</formula>
    </cfRule>
  </conditionalFormatting>
  <conditionalFormatting sqref="H20">
    <cfRule type="expression" dxfId="170" priority="448" stopIfTrue="1">
      <formula>VALUE(H26="Materialdatenbank")</formula>
    </cfRule>
  </conditionalFormatting>
  <conditionalFormatting sqref="H21">
    <cfRule type="expression" dxfId="169" priority="447" stopIfTrue="1">
      <formula>VALUE(H25="Materialdatenbank")</formula>
    </cfRule>
  </conditionalFormatting>
  <conditionalFormatting sqref="K17">
    <cfRule type="expression" dxfId="168" priority="420" stopIfTrue="1">
      <formula>VALUE(K24="Materialdatenbank")</formula>
    </cfRule>
  </conditionalFormatting>
  <conditionalFormatting sqref="H97 H95 K97 K95 N97 N95 Q97 Q95 W97 W95 T97 T95">
    <cfRule type="expression" dxfId="167" priority="431" stopIfTrue="1">
      <formula>VALUE(#REF!="Materialdatenbank")</formula>
    </cfRule>
  </conditionalFormatting>
  <conditionalFormatting sqref="H36">
    <cfRule type="expression" dxfId="166" priority="469" stopIfTrue="1">
      <formula>VALUE(#REF!="Materialdatenbank")</formula>
    </cfRule>
  </conditionalFormatting>
  <conditionalFormatting sqref="H40">
    <cfRule type="expression" dxfId="165" priority="475" stopIfTrue="1">
      <formula>VALUE(H34="Materialdatenbank")</formula>
    </cfRule>
  </conditionalFormatting>
  <conditionalFormatting sqref="N17">
    <cfRule type="expression" dxfId="164" priority="419" stopIfTrue="1">
      <formula>VALUE(N24="Materialdatenbank")</formula>
    </cfRule>
  </conditionalFormatting>
  <conditionalFormatting sqref="Q17">
    <cfRule type="expression" dxfId="163" priority="418" stopIfTrue="1">
      <formula>VALUE(Q24="Materialdatenbank")</formula>
    </cfRule>
  </conditionalFormatting>
  <conditionalFormatting sqref="T17">
    <cfRule type="expression" dxfId="162" priority="417" stopIfTrue="1">
      <formula>VALUE(T24="Materialdatenbank")</formula>
    </cfRule>
  </conditionalFormatting>
  <conditionalFormatting sqref="W17">
    <cfRule type="expression" dxfId="161" priority="416" stopIfTrue="1">
      <formula>VALUE(W24="Materialdatenbank")</formula>
    </cfRule>
  </conditionalFormatting>
  <conditionalFormatting sqref="H39 K39 Q39 T39 W39">
    <cfRule type="expression" dxfId="160" priority="404" stopIfTrue="1">
      <formula>VALUE(H47="Materialdatenbank")</formula>
    </cfRule>
  </conditionalFormatting>
  <conditionalFormatting sqref="K40">
    <cfRule type="expression" dxfId="159" priority="410" stopIfTrue="1">
      <formula>VALUE(K34="Materialdatenbank")</formula>
    </cfRule>
  </conditionalFormatting>
  <conditionalFormatting sqref="N40">
    <cfRule type="expression" dxfId="158" priority="402" stopIfTrue="1">
      <formula>VALUE(N34="Materialdatenbank")</formula>
    </cfRule>
  </conditionalFormatting>
  <conditionalFormatting sqref="Q40">
    <cfRule type="expression" dxfId="157" priority="394" stopIfTrue="1">
      <formula>VALUE(Q34="Materialdatenbank")</formula>
    </cfRule>
  </conditionalFormatting>
  <conditionalFormatting sqref="T40">
    <cfRule type="expression" dxfId="156" priority="386" stopIfTrue="1">
      <formula>VALUE(T34="Materialdatenbank")</formula>
    </cfRule>
  </conditionalFormatting>
  <conditionalFormatting sqref="W40">
    <cfRule type="expression" dxfId="155" priority="378" stopIfTrue="1">
      <formula>VALUE(W34="Materialdatenbank")</formula>
    </cfRule>
  </conditionalFormatting>
  <conditionalFormatting sqref="K42">
    <cfRule type="expression" dxfId="154" priority="360" stopIfTrue="1">
      <formula>VALUE(#REF!="Materialdatenbank")</formula>
    </cfRule>
  </conditionalFormatting>
  <conditionalFormatting sqref="N42">
    <cfRule type="expression" dxfId="153" priority="359" stopIfTrue="1">
      <formula>VALUE(#REF!="Materialdatenbank")</formula>
    </cfRule>
  </conditionalFormatting>
  <conditionalFormatting sqref="Q42">
    <cfRule type="expression" dxfId="152" priority="358" stopIfTrue="1">
      <formula>VALUE(#REF!="Materialdatenbank")</formula>
    </cfRule>
  </conditionalFormatting>
  <conditionalFormatting sqref="T42">
    <cfRule type="expression" dxfId="151" priority="357" stopIfTrue="1">
      <formula>VALUE(#REF!="Materialdatenbank")</formula>
    </cfRule>
  </conditionalFormatting>
  <conditionalFormatting sqref="W42">
    <cfRule type="expression" dxfId="150" priority="356" stopIfTrue="1">
      <formula>VALUE(#REF!="Materialdatenbank")</formula>
    </cfRule>
  </conditionalFormatting>
  <conditionalFormatting sqref="K65">
    <cfRule type="expression" dxfId="149" priority="352" stopIfTrue="1">
      <formula>VALUE(K66="Materialdatenbank")</formula>
    </cfRule>
  </conditionalFormatting>
  <conditionalFormatting sqref="N65">
    <cfRule type="expression" dxfId="148" priority="350" stopIfTrue="1">
      <formula>VALUE(N66="Materialdatenbank")</formula>
    </cfRule>
  </conditionalFormatting>
  <conditionalFormatting sqref="Q65">
    <cfRule type="expression" dxfId="147" priority="348" stopIfTrue="1">
      <formula>VALUE(Q66="Materialdatenbank")</formula>
    </cfRule>
  </conditionalFormatting>
  <conditionalFormatting sqref="T65">
    <cfRule type="expression" dxfId="146" priority="346" stopIfTrue="1">
      <formula>VALUE(T66="Materialdatenbank")</formula>
    </cfRule>
  </conditionalFormatting>
  <conditionalFormatting sqref="W65">
    <cfRule type="expression" dxfId="145" priority="344" stopIfTrue="1">
      <formula>VALUE(W66="Materialdatenbank")</formula>
    </cfRule>
  </conditionalFormatting>
  <conditionalFormatting sqref="K131">
    <cfRule type="expression" dxfId="144" priority="234" stopIfTrue="1">
      <formula>K131=" "</formula>
    </cfRule>
  </conditionalFormatting>
  <conditionalFormatting sqref="K130">
    <cfRule type="expression" dxfId="143" priority="233" stopIfTrue="1">
      <formula>K130=" "</formula>
    </cfRule>
  </conditionalFormatting>
  <conditionalFormatting sqref="Q130">
    <cfRule type="expression" dxfId="142" priority="214" stopIfTrue="1">
      <formula>Q130=" "</formula>
    </cfRule>
  </conditionalFormatting>
  <conditionalFormatting sqref="N130">
    <cfRule type="expression" dxfId="141" priority="220" stopIfTrue="1">
      <formula>N130=" "</formula>
    </cfRule>
  </conditionalFormatting>
  <conditionalFormatting sqref="K135">
    <cfRule type="expression" dxfId="140" priority="229" stopIfTrue="1">
      <formula>K135=" "</formula>
    </cfRule>
  </conditionalFormatting>
  <conditionalFormatting sqref="N133">
    <cfRule type="expression" dxfId="139" priority="219" stopIfTrue="1">
      <formula>N133=" "</formula>
    </cfRule>
  </conditionalFormatting>
  <conditionalFormatting sqref="H131">
    <cfRule type="expression" dxfId="138" priority="227" stopIfTrue="1">
      <formula>H131=" "</formula>
    </cfRule>
  </conditionalFormatting>
  <conditionalFormatting sqref="H130">
    <cfRule type="expression" dxfId="137" priority="226" stopIfTrue="1">
      <formula>H130=" "</formula>
    </cfRule>
  </conditionalFormatting>
  <conditionalFormatting sqref="H135">
    <cfRule type="expression" dxfId="136" priority="223" stopIfTrue="1">
      <formula>H135=" "</formula>
    </cfRule>
  </conditionalFormatting>
  <conditionalFormatting sqref="Q135">
    <cfRule type="expression" dxfId="135" priority="211" stopIfTrue="1">
      <formula>Q135=" "</formula>
    </cfRule>
  </conditionalFormatting>
  <conditionalFormatting sqref="N131">
    <cfRule type="expression" dxfId="134" priority="221" stopIfTrue="1">
      <formula>N131=" "</formula>
    </cfRule>
  </conditionalFormatting>
  <conditionalFormatting sqref="N135">
    <cfRule type="expression" dxfId="133" priority="217" stopIfTrue="1">
      <formula>N135=" "</formula>
    </cfRule>
  </conditionalFormatting>
  <conditionalFormatting sqref="T131">
    <cfRule type="expression" dxfId="132" priority="209" stopIfTrue="1">
      <formula>T131=" "</formula>
    </cfRule>
  </conditionalFormatting>
  <conditionalFormatting sqref="Q131">
    <cfRule type="expression" dxfId="131" priority="215" stopIfTrue="1">
      <formula>Q131=" "</formula>
    </cfRule>
  </conditionalFormatting>
  <conditionalFormatting sqref="Q133">
    <cfRule type="expression" dxfId="130" priority="213" stopIfTrue="1">
      <formula>Q133=" "</formula>
    </cfRule>
  </conditionalFormatting>
  <conditionalFormatting sqref="T135">
    <cfRule type="expression" dxfId="129" priority="205" stopIfTrue="1">
      <formula>T135=" "</formula>
    </cfRule>
  </conditionalFormatting>
  <conditionalFormatting sqref="T130">
    <cfRule type="expression" dxfId="128" priority="208" stopIfTrue="1">
      <formula>T130=" "</formula>
    </cfRule>
  </conditionalFormatting>
  <conditionalFormatting sqref="T133">
    <cfRule type="expression" dxfId="127" priority="207" stopIfTrue="1">
      <formula>T133=" "</formula>
    </cfRule>
  </conditionalFormatting>
  <conditionalFormatting sqref="W130">
    <cfRule type="expression" dxfId="126" priority="202" stopIfTrue="1">
      <formula>W130=" "</formula>
    </cfRule>
  </conditionalFormatting>
  <conditionalFormatting sqref="W133">
    <cfRule type="expression" dxfId="125" priority="201" stopIfTrue="1">
      <formula>W133=" "</formula>
    </cfRule>
  </conditionalFormatting>
  <conditionalFormatting sqref="W131">
    <cfRule type="expression" dxfId="124" priority="203" stopIfTrue="1">
      <formula>W131=" "</formula>
    </cfRule>
  </conditionalFormatting>
  <conditionalFormatting sqref="W135">
    <cfRule type="expression" dxfId="123" priority="199" stopIfTrue="1">
      <formula>W135=" "</formula>
    </cfRule>
  </conditionalFormatting>
  <conditionalFormatting sqref="H22">
    <cfRule type="expression" dxfId="122" priority="197" stopIfTrue="1">
      <formula>VALUE(H116="Materialdatenbank")</formula>
    </cfRule>
  </conditionalFormatting>
  <conditionalFormatting sqref="K22">
    <cfRule type="expression" dxfId="121" priority="186" stopIfTrue="1">
      <formula>VALUE(K116="Materialdatenbank")</formula>
    </cfRule>
  </conditionalFormatting>
  <conditionalFormatting sqref="N22">
    <cfRule type="expression" dxfId="120" priority="185" stopIfTrue="1">
      <formula>VALUE(N116="Materialdatenbank")</formula>
    </cfRule>
  </conditionalFormatting>
  <conditionalFormatting sqref="Q22">
    <cfRule type="expression" dxfId="119" priority="184" stopIfTrue="1">
      <formula>VALUE(Q116="Materialdatenbank")</formula>
    </cfRule>
  </conditionalFormatting>
  <conditionalFormatting sqref="T22">
    <cfRule type="expression" dxfId="118" priority="183" stopIfTrue="1">
      <formula>VALUE(T116="Materialdatenbank")</formula>
    </cfRule>
  </conditionalFormatting>
  <conditionalFormatting sqref="W22">
    <cfRule type="expression" dxfId="117" priority="182" stopIfTrue="1">
      <formula>VALUE(W116="Materialdatenbank")</formula>
    </cfRule>
  </conditionalFormatting>
  <conditionalFormatting sqref="H132">
    <cfRule type="expression" dxfId="116" priority="180" stopIfTrue="1">
      <formula>H132=" "</formula>
    </cfRule>
  </conditionalFormatting>
  <conditionalFormatting sqref="H134">
    <cfRule type="expression" dxfId="115" priority="179" stopIfTrue="1">
      <formula>H134=" "</formula>
    </cfRule>
  </conditionalFormatting>
  <conditionalFormatting sqref="K132">
    <cfRule type="expression" dxfId="114" priority="178" stopIfTrue="1">
      <formula>K132=" "</formula>
    </cfRule>
  </conditionalFormatting>
  <conditionalFormatting sqref="K134">
    <cfRule type="expression" dxfId="113" priority="177" stopIfTrue="1">
      <formula>K134=" "</formula>
    </cfRule>
  </conditionalFormatting>
  <conditionalFormatting sqref="N132">
    <cfRule type="expression" dxfId="112" priority="176" stopIfTrue="1">
      <formula>N132=" "</formula>
    </cfRule>
  </conditionalFormatting>
  <conditionalFormatting sqref="N134">
    <cfRule type="expression" dxfId="111" priority="175" stopIfTrue="1">
      <formula>N134=" "</formula>
    </cfRule>
  </conditionalFormatting>
  <conditionalFormatting sqref="Q132">
    <cfRule type="expression" dxfId="110" priority="174" stopIfTrue="1">
      <formula>Q132=" "</formula>
    </cfRule>
  </conditionalFormatting>
  <conditionalFormatting sqref="Q134">
    <cfRule type="expression" dxfId="109" priority="173" stopIfTrue="1">
      <formula>Q134=" "</formula>
    </cfRule>
  </conditionalFormatting>
  <conditionalFormatting sqref="T132">
    <cfRule type="expression" dxfId="108" priority="172" stopIfTrue="1">
      <formula>T132=" "</formula>
    </cfRule>
  </conditionalFormatting>
  <conditionalFormatting sqref="T134">
    <cfRule type="expression" dxfId="107" priority="171" stopIfTrue="1">
      <formula>T134=" "</formula>
    </cfRule>
  </conditionalFormatting>
  <conditionalFormatting sqref="W132">
    <cfRule type="expression" dxfId="106" priority="170" stopIfTrue="1">
      <formula>W132=" "</formula>
    </cfRule>
  </conditionalFormatting>
  <conditionalFormatting sqref="W134">
    <cfRule type="expression" dxfId="105" priority="169" stopIfTrue="1">
      <formula>W134=" "</formula>
    </cfRule>
  </conditionalFormatting>
  <conditionalFormatting sqref="H96 K96 N96 Q96 W96 T96">
    <cfRule type="expression" dxfId="104" priority="168" stopIfTrue="1">
      <formula>VALUE(#REF!="Materialdatenbank")</formula>
    </cfRule>
  </conditionalFormatting>
  <conditionalFormatting sqref="H133">
    <cfRule type="expression" dxfId="103" priority="160" stopIfTrue="1">
      <formula>H133=" "</formula>
    </cfRule>
  </conditionalFormatting>
  <conditionalFormatting sqref="K133">
    <cfRule type="expression" dxfId="102" priority="158" stopIfTrue="1">
      <formula>K133=" "</formula>
    </cfRule>
  </conditionalFormatting>
  <conditionalFormatting sqref="H92 K92 N92 Q92 T92 W92">
    <cfRule type="expression" dxfId="101" priority="152" stopIfTrue="1">
      <formula>VALUE(#REF!="Materialdatenbank")</formula>
    </cfRule>
  </conditionalFormatting>
  <conditionalFormatting sqref="H93 K93 N93 Q93 T93 W93">
    <cfRule type="expression" dxfId="100" priority="151" stopIfTrue="1">
      <formula>VALUE(#REF!="Materialdatenbank")</formula>
    </cfRule>
  </conditionalFormatting>
  <conditionalFormatting sqref="K33">
    <cfRule type="expression" dxfId="99" priority="146" stopIfTrue="1">
      <formula>VALUE(#REF!="Materialdatenbank")</formula>
    </cfRule>
  </conditionalFormatting>
  <conditionalFormatting sqref="N33">
    <cfRule type="expression" dxfId="98" priority="144" stopIfTrue="1">
      <formula>VALUE(#REF!="Materialdatenbank")</formula>
    </cfRule>
  </conditionalFormatting>
  <conditionalFormatting sqref="Q33">
    <cfRule type="expression" dxfId="97" priority="142" stopIfTrue="1">
      <formula>VALUE(#REF!="Materialdatenbank")</formula>
    </cfRule>
  </conditionalFormatting>
  <conditionalFormatting sqref="T33">
    <cfRule type="expression" dxfId="96" priority="140" stopIfTrue="1">
      <formula>VALUE(#REF!="Materialdatenbank")</formula>
    </cfRule>
  </conditionalFormatting>
  <conditionalFormatting sqref="W33">
    <cfRule type="expression" dxfId="95" priority="138" stopIfTrue="1">
      <formula>VALUE(#REF!="Materialdatenbank")</formula>
    </cfRule>
  </conditionalFormatting>
  <conditionalFormatting sqref="K37 N37 Q37 T37 W37">
    <cfRule type="expression" dxfId="94" priority="136" stopIfTrue="1">
      <formula>VALUE(#REF!="Materialdatenbank")</formula>
    </cfRule>
  </conditionalFormatting>
  <conditionalFormatting sqref="K34">
    <cfRule type="expression" dxfId="93" priority="133" stopIfTrue="1">
      <formula>VALUE(K33="Materialdatenbank")</formula>
    </cfRule>
  </conditionalFormatting>
  <conditionalFormatting sqref="N34">
    <cfRule type="expression" dxfId="92" priority="132" stopIfTrue="1">
      <formula>VALUE(N33="Materialdatenbank")</formula>
    </cfRule>
  </conditionalFormatting>
  <conditionalFormatting sqref="Q34">
    <cfRule type="expression" dxfId="91" priority="131" stopIfTrue="1">
      <formula>VALUE(Q33="Materialdatenbank")</formula>
    </cfRule>
  </conditionalFormatting>
  <conditionalFormatting sqref="T34">
    <cfRule type="expression" dxfId="90" priority="130" stopIfTrue="1">
      <formula>VALUE(T33="Materialdatenbank")</formula>
    </cfRule>
  </conditionalFormatting>
  <conditionalFormatting sqref="W34">
    <cfRule type="expression" dxfId="89" priority="129" stopIfTrue="1">
      <formula>VALUE(W33="Materialdatenbank")</formula>
    </cfRule>
  </conditionalFormatting>
  <conditionalFormatting sqref="H45">
    <cfRule type="expression" dxfId="88" priority="127" stopIfTrue="1">
      <formula>VALUE(#REF!="Materialdatenbank")</formula>
    </cfRule>
  </conditionalFormatting>
  <conditionalFormatting sqref="H43">
    <cfRule type="expression" dxfId="87" priority="128" stopIfTrue="1">
      <formula>VALUE(H37="Materialdatenbank")</formula>
    </cfRule>
  </conditionalFormatting>
  <conditionalFormatting sqref="K43">
    <cfRule type="expression" dxfId="86" priority="106" stopIfTrue="1">
      <formula>VALUE(K37="Materialdatenbank")</formula>
    </cfRule>
  </conditionalFormatting>
  <conditionalFormatting sqref="N43">
    <cfRule type="expression" dxfId="85" priority="105" stopIfTrue="1">
      <formula>VALUE(N37="Materialdatenbank")</formula>
    </cfRule>
  </conditionalFormatting>
  <conditionalFormatting sqref="Q43">
    <cfRule type="expression" dxfId="84" priority="104" stopIfTrue="1">
      <formula>VALUE(Q37="Materialdatenbank")</formula>
    </cfRule>
  </conditionalFormatting>
  <conditionalFormatting sqref="T43">
    <cfRule type="expression" dxfId="83" priority="103" stopIfTrue="1">
      <formula>VALUE(T37="Materialdatenbank")</formula>
    </cfRule>
  </conditionalFormatting>
  <conditionalFormatting sqref="W43">
    <cfRule type="expression" dxfId="82" priority="102" stopIfTrue="1">
      <formula>VALUE(W37="Materialdatenbank")</formula>
    </cfRule>
  </conditionalFormatting>
  <conditionalFormatting sqref="K21">
    <cfRule type="expression" dxfId="81" priority="91" stopIfTrue="1">
      <formula>VALUE(K25="Materialdatenbank")</formula>
    </cfRule>
  </conditionalFormatting>
  <conditionalFormatting sqref="N21">
    <cfRule type="expression" dxfId="80" priority="90" stopIfTrue="1">
      <formula>VALUE(N25="Materialdatenbank")</formula>
    </cfRule>
  </conditionalFormatting>
  <conditionalFormatting sqref="Q21">
    <cfRule type="expression" dxfId="79" priority="89" stopIfTrue="1">
      <formula>VALUE(Q25="Materialdatenbank")</formula>
    </cfRule>
  </conditionalFormatting>
  <conditionalFormatting sqref="W21">
    <cfRule type="expression" dxfId="78" priority="87" stopIfTrue="1">
      <formula>VALUE(W25="Materialdatenbank")</formula>
    </cfRule>
  </conditionalFormatting>
  <conditionalFormatting sqref="K100 H100 N100 Q100 T100 W100">
    <cfRule type="expression" dxfId="77" priority="78" stopIfTrue="1">
      <formula>VALUE(H103="Materialdatenbank")</formula>
    </cfRule>
  </conditionalFormatting>
  <conditionalFormatting sqref="H26 K26 N26 Q26 T26 W26">
    <cfRule type="expression" dxfId="76" priority="477" stopIfTrue="1">
      <formula>VALUE(#REF!="Materialdatenbank")</formula>
    </cfRule>
  </conditionalFormatting>
  <conditionalFormatting sqref="H18 N18 Q18 T18 W18 K18">
    <cfRule type="expression" dxfId="75" priority="75" stopIfTrue="1">
      <formula>VALUE(H21="Materialdatenbank")</formula>
    </cfRule>
  </conditionalFormatting>
  <conditionalFormatting sqref="H23">
    <cfRule type="expression" dxfId="74" priority="74" stopIfTrue="1">
      <formula>VALUE(H27="Materialdatenbank")</formula>
    </cfRule>
  </conditionalFormatting>
  <conditionalFormatting sqref="H19">
    <cfRule type="expression" dxfId="73" priority="61" stopIfTrue="1">
      <formula>VALUE(#REF!="Materialdatenbank")</formula>
    </cfRule>
  </conditionalFormatting>
  <conditionalFormatting sqref="K19 N19 Q19 T19 W19">
    <cfRule type="expression" dxfId="72" priority="60" stopIfTrue="1">
      <formula>VALUE(#REF!="Materialdatenbank")</formula>
    </cfRule>
  </conditionalFormatting>
  <conditionalFormatting sqref="K20 N20 Q20 W20 T20">
    <cfRule type="expression" dxfId="71" priority="59" stopIfTrue="1">
      <formula>VALUE(K26="Materialdatenbank")</formula>
    </cfRule>
  </conditionalFormatting>
  <conditionalFormatting sqref="K23 N23 Q23 T23 W23">
    <cfRule type="expression" dxfId="70" priority="58" stopIfTrue="1">
      <formula>VALUE(K27="Materialdatenbank")</formula>
    </cfRule>
  </conditionalFormatting>
  <conditionalFormatting sqref="K45">
    <cfRule type="expression" dxfId="69" priority="57" stopIfTrue="1">
      <formula>VALUE(#REF!="Materialdatenbank")</formula>
    </cfRule>
  </conditionalFormatting>
  <conditionalFormatting sqref="N45">
    <cfRule type="expression" dxfId="68" priority="56" stopIfTrue="1">
      <formula>VALUE(#REF!="Materialdatenbank")</formula>
    </cfRule>
  </conditionalFormatting>
  <conditionalFormatting sqref="Q45">
    <cfRule type="expression" dxfId="67" priority="55" stopIfTrue="1">
      <formula>VALUE(#REF!="Materialdatenbank")</formula>
    </cfRule>
  </conditionalFormatting>
  <conditionalFormatting sqref="W45">
    <cfRule type="expression" dxfId="66" priority="54" stopIfTrue="1">
      <formula>VALUE(#REF!="Materialdatenbank")</formula>
    </cfRule>
  </conditionalFormatting>
  <conditionalFormatting sqref="K36 N36 Q36 T36 W36">
    <cfRule type="expression" dxfId="65" priority="53" stopIfTrue="1">
      <formula>VALUE(#REF!="Materialdatenbank")</formula>
    </cfRule>
  </conditionalFormatting>
  <conditionalFormatting sqref="N39">
    <cfRule type="expression" dxfId="64" priority="52" stopIfTrue="1">
      <formula>VALUE(N47="Materialdatenbank")</formula>
    </cfRule>
  </conditionalFormatting>
  <conditionalFormatting sqref="T21">
    <cfRule type="expression" dxfId="63" priority="51" stopIfTrue="1">
      <formula>VALUE(T25="Materialdatenbank")</formula>
    </cfRule>
  </conditionalFormatting>
  <conditionalFormatting sqref="T45">
    <cfRule type="expression" dxfId="62" priority="50" stopIfTrue="1">
      <formula>VALUE(#REF!="Materialdatenbank")</formula>
    </cfRule>
  </conditionalFormatting>
  <conditionalFormatting sqref="K87 N87 Q87 T87 W87 H87">
    <cfRule type="expression" dxfId="61" priority="484" stopIfTrue="1">
      <formula>VALUE(H65="Materialdatenbank")</formula>
    </cfRule>
  </conditionalFormatting>
  <conditionalFormatting sqref="T76">
    <cfRule type="expression" dxfId="60" priority="490" stopIfTrue="1">
      <formula>VALUE(T66="Materialdatenbank")</formula>
    </cfRule>
  </conditionalFormatting>
  <conditionalFormatting sqref="T64 W64 H64 K64 N64 Q64">
    <cfRule type="expression" dxfId="59" priority="496" stopIfTrue="1">
      <formula>VALUE(H53="Materialdatenbank")</formula>
    </cfRule>
  </conditionalFormatting>
  <conditionalFormatting sqref="H83 K83 N83 Q83 T83 W83">
    <cfRule type="expression" dxfId="58" priority="498" stopIfTrue="1">
      <formula>VALUE(H63="Materialdatenbank")</formula>
    </cfRule>
  </conditionalFormatting>
  <conditionalFormatting sqref="K66 N66 Q66 T66 W66 H66">
    <cfRule type="expression" dxfId="57" priority="46" stopIfTrue="1">
      <formula>VALUE(H117="Materialdatenbank")</formula>
    </cfRule>
  </conditionalFormatting>
  <conditionalFormatting sqref="H110 K110 N110 Q110 T110 W110">
    <cfRule type="expression" dxfId="56" priority="500" stopIfTrue="1">
      <formula>VALUE(#REF!="Materialdatenbank")</formula>
    </cfRule>
  </conditionalFormatting>
  <conditionalFormatting sqref="N111 Q111 T111 W111">
    <cfRule type="expression" dxfId="55" priority="523" stopIfTrue="1">
      <formula>VALUE(N98="Materialdatenbank")</formula>
    </cfRule>
  </conditionalFormatting>
  <conditionalFormatting sqref="K103 N103 Q103 T103 W103 H103">
    <cfRule type="expression" dxfId="54" priority="524" stopIfTrue="1">
      <formula>VALUE(H70="Materialdatenbank")</formula>
    </cfRule>
  </conditionalFormatting>
  <conditionalFormatting sqref="K47">
    <cfRule type="expression" dxfId="53" priority="38" stopIfTrue="1">
      <formula>VALUE(K48="Materialdatenbank")</formula>
    </cfRule>
  </conditionalFormatting>
  <conditionalFormatting sqref="N47">
    <cfRule type="expression" dxfId="52" priority="37" stopIfTrue="1">
      <formula>VALUE(N48="Materialdatenbank")</formula>
    </cfRule>
  </conditionalFormatting>
  <conditionalFormatting sqref="Q47">
    <cfRule type="expression" dxfId="51" priority="36" stopIfTrue="1">
      <formula>VALUE(Q48="Materialdatenbank")</formula>
    </cfRule>
  </conditionalFormatting>
  <conditionalFormatting sqref="T47">
    <cfRule type="expression" dxfId="50" priority="35" stopIfTrue="1">
      <formula>VALUE(T48="Materialdatenbank")</formula>
    </cfRule>
  </conditionalFormatting>
  <conditionalFormatting sqref="W47">
    <cfRule type="expression" dxfId="49" priority="34" stopIfTrue="1">
      <formula>VALUE(W48="Materialdatenbank")</formula>
    </cfRule>
  </conditionalFormatting>
  <conditionalFormatting sqref="H72">
    <cfRule type="expression" dxfId="48" priority="29" stopIfTrue="1">
      <formula>VALUE(H68="Materialdatenbank")</formula>
    </cfRule>
  </conditionalFormatting>
  <conditionalFormatting sqref="H111">
    <cfRule type="expression" dxfId="47" priority="26" stopIfTrue="1">
      <formula>VALUE(H98="Materialdatenbank")</formula>
    </cfRule>
  </conditionalFormatting>
  <conditionalFormatting sqref="H114">
    <cfRule type="expression" dxfId="46" priority="25" stopIfTrue="1">
      <formula>VALUE(H101="Materialdatenbank")</formula>
    </cfRule>
  </conditionalFormatting>
  <conditionalFormatting sqref="K111">
    <cfRule type="expression" dxfId="45" priority="23" stopIfTrue="1">
      <formula>VALUE(K98="Materialdatenbank")</formula>
    </cfRule>
  </conditionalFormatting>
  <conditionalFormatting sqref="N71 Q71 T71 W71 K71 H71">
    <cfRule type="expression" dxfId="44" priority="529" stopIfTrue="1">
      <formula>VALUE(#REF!="Materialdatenbank")</formula>
    </cfRule>
  </conditionalFormatting>
  <conditionalFormatting sqref="H104">
    <cfRule type="expression" dxfId="43" priority="21" stopIfTrue="1">
      <formula>VALUE(H107="Materialdatenbank")</formula>
    </cfRule>
  </conditionalFormatting>
  <conditionalFormatting sqref="K104 N104 Q104 T104 W104">
    <cfRule type="expression" dxfId="42" priority="20" stopIfTrue="1">
      <formula>VALUE(K107="Materialdatenbank")</formula>
    </cfRule>
  </conditionalFormatting>
  <conditionalFormatting sqref="H82 K82 N82 Q82 T82 W82">
    <cfRule type="expression" dxfId="41" priority="553" stopIfTrue="1">
      <formula>VALUE(H64="Materialdatenbank")</formula>
    </cfRule>
  </conditionalFormatting>
  <conditionalFormatting sqref="H98 K98 N98 Q98 T98 W98">
    <cfRule type="expression" dxfId="40" priority="558" stopIfTrue="1">
      <formula>VALUE(H76="Materialdatenbank")</formula>
    </cfRule>
  </conditionalFormatting>
  <conditionalFormatting sqref="H77 N77 Q77 T77 W77 N81 Q81 T81 W81">
    <cfRule type="expression" dxfId="39" priority="19" stopIfTrue="1">
      <formula>VALUE(H60="Materialdatenbank")</formula>
    </cfRule>
  </conditionalFormatting>
  <conditionalFormatting sqref="K77">
    <cfRule type="expression" dxfId="38" priority="18" stopIfTrue="1">
      <formula>VALUE(K60="Materialdatenbank")</formula>
    </cfRule>
  </conditionalFormatting>
  <conditionalFormatting sqref="H81">
    <cfRule type="expression" dxfId="37" priority="15" stopIfTrue="1">
      <formula>VALUE(H64="Materialdatenbank")</formula>
    </cfRule>
  </conditionalFormatting>
  <conditionalFormatting sqref="K81">
    <cfRule type="expression" dxfId="36" priority="7" stopIfTrue="1">
      <formula>VALUE(K64="Materialdatenbank")</formula>
    </cfRule>
  </conditionalFormatting>
  <conditionalFormatting sqref="H69">
    <cfRule type="expression" dxfId="35" priority="5" stopIfTrue="1">
      <formula>VALUE(H120="Materialdatenbank")</formula>
    </cfRule>
  </conditionalFormatting>
  <conditionalFormatting sqref="K69 N69 Q69 T69 W69">
    <cfRule type="expression" dxfId="34" priority="4" stopIfTrue="1">
      <formula>VALUE(K120="Materialdatenbank")</formula>
    </cfRule>
  </conditionalFormatting>
  <conditionalFormatting sqref="K72 N72 Q72 T72 W72">
    <cfRule type="expression" dxfId="33" priority="3" stopIfTrue="1">
      <formula>VALUE(K68="Materialdatenbank")</formula>
    </cfRule>
  </conditionalFormatting>
  <conditionalFormatting sqref="K114 N114 Q114 T114 W114">
    <cfRule type="expression" dxfId="32" priority="2" stopIfTrue="1">
      <formula>VALUE(K101="Materialdatenbank")</formula>
    </cfRule>
  </conditionalFormatting>
  <conditionalFormatting sqref="H125 K125 N125 Q125 T125 W125">
    <cfRule type="expression" dxfId="31" priority="1" stopIfTrue="1">
      <formula>VALUE(#REF!="Materialdatenbank")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5 K95 N95 Q95 W95 H95" xr:uid="{00000000-0002-0000-0200-000005000000}">
      <formula1>0</formula1>
      <formula2>1</formula2>
    </dataValidation>
    <dataValidation type="decimal" allowBlank="1" showInputMessage="1" showErrorMessage="1" sqref="H96 K96 N96 Q96 W96 T96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436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195</v>
      </c>
      <c r="D7" s="430" t="str">
        <f>CONCATENATE('Quick Input'!U3,"_",'Quick Input'!U4)</f>
        <v>MGG_DI MC</v>
      </c>
      <c r="E7" s="403"/>
      <c r="F7" s="404"/>
      <c r="G7" s="407" t="s">
        <v>196</v>
      </c>
      <c r="H7" s="408">
        <f>'Quick Input'!L4</f>
        <v>43993</v>
      </c>
      <c r="I7" s="11"/>
    </row>
    <row r="8" spans="1:11" ht="15" x14ac:dyDescent="0.25">
      <c r="B8" s="9"/>
      <c r="C8" s="405" t="s">
        <v>197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198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199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200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201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202</v>
      </c>
      <c r="D17" s="361"/>
      <c r="E17" s="403"/>
      <c r="F17" s="294"/>
      <c r="G17" s="405" t="s">
        <v>203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204</v>
      </c>
      <c r="D19" s="406" t="str">
        <f>CONCATENATE("Siemens ",'Quick Input'!U2)</f>
        <v>Siemens Erlangen</v>
      </c>
      <c r="E19" s="403"/>
      <c r="F19" s="294"/>
      <c r="G19" s="420" t="s">
        <v>205</v>
      </c>
      <c r="H19" s="421"/>
      <c r="I19" s="11"/>
    </row>
    <row r="20" spans="2:9" x14ac:dyDescent="0.2">
      <c r="B20" s="9"/>
      <c r="C20" s="420" t="s">
        <v>206</v>
      </c>
      <c r="D20" s="406" t="str">
        <f>Refkalkulation!H6</f>
        <v>Housing</v>
      </c>
      <c r="E20" s="403"/>
      <c r="F20" s="294"/>
      <c r="G20" s="420" t="s">
        <v>207</v>
      </c>
      <c r="H20" s="421"/>
      <c r="I20" s="11"/>
    </row>
    <row r="21" spans="2:9" x14ac:dyDescent="0.2">
      <c r="B21" s="9"/>
      <c r="C21" s="73" t="s">
        <v>208</v>
      </c>
      <c r="D21" s="542">
        <f>Refkalkulation!H5</f>
        <v>58622</v>
      </c>
      <c r="E21" s="403"/>
      <c r="F21" s="294"/>
      <c r="G21" s="420" t="s">
        <v>279</v>
      </c>
      <c r="H21" s="421"/>
      <c r="I21" s="11"/>
    </row>
    <row r="22" spans="2:9" x14ac:dyDescent="0.2">
      <c r="B22" s="9"/>
      <c r="C22" s="73" t="s">
        <v>350</v>
      </c>
      <c r="D22" s="459" t="str">
        <f>Refkalkulation!H11</f>
        <v>LM2, L-2640</v>
      </c>
      <c r="E22" s="403"/>
      <c r="F22" s="294"/>
      <c r="G22" s="420" t="s">
        <v>209</v>
      </c>
      <c r="H22" s="421"/>
      <c r="I22" s="11"/>
    </row>
    <row r="23" spans="2:9" x14ac:dyDescent="0.2">
      <c r="B23" s="9"/>
      <c r="C23" s="73" t="s">
        <v>351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360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210</v>
      </c>
      <c r="D27" s="361"/>
      <c r="E27" s="403"/>
      <c r="F27" s="404"/>
      <c r="G27" s="419" t="s">
        <v>211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551</v>
      </c>
      <c r="D29" s="421"/>
      <c r="E29" s="403"/>
      <c r="F29" s="404"/>
      <c r="G29" s="420" t="s">
        <v>280</v>
      </c>
      <c r="H29" s="421">
        <f>'Quick Input'!J22</f>
        <v>0</v>
      </c>
      <c r="I29" s="11"/>
    </row>
    <row r="30" spans="2:9" x14ac:dyDescent="0.2">
      <c r="B30" s="9"/>
      <c r="C30" s="420" t="s">
        <v>213</v>
      </c>
      <c r="D30" s="423"/>
      <c r="E30" s="403"/>
      <c r="F30" s="404"/>
      <c r="G30" s="420" t="s">
        <v>552</v>
      </c>
      <c r="H30" s="421"/>
      <c r="I30" s="11"/>
    </row>
    <row r="31" spans="2:9" x14ac:dyDescent="0.2">
      <c r="B31" s="9"/>
      <c r="C31" s="420" t="s">
        <v>663</v>
      </c>
      <c r="D31" s="423"/>
      <c r="E31" s="403"/>
      <c r="F31" s="404"/>
      <c r="G31" s="420" t="s">
        <v>552</v>
      </c>
      <c r="H31" s="421"/>
      <c r="I31" s="11"/>
    </row>
    <row r="32" spans="2:9" x14ac:dyDescent="0.2">
      <c r="B32" s="9"/>
      <c r="C32" s="420" t="s">
        <v>437</v>
      </c>
      <c r="D32" s="424"/>
      <c r="E32" s="403"/>
      <c r="F32" s="404"/>
      <c r="G32" s="420" t="s">
        <v>359</v>
      </c>
      <c r="H32" s="421"/>
      <c r="I32" s="11"/>
    </row>
    <row r="33" spans="2:9" x14ac:dyDescent="0.2">
      <c r="B33" s="9"/>
      <c r="C33" s="420" t="s">
        <v>664</v>
      </c>
      <c r="D33" s="421"/>
      <c r="E33" s="403"/>
      <c r="F33" s="404"/>
      <c r="G33" s="420" t="s">
        <v>359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278</v>
      </c>
      <c r="D36" s="361"/>
      <c r="E36" s="294"/>
      <c r="F36" s="404"/>
      <c r="G36" s="419" t="s">
        <v>214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554</v>
      </c>
      <c r="D38" s="406"/>
      <c r="E38" s="294"/>
      <c r="F38" s="404"/>
      <c r="G38" s="425" t="s">
        <v>665</v>
      </c>
      <c r="H38" s="426"/>
      <c r="I38" s="11"/>
    </row>
    <row r="39" spans="2:9" x14ac:dyDescent="0.2">
      <c r="B39" s="9"/>
      <c r="C39" s="420" t="s">
        <v>553</v>
      </c>
      <c r="D39" s="406"/>
      <c r="E39" s="294"/>
      <c r="F39" s="404"/>
      <c r="G39" s="425" t="s">
        <v>666</v>
      </c>
      <c r="H39" s="426"/>
      <c r="I39" s="11"/>
    </row>
    <row r="40" spans="2:9" x14ac:dyDescent="0.2">
      <c r="B40" s="9"/>
      <c r="C40" s="420" t="s">
        <v>555</v>
      </c>
      <c r="D40" s="406"/>
      <c r="E40" s="294"/>
      <c r="F40" s="404"/>
      <c r="G40" s="425" t="s">
        <v>667</v>
      </c>
      <c r="H40" s="426"/>
      <c r="I40" s="11"/>
    </row>
    <row r="41" spans="2:9" x14ac:dyDescent="0.2">
      <c r="B41" s="9"/>
      <c r="C41" s="420" t="s">
        <v>215</v>
      </c>
      <c r="D41" s="406"/>
      <c r="E41" s="294"/>
      <c r="F41" s="404"/>
      <c r="G41" s="425" t="s">
        <v>668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216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282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281</v>
      </c>
      <c r="D48" s="421"/>
      <c r="E48" s="403"/>
      <c r="F48" s="404"/>
      <c r="G48" s="425" t="s">
        <v>669</v>
      </c>
      <c r="H48" s="428">
        <f>SUM(H38:H46)</f>
        <v>0</v>
      </c>
      <c r="I48" s="11"/>
    </row>
    <row r="49" spans="1:11" x14ac:dyDescent="0.2">
      <c r="B49" s="9"/>
      <c r="C49" s="420" t="s">
        <v>283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217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218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219</v>
      </c>
      <c r="H101" s="26"/>
      <c r="I101" s="26"/>
      <c r="J101" s="26"/>
    </row>
    <row r="102" spans="1:10" x14ac:dyDescent="0.2">
      <c r="A102" t="s">
        <v>212</v>
      </c>
      <c r="C102" t="s">
        <v>212</v>
      </c>
      <c r="D102" t="s">
        <v>212</v>
      </c>
      <c r="H102" s="26"/>
      <c r="I102" s="26"/>
      <c r="J102" s="26"/>
    </row>
    <row r="103" spans="1:10" x14ac:dyDescent="0.2">
      <c r="A103" t="s">
        <v>220</v>
      </c>
      <c r="C103" t="s">
        <v>221</v>
      </c>
      <c r="D103" s="26" t="s">
        <v>222</v>
      </c>
      <c r="H103" s="26"/>
      <c r="I103" s="26"/>
      <c r="J103" s="26"/>
    </row>
    <row r="104" spans="1:10" x14ac:dyDescent="0.2">
      <c r="A104" t="s">
        <v>223</v>
      </c>
      <c r="B104" s="1"/>
      <c r="C104" t="s">
        <v>224</v>
      </c>
      <c r="D104" s="26" t="s">
        <v>225</v>
      </c>
      <c r="H104" s="26"/>
      <c r="I104" s="26"/>
      <c r="J104" s="26"/>
    </row>
    <row r="105" spans="1:10" x14ac:dyDescent="0.2">
      <c r="A105" t="s">
        <v>226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227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228</v>
      </c>
      <c r="B107" s="1"/>
      <c r="C107" t="s">
        <v>229</v>
      </c>
    </row>
    <row r="108" spans="1:10" x14ac:dyDescent="0.2">
      <c r="C108" t="s">
        <v>230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587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181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440</v>
      </c>
      <c r="D16" s="501" t="s">
        <v>438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443</v>
      </c>
      <c r="D17" s="501" t="s">
        <v>439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445</v>
      </c>
      <c r="D18" s="501" t="s">
        <v>442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444</v>
      </c>
      <c r="D19" s="502" t="s">
        <v>441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234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826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460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266</v>
      </c>
      <c r="D31" s="5" t="s">
        <v>267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447</v>
      </c>
      <c r="D32" s="501" t="s">
        <v>449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448</v>
      </c>
      <c r="D33" s="502" t="s">
        <v>446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272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375</v>
      </c>
      <c r="D36" s="501" t="s">
        <v>374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474</v>
      </c>
      <c r="D37" s="501" t="s">
        <v>473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476</v>
      </c>
      <c r="D38" s="502" t="s">
        <v>475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298</v>
      </c>
      <c r="C40" s="456">
        <v>1</v>
      </c>
      <c r="D40" s="37" t="s">
        <v>302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575</v>
      </c>
      <c r="D41" s="501" t="s">
        <v>574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573</v>
      </c>
      <c r="D42" s="501" t="s">
        <v>573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299</v>
      </c>
      <c r="D43" s="501" t="s">
        <v>299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301</v>
      </c>
      <c r="D44" s="5" t="s">
        <v>301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300</v>
      </c>
      <c r="D45" s="5" t="s">
        <v>300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572</v>
      </c>
      <c r="D46" s="502" t="s">
        <v>572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353</v>
      </c>
      <c r="C48" s="456">
        <v>1</v>
      </c>
      <c r="D48" s="504" t="s">
        <v>378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266</v>
      </c>
      <c r="D49" s="5" t="s">
        <v>267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380</v>
      </c>
      <c r="D50" s="501" t="s">
        <v>377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375</v>
      </c>
      <c r="D51" s="502" t="s">
        <v>376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764</v>
      </c>
      <c r="C53" s="456">
        <v>1</v>
      </c>
      <c r="D53" s="504" t="s">
        <v>765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769</v>
      </c>
      <c r="D54" s="501" t="s">
        <v>768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767</v>
      </c>
      <c r="D55" s="707" t="s">
        <v>766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774</v>
      </c>
      <c r="D56" s="707" t="s">
        <v>773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770</v>
      </c>
      <c r="D57" s="708" t="s">
        <v>770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455</v>
      </c>
      <c r="C59" s="456">
        <v>1</v>
      </c>
      <c r="D59" s="504" t="s">
        <v>456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266</v>
      </c>
      <c r="D60" s="501" t="s">
        <v>267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457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458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566</v>
      </c>
      <c r="C64" s="456">
        <v>1</v>
      </c>
      <c r="D64" s="504" t="s">
        <v>567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266</v>
      </c>
      <c r="D65" s="5" t="s">
        <v>267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816</v>
      </c>
      <c r="C70" s="456">
        <v>2</v>
      </c>
      <c r="D70" s="504" t="s">
        <v>815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811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812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814</v>
      </c>
      <c r="D73" s="502" t="s">
        <v>813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379</v>
      </c>
      <c r="D76" s="501" t="s">
        <v>829</v>
      </c>
      <c r="E76" s="41"/>
    </row>
    <row r="77" spans="1:7" ht="15" x14ac:dyDescent="0.25">
      <c r="B77" s="59" t="str">
        <f>IF(C$2,C77,D77)</f>
        <v>Gleitschleifen</v>
      </c>
      <c r="C77" s="501" t="s">
        <v>719</v>
      </c>
      <c r="D77" s="501" t="s">
        <v>720</v>
      </c>
      <c r="E77" s="41"/>
    </row>
    <row r="78" spans="1:7" ht="15" thickBot="1" x14ac:dyDescent="0.25">
      <c r="B78" s="46" t="str">
        <f>IF(C$2,C78,D78)</f>
        <v>Feinputzen</v>
      </c>
      <c r="C78" s="502" t="s">
        <v>721</v>
      </c>
      <c r="D78" s="502" t="s">
        <v>722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I2" sqref="I2:I14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245</v>
      </c>
      <c r="H1" s="56" t="s">
        <v>297</v>
      </c>
      <c r="I1" s="56" t="s">
        <v>246</v>
      </c>
      <c r="J1" s="65" t="s">
        <v>294</v>
      </c>
      <c r="K1" s="65" t="s">
        <v>293</v>
      </c>
      <c r="L1" s="65" t="s">
        <v>292</v>
      </c>
      <c r="M1" s="548" t="s">
        <v>459</v>
      </c>
      <c r="N1" s="65" t="s">
        <v>295</v>
      </c>
      <c r="O1" s="65" t="s">
        <v>296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597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598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599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600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601</v>
      </c>
      <c r="B7" s="772" t="s">
        <v>602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603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604</v>
      </c>
      <c r="B9" s="776" t="s">
        <v>605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932</v>
      </c>
      <c r="B12" s="780" t="s">
        <v>932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640</v>
      </c>
      <c r="B13" s="781" t="s">
        <v>641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244</v>
      </c>
      <c r="B16" s="55"/>
      <c r="C16" s="322"/>
      <c r="G16" s="55"/>
    </row>
    <row r="17" spans="1:15" ht="15" thickBot="1" x14ac:dyDescent="0.25">
      <c r="B17" s="815" t="s">
        <v>695</v>
      </c>
      <c r="C17" s="55"/>
      <c r="G17" s="55"/>
    </row>
    <row r="18" spans="1:15" x14ac:dyDescent="0.2">
      <c r="A18" s="167" t="s">
        <v>692</v>
      </c>
      <c r="B18" s="167" t="s">
        <v>693</v>
      </c>
      <c r="C18" s="55"/>
      <c r="D18" s="353" t="s">
        <v>291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590</v>
      </c>
      <c r="M18" s="321"/>
      <c r="N18" s="844">
        <v>42309</v>
      </c>
      <c r="O18" s="845"/>
    </row>
    <row r="19" spans="1:15" ht="15" thickBot="1" x14ac:dyDescent="0.25">
      <c r="A19" s="812" t="s">
        <v>703</v>
      </c>
      <c r="B19" s="167" t="s">
        <v>694</v>
      </c>
      <c r="C19" s="55"/>
      <c r="D19" s="738" t="s">
        <v>286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289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671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288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287</v>
      </c>
      <c r="E22" s="736"/>
      <c r="F22" s="737"/>
      <c r="G22" s="55"/>
      <c r="H22" s="314" t="s">
        <v>237</v>
      </c>
      <c r="I22" s="321"/>
      <c r="J22" s="844">
        <v>42309</v>
      </c>
      <c r="K22" s="845"/>
      <c r="L22" s="498" t="s">
        <v>675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673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248</v>
      </c>
      <c r="E24" s="840">
        <v>42935</v>
      </c>
      <c r="F24" s="730"/>
      <c r="G24" s="55"/>
      <c r="H24" s="314" t="s">
        <v>241</v>
      </c>
      <c r="I24" s="321"/>
      <c r="J24" s="844">
        <v>42309</v>
      </c>
      <c r="K24" s="845"/>
      <c r="L24" s="498" t="s">
        <v>365</v>
      </c>
      <c r="M24" s="860" t="s">
        <v>690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595</v>
      </c>
      <c r="E25" s="357">
        <v>43999</v>
      </c>
      <c r="F25" s="801" t="s">
        <v>634</v>
      </c>
      <c r="G25" s="55"/>
      <c r="H25" s="728" t="s">
        <v>673</v>
      </c>
      <c r="I25" s="433">
        <v>0</v>
      </c>
      <c r="J25" s="842">
        <v>0</v>
      </c>
      <c r="K25" s="846"/>
      <c r="L25" s="728" t="s">
        <v>673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635</v>
      </c>
      <c r="E26" s="357">
        <v>43999</v>
      </c>
      <c r="F26" s="731"/>
      <c r="G26" s="55"/>
      <c r="H26" s="314" t="s">
        <v>242</v>
      </c>
      <c r="I26" s="321"/>
      <c r="J26" s="844">
        <v>42309</v>
      </c>
      <c r="K26" s="845"/>
      <c r="L26" s="498" t="s">
        <v>677</v>
      </c>
      <c r="M26" s="860" t="s">
        <v>690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673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249</v>
      </c>
      <c r="E28" s="802" t="b">
        <f ca="1">(TODAY()-E25)&gt;450</f>
        <v>0</v>
      </c>
      <c r="F28" s="732"/>
      <c r="G28" s="55"/>
      <c r="H28" s="498" t="s">
        <v>696</v>
      </c>
      <c r="I28" s="321"/>
      <c r="J28" s="844">
        <v>42309</v>
      </c>
      <c r="K28" s="848"/>
      <c r="L28" s="498" t="s">
        <v>366</v>
      </c>
      <c r="M28" s="860" t="s">
        <v>690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697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660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673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702</v>
      </c>
      <c r="I32" s="321"/>
      <c r="J32" s="844">
        <v>42309</v>
      </c>
      <c r="K32" s="848"/>
      <c r="L32" s="498" t="s">
        <v>691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673</v>
      </c>
      <c r="M33" s="541">
        <v>0.95</v>
      </c>
      <c r="N33" s="790" t="s">
        <v>656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698</v>
      </c>
      <c r="I34" s="321"/>
      <c r="J34" s="844">
        <v>43983</v>
      </c>
      <c r="K34" s="848"/>
      <c r="L34" s="498" t="s">
        <v>706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673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657</v>
      </c>
      <c r="O35" s="846"/>
    </row>
    <row r="36" spans="1:16" x14ac:dyDescent="0.2">
      <c r="A36" s="457"/>
      <c r="B36" s="874"/>
      <c r="F36" s="55"/>
      <c r="H36" s="314" t="s">
        <v>285</v>
      </c>
      <c r="I36" s="321"/>
      <c r="J36" s="844">
        <v>42309</v>
      </c>
      <c r="K36" s="845"/>
      <c r="L36" s="498" t="s">
        <v>699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673</v>
      </c>
      <c r="I37" s="433">
        <v>0.03</v>
      </c>
      <c r="J37" s="842">
        <v>0.03</v>
      </c>
      <c r="K37" s="846"/>
      <c r="L37" s="728" t="s">
        <v>673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623</v>
      </c>
      <c r="I38" s="321" t="s">
        <v>624</v>
      </c>
      <c r="J38" s="844">
        <v>42309</v>
      </c>
      <c r="K38" s="845"/>
      <c r="L38" s="498" t="s">
        <v>700</v>
      </c>
      <c r="M38" s="321"/>
      <c r="N38" s="844">
        <v>42309</v>
      </c>
      <c r="O38" s="848"/>
    </row>
    <row r="39" spans="1:16" ht="15" thickBot="1" x14ac:dyDescent="0.25">
      <c r="A39" s="928" t="s">
        <v>813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588</v>
      </c>
      <c r="B40" s="874">
        <v>250</v>
      </c>
      <c r="F40" s="55"/>
      <c r="H40" s="498" t="s">
        <v>623</v>
      </c>
      <c r="I40" s="321" t="s">
        <v>625</v>
      </c>
      <c r="J40" s="844">
        <v>42309</v>
      </c>
      <c r="K40" s="845"/>
      <c r="L40" s="498" t="s">
        <v>717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705</v>
      </c>
      <c r="B41" s="874">
        <v>3110</v>
      </c>
      <c r="H41" s="728" t="s">
        <v>533</v>
      </c>
      <c r="I41" s="481">
        <v>6</v>
      </c>
      <c r="J41" s="855">
        <v>6</v>
      </c>
      <c r="K41" s="846"/>
      <c r="L41" s="728" t="s">
        <v>673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704</v>
      </c>
      <c r="B42" s="874">
        <v>40.1</v>
      </c>
      <c r="H42" s="498" t="s">
        <v>623</v>
      </c>
      <c r="I42" s="321" t="s">
        <v>626</v>
      </c>
      <c r="J42" s="844">
        <v>42309</v>
      </c>
      <c r="K42" s="845"/>
      <c r="L42" s="498" t="s">
        <v>715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655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654</v>
      </c>
      <c r="B44" s="874">
        <v>1654.31</v>
      </c>
      <c r="H44" s="498" t="s">
        <v>661</v>
      </c>
      <c r="I44" s="321"/>
      <c r="J44" s="844">
        <v>42309</v>
      </c>
      <c r="K44" s="848"/>
      <c r="L44" s="498" t="s">
        <v>718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652</v>
      </c>
      <c r="B45" s="874">
        <v>7682</v>
      </c>
      <c r="H45" s="728" t="s">
        <v>676</v>
      </c>
      <c r="I45" s="433">
        <v>0.02</v>
      </c>
      <c r="J45" s="842">
        <v>0.02</v>
      </c>
      <c r="K45" s="846"/>
      <c r="L45" s="728" t="s">
        <v>673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643</v>
      </c>
      <c r="B46" s="874">
        <v>6852</v>
      </c>
      <c r="H46" s="498" t="s">
        <v>593</v>
      </c>
      <c r="I46" s="321"/>
      <c r="J46" s="315"/>
      <c r="K46" s="316"/>
      <c r="L46" s="498" t="s">
        <v>878</v>
      </c>
      <c r="M46" s="321"/>
      <c r="N46" s="844">
        <v>42309</v>
      </c>
      <c r="O46" s="848"/>
    </row>
    <row r="47" spans="1:16" ht="15" thickBot="1" x14ac:dyDescent="0.25">
      <c r="A47" s="457" t="s">
        <v>653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642</v>
      </c>
      <c r="B48" s="874">
        <v>1759.34</v>
      </c>
      <c r="H48" s="314" t="s">
        <v>243</v>
      </c>
      <c r="I48" s="321"/>
      <c r="J48" s="844">
        <v>42309</v>
      </c>
      <c r="K48" s="845"/>
      <c r="L48" s="498" t="s">
        <v>674</v>
      </c>
      <c r="M48" s="321"/>
      <c r="N48" s="844">
        <v>42309</v>
      </c>
      <c r="O48" s="848"/>
    </row>
    <row r="49" spans="1:15" ht="15" thickBot="1" x14ac:dyDescent="0.25">
      <c r="A49" s="457" t="s">
        <v>644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645</v>
      </c>
      <c r="B50" s="874">
        <v>5544.29</v>
      </c>
      <c r="L50" s="498" t="s">
        <v>672</v>
      </c>
      <c r="M50" s="321"/>
      <c r="N50" s="844">
        <v>42309</v>
      </c>
      <c r="O50" s="845"/>
    </row>
    <row r="51" spans="1:15" ht="15" thickBot="1" x14ac:dyDescent="0.25">
      <c r="A51" s="457" t="s">
        <v>647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701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432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309</v>
      </c>
      <c r="D1" s="872" t="s">
        <v>707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658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681</v>
      </c>
      <c r="D2" s="812" t="s">
        <v>689</v>
      </c>
      <c r="E2" s="812" t="s">
        <v>684</v>
      </c>
      <c r="F2" s="812" t="s">
        <v>686</v>
      </c>
      <c r="G2" s="812" t="s">
        <v>687</v>
      </c>
      <c r="H2" s="833" t="s">
        <v>688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682</v>
      </c>
      <c r="S2" s="812" t="s">
        <v>708</v>
      </c>
      <c r="T2" s="812" t="s">
        <v>723</v>
      </c>
      <c r="U2" s="458" t="s">
        <v>298</v>
      </c>
    </row>
    <row r="3" spans="1:21" ht="45" customHeight="1" x14ac:dyDescent="0.2">
      <c r="A3" s="167" t="s">
        <v>31</v>
      </c>
      <c r="B3" s="167" t="s">
        <v>35</v>
      </c>
      <c r="C3" s="812" t="s">
        <v>680</v>
      </c>
      <c r="D3" s="167" t="s">
        <v>659</v>
      </c>
      <c r="E3" s="812" t="s">
        <v>685</v>
      </c>
      <c r="F3" s="812" t="s">
        <v>678</v>
      </c>
      <c r="G3" s="167" t="s">
        <v>302</v>
      </c>
      <c r="H3" s="812" t="s">
        <v>679</v>
      </c>
      <c r="I3" s="830" t="s">
        <v>655</v>
      </c>
      <c r="J3" s="830" t="s">
        <v>643</v>
      </c>
      <c r="K3" s="830" t="s">
        <v>653</v>
      </c>
      <c r="L3" s="830" t="s">
        <v>642</v>
      </c>
      <c r="M3" s="830" t="s">
        <v>647</v>
      </c>
      <c r="N3" s="830" t="s">
        <v>652</v>
      </c>
      <c r="O3" s="830" t="s">
        <v>644</v>
      </c>
      <c r="P3" s="830" t="s">
        <v>654</v>
      </c>
      <c r="Q3" s="830" t="s">
        <v>645</v>
      </c>
      <c r="R3" s="812" t="s">
        <v>646</v>
      </c>
      <c r="S3" s="812" t="s">
        <v>683</v>
      </c>
      <c r="T3" s="812" t="s">
        <v>723</v>
      </c>
      <c r="U3" s="458" t="s">
        <v>302</v>
      </c>
    </row>
    <row r="4" spans="1:21" x14ac:dyDescent="0.2">
      <c r="A4" s="816" t="s">
        <v>330</v>
      </c>
      <c r="B4" s="817" t="s">
        <v>724</v>
      </c>
      <c r="C4" s="64">
        <f>ROUND('Länder-DB'!$M$35*1.1%/(0.1%+$R4)+'Länder-DB'!$M$37+I4*I$1+J4*J$1+K4*K$1+L4*L$1+M4*M$1+N4*N$1+O4*O$1+P4*P$1+Q4*Q$1+S4,2)</f>
        <v>2.41</v>
      </c>
      <c r="D4" s="818" t="s">
        <v>757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331</v>
      </c>
      <c r="B5" s="817" t="s">
        <v>725</v>
      </c>
      <c r="C5" s="64">
        <f>ROUND('Länder-DB'!$M$35*1.1%/(0.1%+$R5)+'Länder-DB'!$M$37+I5*I$1+J5*J$1+K5*K$1+L5*L$1+M5*M$1+N5*N$1+O5*O$1+P5*P$1+Q5*Q$1+S5,2)</f>
        <v>2.4500000000000002</v>
      </c>
      <c r="D5" s="818" t="s">
        <v>758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323</v>
      </c>
      <c r="B6" s="817" t="s">
        <v>726</v>
      </c>
      <c r="C6" s="64">
        <f>ROUND('Länder-DB'!$M$35*1.1%/(0.1%+$R6)+'Länder-DB'!$M$37+I6*I$1+J6*J$1+K6*K$1+L6*L$1+M6*M$1+N6*N$1+O6*O$1+P6*P$1+Q6*Q$1+S6,2)</f>
        <v>2.27</v>
      </c>
      <c r="D6" s="816" t="s">
        <v>322</v>
      </c>
      <c r="E6" s="819">
        <v>2.75</v>
      </c>
      <c r="F6" s="816"/>
      <c r="G6" s="816" t="s">
        <v>301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321</v>
      </c>
      <c r="B7" s="817" t="s">
        <v>727</v>
      </c>
      <c r="C7" s="64">
        <f>ROUND('Länder-DB'!$M$35*1.1%/(0.1%+$R7)+'Länder-DB'!$M$37+I7*I$1+J7*J$1+K7*K$1+L7*L$1+M7*M$1+N7*N$1+O7*O$1+P7*P$1+Q7*Q$1+S7,2)</f>
        <v>2.46</v>
      </c>
      <c r="D7" s="816" t="s">
        <v>320</v>
      </c>
      <c r="E7" s="819">
        <v>2.74</v>
      </c>
      <c r="F7" s="816"/>
      <c r="G7" s="816" t="s">
        <v>327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312</v>
      </c>
    </row>
    <row r="8" spans="1:21" x14ac:dyDescent="0.2">
      <c r="A8" s="816" t="s">
        <v>332</v>
      </c>
      <c r="B8" s="817" t="s">
        <v>728</v>
      </c>
      <c r="C8" s="64">
        <f>ROUND('Länder-DB'!$M$35*1.1%/(0.1%+$R8)+'Länder-DB'!$M$37+I8*I$1+J8*J$1+K8*K$1+L8*L$1+M8*M$1+N8*N$1+O8*O$1+P8*P$1+Q8*Q$1+S8,2)</f>
        <v>2.79</v>
      </c>
      <c r="D8" s="818" t="s">
        <v>759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333</v>
      </c>
      <c r="B9" s="817" t="s">
        <v>730</v>
      </c>
      <c r="C9" s="64">
        <f>ROUND('Länder-DB'!$M$35*1.1%/(0.1%+$R9)+'Länder-DB'!$M$37+I9*I$1+J9*J$1+K9*K$1+L9*L$1+M9*M$1+N9*N$1+O9*O$1+P9*P$1+Q9*Q$1+S9,2)</f>
        <v>2.5499999999999998</v>
      </c>
      <c r="D9" s="820" t="s">
        <v>760</v>
      </c>
      <c r="E9" s="819">
        <v>2.74</v>
      </c>
      <c r="F9" s="816"/>
      <c r="G9" s="816" t="s">
        <v>327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308</v>
      </c>
      <c r="B10" s="817" t="s">
        <v>729</v>
      </c>
      <c r="C10" s="64">
        <f>ROUND('Länder-DB'!$M$35*1.1%/(0.1%+$R10)+'Länder-DB'!$M$37+I10*I$1+J10*J$1+K10*K$1+L10*L$1+M10*M$1+N10*N$1+O10*O$1+P10*P$1+Q10*Q$1+S10,2)</f>
        <v>2.31</v>
      </c>
      <c r="D10" s="816" t="s">
        <v>649</v>
      </c>
      <c r="E10" s="819">
        <v>2.706</v>
      </c>
      <c r="F10" s="816">
        <v>215</v>
      </c>
      <c r="G10" s="816" t="s">
        <v>327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312</v>
      </c>
    </row>
    <row r="11" spans="1:21" x14ac:dyDescent="0.2">
      <c r="A11" s="816" t="s">
        <v>309</v>
      </c>
      <c r="B11" s="817" t="s">
        <v>731</v>
      </c>
      <c r="C11" s="64">
        <f>ROUND('Länder-DB'!$M$35*1.1%/(0.1%+$R11)+'Länder-DB'!$M$37+I11*I$1+J11*J$1+K11*K$1+L11*L$1+M11*M$1+N11*N$1+O11*O$1+P11*P$1+Q11*Q$1+S11,2)</f>
        <v>2.29</v>
      </c>
      <c r="D11" s="816" t="s">
        <v>261</v>
      </c>
      <c r="E11" s="819">
        <v>2.706</v>
      </c>
      <c r="F11" s="816"/>
      <c r="G11" s="816" t="s">
        <v>327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312</v>
      </c>
    </row>
    <row r="12" spans="1:21" x14ac:dyDescent="0.2">
      <c r="A12" s="816" t="s">
        <v>310</v>
      </c>
      <c r="B12" s="817" t="s">
        <v>732</v>
      </c>
      <c r="C12" s="64">
        <f>ROUND('Länder-DB'!$M$35*1.1%/(0.1%+$R12)+'Länder-DB'!$M$37+I12*I$1+J12*J$1+K12*K$1+L12*L$1+M12*M$1+N12*N$1+O12*O$1+P12*P$1+Q12*Q$1+S12,2)</f>
        <v>2.1</v>
      </c>
      <c r="D12" s="820" t="s">
        <v>756</v>
      </c>
      <c r="E12" s="819">
        <v>2.706</v>
      </c>
      <c r="F12" s="816"/>
      <c r="G12" s="816" t="s">
        <v>301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312</v>
      </c>
    </row>
    <row r="13" spans="1:21" x14ac:dyDescent="0.2">
      <c r="A13" s="816" t="s">
        <v>319</v>
      </c>
      <c r="B13" s="817" t="s">
        <v>733</v>
      </c>
      <c r="C13" s="64">
        <f>ROUND('Länder-DB'!$M$35*1.1%/(0.1%+$R13)+'Länder-DB'!$M$37+I13*I$1+J13*J$1+K13*K$1+L13*L$1+M13*M$1+N13*N$1+O13*O$1+P13*P$1+Q13*Q$1+S13,2)</f>
        <v>2.38</v>
      </c>
      <c r="D13" s="818" t="s">
        <v>761</v>
      </c>
      <c r="E13" s="819">
        <v>2.726</v>
      </c>
      <c r="F13" s="816"/>
      <c r="G13" s="816" t="s">
        <v>301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318</v>
      </c>
      <c r="B14" s="817" t="s">
        <v>734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762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307</v>
      </c>
      <c r="B15" s="817" t="s">
        <v>735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260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311</v>
      </c>
    </row>
    <row r="16" spans="1:21" x14ac:dyDescent="0.2">
      <c r="A16" s="816" t="s">
        <v>306</v>
      </c>
      <c r="B16" s="817" t="s">
        <v>736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763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311</v>
      </c>
    </row>
    <row r="17" spans="1:21" x14ac:dyDescent="0.2">
      <c r="A17" s="816" t="s">
        <v>334</v>
      </c>
      <c r="B17" s="817" t="s">
        <v>737</v>
      </c>
      <c r="C17" s="64">
        <f>ROUND('Länder-DB'!$M$35*1.1%/(0.1%+$R17)+'Länder-DB'!$M$37+I17*I$1+J17*J$1+K17*K$1+L17*L$1+M17*M$1+N17*N$1+O17*O$1+P17*P$1+Q17*Q$1+S17,2)</f>
        <v>2.09</v>
      </c>
      <c r="D17" s="817" t="s">
        <v>651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305</v>
      </c>
      <c r="B18" s="817" t="s">
        <v>738</v>
      </c>
      <c r="C18" s="64">
        <f>ROUND('Länder-DB'!$M$35*1.1%/(0.1%+$R18)+'Länder-DB'!$M$37+I18*I$1+J18*J$1+K18*K$1+L18*L$1+M18*M$1+N18*N$1+O18*O$1+P18*P$1+Q18*Q$1+S18,2)</f>
        <v>2.35</v>
      </c>
      <c r="D18" s="816" t="s">
        <v>259</v>
      </c>
      <c r="E18" s="819">
        <v>2.758</v>
      </c>
      <c r="F18" s="816">
        <v>215</v>
      </c>
      <c r="G18" s="816" t="s">
        <v>267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325</v>
      </c>
      <c r="B19" s="817" t="s">
        <v>739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324</v>
      </c>
      <c r="E19" s="819">
        <v>2.75</v>
      </c>
      <c r="F19" s="816"/>
      <c r="G19" s="816" t="s">
        <v>326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335</v>
      </c>
      <c r="B20" s="817" t="s">
        <v>740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336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337</v>
      </c>
      <c r="B21" s="817" t="s">
        <v>741</v>
      </c>
      <c r="C21" s="64">
        <f>ROUND('Länder-DB'!$M$35*1.1%/(0.1%+$R21)+'Länder-DB'!$M$37+I21*I$1+J21*J$1+K21*K$1+L21*L$1+M21*M$1+N21*N$1+O21*O$1+P21*P$1+Q21*Q$1+S21,2)</f>
        <v>2.12</v>
      </c>
      <c r="D21" s="816" t="s">
        <v>338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339</v>
      </c>
      <c r="B22" s="817" t="s">
        <v>742</v>
      </c>
      <c r="C22" s="64">
        <f>ROUND('Länder-DB'!$M$35*1.1%/(0.1%+$R22)+'Länder-DB'!$M$37+I22*I$1+J22*J$1+K22*K$1+L22*L$1+M22*M$1+N22*N$1+O22*O$1+P22*P$1+Q22*Q$1+S22,2)</f>
        <v>2.23</v>
      </c>
      <c r="D22" s="816" t="s">
        <v>340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341</v>
      </c>
      <c r="B23" s="817" t="s">
        <v>743</v>
      </c>
      <c r="C23" s="64">
        <f>ROUND('Länder-DB'!$M$35*1.1%/(0.1%+$R23)+'Länder-DB'!$M$37+I23*I$1+J23*J$1+K23*K$1+L23*L$1+M23*M$1+N23*N$1+O23*O$1+P23*P$1+Q23*Q$1+S23,2)</f>
        <v>2.16</v>
      </c>
      <c r="D23" s="816" t="s">
        <v>342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303</v>
      </c>
      <c r="B24" s="817" t="s">
        <v>744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257</v>
      </c>
      <c r="E24" s="819">
        <v>2.758</v>
      </c>
      <c r="F24" s="816">
        <v>215</v>
      </c>
      <c r="G24" s="816" t="s">
        <v>267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343</v>
      </c>
      <c r="B25" s="817" t="s">
        <v>745</v>
      </c>
      <c r="C25" s="64">
        <f>ROUND('Länder-DB'!$M$35*1.1%/(0.1%+$R25)+'Länder-DB'!$M$37+I25*I$1+J25*J$1+K25*K$1+L25*L$1+M25*M$1+N25*N$1+O25*O$1+P25*P$1+Q25*Q$1+S25,2)</f>
        <v>2.27</v>
      </c>
      <c r="D25" s="817" t="s">
        <v>562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344</v>
      </c>
      <c r="B26" s="817" t="s">
        <v>746</v>
      </c>
      <c r="C26" s="64">
        <f>ROUND('Länder-DB'!$M$35*1.1%/(0.1%+$R26)+'Länder-DB'!$M$37+I26*I$1+J26*J$1+K26*K$1+L26*L$1+M26*M$1+N26*N$1+O26*O$1+P26*P$1+Q26*Q$1+S26,2)</f>
        <v>2.15</v>
      </c>
      <c r="D26" s="816" t="s">
        <v>345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346</v>
      </c>
      <c r="B27" s="817" t="s">
        <v>747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347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304</v>
      </c>
      <c r="B28" s="817" t="s">
        <v>748</v>
      </c>
      <c r="C28" s="64">
        <f>ROUND('Länder-DB'!$M$35*1.1%/(0.1%+$R28)+'Länder-DB'!$M$37+I28*I$1+J28*J$1+K28*K$1+L28*L$1+M28*M$1+N28*N$1+O28*O$1+P28*P$1+Q28*Q$1+S28,2)</f>
        <v>2.11</v>
      </c>
      <c r="D28" s="816" t="s">
        <v>258</v>
      </c>
      <c r="E28" s="819">
        <v>2.68</v>
      </c>
      <c r="F28" s="816">
        <v>215</v>
      </c>
      <c r="G28" s="816" t="s">
        <v>267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313</v>
      </c>
      <c r="B29" s="817" t="s">
        <v>749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262</v>
      </c>
      <c r="E29" s="819">
        <v>2.68</v>
      </c>
      <c r="F29" s="816"/>
      <c r="G29" s="816" t="s">
        <v>267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314</v>
      </c>
      <c r="B30" s="817" t="s">
        <v>750</v>
      </c>
      <c r="C30" s="64">
        <f>ROUND('Länder-DB'!$M$35*1.1%/(0.1%+$R30)+'Länder-DB'!$M$37+I30*I$1+J30*J$1+K30*K$1+L30*L$1+M30*M$1+N30*N$1+O30*O$1+P30*P$1+Q30*Q$1+S30,2)</f>
        <v>2.02</v>
      </c>
      <c r="D30" s="816" t="s">
        <v>650</v>
      </c>
      <c r="E30" s="819">
        <v>2.75</v>
      </c>
      <c r="F30" s="816"/>
      <c r="G30" s="816" t="s">
        <v>267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315</v>
      </c>
      <c r="B31" s="817" t="s">
        <v>751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648</v>
      </c>
      <c r="E31" s="819">
        <v>2.75</v>
      </c>
      <c r="F31" s="816"/>
      <c r="G31" s="816" t="s">
        <v>267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316</v>
      </c>
      <c r="B32" s="817" t="s">
        <v>752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263</v>
      </c>
      <c r="E32" s="819">
        <v>2.75</v>
      </c>
      <c r="F32" s="816"/>
      <c r="G32" s="816" t="s">
        <v>267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317</v>
      </c>
      <c r="B33" s="817" t="s">
        <v>753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264</v>
      </c>
      <c r="E33" s="819">
        <v>2.75</v>
      </c>
      <c r="F33" s="816"/>
      <c r="G33" s="816" t="s">
        <v>267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880</v>
      </c>
      <c r="B34" s="817" t="s">
        <v>881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882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348</v>
      </c>
      <c r="B35" s="817" t="s">
        <v>754</v>
      </c>
      <c r="C35" s="64">
        <f>ROUND('Länder-DB'!$M$35*1.1%/(0.1%+$R35)+'Länder-DB'!$M$37+I35*I$1+J35*J$1+K35*K$1+L35*L$1+M35*M$1+N35*N$1+O35*O$1+P35*P$1+Q35*Q$1+S35,2)</f>
        <v>2.11</v>
      </c>
      <c r="D35" s="816" t="s">
        <v>349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883</v>
      </c>
      <c r="B36" s="817" t="s">
        <v>884</v>
      </c>
      <c r="C36" s="64">
        <f>ROUND('Länder-DB'!$M$35*1.1%/(0.1%+$R36)+'Länder-DB'!$M$37+I36*I$1+J36*J$1+K36*K$1+L36*L$1+M36*M$1+N36*N$1+O36*O$1+P36*P$1+Q36*Q$1+S36,2)</f>
        <v>2.58</v>
      </c>
      <c r="D36" s="817" t="s">
        <v>885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3"/>
  <sheetViews>
    <sheetView tabSelected="1" topLeftCell="A40" zoomScaleNormal="100" workbookViewId="0">
      <selection activeCell="P70" sqref="P70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709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817</v>
      </c>
      <c r="C13" s="306">
        <v>9</v>
      </c>
      <c r="D13" s="923" t="s">
        <v>813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817</v>
      </c>
      <c r="C14" s="306">
        <v>10</v>
      </c>
      <c r="D14" s="923" t="s">
        <v>813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817</v>
      </c>
      <c r="C15" s="307">
        <v>11</v>
      </c>
      <c r="D15" s="925" t="s">
        <v>813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670</v>
      </c>
      <c r="C16" s="526" t="s">
        <v>821</v>
      </c>
    </row>
    <row r="17" spans="2:19" ht="15.75" x14ac:dyDescent="0.25">
      <c r="B17" s="520" t="s">
        <v>463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422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424</v>
      </c>
      <c r="I19" s="512"/>
      <c r="J19" s="513" t="s">
        <v>421</v>
      </c>
      <c r="K19" s="512" t="s">
        <v>401</v>
      </c>
      <c r="L19" s="528" t="s">
        <v>425</v>
      </c>
      <c r="M19" s="528" t="s">
        <v>426</v>
      </c>
      <c r="N19" s="512" t="s">
        <v>402</v>
      </c>
      <c r="O19" s="515" t="s">
        <v>427</v>
      </c>
      <c r="P19" s="515" t="s">
        <v>496</v>
      </c>
      <c r="Q19" s="514" t="s">
        <v>100</v>
      </c>
      <c r="R19" s="560"/>
      <c r="S19" s="536" t="s">
        <v>422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418</v>
      </c>
      <c r="H20" s="527" t="s">
        <v>419</v>
      </c>
      <c r="I20" s="527" t="s">
        <v>420</v>
      </c>
      <c r="J20" s="516" t="s">
        <v>403</v>
      </c>
      <c r="K20" s="516" t="s">
        <v>55</v>
      </c>
      <c r="L20" s="516" t="s">
        <v>404</v>
      </c>
      <c r="M20" s="516" t="s">
        <v>404</v>
      </c>
      <c r="N20" s="516" t="s">
        <v>103</v>
      </c>
      <c r="O20" s="517" t="s">
        <v>55</v>
      </c>
      <c r="P20" s="582" t="s">
        <v>497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475</v>
      </c>
      <c r="C21" s="574">
        <v>0</v>
      </c>
      <c r="D21" s="575" t="s">
        <v>423</v>
      </c>
      <c r="E21" s="575" t="s">
        <v>471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504</v>
      </c>
    </row>
    <row r="22" spans="2:19" ht="24.75" customHeight="1" x14ac:dyDescent="0.2">
      <c r="B22" s="562" t="s">
        <v>475</v>
      </c>
      <c r="C22" s="555">
        <v>1</v>
      </c>
      <c r="D22" s="556" t="s">
        <v>423</v>
      </c>
      <c r="E22" s="555" t="s">
        <v>405</v>
      </c>
      <c r="F22" s="563" t="s">
        <v>406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231">
        <v>250</v>
      </c>
      <c r="O22" s="521">
        <v>45</v>
      </c>
      <c r="P22" s="1226">
        <v>3000</v>
      </c>
      <c r="Q22" s="1227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475</v>
      </c>
      <c r="C23" s="352">
        <v>2</v>
      </c>
      <c r="D23" s="537" t="s">
        <v>423</v>
      </c>
      <c r="E23" s="352" t="s">
        <v>405</v>
      </c>
      <c r="F23" s="538" t="s">
        <v>407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232">
        <v>260</v>
      </c>
      <c r="O23" s="521">
        <v>45</v>
      </c>
      <c r="P23" s="1228">
        <v>3000</v>
      </c>
      <c r="Q23" s="1229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475</v>
      </c>
      <c r="C24" s="352">
        <v>3</v>
      </c>
      <c r="D24" s="537" t="s">
        <v>428</v>
      </c>
      <c r="E24" s="352" t="s">
        <v>405</v>
      </c>
      <c r="F24" s="538" t="s">
        <v>408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232">
        <v>270</v>
      </c>
      <c r="O24" s="521">
        <v>45</v>
      </c>
      <c r="P24" s="1228">
        <v>3000</v>
      </c>
      <c r="Q24" s="1229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475</v>
      </c>
      <c r="C25" s="352">
        <v>4</v>
      </c>
      <c r="D25" s="537" t="s">
        <v>428</v>
      </c>
      <c r="E25" s="352" t="s">
        <v>409</v>
      </c>
      <c r="F25" s="538" t="s">
        <v>414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233">
        <v>280</v>
      </c>
      <c r="O25" s="521">
        <v>45</v>
      </c>
      <c r="P25" s="1230">
        <v>3500</v>
      </c>
      <c r="Q25" s="1229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475</v>
      </c>
      <c r="C26" s="352">
        <v>5</v>
      </c>
      <c r="D26" s="537" t="s">
        <v>428</v>
      </c>
      <c r="E26" s="529" t="s">
        <v>417</v>
      </c>
      <c r="F26" s="354"/>
      <c r="G26" s="521">
        <v>860</v>
      </c>
      <c r="H26" s="521">
        <v>630</v>
      </c>
      <c r="I26" s="521">
        <v>660</v>
      </c>
      <c r="J26" s="1232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233">
        <v>290</v>
      </c>
      <c r="O26" s="521">
        <v>45</v>
      </c>
      <c r="P26" s="1230">
        <v>3500</v>
      </c>
      <c r="Q26" s="1229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475</v>
      </c>
      <c r="C27" s="352">
        <v>6</v>
      </c>
      <c r="D27" s="537" t="s">
        <v>428</v>
      </c>
      <c r="E27" s="352" t="s">
        <v>411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232">
        <v>300</v>
      </c>
      <c r="O27" s="521">
        <v>45</v>
      </c>
      <c r="P27" s="1228">
        <v>3500</v>
      </c>
      <c r="Q27" s="1229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475</v>
      </c>
      <c r="C28" s="352">
        <v>7</v>
      </c>
      <c r="D28" s="537" t="s">
        <v>428</v>
      </c>
      <c r="E28" s="352" t="s">
        <v>405</v>
      </c>
      <c r="F28" s="538" t="s">
        <v>408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232">
        <v>310</v>
      </c>
      <c r="O28" s="521">
        <v>45</v>
      </c>
      <c r="P28" s="1228">
        <v>3500</v>
      </c>
      <c r="Q28" s="1229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475</v>
      </c>
      <c r="C29" s="352">
        <v>8</v>
      </c>
      <c r="D29" s="537" t="s">
        <v>428</v>
      </c>
      <c r="E29" s="352" t="s">
        <v>409</v>
      </c>
      <c r="F29" s="538" t="s">
        <v>410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232">
        <v>330</v>
      </c>
      <c r="O29" s="521">
        <v>45</v>
      </c>
      <c r="P29" s="1228">
        <v>4000</v>
      </c>
      <c r="Q29" s="1229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473</v>
      </c>
      <c r="C30" s="352">
        <v>9</v>
      </c>
      <c r="D30" s="537" t="s">
        <v>428</v>
      </c>
      <c r="E30" s="352" t="s">
        <v>412</v>
      </c>
      <c r="F30" s="538" t="s">
        <v>413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233">
        <v>150</v>
      </c>
      <c r="O30" s="521">
        <v>50</v>
      </c>
      <c r="P30" s="1230">
        <v>1800</v>
      </c>
      <c r="Q30" s="1229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473</v>
      </c>
      <c r="C31" s="352">
        <v>10</v>
      </c>
      <c r="D31" s="537" t="s">
        <v>428</v>
      </c>
      <c r="E31" s="537" t="s">
        <v>434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233">
        <v>150</v>
      </c>
      <c r="O31" s="521">
        <v>50</v>
      </c>
      <c r="P31" s="1230">
        <v>1800</v>
      </c>
      <c r="Q31" s="1229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473</v>
      </c>
      <c r="C32" s="352">
        <v>11</v>
      </c>
      <c r="D32" s="537" t="s">
        <v>428</v>
      </c>
      <c r="E32" s="537" t="s">
        <v>434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233">
        <v>170</v>
      </c>
      <c r="O32" s="521">
        <v>50</v>
      </c>
      <c r="P32" s="1230">
        <v>2000</v>
      </c>
      <c r="Q32" s="1229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374</v>
      </c>
      <c r="C33" s="352">
        <v>12</v>
      </c>
      <c r="D33" s="537" t="s">
        <v>522</v>
      </c>
      <c r="E33" s="352" t="s">
        <v>415</v>
      </c>
      <c r="F33" s="354" t="s">
        <v>416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233">
        <v>180</v>
      </c>
      <c r="O33" s="521">
        <v>60</v>
      </c>
      <c r="P33" s="1230">
        <v>1800</v>
      </c>
      <c r="Q33" s="1229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374</v>
      </c>
      <c r="C34" s="352">
        <v>13</v>
      </c>
      <c r="D34" s="537" t="s">
        <v>428</v>
      </c>
      <c r="E34" s="352" t="s">
        <v>415</v>
      </c>
      <c r="F34" s="354" t="s">
        <v>416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232">
        <v>180</v>
      </c>
      <c r="O34" s="521">
        <v>60</v>
      </c>
      <c r="P34" s="1228">
        <v>1800</v>
      </c>
      <c r="Q34" s="1229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374</v>
      </c>
      <c r="C35" s="352">
        <v>14</v>
      </c>
      <c r="D35" s="537" t="s">
        <v>428</v>
      </c>
      <c r="E35" s="352" t="s">
        <v>415</v>
      </c>
      <c r="F35" s="354" t="s">
        <v>416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232">
        <v>200</v>
      </c>
      <c r="O35" s="521">
        <v>60</v>
      </c>
      <c r="P35" s="1228">
        <v>2000</v>
      </c>
      <c r="Q35" s="1229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374</v>
      </c>
      <c r="C36" s="555">
        <v>15</v>
      </c>
      <c r="D36" s="556" t="s">
        <v>429</v>
      </c>
      <c r="E36" s="352" t="s">
        <v>415</v>
      </c>
      <c r="F36" s="354" t="s">
        <v>416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232">
        <v>220</v>
      </c>
      <c r="O36" s="521">
        <v>60</v>
      </c>
      <c r="P36" s="1228">
        <v>2200</v>
      </c>
      <c r="Q36" s="1229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670</v>
      </c>
      <c r="C38" s="526" t="s">
        <v>472</v>
      </c>
    </row>
    <row r="39" spans="2:19" x14ac:dyDescent="0.2">
      <c r="C39" s="526" t="s">
        <v>539</v>
      </c>
    </row>
    <row r="43" spans="2:19" ht="15.75" x14ac:dyDescent="0.25">
      <c r="B43" s="520" t="s">
        <v>852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851</v>
      </c>
      <c r="C45" s="911" t="s">
        <v>25</v>
      </c>
      <c r="D45" s="911" t="s">
        <v>784</v>
      </c>
      <c r="E45" s="911" t="s">
        <v>785</v>
      </c>
      <c r="F45" s="911" t="s">
        <v>786</v>
      </c>
      <c r="G45" s="911" t="s">
        <v>787</v>
      </c>
      <c r="H45" s="911" t="s">
        <v>788</v>
      </c>
      <c r="I45" s="911" t="s">
        <v>789</v>
      </c>
      <c r="J45" s="970" t="s">
        <v>790</v>
      </c>
      <c r="K45" s="970" t="s">
        <v>791</v>
      </c>
      <c r="L45" s="970" t="s">
        <v>792</v>
      </c>
      <c r="M45" s="911" t="s">
        <v>793</v>
      </c>
      <c r="N45" s="912" t="s">
        <v>853</v>
      </c>
      <c r="O45" s="911" t="s">
        <v>25</v>
      </c>
    </row>
    <row r="46" spans="2:19" x14ac:dyDescent="0.2">
      <c r="B46" s="966" t="s">
        <v>374</v>
      </c>
      <c r="C46" s="352">
        <v>1</v>
      </c>
      <c r="D46" s="913" t="s">
        <v>267</v>
      </c>
      <c r="E46" s="914" t="s">
        <v>374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377</v>
      </c>
      <c r="C47" s="352">
        <v>2</v>
      </c>
      <c r="D47" s="913" t="s">
        <v>797</v>
      </c>
      <c r="E47" s="913" t="s">
        <v>802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798</v>
      </c>
      <c r="N47" s="1234">
        <v>250000</v>
      </c>
      <c r="O47" s="352">
        <f>C47</f>
        <v>2</v>
      </c>
    </row>
    <row r="48" spans="2:19" x14ac:dyDescent="0.2">
      <c r="B48" s="966" t="s">
        <v>377</v>
      </c>
      <c r="C48" s="352">
        <v>3</v>
      </c>
      <c r="D48" s="913" t="s">
        <v>797</v>
      </c>
      <c r="E48" s="915" t="s">
        <v>801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794</v>
      </c>
      <c r="N48" s="1234">
        <v>391000</v>
      </c>
      <c r="O48" s="352">
        <f>C48</f>
        <v>3</v>
      </c>
    </row>
    <row r="49" spans="2:15" x14ac:dyDescent="0.2">
      <c r="B49" s="966" t="s">
        <v>377</v>
      </c>
      <c r="C49" s="352">
        <v>4</v>
      </c>
      <c r="D49" s="913" t="s">
        <v>797</v>
      </c>
      <c r="E49" s="913" t="s">
        <v>800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798</v>
      </c>
      <c r="N49" s="1234">
        <v>565000</v>
      </c>
      <c r="O49" s="352">
        <f>C49</f>
        <v>4</v>
      </c>
    </row>
    <row r="50" spans="2:15" x14ac:dyDescent="0.2">
      <c r="B50" s="966" t="s">
        <v>377</v>
      </c>
      <c r="C50" s="352">
        <v>5</v>
      </c>
      <c r="D50" s="913" t="s">
        <v>797</v>
      </c>
      <c r="E50" s="913" t="s">
        <v>799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798</v>
      </c>
      <c r="N50" s="1234">
        <v>570000</v>
      </c>
      <c r="O50" s="352">
        <f>C50</f>
        <v>5</v>
      </c>
    </row>
    <row r="51" spans="2:15" x14ac:dyDescent="0.2">
      <c r="B51" s="966" t="s">
        <v>377</v>
      </c>
      <c r="C51" s="352">
        <v>6</v>
      </c>
      <c r="D51" s="913" t="s">
        <v>795</v>
      </c>
      <c r="E51" s="921" t="s">
        <v>796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794</v>
      </c>
      <c r="N51" s="1234">
        <v>600000</v>
      </c>
      <c r="O51" s="352">
        <f>C51</f>
        <v>6</v>
      </c>
    </row>
    <row r="53" spans="2:15" x14ac:dyDescent="0.2">
      <c r="C53" t="s">
        <v>803</v>
      </c>
    </row>
    <row r="54" spans="2:15" x14ac:dyDescent="0.2">
      <c r="D54" t="s">
        <v>804</v>
      </c>
      <c r="F54" t="s">
        <v>805</v>
      </c>
    </row>
    <row r="55" spans="2:15" x14ac:dyDescent="0.2">
      <c r="C55" t="s">
        <v>806</v>
      </c>
    </row>
    <row r="56" spans="2:15" x14ac:dyDescent="0.2">
      <c r="D56" s="223" t="s">
        <v>807</v>
      </c>
      <c r="F56" t="s">
        <v>808</v>
      </c>
    </row>
    <row r="57" spans="2:15" x14ac:dyDescent="0.2">
      <c r="B57" s="1235" t="s">
        <v>377</v>
      </c>
      <c r="C57">
        <v>1</v>
      </c>
      <c r="D57" s="1236" t="s">
        <v>981</v>
      </c>
      <c r="E57" s="1237" t="s">
        <v>766</v>
      </c>
      <c r="J57" s="1236"/>
      <c r="K57" s="1238">
        <v>16</v>
      </c>
      <c r="N57" s="1239">
        <v>300000</v>
      </c>
      <c r="O57">
        <v>7</v>
      </c>
    </row>
    <row r="58" spans="2:15" x14ac:dyDescent="0.2">
      <c r="B58" s="1235" t="s">
        <v>377</v>
      </c>
      <c r="C58">
        <v>2</v>
      </c>
      <c r="D58" s="1236" t="s">
        <v>981</v>
      </c>
      <c r="E58" s="1237" t="s">
        <v>766</v>
      </c>
      <c r="K58" s="1238">
        <v>25</v>
      </c>
      <c r="N58" s="1239">
        <v>330000</v>
      </c>
      <c r="O58">
        <v>8</v>
      </c>
    </row>
    <row r="59" spans="2:15" x14ac:dyDescent="0.2">
      <c r="B59" s="1235" t="s">
        <v>377</v>
      </c>
      <c r="C59">
        <v>3</v>
      </c>
      <c r="D59" s="1236" t="s">
        <v>981</v>
      </c>
      <c r="E59" s="1237" t="s">
        <v>766</v>
      </c>
      <c r="K59" s="1238">
        <v>40</v>
      </c>
      <c r="N59" s="1239">
        <v>370000</v>
      </c>
      <c r="O59">
        <v>9</v>
      </c>
    </row>
    <row r="61" spans="2:15" ht="15" thickBot="1" x14ac:dyDescent="0.25"/>
    <row r="62" spans="2:15" ht="43.5" thickBot="1" x14ac:dyDescent="0.25">
      <c r="B62" s="1240" t="s">
        <v>982</v>
      </c>
      <c r="C62" s="1241" t="s">
        <v>983</v>
      </c>
      <c r="D62" s="1242" t="s">
        <v>25</v>
      </c>
      <c r="E62" s="1243" t="s">
        <v>984</v>
      </c>
      <c r="F62" s="1244" t="s">
        <v>985</v>
      </c>
      <c r="G62" s="1245" t="s">
        <v>103</v>
      </c>
      <c r="H62" s="1246" t="s">
        <v>986</v>
      </c>
    </row>
    <row r="63" spans="2:15" x14ac:dyDescent="0.2">
      <c r="B63" s="1247" t="s">
        <v>987</v>
      </c>
      <c r="C63" s="1248" t="s">
        <v>988</v>
      </c>
      <c r="D63" s="1249">
        <v>1</v>
      </c>
      <c r="E63" s="1250">
        <v>185000</v>
      </c>
      <c r="F63" s="1251">
        <v>0.1</v>
      </c>
      <c r="G63" s="1245">
        <v>10</v>
      </c>
      <c r="H63" s="1245">
        <v>30</v>
      </c>
    </row>
    <row r="64" spans="2:15" x14ac:dyDescent="0.2">
      <c r="B64" s="45" t="str">
        <f>[2]Auswahlfelder!D36</f>
        <v>Luft/Wasser</v>
      </c>
      <c r="C64" s="1252" t="s">
        <v>989</v>
      </c>
      <c r="D64" s="1253">
        <v>2</v>
      </c>
      <c r="E64" s="1254">
        <v>12000</v>
      </c>
      <c r="F64" s="1255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52" t="s">
        <v>990</v>
      </c>
      <c r="D65" s="1253">
        <v>3</v>
      </c>
      <c r="E65" s="1254">
        <v>9500</v>
      </c>
      <c r="F65" s="1255">
        <v>0.15</v>
      </c>
      <c r="G65">
        <v>1</v>
      </c>
      <c r="H65">
        <v>20</v>
      </c>
    </row>
    <row r="66" spans="2:8" x14ac:dyDescent="0.2">
      <c r="B66" s="1247" t="s">
        <v>624</v>
      </c>
      <c r="C66" s="1248" t="s">
        <v>607</v>
      </c>
      <c r="D66" s="1249">
        <v>4</v>
      </c>
      <c r="E66" s="1250">
        <v>55000</v>
      </c>
      <c r="F66" s="1251">
        <v>0.05</v>
      </c>
      <c r="G66" s="1245">
        <v>20</v>
      </c>
      <c r="H66" s="1245">
        <v>5</v>
      </c>
    </row>
    <row r="67" spans="2:8" x14ac:dyDescent="0.2">
      <c r="B67" s="545" t="s">
        <v>991</v>
      </c>
      <c r="C67" s="1252" t="s">
        <v>77</v>
      </c>
      <c r="D67" s="1253">
        <v>5</v>
      </c>
      <c r="E67" s="1254">
        <v>55000</v>
      </c>
      <c r="F67" s="1255">
        <v>0.15</v>
      </c>
      <c r="G67">
        <v>1</v>
      </c>
      <c r="H67">
        <v>25</v>
      </c>
    </row>
    <row r="68" spans="2:8" x14ac:dyDescent="0.2">
      <c r="B68" s="1247" t="s">
        <v>992</v>
      </c>
      <c r="C68" s="1248" t="s">
        <v>988</v>
      </c>
      <c r="D68" s="1249">
        <v>6</v>
      </c>
      <c r="E68" s="1250">
        <v>250000</v>
      </c>
      <c r="F68" s="1251">
        <v>0.05</v>
      </c>
      <c r="G68" s="1245">
        <v>10</v>
      </c>
      <c r="H68" s="1245">
        <v>40</v>
      </c>
    </row>
    <row r="69" spans="2:8" x14ac:dyDescent="0.2">
      <c r="B69" s="1247" t="s">
        <v>993</v>
      </c>
      <c r="C69" s="1248" t="s">
        <v>994</v>
      </c>
      <c r="D69" s="1249">
        <v>7</v>
      </c>
      <c r="E69" s="1250">
        <v>578000</v>
      </c>
      <c r="F69" s="1251">
        <v>0.05</v>
      </c>
      <c r="G69" s="1245">
        <v>165</v>
      </c>
      <c r="H69" s="1245">
        <v>200</v>
      </c>
    </row>
    <row r="70" spans="2:8" x14ac:dyDescent="0.2">
      <c r="B70" s="1247" t="s">
        <v>995</v>
      </c>
      <c r="C70" s="1248" t="s">
        <v>994</v>
      </c>
      <c r="D70" s="1245"/>
      <c r="E70" s="1250">
        <v>1700000</v>
      </c>
      <c r="F70" s="1251">
        <v>0.05</v>
      </c>
      <c r="G70" s="1245">
        <v>940</v>
      </c>
      <c r="H70" s="1245">
        <v>220</v>
      </c>
    </row>
    <row r="71" spans="2:8" x14ac:dyDescent="0.2">
      <c r="B71" s="1247" t="s">
        <v>996</v>
      </c>
      <c r="C71" s="1248" t="s">
        <v>988</v>
      </c>
      <c r="D71" s="1245"/>
      <c r="E71" s="1250">
        <v>210000</v>
      </c>
      <c r="F71" s="1251">
        <v>0.05</v>
      </c>
      <c r="G71" s="1245">
        <v>141</v>
      </c>
      <c r="H71" s="1245">
        <v>60</v>
      </c>
    </row>
    <row r="72" spans="2:8" x14ac:dyDescent="0.2">
      <c r="B72" s="1247" t="s">
        <v>997</v>
      </c>
      <c r="C72" s="1248" t="s">
        <v>988</v>
      </c>
      <c r="D72" s="1245"/>
      <c r="E72" s="1250">
        <v>138500</v>
      </c>
      <c r="F72" s="1251">
        <v>0.05</v>
      </c>
      <c r="G72" s="1245">
        <v>42</v>
      </c>
      <c r="H72" s="1245">
        <v>30</v>
      </c>
    </row>
    <row r="73" spans="2:8" x14ac:dyDescent="0.2">
      <c r="B73" s="1247" t="s">
        <v>998</v>
      </c>
      <c r="C73" s="1248" t="s">
        <v>994</v>
      </c>
      <c r="D73" s="1245"/>
      <c r="E73" s="1250">
        <v>185000</v>
      </c>
      <c r="F73" s="1251">
        <v>0.05</v>
      </c>
      <c r="G73" s="1245">
        <v>11</v>
      </c>
      <c r="H73" s="1245">
        <v>20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560</v>
      </c>
      <c r="B1" s="671" t="s">
        <v>559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193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905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897</v>
      </c>
      <c r="F3" s="192" t="s">
        <v>892</v>
      </c>
      <c r="G3" s="192" t="s">
        <v>898</v>
      </c>
      <c r="H3" s="192" t="s">
        <v>893</v>
      </c>
      <c r="I3" s="192" t="s">
        <v>899</v>
      </c>
      <c r="J3" s="192" t="s">
        <v>889</v>
      </c>
      <c r="K3" s="192" t="s">
        <v>894</v>
      </c>
      <c r="L3" s="192" t="s">
        <v>890</v>
      </c>
      <c r="M3" s="192" t="s">
        <v>895</v>
      </c>
      <c r="N3" s="192" t="s">
        <v>891</v>
      </c>
      <c r="O3" s="192" t="s">
        <v>896</v>
      </c>
      <c r="P3" s="192" t="s">
        <v>900</v>
      </c>
      <c r="Q3" s="192" t="s">
        <v>901</v>
      </c>
      <c r="R3" s="192" t="s">
        <v>902</v>
      </c>
      <c r="S3" s="192" t="s">
        <v>903</v>
      </c>
      <c r="T3" s="192" t="s">
        <v>904</v>
      </c>
      <c r="U3" s="192" t="s">
        <v>905</v>
      </c>
      <c r="V3" s="192" t="s">
        <v>238</v>
      </c>
      <c r="W3" s="192" t="s">
        <v>238</v>
      </c>
      <c r="X3" s="192" t="s">
        <v>238</v>
      </c>
      <c r="Y3" s="192" t="s">
        <v>238</v>
      </c>
      <c r="Z3" s="192" t="s">
        <v>238</v>
      </c>
      <c r="AA3" s="192" t="s">
        <v>238</v>
      </c>
      <c r="AB3" s="192" t="s">
        <v>238</v>
      </c>
      <c r="AC3" s="192" t="s">
        <v>238</v>
      </c>
      <c r="AD3" s="192" t="s">
        <v>238</v>
      </c>
      <c r="AE3" s="192" t="s">
        <v>238</v>
      </c>
      <c r="AF3" s="192" t="s">
        <v>238</v>
      </c>
      <c r="AG3" s="192" t="s">
        <v>238</v>
      </c>
      <c r="AH3" s="192" t="s">
        <v>238</v>
      </c>
      <c r="AI3" s="192" t="s">
        <v>238</v>
      </c>
      <c r="AJ3" s="192" t="s">
        <v>238</v>
      </c>
      <c r="AK3" s="192" t="s">
        <v>238</v>
      </c>
      <c r="AL3" s="192" t="s">
        <v>238</v>
      </c>
      <c r="AM3" s="192" t="s">
        <v>238</v>
      </c>
      <c r="AN3" s="192" t="s">
        <v>238</v>
      </c>
      <c r="AO3" s="192" t="s">
        <v>238</v>
      </c>
      <c r="AP3" s="192" t="s">
        <v>238</v>
      </c>
      <c r="AQ3" s="192" t="s">
        <v>238</v>
      </c>
      <c r="AR3" s="192" t="s">
        <v>238</v>
      </c>
      <c r="AS3" s="192" t="s">
        <v>238</v>
      </c>
      <c r="AT3" s="192" t="s">
        <v>238</v>
      </c>
      <c r="AU3" s="192" t="s">
        <v>238</v>
      </c>
      <c r="AV3" s="192" t="s">
        <v>238</v>
      </c>
      <c r="AW3" s="192" t="s">
        <v>238</v>
      </c>
      <c r="AX3" s="192" t="s">
        <v>238</v>
      </c>
      <c r="AY3" s="192" t="s">
        <v>238</v>
      </c>
      <c r="AZ3" s="192" t="s">
        <v>238</v>
      </c>
      <c r="BA3" s="192" t="s">
        <v>238</v>
      </c>
      <c r="BB3" s="192" t="s">
        <v>238</v>
      </c>
      <c r="BC3" s="192" t="s">
        <v>238</v>
      </c>
      <c r="BD3" s="192" t="s">
        <v>238</v>
      </c>
      <c r="BE3" s="192" t="s">
        <v>238</v>
      </c>
      <c r="BF3" s="192" t="s">
        <v>238</v>
      </c>
      <c r="BG3" s="192" t="s">
        <v>238</v>
      </c>
      <c r="BH3" s="192" t="s">
        <v>238</v>
      </c>
      <c r="BI3" s="192" t="s">
        <v>238</v>
      </c>
      <c r="BJ3" s="192" t="s">
        <v>238</v>
      </c>
      <c r="BK3" s="192" t="s">
        <v>238</v>
      </c>
      <c r="BL3" s="192" t="s">
        <v>238</v>
      </c>
      <c r="BM3" s="192" t="s">
        <v>238</v>
      </c>
      <c r="BN3" s="192" t="s">
        <v>238</v>
      </c>
      <c r="BO3" s="192" t="s">
        <v>238</v>
      </c>
      <c r="BP3" s="192" t="s">
        <v>238</v>
      </c>
      <c r="BQ3" s="192" t="s">
        <v>238</v>
      </c>
      <c r="BR3" s="192" t="s">
        <v>238</v>
      </c>
      <c r="BS3" s="192" t="s">
        <v>238</v>
      </c>
      <c r="BT3" s="192" t="s">
        <v>238</v>
      </c>
      <c r="BU3" s="192" t="s">
        <v>238</v>
      </c>
      <c r="BV3" s="192" t="s">
        <v>238</v>
      </c>
      <c r="BW3" s="192" t="s">
        <v>238</v>
      </c>
      <c r="BX3" s="192" t="s">
        <v>238</v>
      </c>
      <c r="BY3" s="192" t="s">
        <v>238</v>
      </c>
      <c r="BZ3" s="192" t="s">
        <v>238</v>
      </c>
      <c r="CA3" s="192" t="s">
        <v>238</v>
      </c>
      <c r="CB3" s="192" t="s">
        <v>238</v>
      </c>
      <c r="CC3" s="192" t="s">
        <v>238</v>
      </c>
      <c r="CD3" s="192" t="s">
        <v>238</v>
      </c>
      <c r="CE3" s="192" t="s">
        <v>238</v>
      </c>
      <c r="CF3" s="192" t="s">
        <v>238</v>
      </c>
      <c r="CG3" s="192" t="s">
        <v>238</v>
      </c>
      <c r="CH3" s="192" t="s">
        <v>238</v>
      </c>
      <c r="CI3" s="192" t="s">
        <v>238</v>
      </c>
      <c r="CJ3" s="192" t="s">
        <v>238</v>
      </c>
      <c r="CK3" s="192" t="s">
        <v>238</v>
      </c>
      <c r="CL3" s="192" t="s">
        <v>238</v>
      </c>
      <c r="CM3" s="192" t="s">
        <v>238</v>
      </c>
      <c r="CN3" s="192" t="s">
        <v>238</v>
      </c>
      <c r="CO3" s="192" t="s">
        <v>238</v>
      </c>
      <c r="CP3" s="192" t="s">
        <v>238</v>
      </c>
      <c r="CQ3" s="192" t="s">
        <v>238</v>
      </c>
      <c r="CR3" s="192" t="s">
        <v>238</v>
      </c>
      <c r="CS3" s="192" t="s">
        <v>238</v>
      </c>
      <c r="CT3" s="192" t="s">
        <v>238</v>
      </c>
      <c r="CU3" s="192" t="s">
        <v>238</v>
      </c>
      <c r="CV3" s="192" t="s">
        <v>238</v>
      </c>
      <c r="CW3" s="192" t="s">
        <v>238</v>
      </c>
      <c r="CX3" s="192" t="s">
        <v>238</v>
      </c>
      <c r="CY3" s="192" t="s">
        <v>238</v>
      </c>
      <c r="CZ3" s="192" t="s">
        <v>238</v>
      </c>
      <c r="DA3" s="192" t="s">
        <v>238</v>
      </c>
      <c r="DB3" s="192" t="s">
        <v>238</v>
      </c>
      <c r="DC3" s="192" t="s">
        <v>238</v>
      </c>
      <c r="DD3" s="192" t="s">
        <v>238</v>
      </c>
      <c r="DE3" s="192" t="s">
        <v>238</v>
      </c>
      <c r="DF3" s="192" t="s">
        <v>238</v>
      </c>
      <c r="DG3" s="192" t="s">
        <v>238</v>
      </c>
      <c r="DH3" s="192" t="s">
        <v>238</v>
      </c>
      <c r="DI3" s="192" t="s">
        <v>238</v>
      </c>
      <c r="DJ3" s="192" t="s">
        <v>238</v>
      </c>
      <c r="DK3" s="192" t="s">
        <v>238</v>
      </c>
      <c r="DL3" s="192" t="s">
        <v>238</v>
      </c>
      <c r="DM3" s="192" t="s">
        <v>238</v>
      </c>
      <c r="DN3" s="192" t="s">
        <v>238</v>
      </c>
      <c r="DO3" s="192" t="s">
        <v>238</v>
      </c>
      <c r="DP3" s="192" t="s">
        <v>238</v>
      </c>
      <c r="DQ3" s="192" t="s">
        <v>238</v>
      </c>
      <c r="DR3" s="192" t="s">
        <v>238</v>
      </c>
      <c r="DS3" s="192" t="s">
        <v>238</v>
      </c>
      <c r="DT3" s="192" t="s">
        <v>238</v>
      </c>
      <c r="DU3" s="192" t="s">
        <v>238</v>
      </c>
      <c r="DV3" s="192" t="s">
        <v>238</v>
      </c>
      <c r="DW3" s="192" t="s">
        <v>238</v>
      </c>
      <c r="DX3" s="192" t="s">
        <v>238</v>
      </c>
      <c r="DY3" s="192" t="s">
        <v>238</v>
      </c>
      <c r="DZ3" s="192" t="s">
        <v>238</v>
      </c>
      <c r="EA3" s="192" t="s">
        <v>238</v>
      </c>
      <c r="EB3" s="192" t="s">
        <v>238</v>
      </c>
      <c r="EC3" s="192" t="s">
        <v>238</v>
      </c>
      <c r="ED3" s="192" t="s">
        <v>238</v>
      </c>
      <c r="EE3" s="192" t="s">
        <v>238</v>
      </c>
      <c r="EF3" s="192" t="s">
        <v>238</v>
      </c>
      <c r="EG3" s="192" t="s">
        <v>238</v>
      </c>
      <c r="EH3" s="192" t="s">
        <v>238</v>
      </c>
      <c r="EI3" s="192" t="s">
        <v>238</v>
      </c>
      <c r="EJ3" s="192" t="s">
        <v>238</v>
      </c>
      <c r="EK3" s="192" t="s">
        <v>238</v>
      </c>
      <c r="EL3" s="192" t="s">
        <v>238</v>
      </c>
      <c r="EM3" s="192" t="s">
        <v>238</v>
      </c>
      <c r="EN3" s="192" t="s">
        <v>238</v>
      </c>
      <c r="EO3" s="192" t="s">
        <v>238</v>
      </c>
      <c r="EP3" s="192" t="s">
        <v>238</v>
      </c>
      <c r="EQ3" s="192" t="s">
        <v>238</v>
      </c>
      <c r="ER3" s="192" t="s">
        <v>238</v>
      </c>
      <c r="ES3" s="192" t="s">
        <v>238</v>
      </c>
      <c r="ET3" s="192" t="s">
        <v>238</v>
      </c>
      <c r="EU3" s="192" t="s">
        <v>238</v>
      </c>
      <c r="EV3" s="192" t="s">
        <v>238</v>
      </c>
      <c r="EW3" s="192" t="s">
        <v>238</v>
      </c>
      <c r="EX3" s="192" t="s">
        <v>238</v>
      </c>
      <c r="EY3" s="192" t="s">
        <v>238</v>
      </c>
      <c r="EZ3" s="192" t="s">
        <v>238</v>
      </c>
      <c r="FA3" s="192" t="s">
        <v>238</v>
      </c>
      <c r="FB3" s="192" t="s">
        <v>238</v>
      </c>
      <c r="FC3" s="192" t="s">
        <v>238</v>
      </c>
      <c r="FD3" s="192" t="s">
        <v>238</v>
      </c>
      <c r="FE3" s="192" t="s">
        <v>238</v>
      </c>
      <c r="FF3" s="192" t="s">
        <v>238</v>
      </c>
      <c r="FG3" s="192" t="s">
        <v>238</v>
      </c>
      <c r="FH3" s="192" t="s">
        <v>238</v>
      </c>
      <c r="FI3" s="192" t="s">
        <v>238</v>
      </c>
      <c r="FJ3" s="192" t="s">
        <v>238</v>
      </c>
      <c r="FK3" s="192" t="s">
        <v>238</v>
      </c>
      <c r="FL3" s="192" t="s">
        <v>238</v>
      </c>
      <c r="FM3" s="192" t="s">
        <v>238</v>
      </c>
      <c r="FN3" s="192" t="s">
        <v>238</v>
      </c>
      <c r="FO3" s="192" t="s">
        <v>238</v>
      </c>
      <c r="FP3" s="192" t="s">
        <v>238</v>
      </c>
      <c r="FQ3" s="192" t="s">
        <v>238</v>
      </c>
      <c r="FR3" s="192" t="s">
        <v>238</v>
      </c>
      <c r="FS3" s="192" t="s">
        <v>238</v>
      </c>
      <c r="FT3" s="192" t="s">
        <v>238</v>
      </c>
      <c r="FU3" s="192" t="s">
        <v>238</v>
      </c>
      <c r="FV3" s="192" t="s">
        <v>238</v>
      </c>
      <c r="FW3" s="192" t="s">
        <v>238</v>
      </c>
      <c r="FX3" s="192" t="s">
        <v>238</v>
      </c>
      <c r="FY3" s="192" t="s">
        <v>238</v>
      </c>
      <c r="FZ3" s="192" t="s">
        <v>238</v>
      </c>
      <c r="GA3" s="192" t="s">
        <v>238</v>
      </c>
      <c r="GB3" s="192" t="s">
        <v>238</v>
      </c>
      <c r="GC3" s="192" t="s">
        <v>238</v>
      </c>
      <c r="GD3" s="192" t="s">
        <v>238</v>
      </c>
      <c r="GE3" s="192" t="s">
        <v>238</v>
      </c>
      <c r="GF3" s="192" t="s">
        <v>238</v>
      </c>
      <c r="GG3" s="192" t="s">
        <v>238</v>
      </c>
      <c r="GH3" s="192" t="s">
        <v>238</v>
      </c>
      <c r="GI3" s="192" t="s">
        <v>238</v>
      </c>
      <c r="GJ3" s="192" t="s">
        <v>238</v>
      </c>
      <c r="GK3" s="192" t="s">
        <v>238</v>
      </c>
      <c r="GL3" s="192" t="s">
        <v>238</v>
      </c>
      <c r="GM3" s="192" t="s">
        <v>238</v>
      </c>
      <c r="GN3" s="192" t="s">
        <v>238</v>
      </c>
      <c r="GO3" s="192" t="s">
        <v>238</v>
      </c>
      <c r="GP3" s="192" t="s">
        <v>238</v>
      </c>
      <c r="GQ3" s="192" t="s">
        <v>238</v>
      </c>
      <c r="GR3" s="192" t="s">
        <v>238</v>
      </c>
      <c r="GS3" s="192" t="s">
        <v>238</v>
      </c>
      <c r="GT3" s="192" t="s">
        <v>238</v>
      </c>
      <c r="GU3" s="192" t="s">
        <v>238</v>
      </c>
      <c r="GV3" s="192" t="s">
        <v>238</v>
      </c>
      <c r="GW3" s="192" t="s">
        <v>238</v>
      </c>
      <c r="GX3" s="192" t="s">
        <v>238</v>
      </c>
      <c r="GY3" s="192" t="s">
        <v>238</v>
      </c>
      <c r="GZ3" s="192" t="s">
        <v>238</v>
      </c>
      <c r="HA3" s="192" t="s">
        <v>238</v>
      </c>
      <c r="HB3" s="192" t="s">
        <v>238</v>
      </c>
      <c r="HC3" s="192" t="s">
        <v>238</v>
      </c>
      <c r="HD3" s="192" t="s">
        <v>238</v>
      </c>
      <c r="HE3" s="192" t="s">
        <v>238</v>
      </c>
      <c r="HF3" s="192" t="s">
        <v>238</v>
      </c>
      <c r="HG3" s="192" t="s">
        <v>238</v>
      </c>
      <c r="HH3" s="192" t="s">
        <v>238</v>
      </c>
      <c r="HI3" s="192" t="s">
        <v>238</v>
      </c>
      <c r="HJ3" s="192" t="s">
        <v>238</v>
      </c>
      <c r="HK3" s="192" t="s">
        <v>238</v>
      </c>
      <c r="HL3" s="192" t="s">
        <v>238</v>
      </c>
      <c r="HM3" s="192" t="s">
        <v>238</v>
      </c>
      <c r="HN3" s="192" t="s">
        <v>238</v>
      </c>
      <c r="HO3" s="192" t="s">
        <v>238</v>
      </c>
      <c r="HP3" s="192" t="s">
        <v>238</v>
      </c>
      <c r="HQ3" s="192" t="s">
        <v>238</v>
      </c>
      <c r="HR3" s="192" t="s">
        <v>238</v>
      </c>
      <c r="HS3" s="192" t="s">
        <v>238</v>
      </c>
      <c r="HT3" s="192" t="s">
        <v>238</v>
      </c>
      <c r="HU3" s="192" t="s">
        <v>238</v>
      </c>
      <c r="HV3" s="192" t="s">
        <v>238</v>
      </c>
      <c r="HW3" s="192" t="s">
        <v>238</v>
      </c>
      <c r="HX3" s="192" t="s">
        <v>238</v>
      </c>
      <c r="HY3" s="192" t="s">
        <v>238</v>
      </c>
      <c r="HZ3" s="192" t="s">
        <v>238</v>
      </c>
      <c r="IA3" s="192" t="s">
        <v>238</v>
      </c>
      <c r="IB3" s="192" t="s">
        <v>238</v>
      </c>
      <c r="IC3" s="192" t="s">
        <v>238</v>
      </c>
      <c r="ID3" s="192" t="s">
        <v>238</v>
      </c>
      <c r="IE3" s="192" t="s">
        <v>238</v>
      </c>
      <c r="IF3" s="192" t="s">
        <v>238</v>
      </c>
      <c r="IG3" s="192" t="s">
        <v>238</v>
      </c>
      <c r="IH3" s="192" t="s">
        <v>238</v>
      </c>
      <c r="II3" s="192" t="s">
        <v>238</v>
      </c>
      <c r="IJ3" s="192" t="s">
        <v>238</v>
      </c>
      <c r="IK3" s="192" t="s">
        <v>238</v>
      </c>
      <c r="IL3" s="192" t="s">
        <v>238</v>
      </c>
      <c r="IM3" s="192" t="s">
        <v>238</v>
      </c>
      <c r="IN3" s="192" t="s">
        <v>238</v>
      </c>
      <c r="IO3" s="192" t="s">
        <v>238</v>
      </c>
      <c r="IP3" s="192" t="s">
        <v>238</v>
      </c>
      <c r="IQ3" s="192" t="s">
        <v>238</v>
      </c>
      <c r="IR3" s="192" t="s">
        <v>238</v>
      </c>
      <c r="IS3" s="192" t="s">
        <v>238</v>
      </c>
      <c r="IT3" s="192" t="s">
        <v>238</v>
      </c>
      <c r="IU3" s="192" t="s">
        <v>238</v>
      </c>
      <c r="IV3" s="192" t="s">
        <v>238</v>
      </c>
      <c r="IW3" s="192" t="s">
        <v>238</v>
      </c>
      <c r="IX3" s="192" t="s">
        <v>238</v>
      </c>
      <c r="IY3" s="192" t="s">
        <v>238</v>
      </c>
      <c r="IZ3" s="192" t="s">
        <v>238</v>
      </c>
      <c r="JA3" s="192" t="s">
        <v>238</v>
      </c>
      <c r="JB3" s="192" t="s">
        <v>238</v>
      </c>
      <c r="JC3" s="192" t="s">
        <v>238</v>
      </c>
      <c r="JD3" s="192" t="s">
        <v>238</v>
      </c>
      <c r="JE3" s="192" t="s">
        <v>238</v>
      </c>
      <c r="JF3" s="192" t="s">
        <v>238</v>
      </c>
      <c r="JG3" s="192" t="s">
        <v>238</v>
      </c>
      <c r="JH3" s="192" t="s">
        <v>238</v>
      </c>
      <c r="JI3" s="192" t="s">
        <v>238</v>
      </c>
      <c r="JJ3" s="192" t="s">
        <v>238</v>
      </c>
      <c r="JK3" s="192" t="s">
        <v>238</v>
      </c>
      <c r="JL3" s="192" t="s">
        <v>238</v>
      </c>
      <c r="JM3" s="192" t="s">
        <v>238</v>
      </c>
      <c r="JN3" s="192" t="s">
        <v>238</v>
      </c>
      <c r="JO3" s="192" t="s">
        <v>238</v>
      </c>
      <c r="JP3" s="192" t="s">
        <v>238</v>
      </c>
      <c r="JQ3" s="192" t="s">
        <v>238</v>
      </c>
      <c r="JR3" s="192" t="s">
        <v>238</v>
      </c>
      <c r="JS3" s="192" t="s">
        <v>238</v>
      </c>
      <c r="JT3" s="192" t="s">
        <v>238</v>
      </c>
      <c r="JU3" s="192" t="s">
        <v>238</v>
      </c>
      <c r="JV3" s="192" t="s">
        <v>238</v>
      </c>
      <c r="JW3" s="192" t="s">
        <v>238</v>
      </c>
      <c r="JX3" s="192" t="s">
        <v>238</v>
      </c>
      <c r="JY3" s="192" t="s">
        <v>238</v>
      </c>
      <c r="JZ3" s="192" t="s">
        <v>238</v>
      </c>
      <c r="KA3" s="192" t="s">
        <v>238</v>
      </c>
      <c r="KB3" s="192" t="s">
        <v>238</v>
      </c>
      <c r="KC3" s="192" t="s">
        <v>238</v>
      </c>
      <c r="KD3" s="192" t="s">
        <v>238</v>
      </c>
      <c r="KE3" s="192" t="s">
        <v>238</v>
      </c>
      <c r="KF3" s="192" t="s">
        <v>238</v>
      </c>
      <c r="KG3" s="192" t="s">
        <v>238</v>
      </c>
      <c r="KH3" s="192" t="s">
        <v>238</v>
      </c>
      <c r="KI3" s="192" t="s">
        <v>238</v>
      </c>
      <c r="KJ3" s="192" t="s">
        <v>238</v>
      </c>
      <c r="KK3" s="192" t="s">
        <v>238</v>
      </c>
      <c r="KL3" s="192" t="s">
        <v>238</v>
      </c>
      <c r="KM3" s="192" t="s">
        <v>238</v>
      </c>
      <c r="KN3" s="192" t="s">
        <v>238</v>
      </c>
      <c r="KO3" s="192" t="s">
        <v>238</v>
      </c>
      <c r="KP3" s="192" t="s">
        <v>238</v>
      </c>
      <c r="KQ3" s="192" t="s">
        <v>238</v>
      </c>
      <c r="KR3" s="192" t="s">
        <v>238</v>
      </c>
      <c r="KS3" s="192" t="s">
        <v>238</v>
      </c>
      <c r="KT3" s="192" t="s">
        <v>238</v>
      </c>
      <c r="KU3" s="192" t="s">
        <v>238</v>
      </c>
      <c r="KV3" s="192" t="s">
        <v>238</v>
      </c>
      <c r="KW3" s="192" t="s">
        <v>238</v>
      </c>
      <c r="KX3" s="192" t="s">
        <v>238</v>
      </c>
      <c r="KY3" s="192" t="s">
        <v>238</v>
      </c>
      <c r="KZ3" s="192" t="s">
        <v>238</v>
      </c>
      <c r="LA3" s="192" t="s">
        <v>238</v>
      </c>
      <c r="LB3" s="192" t="s">
        <v>238</v>
      </c>
      <c r="LC3" s="192" t="s">
        <v>238</v>
      </c>
      <c r="LD3" s="192" t="s">
        <v>238</v>
      </c>
      <c r="LE3" s="192" t="s">
        <v>238</v>
      </c>
      <c r="LF3" s="192" t="s">
        <v>238</v>
      </c>
      <c r="LG3" s="192" t="s">
        <v>238</v>
      </c>
      <c r="LH3" s="192" t="s">
        <v>238</v>
      </c>
      <c r="LI3" s="192" t="s">
        <v>238</v>
      </c>
      <c r="LJ3" s="192" t="s">
        <v>238</v>
      </c>
      <c r="LK3" s="192" t="s">
        <v>238</v>
      </c>
      <c r="LL3" s="192" t="s">
        <v>238</v>
      </c>
      <c r="LM3" s="192" t="s">
        <v>238</v>
      </c>
      <c r="LN3" s="192" t="s">
        <v>238</v>
      </c>
      <c r="LO3" s="192" t="s">
        <v>238</v>
      </c>
      <c r="LP3" s="192" t="s">
        <v>238</v>
      </c>
      <c r="LQ3" s="192" t="s">
        <v>238</v>
      </c>
      <c r="LR3" s="192" t="s">
        <v>238</v>
      </c>
      <c r="LS3" s="192" t="s">
        <v>238</v>
      </c>
      <c r="LT3" s="192" t="s">
        <v>238</v>
      </c>
      <c r="LU3" s="192" t="s">
        <v>238</v>
      </c>
      <c r="LV3" s="192" t="s">
        <v>238</v>
      </c>
      <c r="LW3" s="192" t="s">
        <v>238</v>
      </c>
      <c r="LX3" s="192" t="s">
        <v>238</v>
      </c>
      <c r="LY3" s="192" t="s">
        <v>238</v>
      </c>
      <c r="LZ3" s="192" t="s">
        <v>238</v>
      </c>
      <c r="MA3" s="192" t="s">
        <v>238</v>
      </c>
      <c r="MB3" s="192" t="s">
        <v>238</v>
      </c>
      <c r="MC3" s="192" t="s">
        <v>238</v>
      </c>
      <c r="MD3" s="192" t="s">
        <v>238</v>
      </c>
      <c r="ME3" s="192" t="s">
        <v>238</v>
      </c>
      <c r="MF3" s="192" t="s">
        <v>238</v>
      </c>
      <c r="MG3" s="192" t="s">
        <v>238</v>
      </c>
      <c r="MH3" s="192" t="s">
        <v>238</v>
      </c>
      <c r="MI3" s="192" t="s">
        <v>238</v>
      </c>
      <c r="MJ3" s="192" t="s">
        <v>238</v>
      </c>
      <c r="MK3" s="192" t="s">
        <v>238</v>
      </c>
      <c r="ML3" s="192" t="s">
        <v>238</v>
      </c>
      <c r="MM3" s="192" t="s">
        <v>238</v>
      </c>
      <c r="MN3" s="192" t="s">
        <v>238</v>
      </c>
      <c r="MO3" s="192" t="s">
        <v>238</v>
      </c>
      <c r="MP3" s="192" t="s">
        <v>238</v>
      </c>
      <c r="MQ3" s="192" t="s">
        <v>238</v>
      </c>
      <c r="MR3" s="192" t="s">
        <v>238</v>
      </c>
      <c r="MS3" s="192" t="s">
        <v>238</v>
      </c>
      <c r="MT3" s="192" t="s">
        <v>238</v>
      </c>
      <c r="MU3" s="192" t="s">
        <v>238</v>
      </c>
      <c r="MV3" s="192" t="s">
        <v>238</v>
      </c>
      <c r="MW3" s="192" t="s">
        <v>238</v>
      </c>
      <c r="MX3" s="192" t="s">
        <v>238</v>
      </c>
      <c r="MY3" s="192" t="s">
        <v>238</v>
      </c>
      <c r="MZ3" s="192" t="s">
        <v>238</v>
      </c>
      <c r="NA3" s="192" t="s">
        <v>238</v>
      </c>
      <c r="NB3" s="192" t="s">
        <v>238</v>
      </c>
      <c r="NC3" s="192" t="s">
        <v>238</v>
      </c>
      <c r="ND3" s="192" t="s">
        <v>238</v>
      </c>
      <c r="NE3" s="192" t="s">
        <v>238</v>
      </c>
      <c r="NF3" s="192" t="s">
        <v>238</v>
      </c>
      <c r="NG3" s="192" t="s">
        <v>238</v>
      </c>
      <c r="NH3" s="192" t="s">
        <v>238</v>
      </c>
      <c r="NI3" s="192" t="s">
        <v>238</v>
      </c>
      <c r="NJ3" s="192" t="s">
        <v>238</v>
      </c>
      <c r="NK3" s="192" t="s">
        <v>238</v>
      </c>
      <c r="NL3" s="192" t="s">
        <v>238</v>
      </c>
      <c r="NM3" s="192" t="s">
        <v>238</v>
      </c>
      <c r="NN3" s="192" t="s">
        <v>238</v>
      </c>
      <c r="NO3" s="192" t="s">
        <v>238</v>
      </c>
      <c r="NP3" s="192" t="s">
        <v>238</v>
      </c>
      <c r="NQ3" s="192" t="s">
        <v>238</v>
      </c>
      <c r="NR3" s="192" t="s">
        <v>238</v>
      </c>
      <c r="NS3" s="192" t="s">
        <v>238</v>
      </c>
      <c r="NT3" s="192" t="s">
        <v>238</v>
      </c>
      <c r="NU3" s="192" t="s">
        <v>238</v>
      </c>
      <c r="NV3" s="192" t="s">
        <v>238</v>
      </c>
      <c r="NW3" s="192" t="s">
        <v>238</v>
      </c>
      <c r="NX3" s="192" t="s">
        <v>238</v>
      </c>
      <c r="NY3" s="192" t="s">
        <v>238</v>
      </c>
      <c r="NZ3" s="192" t="s">
        <v>238</v>
      </c>
      <c r="OA3" s="192" t="s">
        <v>238</v>
      </c>
      <c r="OB3" s="192" t="s">
        <v>238</v>
      </c>
      <c r="OC3" s="192" t="s">
        <v>238</v>
      </c>
      <c r="OD3" s="192" t="s">
        <v>238</v>
      </c>
      <c r="OE3" s="192" t="s">
        <v>238</v>
      </c>
      <c r="OF3" s="192" t="s">
        <v>238</v>
      </c>
      <c r="OG3" s="192" t="s">
        <v>238</v>
      </c>
      <c r="OH3" s="192" t="s">
        <v>238</v>
      </c>
      <c r="OI3" s="192" t="s">
        <v>238</v>
      </c>
      <c r="OJ3" s="192" t="s">
        <v>238</v>
      </c>
      <c r="OK3" s="192" t="s">
        <v>238</v>
      </c>
      <c r="OL3" s="192" t="s">
        <v>238</v>
      </c>
      <c r="OM3" s="192" t="s">
        <v>238</v>
      </c>
      <c r="ON3" s="192" t="s">
        <v>238</v>
      </c>
      <c r="OO3" s="192" t="s">
        <v>238</v>
      </c>
      <c r="OP3" s="192" t="s">
        <v>238</v>
      </c>
      <c r="OQ3" s="192" t="s">
        <v>238</v>
      </c>
      <c r="OR3" s="192" t="s">
        <v>238</v>
      </c>
      <c r="OS3" s="192" t="s">
        <v>238</v>
      </c>
      <c r="OT3" s="192" t="s">
        <v>238</v>
      </c>
      <c r="OU3" s="192" t="s">
        <v>238</v>
      </c>
      <c r="OV3" s="192" t="s">
        <v>238</v>
      </c>
      <c r="OW3" s="192" t="s">
        <v>238</v>
      </c>
      <c r="OX3" s="192" t="s">
        <v>238</v>
      </c>
      <c r="OY3" s="192" t="s">
        <v>238</v>
      </c>
      <c r="OZ3" s="192" t="s">
        <v>238</v>
      </c>
      <c r="PA3" s="192" t="s">
        <v>238</v>
      </c>
      <c r="PB3" s="192" t="s">
        <v>238</v>
      </c>
      <c r="PC3" s="192" t="s">
        <v>238</v>
      </c>
      <c r="PD3" s="192" t="s">
        <v>238</v>
      </c>
      <c r="PE3" s="192" t="s">
        <v>238</v>
      </c>
      <c r="PF3" s="192" t="s">
        <v>238</v>
      </c>
      <c r="PG3" s="192" t="s">
        <v>238</v>
      </c>
      <c r="PH3" s="192" t="s">
        <v>238</v>
      </c>
      <c r="PI3" s="192" t="s">
        <v>238</v>
      </c>
      <c r="PJ3" s="192" t="s">
        <v>238</v>
      </c>
      <c r="PK3" s="192" t="s">
        <v>238</v>
      </c>
      <c r="PL3" s="192" t="s">
        <v>238</v>
      </c>
      <c r="PM3" s="192" t="s">
        <v>238</v>
      </c>
      <c r="PN3" s="192" t="s">
        <v>238</v>
      </c>
      <c r="PO3" s="192" t="s">
        <v>238</v>
      </c>
      <c r="PP3" s="192" t="s">
        <v>238</v>
      </c>
      <c r="PQ3" s="192" t="s">
        <v>238</v>
      </c>
      <c r="PR3" s="192" t="s">
        <v>238</v>
      </c>
      <c r="PS3" s="192" t="s">
        <v>238</v>
      </c>
      <c r="PT3" s="192" t="s">
        <v>238</v>
      </c>
      <c r="PU3" s="192" t="s">
        <v>238</v>
      </c>
      <c r="PV3" s="192" t="s">
        <v>238</v>
      </c>
      <c r="PW3" s="192" t="s">
        <v>238</v>
      </c>
      <c r="PX3" s="192" t="s">
        <v>238</v>
      </c>
      <c r="PY3" s="192" t="s">
        <v>238</v>
      </c>
      <c r="PZ3" s="192" t="s">
        <v>238</v>
      </c>
      <c r="QA3" s="192" t="s">
        <v>238</v>
      </c>
      <c r="QB3" s="192" t="s">
        <v>238</v>
      </c>
      <c r="QC3" s="192" t="s">
        <v>238</v>
      </c>
      <c r="QD3" s="192" t="s">
        <v>238</v>
      </c>
      <c r="QE3" s="192" t="s">
        <v>238</v>
      </c>
      <c r="QF3" s="192" t="s">
        <v>238</v>
      </c>
      <c r="QG3" s="192" t="s">
        <v>238</v>
      </c>
      <c r="QH3" s="192" t="s">
        <v>238</v>
      </c>
      <c r="QI3" s="192" t="s">
        <v>238</v>
      </c>
      <c r="QJ3" s="192" t="s">
        <v>238</v>
      </c>
      <c r="QK3" s="192" t="s">
        <v>238</v>
      </c>
      <c r="QL3" s="192" t="s">
        <v>238</v>
      </c>
      <c r="QM3" s="192" t="s">
        <v>238</v>
      </c>
      <c r="QN3" s="192" t="s">
        <v>238</v>
      </c>
      <c r="QO3" s="192" t="s">
        <v>238</v>
      </c>
      <c r="QP3" s="192" t="s">
        <v>238</v>
      </c>
      <c r="QQ3" s="192" t="s">
        <v>238</v>
      </c>
      <c r="QR3" s="192" t="s">
        <v>238</v>
      </c>
      <c r="QS3" s="192" t="s">
        <v>238</v>
      </c>
      <c r="QT3" s="192" t="s">
        <v>238</v>
      </c>
      <c r="QU3" s="192" t="s">
        <v>238</v>
      </c>
      <c r="QV3" s="192" t="s">
        <v>238</v>
      </c>
      <c r="QW3" s="192" t="s">
        <v>238</v>
      </c>
      <c r="QX3" s="192" t="s">
        <v>238</v>
      </c>
      <c r="QY3" s="192" t="s">
        <v>238</v>
      </c>
      <c r="QZ3" s="192" t="s">
        <v>238</v>
      </c>
      <c r="RA3" s="192" t="s">
        <v>238</v>
      </c>
      <c r="RB3" s="192" t="s">
        <v>238</v>
      </c>
      <c r="RC3" s="192" t="s">
        <v>238</v>
      </c>
      <c r="RD3" s="192" t="s">
        <v>238</v>
      </c>
      <c r="RE3" s="192" t="s">
        <v>238</v>
      </c>
      <c r="RF3" s="192" t="s">
        <v>238</v>
      </c>
      <c r="RG3" s="192" t="s">
        <v>238</v>
      </c>
      <c r="RH3" s="192" t="s">
        <v>238</v>
      </c>
      <c r="RI3" s="192" t="s">
        <v>238</v>
      </c>
      <c r="RJ3" s="192" t="s">
        <v>238</v>
      </c>
      <c r="RK3" s="192" t="s">
        <v>238</v>
      </c>
      <c r="RL3" s="192" t="s">
        <v>238</v>
      </c>
      <c r="RM3" s="192" t="s">
        <v>238</v>
      </c>
      <c r="RN3" s="192" t="s">
        <v>238</v>
      </c>
      <c r="RO3" s="192" t="s">
        <v>238</v>
      </c>
      <c r="RP3" s="192" t="s">
        <v>238</v>
      </c>
      <c r="RQ3" s="192" t="s">
        <v>238</v>
      </c>
      <c r="RR3" s="192" t="s">
        <v>238</v>
      </c>
      <c r="RS3" s="192" t="s">
        <v>238</v>
      </c>
      <c r="RT3" s="192" t="s">
        <v>238</v>
      </c>
      <c r="RU3" s="192" t="s">
        <v>238</v>
      </c>
      <c r="RV3" s="192" t="s">
        <v>238</v>
      </c>
      <c r="RW3" s="192" t="s">
        <v>238</v>
      </c>
      <c r="RX3" s="192" t="s">
        <v>238</v>
      </c>
      <c r="RY3" s="192" t="s">
        <v>238</v>
      </c>
      <c r="RZ3" s="192" t="s">
        <v>238</v>
      </c>
      <c r="SA3" s="192" t="s">
        <v>238</v>
      </c>
      <c r="SB3" s="192" t="s">
        <v>238</v>
      </c>
      <c r="SC3" s="192" t="s">
        <v>238</v>
      </c>
      <c r="SD3" s="192" t="s">
        <v>238</v>
      </c>
      <c r="SE3" s="192" t="s">
        <v>238</v>
      </c>
      <c r="SF3" s="192" t="s">
        <v>238</v>
      </c>
      <c r="SG3" s="192" t="s">
        <v>238</v>
      </c>
      <c r="SH3" s="192" t="s">
        <v>238</v>
      </c>
      <c r="SI3" s="192" t="s">
        <v>238</v>
      </c>
      <c r="SJ3" s="192" t="s">
        <v>238</v>
      </c>
      <c r="SK3" s="192" t="s">
        <v>238</v>
      </c>
      <c r="SL3" s="192" t="s">
        <v>238</v>
      </c>
      <c r="SM3" s="192" t="s">
        <v>238</v>
      </c>
      <c r="SN3" s="192" t="s">
        <v>238</v>
      </c>
      <c r="SO3" s="192" t="s">
        <v>238</v>
      </c>
      <c r="SP3" s="192" t="s">
        <v>238</v>
      </c>
      <c r="SQ3" s="192" t="s">
        <v>238</v>
      </c>
      <c r="SR3" s="192" t="s">
        <v>238</v>
      </c>
      <c r="SS3" s="192" t="s">
        <v>238</v>
      </c>
      <c r="ST3" s="192" t="s">
        <v>238</v>
      </c>
      <c r="SU3" s="192" t="s">
        <v>238</v>
      </c>
      <c r="SV3" s="192" t="s">
        <v>238</v>
      </c>
      <c r="SW3" s="192" t="s">
        <v>238</v>
      </c>
      <c r="SX3" s="192" t="s">
        <v>238</v>
      </c>
      <c r="SY3" s="192" t="s">
        <v>238</v>
      </c>
      <c r="SZ3" s="192" t="s">
        <v>238</v>
      </c>
      <c r="TA3" s="192" t="s">
        <v>238</v>
      </c>
      <c r="TB3" s="192" t="s">
        <v>238</v>
      </c>
      <c r="TC3" s="192" t="s">
        <v>238</v>
      </c>
      <c r="TD3" s="192" t="s">
        <v>238</v>
      </c>
      <c r="TE3" s="192" t="s">
        <v>238</v>
      </c>
      <c r="TF3" s="192" t="s">
        <v>238</v>
      </c>
      <c r="TG3" s="192" t="s">
        <v>238</v>
      </c>
      <c r="TH3" s="192" t="s">
        <v>238</v>
      </c>
      <c r="TI3" s="192" t="s">
        <v>238</v>
      </c>
      <c r="TJ3" s="192" t="s">
        <v>238</v>
      </c>
      <c r="TK3" s="192" t="s">
        <v>238</v>
      </c>
      <c r="TL3" s="192" t="s">
        <v>238</v>
      </c>
      <c r="TM3" s="192" t="s">
        <v>238</v>
      </c>
      <c r="TN3" s="192" t="s">
        <v>238</v>
      </c>
      <c r="TO3" s="192" t="s">
        <v>238</v>
      </c>
      <c r="TP3" s="192" t="s">
        <v>238</v>
      </c>
      <c r="TQ3" s="192" t="s">
        <v>238</v>
      </c>
      <c r="TR3" s="192" t="s">
        <v>238</v>
      </c>
      <c r="TS3" s="192" t="s">
        <v>238</v>
      </c>
      <c r="TT3" s="192" t="s">
        <v>238</v>
      </c>
      <c r="TU3" s="192" t="s">
        <v>238</v>
      </c>
      <c r="TV3" s="192" t="s">
        <v>238</v>
      </c>
      <c r="TW3" s="192" t="s">
        <v>238</v>
      </c>
      <c r="TX3" s="192" t="s">
        <v>238</v>
      </c>
      <c r="TY3" s="192" t="s">
        <v>238</v>
      </c>
      <c r="TZ3" s="192" t="s">
        <v>238</v>
      </c>
      <c r="UA3" s="192" t="s">
        <v>238</v>
      </c>
      <c r="UB3" s="192" t="s">
        <v>238</v>
      </c>
      <c r="UC3" s="192" t="s">
        <v>238</v>
      </c>
      <c r="UD3" s="192" t="s">
        <v>238</v>
      </c>
      <c r="UE3" s="192" t="s">
        <v>238</v>
      </c>
      <c r="UF3" s="192" t="s">
        <v>238</v>
      </c>
      <c r="UG3" s="192" t="s">
        <v>238</v>
      </c>
      <c r="UH3" s="192" t="s">
        <v>238</v>
      </c>
      <c r="UI3" s="192" t="s">
        <v>238</v>
      </c>
      <c r="UJ3" s="192" t="s">
        <v>238</v>
      </c>
      <c r="UK3" s="192" t="s">
        <v>238</v>
      </c>
      <c r="UL3" s="192" t="s">
        <v>238</v>
      </c>
      <c r="UM3" s="192" t="s">
        <v>238</v>
      </c>
      <c r="UN3" s="192" t="s">
        <v>238</v>
      </c>
      <c r="UO3" s="192" t="s">
        <v>238</v>
      </c>
      <c r="UP3" s="192" t="s">
        <v>238</v>
      </c>
      <c r="UQ3" s="192" t="s">
        <v>238</v>
      </c>
      <c r="UR3" s="192" t="s">
        <v>238</v>
      </c>
      <c r="US3" s="192" t="s">
        <v>238</v>
      </c>
      <c r="UT3" s="192" t="s">
        <v>238</v>
      </c>
      <c r="UU3" s="192" t="s">
        <v>238</v>
      </c>
      <c r="UV3" s="192" t="s">
        <v>238</v>
      </c>
      <c r="UW3" s="192" t="s">
        <v>238</v>
      </c>
      <c r="UX3" s="192" t="s">
        <v>238</v>
      </c>
      <c r="UY3" s="192" t="s">
        <v>238</v>
      </c>
      <c r="UZ3" s="192" t="s">
        <v>238</v>
      </c>
      <c r="VA3" s="192" t="s">
        <v>238</v>
      </c>
      <c r="VB3" s="192" t="s">
        <v>238</v>
      </c>
      <c r="VC3" s="192" t="s">
        <v>238</v>
      </c>
      <c r="VD3" s="192" t="s">
        <v>238</v>
      </c>
      <c r="VE3" s="192" t="s">
        <v>238</v>
      </c>
      <c r="VF3" s="192" t="s">
        <v>238</v>
      </c>
      <c r="VG3" s="192" t="s">
        <v>238</v>
      </c>
      <c r="VH3" s="192" t="s">
        <v>238</v>
      </c>
      <c r="VI3" s="192" t="s">
        <v>238</v>
      </c>
      <c r="VJ3" s="192" t="s">
        <v>238</v>
      </c>
      <c r="VK3" s="192" t="s">
        <v>238</v>
      </c>
      <c r="VL3" s="192" t="s">
        <v>238</v>
      </c>
      <c r="VM3" s="192" t="s">
        <v>238</v>
      </c>
      <c r="VN3" s="192" t="s">
        <v>238</v>
      </c>
      <c r="VO3" s="192" t="s">
        <v>238</v>
      </c>
      <c r="VP3" s="192" t="s">
        <v>238</v>
      </c>
      <c r="VQ3" s="192" t="s">
        <v>238</v>
      </c>
      <c r="VR3" s="192" t="s">
        <v>238</v>
      </c>
      <c r="VS3" s="192" t="s">
        <v>238</v>
      </c>
      <c r="VT3" s="192" t="s">
        <v>238</v>
      </c>
      <c r="VU3" s="192" t="s">
        <v>238</v>
      </c>
      <c r="VV3" s="192" t="s">
        <v>238</v>
      </c>
      <c r="VW3" s="192" t="s">
        <v>238</v>
      </c>
      <c r="VX3" s="192" t="s">
        <v>238</v>
      </c>
      <c r="VY3" s="192" t="s">
        <v>238</v>
      </c>
      <c r="VZ3" s="192" t="s">
        <v>238</v>
      </c>
      <c r="WA3" s="192" t="s">
        <v>238</v>
      </c>
      <c r="WB3" s="192" t="s">
        <v>238</v>
      </c>
      <c r="WC3" s="192" t="s">
        <v>238</v>
      </c>
      <c r="WD3" s="192" t="s">
        <v>238</v>
      </c>
      <c r="WE3" s="192" t="s">
        <v>238</v>
      </c>
      <c r="WF3" s="192" t="s">
        <v>238</v>
      </c>
      <c r="WG3" s="192" t="s">
        <v>238</v>
      </c>
      <c r="WH3" s="192" t="s">
        <v>238</v>
      </c>
      <c r="WI3" s="192" t="s">
        <v>238</v>
      </c>
      <c r="WJ3" s="192" t="s">
        <v>238</v>
      </c>
      <c r="WK3" s="192" t="s">
        <v>238</v>
      </c>
      <c r="WL3" s="192" t="s">
        <v>238</v>
      </c>
      <c r="WM3" s="192" t="s">
        <v>238</v>
      </c>
      <c r="WN3" s="192" t="s">
        <v>238</v>
      </c>
      <c r="WO3" s="192" t="s">
        <v>238</v>
      </c>
      <c r="WP3" s="192" t="s">
        <v>238</v>
      </c>
      <c r="WQ3" s="192" t="s">
        <v>238</v>
      </c>
      <c r="WR3" s="192" t="s">
        <v>238</v>
      </c>
      <c r="WS3" s="192" t="s">
        <v>238</v>
      </c>
      <c r="WT3" s="192" t="s">
        <v>238</v>
      </c>
      <c r="WU3" s="192" t="s">
        <v>238</v>
      </c>
      <c r="WV3" s="192" t="s">
        <v>238</v>
      </c>
      <c r="WW3" s="192" t="s">
        <v>238</v>
      </c>
      <c r="WX3" s="192" t="s">
        <v>238</v>
      </c>
      <c r="WY3" s="192" t="s">
        <v>238</v>
      </c>
      <c r="WZ3" s="192" t="s">
        <v>238</v>
      </c>
      <c r="XA3" s="192" t="s">
        <v>238</v>
      </c>
      <c r="XB3" s="192" t="s">
        <v>238</v>
      </c>
      <c r="XC3" s="192" t="s">
        <v>238</v>
      </c>
      <c r="XD3" s="192" t="s">
        <v>238</v>
      </c>
      <c r="XE3" s="192" t="s">
        <v>238</v>
      </c>
      <c r="XF3" s="192" t="s">
        <v>238</v>
      </c>
      <c r="XG3" s="192" t="s">
        <v>238</v>
      </c>
      <c r="XH3" s="192" t="s">
        <v>238</v>
      </c>
      <c r="XI3" s="192" t="s">
        <v>238</v>
      </c>
      <c r="XJ3" s="192" t="s">
        <v>238</v>
      </c>
      <c r="XK3" s="192" t="s">
        <v>238</v>
      </c>
      <c r="XL3" s="192" t="s">
        <v>238</v>
      </c>
      <c r="XM3" s="192" t="s">
        <v>238</v>
      </c>
      <c r="XN3" s="192" t="s">
        <v>238</v>
      </c>
      <c r="XO3" s="192" t="s">
        <v>238</v>
      </c>
      <c r="XP3" s="192" t="s">
        <v>238</v>
      </c>
      <c r="XQ3" s="192" t="s">
        <v>238</v>
      </c>
      <c r="XR3" s="192" t="s">
        <v>238</v>
      </c>
      <c r="XS3" s="192" t="s">
        <v>238</v>
      </c>
      <c r="XT3" s="192" t="s">
        <v>238</v>
      </c>
      <c r="XU3" s="192" t="s">
        <v>238</v>
      </c>
      <c r="XV3" s="192" t="s">
        <v>238</v>
      </c>
      <c r="XW3" s="192" t="s">
        <v>238</v>
      </c>
      <c r="XX3" s="192" t="s">
        <v>238</v>
      </c>
      <c r="XY3" s="192" t="s">
        <v>238</v>
      </c>
      <c r="XZ3" s="192" t="s">
        <v>238</v>
      </c>
      <c r="YA3" s="192" t="s">
        <v>238</v>
      </c>
      <c r="YB3" s="192" t="s">
        <v>238</v>
      </c>
      <c r="YC3" s="192" t="s">
        <v>238</v>
      </c>
      <c r="YD3" s="192" t="s">
        <v>238</v>
      </c>
      <c r="YE3" s="192" t="s">
        <v>238</v>
      </c>
      <c r="YF3" s="192" t="s">
        <v>238</v>
      </c>
      <c r="YG3" s="192" t="s">
        <v>238</v>
      </c>
      <c r="YH3" s="192" t="s">
        <v>238</v>
      </c>
      <c r="YI3" s="192" t="s">
        <v>238</v>
      </c>
      <c r="YJ3" s="192" t="s">
        <v>238</v>
      </c>
      <c r="YK3" s="192" t="s">
        <v>238</v>
      </c>
      <c r="YL3" s="192" t="s">
        <v>238</v>
      </c>
      <c r="YM3" s="192" t="s">
        <v>238</v>
      </c>
      <c r="YN3" s="192" t="s">
        <v>238</v>
      </c>
      <c r="YO3" s="192" t="s">
        <v>238</v>
      </c>
      <c r="YP3" s="192" t="s">
        <v>238</v>
      </c>
      <c r="YQ3" s="192" t="s">
        <v>238</v>
      </c>
      <c r="YR3" s="192" t="s">
        <v>238</v>
      </c>
      <c r="YS3" s="192" t="s">
        <v>238</v>
      </c>
      <c r="YT3" s="192" t="s">
        <v>238</v>
      </c>
      <c r="YU3" s="192" t="s">
        <v>238</v>
      </c>
      <c r="YV3" s="192" t="s">
        <v>238</v>
      </c>
      <c r="YW3" s="192" t="s">
        <v>238</v>
      </c>
      <c r="YX3" s="192" t="s">
        <v>238</v>
      </c>
      <c r="YY3" s="192" t="s">
        <v>238</v>
      </c>
      <c r="YZ3" s="192" t="s">
        <v>238</v>
      </c>
      <c r="ZA3" s="192" t="s">
        <v>238</v>
      </c>
      <c r="ZB3" s="192" t="s">
        <v>238</v>
      </c>
      <c r="ZC3" s="192" t="s">
        <v>238</v>
      </c>
      <c r="ZD3" s="192" t="s">
        <v>238</v>
      </c>
      <c r="ZE3" s="192" t="s">
        <v>238</v>
      </c>
      <c r="ZF3" s="192" t="s">
        <v>238</v>
      </c>
      <c r="ZG3" s="192" t="s">
        <v>238</v>
      </c>
      <c r="ZH3" s="192" t="s">
        <v>238</v>
      </c>
      <c r="ZI3" s="192" t="s">
        <v>238</v>
      </c>
      <c r="ZJ3" s="192" t="s">
        <v>238</v>
      </c>
      <c r="ZK3" s="192" t="s">
        <v>238</v>
      </c>
      <c r="ZL3" s="192" t="s">
        <v>238</v>
      </c>
      <c r="ZM3" s="192" t="s">
        <v>238</v>
      </c>
      <c r="ZN3" s="192" t="s">
        <v>238</v>
      </c>
      <c r="ZO3" s="192" t="s">
        <v>238</v>
      </c>
      <c r="ZP3" s="192" t="s">
        <v>238</v>
      </c>
      <c r="ZQ3" s="192" t="s">
        <v>238</v>
      </c>
      <c r="ZR3" s="192" t="s">
        <v>238</v>
      </c>
      <c r="ZS3" s="192" t="s">
        <v>238</v>
      </c>
      <c r="ZT3" s="192" t="s">
        <v>238</v>
      </c>
      <c r="ZU3" s="192" t="s">
        <v>238</v>
      </c>
      <c r="ZV3" s="192" t="s">
        <v>238</v>
      </c>
      <c r="ZW3" s="192" t="s">
        <v>238</v>
      </c>
      <c r="ZX3" s="192" t="s">
        <v>238</v>
      </c>
      <c r="ZY3" s="192" t="s">
        <v>238</v>
      </c>
      <c r="ZZ3" s="192" t="s">
        <v>238</v>
      </c>
    </row>
    <row r="4" spans="1:702" s="193" customFormat="1" ht="12.75" thickBot="1" x14ac:dyDescent="0.25">
      <c r="A4" s="249" t="s">
        <v>833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639</v>
      </c>
      <c r="E4" s="193" t="s">
        <v>639</v>
      </c>
      <c r="F4" s="193" t="s">
        <v>639</v>
      </c>
      <c r="G4" s="193" t="s">
        <v>639</v>
      </c>
      <c r="H4" s="193" t="s">
        <v>833</v>
      </c>
      <c r="I4" s="193" t="s">
        <v>833</v>
      </c>
      <c r="J4" s="193" t="s">
        <v>850</v>
      </c>
      <c r="K4" s="193" t="s">
        <v>850</v>
      </c>
      <c r="L4" s="193" t="s">
        <v>850</v>
      </c>
      <c r="M4" s="194" t="s">
        <v>850</v>
      </c>
      <c r="N4" s="193" t="s">
        <v>850</v>
      </c>
      <c r="O4" s="193" t="s">
        <v>850</v>
      </c>
      <c r="P4" s="193" t="s">
        <v>850</v>
      </c>
      <c r="Q4" s="193" t="s">
        <v>850</v>
      </c>
      <c r="R4" s="193" t="s">
        <v>850</v>
      </c>
      <c r="S4" s="193" t="s">
        <v>639</v>
      </c>
      <c r="T4" s="193" t="s">
        <v>639</v>
      </c>
      <c r="U4" s="193" t="s">
        <v>833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348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331</v>
      </c>
      <c r="E5" s="193" t="s">
        <v>331</v>
      </c>
      <c r="F5" s="193" t="s">
        <v>330</v>
      </c>
      <c r="G5" s="193" t="s">
        <v>330</v>
      </c>
      <c r="H5" s="193" t="s">
        <v>348</v>
      </c>
      <c r="I5" s="193" t="s">
        <v>348</v>
      </c>
      <c r="J5" s="193" t="s">
        <v>309</v>
      </c>
      <c r="K5" s="193" t="s">
        <v>309</v>
      </c>
      <c r="L5" s="193" t="s">
        <v>309</v>
      </c>
      <c r="M5" s="194" t="s">
        <v>309</v>
      </c>
      <c r="N5" s="193" t="s">
        <v>330</v>
      </c>
      <c r="O5" s="193" t="s">
        <v>330</v>
      </c>
      <c r="P5" s="193" t="s">
        <v>309</v>
      </c>
      <c r="Q5" s="193" t="s">
        <v>309</v>
      </c>
      <c r="R5" s="193" t="s">
        <v>330</v>
      </c>
      <c r="S5" s="193" t="s">
        <v>331</v>
      </c>
      <c r="T5" s="193" t="s">
        <v>330</v>
      </c>
      <c r="U5" s="193" t="s">
        <v>348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754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725</v>
      </c>
      <c r="E6" s="193" t="s">
        <v>725</v>
      </c>
      <c r="F6" s="193" t="s">
        <v>724</v>
      </c>
      <c r="G6" s="193" t="s">
        <v>724</v>
      </c>
      <c r="H6" s="193" t="s">
        <v>754</v>
      </c>
      <c r="I6" s="193" t="s">
        <v>754</v>
      </c>
      <c r="J6" s="193" t="s">
        <v>731</v>
      </c>
      <c r="K6" s="193" t="s">
        <v>731</v>
      </c>
      <c r="L6" s="193" t="s">
        <v>731</v>
      </c>
      <c r="M6" s="194" t="s">
        <v>731</v>
      </c>
      <c r="N6" s="193" t="s">
        <v>724</v>
      </c>
      <c r="O6" s="193" t="s">
        <v>724</v>
      </c>
      <c r="P6" s="193" t="s">
        <v>731</v>
      </c>
      <c r="Q6" s="193" t="s">
        <v>731</v>
      </c>
      <c r="R6" s="193" t="s">
        <v>724</v>
      </c>
      <c r="S6" s="193" t="s">
        <v>725</v>
      </c>
      <c r="T6" s="193" t="s">
        <v>724</v>
      </c>
      <c r="U6" s="193" t="s">
        <v>754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441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441</v>
      </c>
      <c r="E16" s="193" t="s">
        <v>441</v>
      </c>
      <c r="F16" s="193" t="s">
        <v>442</v>
      </c>
      <c r="G16" s="193" t="s">
        <v>442</v>
      </c>
      <c r="H16" s="193" t="s">
        <v>441</v>
      </c>
      <c r="I16" s="193" t="s">
        <v>441</v>
      </c>
      <c r="J16" s="193" t="s">
        <v>439</v>
      </c>
      <c r="K16" s="193" t="s">
        <v>439</v>
      </c>
      <c r="L16" s="193" t="s">
        <v>439</v>
      </c>
      <c r="M16" s="194" t="s">
        <v>439</v>
      </c>
      <c r="N16" s="193" t="s">
        <v>441</v>
      </c>
      <c r="O16" s="193" t="s">
        <v>441</v>
      </c>
      <c r="P16" s="193" t="s">
        <v>439</v>
      </c>
      <c r="Q16" s="193" t="s">
        <v>439</v>
      </c>
      <c r="R16" s="193" t="s">
        <v>441</v>
      </c>
      <c r="S16" s="193" t="s">
        <v>441</v>
      </c>
      <c r="T16" s="193" t="s">
        <v>442</v>
      </c>
      <c r="U16" s="193" t="s">
        <v>441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475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473</v>
      </c>
      <c r="E17" s="193" t="s">
        <v>473</v>
      </c>
      <c r="F17" s="193" t="s">
        <v>473</v>
      </c>
      <c r="G17" s="193" t="s">
        <v>473</v>
      </c>
      <c r="H17" s="193" t="s">
        <v>475</v>
      </c>
      <c r="I17" s="193" t="s">
        <v>475</v>
      </c>
      <c r="J17" s="193" t="s">
        <v>473</v>
      </c>
      <c r="K17" s="193" t="s">
        <v>473</v>
      </c>
      <c r="L17" s="193" t="s">
        <v>473</v>
      </c>
      <c r="M17" s="194" t="s">
        <v>473</v>
      </c>
      <c r="N17" s="193" t="s">
        <v>475</v>
      </c>
      <c r="O17" s="193" t="s">
        <v>475</v>
      </c>
      <c r="P17" s="193" t="s">
        <v>473</v>
      </c>
      <c r="Q17" s="193" t="s">
        <v>473</v>
      </c>
      <c r="R17" s="193" t="s">
        <v>475</v>
      </c>
      <c r="S17" s="193" t="s">
        <v>473</v>
      </c>
      <c r="T17" s="193" t="s">
        <v>473</v>
      </c>
      <c r="U17" s="193" t="s">
        <v>475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377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376</v>
      </c>
      <c r="E18" s="193" t="s">
        <v>376</v>
      </c>
      <c r="F18" s="193" t="s">
        <v>376</v>
      </c>
      <c r="G18" s="193" t="s">
        <v>376</v>
      </c>
      <c r="H18" s="193" t="s">
        <v>377</v>
      </c>
      <c r="I18" s="193" t="s">
        <v>377</v>
      </c>
      <c r="J18" s="193" t="s">
        <v>377</v>
      </c>
      <c r="K18" s="193" t="s">
        <v>377</v>
      </c>
      <c r="L18" s="193" t="s">
        <v>377</v>
      </c>
      <c r="M18" s="194" t="s">
        <v>377</v>
      </c>
      <c r="N18" s="193" t="s">
        <v>377</v>
      </c>
      <c r="O18" s="193" t="s">
        <v>377</v>
      </c>
      <c r="P18" s="193" t="s">
        <v>377</v>
      </c>
      <c r="Q18" s="193" t="s">
        <v>377</v>
      </c>
      <c r="R18" s="193" t="s">
        <v>377</v>
      </c>
      <c r="S18" s="193" t="s">
        <v>376</v>
      </c>
      <c r="T18" s="193" t="s">
        <v>376</v>
      </c>
      <c r="U18" s="193" t="s">
        <v>377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766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768</v>
      </c>
      <c r="E19" s="193" t="s">
        <v>768</v>
      </c>
      <c r="F19" s="193" t="s">
        <v>766</v>
      </c>
      <c r="G19" s="193" t="s">
        <v>766</v>
      </c>
      <c r="H19" s="193" t="s">
        <v>766</v>
      </c>
      <c r="I19" s="193" t="s">
        <v>766</v>
      </c>
      <c r="J19" s="193" t="s">
        <v>766</v>
      </c>
      <c r="K19" s="193" t="s">
        <v>766</v>
      </c>
      <c r="L19" s="193" t="s">
        <v>766</v>
      </c>
      <c r="M19" s="194" t="s">
        <v>766</v>
      </c>
      <c r="N19" s="193" t="s">
        <v>768</v>
      </c>
      <c r="O19" s="193" t="s">
        <v>768</v>
      </c>
      <c r="P19" s="193" t="s">
        <v>766</v>
      </c>
      <c r="Q19" s="193" t="s">
        <v>766</v>
      </c>
      <c r="R19" s="193" t="s">
        <v>768</v>
      </c>
      <c r="S19" s="193" t="s">
        <v>768</v>
      </c>
      <c r="T19" s="193" t="s">
        <v>766</v>
      </c>
      <c r="U19" s="193" t="s">
        <v>766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446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446</v>
      </c>
      <c r="E26" s="193" t="s">
        <v>446</v>
      </c>
      <c r="F26" s="193" t="s">
        <v>446</v>
      </c>
      <c r="G26" s="193" t="s">
        <v>446</v>
      </c>
      <c r="H26" s="193" t="s">
        <v>446</v>
      </c>
      <c r="I26" s="193" t="s">
        <v>446</v>
      </c>
      <c r="J26" s="193" t="s">
        <v>267</v>
      </c>
      <c r="K26" s="193" t="s">
        <v>267</v>
      </c>
      <c r="L26" s="193" t="s">
        <v>267</v>
      </c>
      <c r="M26" s="194" t="s">
        <v>267</v>
      </c>
      <c r="N26" s="193" t="s">
        <v>267</v>
      </c>
      <c r="O26" s="193" t="s">
        <v>267</v>
      </c>
      <c r="P26" s="193" t="s">
        <v>267</v>
      </c>
      <c r="Q26" s="193" t="s">
        <v>267</v>
      </c>
      <c r="R26" s="193" t="s">
        <v>267</v>
      </c>
      <c r="S26" s="193" t="s">
        <v>446</v>
      </c>
      <c r="T26" s="193" t="s">
        <v>446</v>
      </c>
      <c r="U26" s="193" t="s">
        <v>446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572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301</v>
      </c>
      <c r="E27" s="193" t="s">
        <v>301</v>
      </c>
      <c r="F27" s="193" t="s">
        <v>300</v>
      </c>
      <c r="G27" s="193" t="s">
        <v>300</v>
      </c>
      <c r="H27" s="193" t="s">
        <v>572</v>
      </c>
      <c r="I27" s="193" t="s">
        <v>572</v>
      </c>
      <c r="J27" s="193" t="s">
        <v>574</v>
      </c>
      <c r="K27" s="193" t="s">
        <v>574</v>
      </c>
      <c r="L27" s="193" t="s">
        <v>573</v>
      </c>
      <c r="M27" s="194" t="s">
        <v>573</v>
      </c>
      <c r="N27" s="193" t="s">
        <v>299</v>
      </c>
      <c r="O27" s="193" t="s">
        <v>299</v>
      </c>
      <c r="P27" s="193" t="s">
        <v>574</v>
      </c>
      <c r="Q27" s="193" t="s">
        <v>573</v>
      </c>
      <c r="R27" s="193" t="s">
        <v>299</v>
      </c>
      <c r="S27" s="193" t="s">
        <v>301</v>
      </c>
      <c r="T27" s="193" t="s">
        <v>300</v>
      </c>
      <c r="U27" s="193" t="s">
        <v>572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267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457</v>
      </c>
      <c r="E28" s="193" t="s">
        <v>457</v>
      </c>
      <c r="F28" s="193" t="s">
        <v>457</v>
      </c>
      <c r="G28" s="193" t="s">
        <v>457</v>
      </c>
      <c r="H28" s="193" t="s">
        <v>267</v>
      </c>
      <c r="I28" s="193" t="s">
        <v>267</v>
      </c>
      <c r="J28" s="193" t="s">
        <v>267</v>
      </c>
      <c r="K28" s="193" t="s">
        <v>267</v>
      </c>
      <c r="L28" s="193" t="s">
        <v>267</v>
      </c>
      <c r="M28" s="194" t="s">
        <v>267</v>
      </c>
      <c r="N28" s="193" t="s">
        <v>267</v>
      </c>
      <c r="O28" s="193" t="s">
        <v>267</v>
      </c>
      <c r="P28" s="193" t="s">
        <v>267</v>
      </c>
      <c r="Q28" s="193" t="s">
        <v>267</v>
      </c>
      <c r="R28" s="193" t="s">
        <v>267</v>
      </c>
      <c r="S28" s="193" t="s">
        <v>457</v>
      </c>
      <c r="T28" s="193" t="s">
        <v>457</v>
      </c>
      <c r="U28" s="193" t="s">
        <v>267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604</v>
      </c>
      <c r="E40" s="193" t="s">
        <v>604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604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844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844</v>
      </c>
      <c r="E46" s="193" t="s">
        <v>844</v>
      </c>
      <c r="F46" s="193" t="s">
        <v>844</v>
      </c>
      <c r="G46" s="193" t="s">
        <v>844</v>
      </c>
      <c r="H46" s="193" t="s">
        <v>844</v>
      </c>
      <c r="I46" s="193" t="s">
        <v>844</v>
      </c>
      <c r="J46" s="193" t="s">
        <v>844</v>
      </c>
      <c r="K46" s="193" t="s">
        <v>844</v>
      </c>
      <c r="L46" s="193" t="s">
        <v>844</v>
      </c>
      <c r="M46" s="193" t="s">
        <v>844</v>
      </c>
      <c r="N46" s="193" t="s">
        <v>844</v>
      </c>
      <c r="O46" s="193" t="s">
        <v>844</v>
      </c>
      <c r="P46" s="193" t="s">
        <v>844</v>
      </c>
      <c r="Q46" s="193" t="s">
        <v>844</v>
      </c>
      <c r="R46" s="193" t="s">
        <v>844</v>
      </c>
      <c r="S46" s="193" t="s">
        <v>844</v>
      </c>
      <c r="T46" s="193" t="s">
        <v>844</v>
      </c>
      <c r="U46" s="193" t="s">
        <v>844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813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813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267</v>
      </c>
      <c r="E60" s="215" t="s">
        <v>267</v>
      </c>
      <c r="F60" s="215" t="s">
        <v>267</v>
      </c>
      <c r="G60" s="215" t="s">
        <v>267</v>
      </c>
      <c r="H60" s="215">
        <v>0.1</v>
      </c>
      <c r="I60" s="215">
        <v>0.1</v>
      </c>
      <c r="J60" s="215" t="s">
        <v>267</v>
      </c>
      <c r="K60" s="215" t="s">
        <v>267</v>
      </c>
      <c r="L60" s="215" t="s">
        <v>267</v>
      </c>
      <c r="M60" s="215" t="s">
        <v>267</v>
      </c>
      <c r="N60" s="215" t="s">
        <v>267</v>
      </c>
      <c r="O60" s="215" t="s">
        <v>267</v>
      </c>
      <c r="P60" s="215" t="s">
        <v>267</v>
      </c>
      <c r="Q60" s="215" t="s">
        <v>267</v>
      </c>
      <c r="R60" s="215" t="s">
        <v>267</v>
      </c>
      <c r="S60" s="215" t="s">
        <v>267</v>
      </c>
      <c r="T60" s="215" t="s">
        <v>267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886</v>
      </c>
      <c r="B78" s="197" t="str">
        <f t="shared" si="14"/>
        <v>P. Pawar</v>
      </c>
      <c r="C78" s="465" t="str">
        <f>'Quick Input'!I83</f>
        <v>Bearbeiter</v>
      </c>
      <c r="D78" s="198" t="s">
        <v>886</v>
      </c>
      <c r="E78" s="198" t="s">
        <v>886</v>
      </c>
      <c r="F78" s="198" t="s">
        <v>886</v>
      </c>
      <c r="G78" s="198" t="s">
        <v>886</v>
      </c>
      <c r="H78" s="198" t="s">
        <v>886</v>
      </c>
      <c r="I78" s="198" t="s">
        <v>886</v>
      </c>
      <c r="J78" s="198" t="s">
        <v>886</v>
      </c>
      <c r="K78" s="198" t="s">
        <v>886</v>
      </c>
      <c r="L78" s="198" t="s">
        <v>886</v>
      </c>
      <c r="M78" s="199" t="s">
        <v>886</v>
      </c>
      <c r="N78" s="198" t="s">
        <v>886</v>
      </c>
      <c r="O78" s="198" t="s">
        <v>886</v>
      </c>
      <c r="P78" s="198" t="s">
        <v>886</v>
      </c>
      <c r="Q78" s="198" t="s">
        <v>886</v>
      </c>
      <c r="R78" s="198" t="s">
        <v>886</v>
      </c>
      <c r="S78" s="198" t="s">
        <v>886</v>
      </c>
      <c r="T78" s="198" t="s">
        <v>886</v>
      </c>
      <c r="U78" s="198" t="s">
        <v>886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03" activePane="bottomRight" state="frozenSplit"/>
      <selection activeCell="L30" sqref="L30"/>
      <selection pane="topRight" activeCell="L30" sqref="L30"/>
      <selection pane="bottomLeft" activeCell="L30" sqref="L30"/>
      <selection pane="bottomRight" activeCell="F126" sqref="F126:U126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368</v>
      </c>
      <c r="E3" s="584" t="s">
        <v>501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503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192</v>
      </c>
      <c r="D5" s="100" t="s">
        <v>94</v>
      </c>
      <c r="E5" s="584" t="s">
        <v>502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364</v>
      </c>
      <c r="E6" s="584" t="s">
        <v>502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-5.0000000000000001E-3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364</v>
      </c>
      <c r="E7" s="585" t="s">
        <v>502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503</v>
      </c>
      <c r="F8" s="684">
        <f>IFERROR(IF(Refkalkulation!H$102=0,SUM(F$9:F$12),Refkalkulation!H$102),0)</f>
        <v>0.1</v>
      </c>
      <c r="G8" s="7"/>
      <c r="H8" s="7"/>
      <c r="I8" s="684">
        <f>IFERROR(IF(Refkalkulation!K$102=0,SUM(I$9:I$12),Refkalkulation!K$102),0)</f>
        <v>0.1</v>
      </c>
      <c r="J8" s="7"/>
      <c r="K8" s="7"/>
      <c r="L8" s="684">
        <f>IFERROR(IF(Refkalkulation!N$102=0,SUM(L$9:L$12),Refkalkulation!N$102),0)</f>
        <v>0.1</v>
      </c>
      <c r="M8" s="7"/>
      <c r="N8" s="7"/>
      <c r="O8" s="684">
        <f>IFERROR(IF(Refkalkulation!Q$102=0,SUM(O$9:O$12),Refkalkulation!Q$102),0)</f>
        <v>0.16639999999999999</v>
      </c>
      <c r="P8" s="7"/>
      <c r="Q8" s="7"/>
      <c r="R8" s="684">
        <f>IFERROR(IF(Refkalkulation!T$102=0,SUM(R$9:R$12),Refkalkulation!T$102),0)</f>
        <v>0.16639999999999999</v>
      </c>
      <c r="S8" s="7"/>
      <c r="T8" s="7"/>
      <c r="U8" s="684">
        <f>IFERROR(IF(Refkalkulation!W$102=0,SUM(U$9:U$12),Refkalkulation!W$102),0)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502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364</v>
      </c>
      <c r="E10" s="584" t="s">
        <v>502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-0.01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364</v>
      </c>
      <c r="E11" s="584" t="s">
        <v>502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364</v>
      </c>
      <c r="E12" s="585" t="s">
        <v>502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241</v>
      </c>
      <c r="D13" s="98" t="s">
        <v>94</v>
      </c>
      <c r="E13" s="589" t="s">
        <v>503</v>
      </c>
      <c r="F13" s="684">
        <f>IFERROR(IF(Refkalkulation!H$112=0,'Länder-DB'!$I$25*F$14,Refkalkulation!H$112),0)</f>
        <v>0</v>
      </c>
      <c r="G13" s="7"/>
      <c r="H13" s="7"/>
      <c r="I13" s="684">
        <f>IFERROR(IF(Refkalkulation!K$112=0,'Länder-DB'!$I$25*I$14,Refkalkulation!K$112),0)</f>
        <v>0</v>
      </c>
      <c r="J13" s="7"/>
      <c r="K13" s="7"/>
      <c r="L13" s="684">
        <f>IFERROR(IF(Refkalkulation!N$112=0,'Länder-DB'!$I$25*L$14,Refkalkulation!N$112),0)</f>
        <v>0</v>
      </c>
      <c r="M13" s="7"/>
      <c r="N13" s="7"/>
      <c r="O13" s="684">
        <f>IFERROR(IF(Refkalkulation!Q$112=0,'Länder-DB'!$I$25*O$14,Refkalkulation!Q$112),0)</f>
        <v>0</v>
      </c>
      <c r="P13" s="7"/>
      <c r="Q13" s="7"/>
      <c r="R13" s="684">
        <f>IFERROR(IF(Refkalkulation!T$112=0,'Länder-DB'!$I$25*R$14,Refkalkulation!T$112),0)</f>
        <v>0</v>
      </c>
      <c r="S13" s="7"/>
      <c r="T13" s="7"/>
      <c r="U13" s="684">
        <f>IFERROR(IF(Refkalkulation!W$112=0,'Länder-DB'!$I$25*U$14,Refkalkulation!W$112),0)</f>
        <v>0</v>
      </c>
      <c r="V13" s="11"/>
      <c r="X13" s="526"/>
    </row>
    <row r="14" spans="2:24" ht="15" thickBot="1" x14ac:dyDescent="0.25">
      <c r="B14" s="482">
        <v>32</v>
      </c>
      <c r="C14" s="96" t="s">
        <v>561</v>
      </c>
      <c r="D14" s="811">
        <v>0.15</v>
      </c>
      <c r="E14" s="584" t="s">
        <v>502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237</v>
      </c>
      <c r="D15" s="98"/>
      <c r="E15" s="589" t="s">
        <v>503</v>
      </c>
      <c r="F15" s="684">
        <f>IFERROR(IF(Refkalkulation!H$113=0,SUM(F$16:F$18),Refkalkulation!H$113),0)</f>
        <v>0.08</v>
      </c>
      <c r="G15" s="7"/>
      <c r="H15" s="7"/>
      <c r="I15" s="684">
        <f>IFERROR(IF(Refkalkulation!K$113=0,SUM(I$16:I$18),Refkalkulation!K$113),0)</f>
        <v>0.11</v>
      </c>
      <c r="J15" s="7"/>
      <c r="K15" s="7"/>
      <c r="L15" s="684">
        <f>IFERROR(IF(Refkalkulation!N$113=0,SUM(L$16:L$18),Refkalkulation!N$113),0)</f>
        <v>0.09</v>
      </c>
      <c r="M15" s="7"/>
      <c r="N15" s="7"/>
      <c r="O15" s="684">
        <f>IFERROR(IF(Refkalkulation!Q$113=0,SUM(O$16:O$18),Refkalkulation!Q$113),0)</f>
        <v>0.08</v>
      </c>
      <c r="P15" s="7"/>
      <c r="Q15" s="7"/>
      <c r="R15" s="684">
        <f>IFERROR(IF(Refkalkulation!T$113=0,SUM(R$16:R$18),Refkalkulation!T$113),0)</f>
        <v>0.08</v>
      </c>
      <c r="S15" s="7"/>
      <c r="T15" s="7"/>
      <c r="U15" s="684">
        <f>IFERROR(IF(Refkalkulation!W$113=0,SUM(U$16:U$18),Refkalkulation!W$113),0)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502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364</v>
      </c>
      <c r="E17" s="584" t="s">
        <v>502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0.01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364</v>
      </c>
      <c r="E18" s="584" t="s">
        <v>502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662</v>
      </c>
      <c r="D19" s="98"/>
      <c r="E19" s="589" t="s">
        <v>503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Polen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275</v>
      </c>
      <c r="D20" s="100" t="s">
        <v>94</v>
      </c>
      <c r="E20" s="584" t="s">
        <v>503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5.4818280000000001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276</v>
      </c>
      <c r="D21" s="100" t="s">
        <v>94</v>
      </c>
      <c r="E21" s="584" t="s">
        <v>503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7.4557889999999984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277</v>
      </c>
      <c r="D22" s="102" t="s">
        <v>94</v>
      </c>
      <c r="E22" s="585" t="s">
        <v>503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10.008107999999998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372</v>
      </c>
      <c r="D23" s="98" t="s">
        <v>94</v>
      </c>
      <c r="E23" s="589" t="s">
        <v>503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373</v>
      </c>
      <c r="D24" s="100" t="s">
        <v>94</v>
      </c>
      <c r="E24" s="584" t="s">
        <v>502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502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454</v>
      </c>
      <c r="E26" s="585" t="s">
        <v>502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5.0000000000000001E-3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503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0.44159999999999999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397</v>
      </c>
      <c r="E28" s="584" t="s">
        <v>502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502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-0.02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502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367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503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503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397</v>
      </c>
      <c r="E34" s="584" t="s">
        <v>502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502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507</v>
      </c>
      <c r="D37" s="98" t="s">
        <v>94</v>
      </c>
      <c r="E37" s="589" t="s">
        <v>503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512</v>
      </c>
      <c r="D38" s="100" t="s">
        <v>94</v>
      </c>
      <c r="E38" s="584" t="s">
        <v>503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503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398</v>
      </c>
      <c r="D40" s="98">
        <v>1</v>
      </c>
      <c r="E40" s="589" t="s">
        <v>503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371</v>
      </c>
      <c r="D41" s="100">
        <v>1</v>
      </c>
      <c r="E41" s="584" t="s">
        <v>503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273</v>
      </c>
      <c r="D42" s="595" t="s">
        <v>397</v>
      </c>
      <c r="E42" s="584" t="s">
        <v>502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481</v>
      </c>
      <c r="D43" s="100">
        <v>1</v>
      </c>
      <c r="E43" s="584" t="s">
        <v>502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479</v>
      </c>
      <c r="D44" s="100" t="s">
        <v>397</v>
      </c>
      <c r="E44" s="584" t="s">
        <v>502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482</v>
      </c>
      <c r="D45" s="100">
        <v>1</v>
      </c>
      <c r="E45" s="584" t="s">
        <v>502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381</v>
      </c>
      <c r="D46" s="100">
        <v>1</v>
      </c>
      <c r="E46" s="584" t="s">
        <v>503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480</v>
      </c>
      <c r="D47" s="1063" t="s">
        <v>397</v>
      </c>
      <c r="E47" s="585" t="s">
        <v>502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912</v>
      </c>
      <c r="D48" s="102"/>
      <c r="E48" s="585" t="s">
        <v>502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389</v>
      </c>
      <c r="D49" s="98" t="s">
        <v>94</v>
      </c>
      <c r="E49" s="589" t="s">
        <v>503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390</v>
      </c>
      <c r="D50" s="100" t="s">
        <v>94</v>
      </c>
      <c r="E50" s="584" t="s">
        <v>503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388</v>
      </c>
      <c r="D51" s="100" t="s">
        <v>94</v>
      </c>
      <c r="E51" s="584" t="s">
        <v>503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483</v>
      </c>
      <c r="D52" s="100" t="s">
        <v>94</v>
      </c>
      <c r="E52" s="584" t="s">
        <v>502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399</v>
      </c>
      <c r="D53" s="100" t="s">
        <v>397</v>
      </c>
      <c r="E53" s="584" t="s">
        <v>502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484</v>
      </c>
      <c r="D54" s="100" t="s">
        <v>94</v>
      </c>
      <c r="E54" s="584" t="s">
        <v>502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485</v>
      </c>
      <c r="D55" s="100" t="s">
        <v>94</v>
      </c>
      <c r="E55" s="584" t="s">
        <v>502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464</v>
      </c>
      <c r="D56" s="100" t="s">
        <v>397</v>
      </c>
      <c r="E56" s="584" t="s">
        <v>502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391</v>
      </c>
      <c r="D57" s="100" t="s">
        <v>94</v>
      </c>
      <c r="E57" s="584" t="s">
        <v>502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433</v>
      </c>
      <c r="D58" s="611" t="s">
        <v>487</v>
      </c>
      <c r="E58" s="584" t="s">
        <v>503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516</v>
      </c>
      <c r="D59" s="98"/>
      <c r="E59" s="589" t="s">
        <v>503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832</v>
      </c>
      <c r="D60" s="100"/>
      <c r="E60" s="584" t="s">
        <v>502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466</v>
      </c>
      <c r="D61" s="100" t="s">
        <v>533</v>
      </c>
      <c r="E61" s="584" t="s">
        <v>503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465</v>
      </c>
      <c r="D62" s="100"/>
      <c r="E62" s="584" t="s">
        <v>503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467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468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538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515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517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518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519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513</v>
      </c>
      <c r="D70" s="100"/>
      <c r="E70" s="584" t="s">
        <v>503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831</v>
      </c>
      <c r="D71" s="100"/>
      <c r="E71" s="584" t="s">
        <v>502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469</v>
      </c>
      <c r="D72" s="100"/>
      <c r="E72" s="584" t="s">
        <v>502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470</v>
      </c>
      <c r="D73" s="100"/>
      <c r="E73" s="584" t="s">
        <v>502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400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394</v>
      </c>
      <c r="D75" s="98" t="s">
        <v>397</v>
      </c>
      <c r="E75" s="589" t="s">
        <v>503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400</v>
      </c>
      <c r="E76" s="584" t="s">
        <v>503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395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396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387</v>
      </c>
      <c r="D79" s="98">
        <v>1</v>
      </c>
      <c r="E79" s="589" t="s">
        <v>503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486</v>
      </c>
      <c r="D80" s="100" t="s">
        <v>397</v>
      </c>
      <c r="E80" s="584" t="s">
        <v>580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867</v>
      </c>
      <c r="D81" s="100">
        <v>1</v>
      </c>
      <c r="E81" s="584" t="s">
        <v>580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868</v>
      </c>
      <c r="D82" s="100" t="s">
        <v>397</v>
      </c>
      <c r="E82" s="584" t="s">
        <v>580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431</v>
      </c>
      <c r="D83" s="972">
        <v>1.4999999999999999E-2</v>
      </c>
      <c r="E83" s="584" t="s">
        <v>580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430</v>
      </c>
      <c r="D84" s="100">
        <v>1</v>
      </c>
      <c r="E84" s="584" t="s">
        <v>580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502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509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503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502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530</v>
      </c>
      <c r="D89" s="100" t="s">
        <v>94</v>
      </c>
      <c r="E89" s="584" t="s">
        <v>502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502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502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502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250</v>
      </c>
      <c r="D93" s="100" t="s">
        <v>94</v>
      </c>
      <c r="E93" s="584" t="s">
        <v>503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503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528</v>
      </c>
      <c r="D95" s="100" t="s">
        <v>94</v>
      </c>
      <c r="E95" s="584" t="s">
        <v>502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529</v>
      </c>
      <c r="D96" s="100" t="s">
        <v>94</v>
      </c>
      <c r="E96" s="584" t="s">
        <v>502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502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823</v>
      </c>
      <c r="D98" s="98"/>
      <c r="E98" s="589" t="s">
        <v>502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397</v>
      </c>
      <c r="E99" s="584" t="s">
        <v>502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548</v>
      </c>
      <c r="D100" s="100" t="s">
        <v>397</v>
      </c>
      <c r="E100" s="584" t="s">
        <v>502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514</v>
      </c>
      <c r="D101" s="100">
        <v>1</v>
      </c>
      <c r="E101" s="584" t="s">
        <v>503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397</v>
      </c>
      <c r="E103" s="584" t="s">
        <v>502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0.3216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540</v>
      </c>
      <c r="D104" s="598" t="s">
        <v>509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822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541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502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23.968698175787729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493</v>
      </c>
      <c r="D109" s="98"/>
      <c r="E109" s="589" t="s">
        <v>503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502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506</v>
      </c>
      <c r="D111" s="100"/>
      <c r="E111" s="584" t="s">
        <v>502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527</v>
      </c>
      <c r="D112" s="102" t="s">
        <v>94</v>
      </c>
      <c r="E112" s="584" t="s">
        <v>502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508</v>
      </c>
      <c r="D113" s="100" t="s">
        <v>94</v>
      </c>
      <c r="E113" s="589" t="s">
        <v>503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510</v>
      </c>
      <c r="D114" s="100">
        <v>1</v>
      </c>
      <c r="E114" s="584" t="s">
        <v>502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866</v>
      </c>
      <c r="D115" s="100">
        <v>1</v>
      </c>
      <c r="E115" s="584" t="s">
        <v>502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511</v>
      </c>
      <c r="D116" s="102" t="s">
        <v>509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879</v>
      </c>
      <c r="D117" s="98"/>
      <c r="E117" s="589" t="s">
        <v>503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869</v>
      </c>
      <c r="D118" s="100" t="s">
        <v>397</v>
      </c>
      <c r="E118" s="584" t="s">
        <v>502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0.21115500376222723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356</v>
      </c>
      <c r="D119" s="100"/>
      <c r="E119" s="584" t="s">
        <v>502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358</v>
      </c>
      <c r="D120" s="100"/>
      <c r="E120" s="584" t="s">
        <v>502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357</v>
      </c>
      <c r="D121" s="809">
        <v>0.65</v>
      </c>
      <c r="E121" s="585" t="s">
        <v>502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1.1839643652561247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534</v>
      </c>
      <c r="D122" s="100" t="s">
        <v>94</v>
      </c>
      <c r="E122" s="589" t="s">
        <v>503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1.2477080261564104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536</v>
      </c>
      <c r="D123" s="100" t="s">
        <v>94</v>
      </c>
      <c r="E123" s="584" t="s">
        <v>502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535</v>
      </c>
      <c r="D124" s="100" t="s">
        <v>397</v>
      </c>
      <c r="E124" s="584" t="s">
        <v>502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537</v>
      </c>
      <c r="D125" s="102" t="s">
        <v>94</v>
      </c>
      <c r="E125" s="585" t="s">
        <v>502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0.88226280623608011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382</v>
      </c>
      <c r="D126" s="100" t="s">
        <v>533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435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509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492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865</v>
      </c>
      <c r="D131" s="100"/>
      <c r="E131" s="585" t="s">
        <v>503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363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236</v>
      </c>
      <c r="D133" s="100" t="s">
        <v>94</v>
      </c>
      <c r="E133" s="584" t="s">
        <v>503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505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520</v>
      </c>
      <c r="D135" s="100" t="s">
        <v>397</v>
      </c>
      <c r="E135" s="584" t="s">
        <v>503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521</v>
      </c>
      <c r="D136" s="100"/>
      <c r="E136" s="584" t="s">
        <v>503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274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664.11376125384265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494</v>
      </c>
      <c r="D138" s="100">
        <v>1</v>
      </c>
      <c r="E138" s="584" t="s">
        <v>502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495</v>
      </c>
      <c r="D139" s="540" t="s">
        <v>454</v>
      </c>
      <c r="E139" s="584" t="s">
        <v>502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502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11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499</v>
      </c>
      <c r="E141" s="584" t="s">
        <v>502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502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824727.27272727271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233</v>
      </c>
      <c r="D143" s="100">
        <v>1</v>
      </c>
      <c r="E143" s="584" t="s">
        <v>502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502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503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503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0.44159999999999999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397</v>
      </c>
      <c r="E148" s="584" t="s">
        <v>502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0.39744000000000002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502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1526.1696000000002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545</v>
      </c>
      <c r="D150" s="100">
        <v>1</v>
      </c>
      <c r="E150" s="584" t="s">
        <v>502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503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0.06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499</v>
      </c>
      <c r="E152" s="584" t="s">
        <v>502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12.15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498</v>
      </c>
      <c r="E153" s="584" t="s">
        <v>502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502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4.7300000000000004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502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111.57344504830918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524</v>
      </c>
      <c r="D156" s="98"/>
      <c r="E156" s="583" t="s">
        <v>503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502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500</v>
      </c>
      <c r="D158" s="100" t="s">
        <v>397</v>
      </c>
      <c r="E158" s="584" t="s">
        <v>502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523</v>
      </c>
      <c r="D159" s="100" t="s">
        <v>397</v>
      </c>
      <c r="E159" s="584" t="s">
        <v>502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525</v>
      </c>
      <c r="D160" s="100"/>
      <c r="E160" s="584" t="s">
        <v>502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526</v>
      </c>
      <c r="D161" s="102"/>
      <c r="E161" s="584" t="s">
        <v>502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828</v>
      </c>
      <c r="D162" s="98">
        <v>1</v>
      </c>
      <c r="E162" s="589" t="s">
        <v>503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542</v>
      </c>
      <c r="D163" s="540">
        <v>8</v>
      </c>
      <c r="E163" s="584" t="s">
        <v>502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856</v>
      </c>
      <c r="D164" s="100" t="s">
        <v>397</v>
      </c>
      <c r="E164" s="584" t="s">
        <v>502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182</v>
      </c>
      <c r="D165" s="100" t="s">
        <v>397</v>
      </c>
      <c r="E165" s="584" t="s">
        <v>502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830</v>
      </c>
      <c r="D166" s="98"/>
      <c r="E166" s="589" t="s">
        <v>503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854</v>
      </c>
      <c r="D167" s="540">
        <v>18</v>
      </c>
      <c r="E167" s="584" t="s">
        <v>502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855</v>
      </c>
      <c r="D168" s="540">
        <v>15</v>
      </c>
      <c r="E168" s="584" t="s">
        <v>502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182</v>
      </c>
      <c r="D169" s="810">
        <v>0.08</v>
      </c>
      <c r="E169" s="584" t="s">
        <v>502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183</v>
      </c>
      <c r="D170" s="100" t="s">
        <v>94</v>
      </c>
      <c r="E170" s="589" t="s">
        <v>503</v>
      </c>
      <c r="F170" s="661">
        <f>IFERROR(IF(Refkalkulation!H$89=0,ROUND(F$171*(1+F$172+F$173+F$174),1),Refkalkulation!H$89),0)</f>
        <v>300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184</v>
      </c>
      <c r="D171" s="540">
        <v>20</v>
      </c>
      <c r="E171" s="584" t="s">
        <v>502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185</v>
      </c>
      <c r="D172" s="100">
        <v>1</v>
      </c>
      <c r="E172" s="584" t="s">
        <v>502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544</v>
      </c>
      <c r="D173" s="100">
        <v>1</v>
      </c>
      <c r="E173" s="584" t="s">
        <v>502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0.27500000000000002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182</v>
      </c>
      <c r="D174" s="810">
        <v>0.3</v>
      </c>
      <c r="E174" s="584" t="s">
        <v>502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627</v>
      </c>
      <c r="D175" s="102"/>
      <c r="E175" s="583"/>
      <c r="F175" s="667">
        <f>IFERROR(IF(OR(Refkalkulation!H$91=0,F$246=0),F$246,Refkalkulation!H$91),0)</f>
        <v>0</v>
      </c>
      <c r="G175" s="451"/>
      <c r="H175" s="435"/>
      <c r="I175" s="667">
        <f>IFERROR(IF(OR(Refkalkulation!K$91=0,I$246=0),I$246,Refkalkulation!K$91),0)</f>
        <v>0</v>
      </c>
      <c r="J175" s="451"/>
      <c r="K175" s="435"/>
      <c r="L175" s="667">
        <f>IFERROR(IF(OR(Refkalkulation!N$91=0,L$246=0),L$246,Refkalkulation!N$91),0)</f>
        <v>0</v>
      </c>
      <c r="M175" s="451"/>
      <c r="N175" s="435"/>
      <c r="O175" s="667">
        <f>IFERROR(IF(OR(Refkalkulation!Q$91=0,O$246=0),O$246,Refkalkulation!Q$91),0)</f>
        <v>0</v>
      </c>
      <c r="P175" s="451"/>
      <c r="Q175" s="435"/>
      <c r="R175" s="667">
        <f>IFERROR(IF(OR(Refkalkulation!T$91=0,R$246=0),R$246,Refkalkulation!T$91),0)</f>
        <v>0</v>
      </c>
      <c r="S175" s="451"/>
      <c r="T175" s="435"/>
      <c r="U175" s="667">
        <f>IFERROR(IF(OR(Refkalkulation!W$91=0,U$246=0),U$246,Refkalkulation!W$91),0)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620</v>
      </c>
      <c r="D176" s="102"/>
      <c r="E176" s="583"/>
      <c r="F176" s="667">
        <f>IFERROR(IF(OR(Refkalkulation!H$92=0,F$249=0),F249,Refkalkulation!H$92),0)</f>
        <v>0</v>
      </c>
      <c r="G176" s="451"/>
      <c r="H176" s="435"/>
      <c r="I176" s="667">
        <f>IFERROR(IF(OR(Refkalkulation!K$92=0,I$249=0),I249,Refkalkulation!K$92),0)</f>
        <v>0</v>
      </c>
      <c r="J176" s="451"/>
      <c r="K176" s="435"/>
      <c r="L176" s="667">
        <f>IFERROR(IF(OR(Refkalkulation!N$92=0,L$249=0),L249,Refkalkulation!N$92),0)</f>
        <v>0</v>
      </c>
      <c r="M176" s="451"/>
      <c r="N176" s="435"/>
      <c r="O176" s="667">
        <f>IFERROR(IF(OR(Refkalkulation!Q$92=0,O$249=0),O249,Refkalkulation!Q$92),0)</f>
        <v>0</v>
      </c>
      <c r="P176" s="451"/>
      <c r="Q176" s="435"/>
      <c r="R176" s="667">
        <f>IFERROR(IF(OR(Refkalkulation!T$92=0,R$249=0),R249,Refkalkulation!T$92),0)</f>
        <v>0</v>
      </c>
      <c r="S176" s="451"/>
      <c r="T176" s="435"/>
      <c r="U176" s="667">
        <f>IFERROR(IF(OR(Refkalkulation!W$92=0,U$249=0),U249,Refkalkulation!W$92),0)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628</v>
      </c>
      <c r="D177" s="100"/>
      <c r="E177" s="6"/>
      <c r="F177" s="667">
        <f>IFERROR(IF(OR(Refkalkulation!H$93=0,F$178=0),ROUND(F178*(1+F179),2),Refkalkulation!H$93),0)</f>
        <v>0</v>
      </c>
      <c r="G177" s="451"/>
      <c r="H177" s="435"/>
      <c r="I177" s="667">
        <f>IFERROR(IF(OR(Refkalkulation!K$93=0,I$178=0),ROUND(I178*(1+I179),2),Refkalkulation!K$93),0)</f>
        <v>0</v>
      </c>
      <c r="J177" s="451"/>
      <c r="K177" s="435"/>
      <c r="L177" s="667">
        <f>IFERROR(IF(OR(Refkalkulation!N$93=0,L$178=0),ROUND(L178*(1+L179),2),Refkalkulation!N$93),0)</f>
        <v>0</v>
      </c>
      <c r="M177" s="451"/>
      <c r="N177" s="435"/>
      <c r="O177" s="667">
        <f>IFERROR(IF(OR(Refkalkulation!Q$93=0,O$178=0),ROUND(O178*(1+O179),2),Refkalkulation!Q$93),0)</f>
        <v>0</v>
      </c>
      <c r="P177" s="451"/>
      <c r="Q177" s="435"/>
      <c r="R177" s="667">
        <f>IFERROR(IF(OR(Refkalkulation!T$93=0,R$178=0),ROUND(R178*(1+R179),2),Refkalkulation!T$93),0)</f>
        <v>0</v>
      </c>
      <c r="S177" s="451"/>
      <c r="T177" s="435"/>
      <c r="U177" s="667">
        <f>IFERROR(IF(OR(Refkalkulation!W$93=0,U$178=0),ROUND(U178*(1+U179),2),Refkalkulation!W$93),0)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629</v>
      </c>
      <c r="D178" s="100" t="s">
        <v>94</v>
      </c>
      <c r="E178" s="586" t="s">
        <v>580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182</v>
      </c>
      <c r="D179" s="102"/>
      <c r="E179" s="587" t="s">
        <v>580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329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328</v>
      </c>
      <c r="D181" s="100"/>
      <c r="E181" s="584" t="s">
        <v>502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577</v>
      </c>
      <c r="D182" s="100"/>
      <c r="E182" s="584" t="s">
        <v>502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1.4121804285714286E-2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591</v>
      </c>
      <c r="D183" s="540">
        <v>3.4</v>
      </c>
      <c r="E183" s="584" t="s">
        <v>502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887</v>
      </c>
      <c r="D184" s="540">
        <v>15</v>
      </c>
      <c r="E184" s="584" t="s">
        <v>502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576</v>
      </c>
      <c r="D185" s="100"/>
      <c r="E185" s="584" t="s">
        <v>502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888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462</v>
      </c>
      <c r="D187" s="100" t="s">
        <v>94</v>
      </c>
      <c r="E187" s="589" t="s">
        <v>503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592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564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543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563</v>
      </c>
      <c r="D191" s="102" t="s">
        <v>94</v>
      </c>
      <c r="E191" s="587"/>
      <c r="F191" s="350">
        <f>Refkalkulation!H$89/3600*Refkalkulation!H$90</f>
        <v>3.0850166666666663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0.83400899999999978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269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270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271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-0.15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845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450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452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356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846</v>
      </c>
      <c r="D200" s="100" t="s">
        <v>94</v>
      </c>
      <c r="E200" s="589" t="s">
        <v>503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450</v>
      </c>
      <c r="D201" s="100" t="s">
        <v>397</v>
      </c>
      <c r="E201" s="584" t="s">
        <v>580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907</v>
      </c>
      <c r="D202" s="100" t="s">
        <v>397</v>
      </c>
      <c r="E202" s="584" t="s">
        <v>580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356</v>
      </c>
      <c r="D203" s="100" t="s">
        <v>397</v>
      </c>
      <c r="E203" s="584" t="s">
        <v>580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847</v>
      </c>
      <c r="D204" s="98"/>
      <c r="E204" s="589" t="s">
        <v>503</v>
      </c>
      <c r="F204" s="684">
        <f>IF(Refkalkulation!H$108=0,'Länder-DB'!$I$33,Refkalkulation!H$108)</f>
        <v>0.12</v>
      </c>
      <c r="G204" s="7"/>
      <c r="H204" s="7"/>
      <c r="I204" s="684">
        <f>IF(Refkalkulation!K$108=0,'Länder-DB'!$I$33,Refkalkulation!K$108)</f>
        <v>0.12</v>
      </c>
      <c r="J204" s="7"/>
      <c r="K204" s="7"/>
      <c r="L204" s="684">
        <f>IF(Refkalkulation!N$108=0,'Länder-DB'!$I$33,Refkalkulation!N$108)</f>
        <v>0.12</v>
      </c>
      <c r="M204" s="7"/>
      <c r="N204" s="7"/>
      <c r="O204" s="684">
        <f>IF(Refkalkulation!Q$108=0,'Länder-DB'!$I$33,Refkalkulation!Q$108)</f>
        <v>0.12</v>
      </c>
      <c r="P204" s="7"/>
      <c r="Q204" s="7"/>
      <c r="R204" s="684">
        <f>IF(Refkalkulation!T$108=0,'Länder-DB'!$I$33,Refkalkulation!T$108)</f>
        <v>0.12</v>
      </c>
      <c r="S204" s="7"/>
      <c r="T204" s="7"/>
      <c r="U204" s="684">
        <f>IF(Refkalkulation!W$108=0,'Länder-DB'!$I$33,Refkalkulation!W$108)</f>
        <v>0.12</v>
      </c>
      <c r="V204" s="11"/>
      <c r="X204" s="526"/>
    </row>
    <row r="205" spans="2:24" ht="15" x14ac:dyDescent="0.25">
      <c r="B205" s="546">
        <v>62</v>
      </c>
      <c r="C205" s="95" t="s">
        <v>568</v>
      </c>
      <c r="D205" s="98"/>
      <c r="E205" s="589" t="s">
        <v>503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638</v>
      </c>
      <c r="D206" s="100"/>
      <c r="E206" s="584" t="s">
        <v>502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919</v>
      </c>
      <c r="D207" s="540">
        <v>8</v>
      </c>
      <c r="E207" s="584" t="s">
        <v>502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637</v>
      </c>
      <c r="D208" s="540">
        <v>14</v>
      </c>
      <c r="E208" s="584" t="s">
        <v>636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569</v>
      </c>
      <c r="D209" s="102"/>
      <c r="E209" s="585" t="s">
        <v>502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2.6980511137162955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818</v>
      </c>
      <c r="D210" s="100"/>
      <c r="E210" s="583" t="s">
        <v>503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0.1237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816</v>
      </c>
      <c r="D211" s="100"/>
      <c r="E211" s="586" t="s">
        <v>580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819</v>
      </c>
      <c r="D212" s="876"/>
      <c r="E212" s="586" t="s">
        <v>580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0.1237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820</v>
      </c>
      <c r="E213" s="586" t="s">
        <v>580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824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825</v>
      </c>
      <c r="D215" s="952">
        <v>135</v>
      </c>
      <c r="E215" s="587" t="s">
        <v>580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908</v>
      </c>
      <c r="D216" s="98"/>
      <c r="E216" s="589" t="s">
        <v>503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909</v>
      </c>
      <c r="D217" s="100"/>
      <c r="E217" s="584" t="s">
        <v>503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910</v>
      </c>
      <c r="D218" s="100"/>
      <c r="E218" s="584" t="s">
        <v>503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911</v>
      </c>
      <c r="D219" s="102"/>
      <c r="E219" s="585" t="s">
        <v>503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710</v>
      </c>
      <c r="D220" s="100"/>
      <c r="E220" s="583" t="s">
        <v>503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9.4911577999999999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714</v>
      </c>
      <c r="D221" s="875"/>
      <c r="E221" s="584" t="s">
        <v>502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713</v>
      </c>
      <c r="D222" s="876"/>
      <c r="E222" s="584" t="s">
        <v>502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711</v>
      </c>
      <c r="D223" s="876"/>
      <c r="E223" s="584" t="s">
        <v>503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716</v>
      </c>
      <c r="D224" s="102"/>
      <c r="E224" s="585" t="s">
        <v>636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870</v>
      </c>
      <c r="D225" s="100"/>
      <c r="E225" s="589" t="s">
        <v>503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875</v>
      </c>
      <c r="D226" s="100"/>
      <c r="E226" s="584" t="s">
        <v>502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876</v>
      </c>
      <c r="D227" s="100"/>
      <c r="E227" s="584" t="s">
        <v>502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871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873</v>
      </c>
      <c r="D229" s="729">
        <v>0.5</v>
      </c>
      <c r="E229" s="584" t="s">
        <v>502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874</v>
      </c>
      <c r="D230" s="729">
        <v>1.5</v>
      </c>
      <c r="E230" s="584" t="s">
        <v>502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32.761758588298441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877</v>
      </c>
      <c r="D231" s="729">
        <v>1.1000000000000001</v>
      </c>
      <c r="E231" s="584" t="s">
        <v>502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40.217547588298437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872</v>
      </c>
      <c r="D232" s="100"/>
      <c r="E232" s="584" t="s">
        <v>502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352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859</v>
      </c>
      <c r="D234" s="100"/>
      <c r="E234" s="589" t="s">
        <v>503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857</v>
      </c>
      <c r="D235" s="729">
        <v>20</v>
      </c>
      <c r="E235" s="584" t="s">
        <v>502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185</v>
      </c>
      <c r="D236" s="100"/>
      <c r="E236" s="584" t="s">
        <v>502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182</v>
      </c>
      <c r="D237" s="810">
        <v>0.25</v>
      </c>
      <c r="E237" s="584" t="s">
        <v>502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864</v>
      </c>
      <c r="D238" s="100"/>
      <c r="E238" s="589" t="s">
        <v>503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861</v>
      </c>
      <c r="D239" s="729">
        <v>22</v>
      </c>
      <c r="E239" s="584" t="s">
        <v>502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862</v>
      </c>
      <c r="D240" s="729">
        <v>3.5</v>
      </c>
      <c r="E240" s="584" t="s">
        <v>502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863</v>
      </c>
      <c r="D241" s="985">
        <v>30</v>
      </c>
      <c r="E241" s="584" t="s">
        <v>502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860</v>
      </c>
      <c r="D242" s="100"/>
      <c r="E242" s="589" t="s">
        <v>503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858</v>
      </c>
      <c r="D243" s="729">
        <v>15</v>
      </c>
      <c r="E243" s="584" t="s">
        <v>502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906</v>
      </c>
      <c r="D244" s="729">
        <v>35</v>
      </c>
      <c r="E244" s="584" t="s">
        <v>502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182</v>
      </c>
      <c r="D245" s="810">
        <v>0.35</v>
      </c>
      <c r="E245" s="585" t="s">
        <v>502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618</v>
      </c>
      <c r="D246" s="100"/>
      <c r="E246" s="583" t="s">
        <v>503</v>
      </c>
      <c r="F246" s="782">
        <f>IF('Quick Input'!M$28=Auswahlfelder!$D$22,0,ROUND(F247*(1+F$248),2))</f>
        <v>0</v>
      </c>
      <c r="G246" s="10"/>
      <c r="H246" s="10"/>
      <c r="I246" s="782">
        <f>IF('Quick Input'!P$28=Auswahlfelder!$D$22,0,ROUND(I247*(1+I$248),2))</f>
        <v>0</v>
      </c>
      <c r="J246" s="10"/>
      <c r="K246" s="10"/>
      <c r="L246" s="782">
        <f>IF('Quick Input'!S$28=Auswahlfelder!$D$22,0,ROUND(L247*(1+L$248),2))</f>
        <v>0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619</v>
      </c>
      <c r="D247" s="100"/>
      <c r="E247" s="586" t="s">
        <v>580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1.7953888237592812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182</v>
      </c>
      <c r="D248" s="102"/>
      <c r="E248" s="587" t="s">
        <v>580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620</v>
      </c>
      <c r="D249" s="100"/>
      <c r="E249" s="583" t="s">
        <v>503</v>
      </c>
      <c r="F249" s="351">
        <f>IF('Quick Input'!M29=Auswahlfelder!$D$22,0,ROUND(F250*(1+F251),2))</f>
        <v>0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621</v>
      </c>
      <c r="D250" s="100"/>
      <c r="E250" s="586" t="s">
        <v>580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3.519812426729191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182</v>
      </c>
      <c r="D251" s="102"/>
      <c r="E251" s="587" t="s">
        <v>580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622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ohne Prfg.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ohne Prfg.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ohne Prfg.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383</v>
      </c>
      <c r="D253" s="98"/>
      <c r="E253" s="589" t="s">
        <v>503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546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491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488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9218.0705882352941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489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23045.176470588234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490</v>
      </c>
      <c r="D258" s="598" t="s">
        <v>509</v>
      </c>
      <c r="E258" s="584" t="s">
        <v>503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547</v>
      </c>
      <c r="D259" s="598" t="s">
        <v>509</v>
      </c>
      <c r="E259" s="584" t="s">
        <v>503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397</v>
      </c>
      <c r="E260" s="584" t="s">
        <v>502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4.0840000000000001E-2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397</v>
      </c>
      <c r="E261" s="584" t="s">
        <v>502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397</v>
      </c>
      <c r="E262" s="585" t="s">
        <v>502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578</v>
      </c>
      <c r="D263" s="98"/>
      <c r="E263" s="589" t="s">
        <v>503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8800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187</v>
      </c>
      <c r="D264" s="100"/>
      <c r="E264" s="584" t="s">
        <v>580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579</v>
      </c>
      <c r="D265" s="100"/>
      <c r="E265" s="584" t="s">
        <v>502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186</v>
      </c>
      <c r="D266" s="100"/>
      <c r="E266" s="584" t="s">
        <v>502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188</v>
      </c>
      <c r="D267" s="102"/>
      <c r="E267" s="585" t="s">
        <v>502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-0.12400937866354043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384</v>
      </c>
      <c r="D268" s="100"/>
      <c r="E268" s="589" t="s">
        <v>503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594</v>
      </c>
      <c r="D269" s="953">
        <v>1.9</v>
      </c>
      <c r="E269" s="584" t="s">
        <v>502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357</v>
      </c>
      <c r="D270" s="102"/>
      <c r="E270" s="585" t="s">
        <v>502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1.1839643652561247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532</v>
      </c>
      <c r="G274" s="609"/>
      <c r="H274" s="604">
        <v>0</v>
      </c>
      <c r="I274" s="608" t="s">
        <v>532</v>
      </c>
      <c r="J274" s="609"/>
      <c r="K274" s="604">
        <v>0</v>
      </c>
      <c r="L274" s="608" t="s">
        <v>532</v>
      </c>
      <c r="M274" s="609"/>
      <c r="N274" s="604">
        <v>0</v>
      </c>
      <c r="O274" s="608" t="s">
        <v>532</v>
      </c>
      <c r="P274" s="609"/>
      <c r="Q274" s="604">
        <v>0</v>
      </c>
      <c r="R274" s="608" t="s">
        <v>532</v>
      </c>
      <c r="S274" s="609"/>
      <c r="T274" s="604">
        <v>0</v>
      </c>
      <c r="U274" s="608" t="s">
        <v>532</v>
      </c>
      <c r="V274" s="609"/>
      <c r="W274" s="669" t="s">
        <v>400</v>
      </c>
      <c r="X274" s="610" t="s">
        <v>531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583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584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550</v>
      </c>
      <c r="X279" s="607" t="s">
        <v>586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549</v>
      </c>
      <c r="X281" s="607" t="s">
        <v>582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581</v>
      </c>
      <c r="X283" s="607" t="s">
        <v>585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632</v>
      </c>
      <c r="X285" s="607" t="s">
        <v>633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sheetProtection password="E456" sheet="1" objects="1" scenarios="1"/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00000000-0000-0000-0000-000000000000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955</v>
      </c>
    </row>
    <row r="2" spans="1:14" ht="38.25" x14ac:dyDescent="0.2">
      <c r="A2" s="1157" t="s">
        <v>933</v>
      </c>
      <c r="B2" s="1157" t="s">
        <v>934</v>
      </c>
      <c r="C2" s="1157" t="s">
        <v>935</v>
      </c>
      <c r="D2" s="1157" t="s">
        <v>936</v>
      </c>
      <c r="E2" s="1159" t="s">
        <v>937</v>
      </c>
      <c r="F2" s="1160" t="s">
        <v>938</v>
      </c>
      <c r="G2" s="1161" t="s">
        <v>939</v>
      </c>
      <c r="H2" s="1162" t="s">
        <v>942</v>
      </c>
      <c r="I2" s="1163" t="s">
        <v>943</v>
      </c>
      <c r="N2" s="1181" t="s">
        <v>956</v>
      </c>
    </row>
    <row r="3" spans="1:14" s="1169" customFormat="1" x14ac:dyDescent="0.2">
      <c r="A3" s="1164" t="s">
        <v>940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941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965</v>
      </c>
      <c r="N4" s="1183"/>
    </row>
    <row r="5" spans="1:14" s="1169" customFormat="1" x14ac:dyDescent="0.2">
      <c r="A5" s="1164" t="s">
        <v>961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944</v>
      </c>
      <c r="B8" t="s">
        <v>945</v>
      </c>
      <c r="C8" t="s">
        <v>946</v>
      </c>
      <c r="D8" t="s">
        <v>72</v>
      </c>
      <c r="E8" t="s">
        <v>947</v>
      </c>
      <c r="F8" t="s">
        <v>948</v>
      </c>
      <c r="G8" t="s">
        <v>949</v>
      </c>
      <c r="H8" t="s">
        <v>950</v>
      </c>
      <c r="N8" s="1181" t="s">
        <v>957</v>
      </c>
    </row>
    <row r="9" spans="1:14" ht="14.25" x14ac:dyDescent="0.2">
      <c r="A9" s="1177" t="s">
        <v>951</v>
      </c>
      <c r="B9" s="1177" t="s">
        <v>967</v>
      </c>
      <c r="C9" s="1177" t="s">
        <v>968</v>
      </c>
      <c r="D9">
        <v>120620</v>
      </c>
      <c r="E9" s="1178">
        <v>0.47638888888888886</v>
      </c>
      <c r="F9" s="1177" t="s">
        <v>969</v>
      </c>
      <c r="G9" s="1177" t="s">
        <v>970</v>
      </c>
      <c r="H9" s="1177" t="s">
        <v>971</v>
      </c>
    </row>
    <row r="10" spans="1:14" ht="14.25" x14ac:dyDescent="0.2">
      <c r="A10" s="1177" t="s">
        <v>951</v>
      </c>
      <c r="B10" s="1177" t="s">
        <v>972</v>
      </c>
      <c r="C10" s="1177" t="s">
        <v>952</v>
      </c>
      <c r="D10">
        <v>100620</v>
      </c>
      <c r="E10" s="1178">
        <v>0.5854166666666667</v>
      </c>
      <c r="F10" s="1177" t="s">
        <v>953</v>
      </c>
      <c r="G10" s="1177" t="s">
        <v>972</v>
      </c>
      <c r="H10" s="1177" t="s">
        <v>972</v>
      </c>
    </row>
    <row r="11" spans="1:14" ht="14.25" x14ac:dyDescent="0.2">
      <c r="A11" s="1177" t="s">
        <v>951</v>
      </c>
      <c r="B11" s="1177" t="s">
        <v>970</v>
      </c>
      <c r="C11" s="1177" t="s">
        <v>973</v>
      </c>
      <c r="D11">
        <v>110620</v>
      </c>
      <c r="E11" s="1178">
        <v>0.55277777777777781</v>
      </c>
      <c r="F11" s="1177" t="s">
        <v>953</v>
      </c>
      <c r="G11" s="1177" t="s">
        <v>970</v>
      </c>
      <c r="H11" s="1177" t="s">
        <v>970</v>
      </c>
    </row>
    <row r="12" spans="1:14" ht="14.25" x14ac:dyDescent="0.2">
      <c r="A12" s="1177" t="s">
        <v>951</v>
      </c>
      <c r="B12" s="1177" t="s">
        <v>967</v>
      </c>
      <c r="C12" s="1177" t="s">
        <v>974</v>
      </c>
      <c r="D12">
        <v>120620</v>
      </c>
      <c r="E12" s="1178">
        <v>0.47569444444444442</v>
      </c>
      <c r="F12" s="1177" t="s">
        <v>953</v>
      </c>
      <c r="G12" s="1177" t="s">
        <v>970</v>
      </c>
      <c r="H12" s="1177" t="s">
        <v>975</v>
      </c>
    </row>
    <row r="13" spans="1:14" ht="14.25" x14ac:dyDescent="0.2">
      <c r="A13" s="1177" t="s">
        <v>954</v>
      </c>
      <c r="B13" s="1177" t="s">
        <v>976</v>
      </c>
      <c r="C13" s="1177" t="s">
        <v>977</v>
      </c>
      <c r="D13">
        <v>120620</v>
      </c>
      <c r="E13" s="1178">
        <v>0.46597222222222223</v>
      </c>
      <c r="F13" s="1177" t="s">
        <v>978</v>
      </c>
      <c r="G13" s="1177" t="s">
        <v>979</v>
      </c>
      <c r="H13" s="1177" t="s">
        <v>980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933</v>
      </c>
      <c r="B17" s="1157" t="s">
        <v>934</v>
      </c>
      <c r="C17" s="1157" t="s">
        <v>935</v>
      </c>
      <c r="D17" s="1157" t="s">
        <v>936</v>
      </c>
      <c r="E17" s="1159" t="s">
        <v>937</v>
      </c>
      <c r="F17" s="1160" t="s">
        <v>938</v>
      </c>
      <c r="G17" s="1161" t="s">
        <v>939</v>
      </c>
      <c r="H17" s="1162" t="s">
        <v>942</v>
      </c>
      <c r="I17" s="1163" t="s">
        <v>943</v>
      </c>
    </row>
    <row r="18" spans="1:14" x14ac:dyDescent="0.2">
      <c r="A18" s="1164" t="s">
        <v>940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963</v>
      </c>
    </row>
    <row r="19" spans="1:14" x14ac:dyDescent="0.2">
      <c r="A19" s="1170" t="s">
        <v>941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964</v>
      </c>
    </row>
    <row r="20" spans="1:14" x14ac:dyDescent="0.2">
      <c r="A20" s="1164" t="s">
        <v>961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962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Nisar, Shuaib Ahmad (SI P CVE CAO)</cp:lastModifiedBy>
  <cp:lastPrinted>2019-02-01T10:38:36Z</cp:lastPrinted>
  <dcterms:created xsi:type="dcterms:W3CDTF">2011-07-19T14:09:27Z</dcterms:created>
  <dcterms:modified xsi:type="dcterms:W3CDTF">2021-06-28T08:01:35Z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
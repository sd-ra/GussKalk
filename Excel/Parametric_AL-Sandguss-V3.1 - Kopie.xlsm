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53A85B79-6ABB-4A48-AA0F-BAD13DBC58AD}" xr6:coauthVersionLast="47" xr6:coauthVersionMax="47" xr10:uidLastSave="{00000000-0000-0000-0000-000000000000}"/>
  <bookViews>
    <workbookView xWindow="-120" yWindow="-120" windowWidth="29040" windowHeight="15840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Refkalkulation!$A$1:$X$129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Refkalkulation!$A$1:$X$129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Q92" i="7" l="1"/>
  <c r="T92" i="7"/>
  <c r="W92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9" i="7" s="1"/>
  <c r="L49" i="31" s="1"/>
  <c r="Y58" i="3"/>
  <c r="T129" i="7" s="1"/>
  <c r="P58" i="3"/>
  <c r="K129" i="7" s="1"/>
  <c r="H49" i="31" s="1"/>
  <c r="V58" i="3"/>
  <c r="Q129" i="7" s="1"/>
  <c r="AB58" i="3"/>
  <c r="W129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M76" i="3"/>
  <c r="L76" i="3" s="1"/>
  <c r="M75" i="3"/>
  <c r="L75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F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9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7" i="7"/>
  <c r="T97" i="7"/>
  <c r="Q97" i="7"/>
  <c r="N97" i="7"/>
  <c r="K97" i="7"/>
  <c r="H97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8" i="7"/>
  <c r="D129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2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1" i="7"/>
  <c r="D107" i="7"/>
  <c r="C38" i="31" s="1"/>
  <c r="D112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101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7" i="7"/>
  <c r="D124" i="7"/>
  <c r="D114" i="7"/>
  <c r="D109" i="7"/>
  <c r="D63" i="7"/>
  <c r="D55" i="7"/>
  <c r="D52" i="7"/>
  <c r="D35" i="7"/>
  <c r="D28" i="7"/>
  <c r="D5" i="7"/>
  <c r="D135" i="7"/>
  <c r="D127" i="7"/>
  <c r="D121" i="7"/>
  <c r="D100" i="7"/>
  <c r="D84" i="7"/>
  <c r="D82" i="7"/>
  <c r="D64" i="7"/>
  <c r="D51" i="7"/>
  <c r="D38" i="7"/>
  <c r="D34" i="7"/>
  <c r="D26" i="7"/>
  <c r="C35" i="30" s="1"/>
  <c r="D133" i="7"/>
  <c r="D126" i="7"/>
  <c r="D119" i="7"/>
  <c r="D113" i="7"/>
  <c r="D106" i="7"/>
  <c r="C43" i="31" s="1"/>
  <c r="D98" i="7"/>
  <c r="D104" i="7"/>
  <c r="D66" i="7"/>
  <c r="D62" i="7"/>
  <c r="D59" i="7"/>
  <c r="D54" i="7"/>
  <c r="D49" i="7"/>
  <c r="D41" i="7"/>
  <c r="D37" i="7"/>
  <c r="D17" i="7"/>
  <c r="D131" i="7"/>
  <c r="D125" i="7"/>
  <c r="D117" i="7"/>
  <c r="D97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6" i="7"/>
  <c r="I74" i="3"/>
  <c r="C69" i="24" s="1"/>
  <c r="I76" i="3"/>
  <c r="C71" i="24" s="1"/>
  <c r="D95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5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H92" i="7" s="1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3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9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3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6" i="7"/>
  <c r="C77" i="24"/>
  <c r="C5" i="24"/>
  <c r="C61" i="24"/>
  <c r="D61" i="7"/>
  <c r="C14" i="31" s="1"/>
  <c r="C76" i="24"/>
  <c r="D115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3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N92" i="7" s="1"/>
  <c r="S74" i="3" s="1"/>
  <c r="R74" i="3" s="1"/>
  <c r="K92" i="7" l="1"/>
  <c r="P74" i="3" s="1"/>
  <c r="O74" i="3" s="1"/>
  <c r="M74" i="3"/>
  <c r="L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8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3" i="7"/>
  <c r="W123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3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4" i="7" s="1"/>
  <c r="I270" i="15"/>
  <c r="I268" i="15" s="1"/>
  <c r="K128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8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8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8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8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3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4" i="7" s="1"/>
  <c r="U192" i="15"/>
  <c r="W104" i="7" s="1"/>
  <c r="I192" i="15"/>
  <c r="R192" i="15"/>
  <c r="T104" i="7" s="1"/>
  <c r="L192" i="15"/>
  <c r="N104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100" i="7"/>
  <c r="H101" i="7" s="1"/>
  <c r="E42" i="31" s="1"/>
  <c r="F189" i="15"/>
  <c r="F275" i="15"/>
  <c r="K104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0" i="7"/>
  <c r="T101" i="7" s="1"/>
  <c r="I71" i="15"/>
  <c r="I275" i="15" s="1"/>
  <c r="I73" i="15"/>
  <c r="F78" i="15"/>
  <c r="F111" i="15"/>
  <c r="F109" i="15" s="1"/>
  <c r="H62" i="7" s="1"/>
  <c r="N100" i="7"/>
  <c r="N101" i="7" s="1"/>
  <c r="M42" i="31" s="1"/>
  <c r="N18" i="7"/>
  <c r="Q100" i="7"/>
  <c r="Q101" i="7" s="1"/>
  <c r="W100" i="7"/>
  <c r="W101" i="7" s="1"/>
  <c r="K100" i="7"/>
  <c r="K101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7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1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1" i="7" s="1"/>
  <c r="G49" i="7"/>
  <c r="E275" i="15"/>
  <c r="W51" i="7"/>
  <c r="W121" i="7" s="1"/>
  <c r="O160" i="15"/>
  <c r="O158" i="15" s="1"/>
  <c r="O156" i="15" s="1"/>
  <c r="O276" i="15"/>
  <c r="U276" i="15"/>
  <c r="Q51" i="7"/>
  <c r="Q121" i="7" s="1"/>
  <c r="U160" i="15"/>
  <c r="U158" i="15" s="1"/>
  <c r="K275" i="15"/>
  <c r="O259" i="15" l="1"/>
  <c r="Q126" i="7" s="1"/>
  <c r="I37" i="30"/>
  <c r="I35" i="31"/>
  <c r="O129" i="15"/>
  <c r="O130" i="15" s="1"/>
  <c r="O131" i="15" s="1"/>
  <c r="Q49" i="7" s="1"/>
  <c r="O265" i="15"/>
  <c r="O263" i="15" s="1"/>
  <c r="Q127" i="7" s="1"/>
  <c r="L265" i="15"/>
  <c r="L263" i="15" s="1"/>
  <c r="N127" i="7" s="1"/>
  <c r="L48" i="31" s="1"/>
  <c r="M49" i="31" s="1"/>
  <c r="R265" i="15"/>
  <c r="R263" i="15" s="1"/>
  <c r="T127" i="7" s="1"/>
  <c r="U265" i="15"/>
  <c r="U263" i="15" s="1"/>
  <c r="W127" i="7" s="1"/>
  <c r="U156" i="15"/>
  <c r="W59" i="7" s="1"/>
  <c r="U104" i="15" s="1"/>
  <c r="U282" i="15"/>
  <c r="W126" i="7"/>
  <c r="R282" i="15"/>
  <c r="T126" i="7"/>
  <c r="F282" i="15"/>
  <c r="H126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6" i="7" s="1"/>
  <c r="N59" i="7"/>
  <c r="N60" i="7" s="1"/>
  <c r="I109" i="15"/>
  <c r="K62" i="7" s="1"/>
  <c r="K65" i="7" s="1"/>
  <c r="K66" i="7" s="1"/>
  <c r="I78" i="15"/>
  <c r="I263" i="15"/>
  <c r="K127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1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1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6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3" i="7"/>
  <c r="N134" i="7"/>
  <c r="N136" i="7"/>
  <c r="N135" i="7"/>
  <c r="R278" i="15"/>
  <c r="N138" i="7"/>
  <c r="N137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3" i="7"/>
  <c r="W43" i="7"/>
  <c r="W45" i="7" s="1"/>
  <c r="W21" i="7"/>
  <c r="W23" i="7" s="1"/>
  <c r="W25" i="7" s="1"/>
  <c r="H278" i="15"/>
  <c r="H279" i="15" s="1"/>
  <c r="T292" i="15"/>
  <c r="W134" i="7" s="1"/>
  <c r="W135" i="7"/>
  <c r="W137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3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4" i="7"/>
  <c r="T133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8" i="7"/>
  <c r="T136" i="7"/>
  <c r="T135" i="7"/>
  <c r="T137" i="7"/>
  <c r="W138" i="7"/>
  <c r="W136" i="7"/>
  <c r="Q137" i="7"/>
  <c r="Q135" i="7"/>
  <c r="Q133" i="7"/>
  <c r="N292" i="15"/>
  <c r="Q134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7" i="7"/>
  <c r="N43" i="7"/>
  <c r="N45" i="7" s="1"/>
  <c r="N47" i="7" s="1"/>
  <c r="M39" i="31" s="1"/>
  <c r="Q43" i="7"/>
  <c r="Q45" i="7" s="1"/>
  <c r="Q47" i="7" s="1"/>
  <c r="Q103" i="7" s="1"/>
  <c r="Q117" i="7" s="1"/>
  <c r="H47" i="7"/>
  <c r="E39" i="31" s="1"/>
  <c r="H25" i="7"/>
  <c r="T26" i="7"/>
  <c r="W106" i="7"/>
  <c r="W107" i="7" s="1"/>
  <c r="K135" i="7"/>
  <c r="K134" i="7"/>
  <c r="K138" i="7"/>
  <c r="K133" i="7"/>
  <c r="K137" i="7"/>
  <c r="K136" i="7"/>
  <c r="E284" i="15"/>
  <c r="E285" i="15" s="1"/>
  <c r="E286" i="15" s="1"/>
  <c r="E287" i="15" s="1"/>
  <c r="E288" i="15" s="1"/>
  <c r="E289" i="15" s="1"/>
  <c r="E290" i="15" s="1"/>
  <c r="E291" i="15" s="1"/>
  <c r="E292" i="15" s="1"/>
  <c r="H136" i="7" s="1"/>
  <c r="Q138" i="7"/>
  <c r="Q136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3" i="7" s="1"/>
  <c r="T106" i="7" s="1"/>
  <c r="T107" i="7" s="1"/>
  <c r="H103" i="7"/>
  <c r="H106" i="7" s="1"/>
  <c r="E43" i="31" s="1"/>
  <c r="D38" i="31" s="1"/>
  <c r="D57" i="31" s="1"/>
  <c r="E41" i="30"/>
  <c r="N26" i="7"/>
  <c r="L35" i="30" s="1"/>
  <c r="N103" i="7"/>
  <c r="N106" i="7" s="1"/>
  <c r="M43" i="31" s="1"/>
  <c r="L38" i="31" s="1"/>
  <c r="M41" i="30"/>
  <c r="H26" i="7"/>
  <c r="D35" i="30" s="1"/>
  <c r="W110" i="7"/>
  <c r="W112" i="7" s="1"/>
  <c r="K26" i="7"/>
  <c r="H35" i="30" s="1"/>
  <c r="Q106" i="7"/>
  <c r="Q107" i="7" s="1"/>
  <c r="K103" i="7"/>
  <c r="H134" i="7"/>
  <c r="H133" i="7"/>
  <c r="H135" i="7"/>
  <c r="H138" i="7"/>
  <c r="H137" i="7"/>
  <c r="C57" i="31" l="1"/>
  <c r="D58" i="31" s="1"/>
  <c r="E58" i="31" s="1"/>
  <c r="C63" i="31"/>
  <c r="D64" i="31" s="1"/>
  <c r="C68" i="31"/>
  <c r="D69" i="31" s="1"/>
  <c r="N117" i="7"/>
  <c r="T117" i="7"/>
  <c r="K117" i="7"/>
  <c r="H117" i="7"/>
  <c r="N107" i="7"/>
  <c r="D68" i="31" s="1"/>
  <c r="H107" i="7"/>
  <c r="T110" i="7"/>
  <c r="T112" i="7" s="1"/>
  <c r="K106" i="7"/>
  <c r="I43" i="31" s="1"/>
  <c r="H38" i="31" s="1"/>
  <c r="Q110" i="7"/>
  <c r="Q112" i="7" s="1"/>
  <c r="Q113" i="7"/>
  <c r="W113" i="7"/>
  <c r="W114" i="7" s="1"/>
  <c r="L47" i="30" l="1"/>
  <c r="L45" i="31"/>
  <c r="E69" i="31"/>
  <c r="D47" i="30"/>
  <c r="D45" i="31"/>
  <c r="H47" i="30"/>
  <c r="H45" i="31"/>
  <c r="N113" i="7"/>
  <c r="L40" i="30"/>
  <c r="M45" i="30"/>
  <c r="E45" i="30"/>
  <c r="D40" i="30"/>
  <c r="K107" i="7"/>
  <c r="H110" i="7"/>
  <c r="H112" i="7" s="1"/>
  <c r="N110" i="7"/>
  <c r="H113" i="7"/>
  <c r="Q114" i="7"/>
  <c r="W119" i="7"/>
  <c r="W2" i="7" s="1"/>
  <c r="W3" i="7" s="1"/>
  <c r="W4" i="7" s="1"/>
  <c r="T113" i="7"/>
  <c r="F63" i="31" l="1"/>
  <c r="F68" i="31"/>
  <c r="F57" i="31"/>
  <c r="D63" i="31"/>
  <c r="E64" i="31" s="1"/>
  <c r="K110" i="7"/>
  <c r="K112" i="7" s="1"/>
  <c r="I45" i="30"/>
  <c r="H40" i="30"/>
  <c r="N112" i="7"/>
  <c r="N114" i="7" s="1"/>
  <c r="L44" i="31" s="1"/>
  <c r="H114" i="7"/>
  <c r="D44" i="31" s="1"/>
  <c r="K113" i="7"/>
  <c r="Q119" i="7"/>
  <c r="Q2" i="7" s="1"/>
  <c r="Q3" i="7" s="1"/>
  <c r="Q4" i="7" s="1"/>
  <c r="W124" i="7"/>
  <c r="W125" i="7" s="1"/>
  <c r="T114" i="7"/>
  <c r="E57" i="31" l="1"/>
  <c r="F58" i="31" s="1"/>
  <c r="D46" i="31"/>
  <c r="E47" i="31" s="1"/>
  <c r="E68" i="31"/>
  <c r="F69" i="31" s="1"/>
  <c r="L46" i="31"/>
  <c r="M47" i="31" s="1"/>
  <c r="K114" i="7"/>
  <c r="N119" i="7"/>
  <c r="N2" i="7" s="1"/>
  <c r="N3" i="7" s="1"/>
  <c r="N4" i="7" s="1"/>
  <c r="L46" i="30"/>
  <c r="L48" i="30" s="1"/>
  <c r="H119" i="7"/>
  <c r="H2" i="7" s="1"/>
  <c r="H3" i="7" s="1"/>
  <c r="H4" i="7" s="1"/>
  <c r="D46" i="30"/>
  <c r="D48" i="30" s="1"/>
  <c r="Q124" i="7"/>
  <c r="Q125" i="7" s="1"/>
  <c r="T119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9" i="7"/>
  <c r="K2" i="7" s="1"/>
  <c r="K3" i="7" s="1"/>
  <c r="K4" i="7" s="1"/>
  <c r="H124" i="7"/>
  <c r="H125" i="7" s="1"/>
  <c r="N124" i="7"/>
  <c r="N125" i="7" s="1"/>
  <c r="E46" i="30"/>
  <c r="E47" i="30"/>
  <c r="M46" i="30"/>
  <c r="M47" i="30"/>
  <c r="T124" i="7"/>
  <c r="T125" i="7" s="1"/>
  <c r="T2" i="7"/>
  <c r="T3" i="7" s="1"/>
  <c r="T4" i="7" s="1"/>
  <c r="I46" i="30" l="1"/>
  <c r="E63" i="31"/>
  <c r="F64" i="31" s="1"/>
  <c r="H46" i="31"/>
  <c r="I47" i="31" s="1"/>
  <c r="K124" i="7"/>
  <c r="K125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<sst xmlns="http://schemas.openxmlformats.org/spreadsheetml/2006/main" count="3649" uniqueCount="1001">
  <si>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</si>
  <si>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</si>
  <si>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</si>
  <si>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</si>
  <si>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</si>
  <si>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</si>
  <si>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</si>
  <si>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</si>
  <si>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</si>
  <si>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</si>
  <si>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</si>
  <si>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</si>
  <si>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</si>
  <si>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</si>
  <si>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</si>
  <si>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</si>
  <si>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</si>
  <si>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</si>
  <si>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</si>
  <si>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</si>
  <si>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</si>
  <si>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</si>
  <si>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</si>
  <si>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</si>
  <si>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</si>
  <si>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</si>
  <si>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</si>
  <si>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</si>
  <si>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</si>
  <si>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</si>
  <si>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</si>
  <si>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</si>
  <si>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</si>
  <si>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</si>
  <si>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</si>
  <si>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</si>
  <si>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</si>
  <si>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</si>
  <si>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</si>
  <si>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</si>
  <si>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</si>
  <si>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</si>
  <si>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</si>
  <si>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</si>
  <si>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</si>
  <si>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</si>
  <si>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</si>
  <si>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</si>
  <si>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</si>
  <si>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</si>
  <si>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</si>
  <si>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</si>
  <si>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</si>
  <si>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</si>
  <si>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</si>
  <si>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</si>
  <si>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</si>
  <si>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</si>
  <si>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</si>
  <si>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</si>
  <si>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</si>
  <si>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</si>
  <si>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</si>
  <si>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</si>
  <si>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</si>
  <si>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</si>
  <si>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</si>
  <si>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</si>
  <si>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</si>
  <si>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</si>
  <si>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</si>
  <si>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</si>
  <si>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</si>
  <si>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</si>
  <si>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</si>
  <si>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</si>
  <si>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</si>
  <si>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</si>
  <si>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</si>
  <si>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</si>
  <si>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</si>
  <si>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</si>
  <si>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</si>
  <si>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</si>
  <si>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</si>
  <si>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</si>
  <si>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</si>
  <si>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</si>
  <si>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</si>
  <si>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</si>
  <si>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</si>
  <si>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</si>
  <si>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</si>
  <si>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</si>
  <si>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</si>
  <si>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</si>
  <si>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</si>
  <si>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</si>
  <si>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</si>
  <si>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</si>
  <si>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</si>
  <si>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</si>
  <si>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</si>
  <si>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</si>
  <si>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</si>
  <si>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</si>
  <si>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</si>
  <si>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</si>
  <si>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</si>
  <si>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</si>
  <si>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</si>
  <si>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</si>
  <si>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</si>
  <si>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</si>
  <si>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</si>
  <si>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</si>
  <si>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</si>
  <si>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</si>
  <si>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</si>
  <si>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</si>
  <si>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</si>
  <si>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</si>
  <si>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</si>
  <si>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</si>
  <si>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</si>
  <si>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</si>
  <si>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</si>
  <si>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</si>
  <si>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</si>
  <si>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</si>
  <si>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</si>
  <si>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</si>
  <si>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</si>
  <si>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</si>
  <si>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</si>
  <si>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</si>
  <si>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</si>
  <si>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</si>
  <si>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</si>
  <si>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</si>
  <si>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</si>
  <si>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</si>
  <si>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</si>
  <si>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</si>
  <si>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</si>
  <si>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</si>
  <si>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</si>
  <si>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</si>
  <si>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</si>
  <si>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</si>
  <si>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</si>
  <si>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</si>
  <si>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</si>
  <si>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</si>
  <si>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</si>
  <si>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</si>
  <si>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</si>
  <si>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</si>
  <si>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</si>
  <si>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</si>
  <si>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</si>
  <si>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</si>
  <si>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</si>
  <si>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</si>
  <si>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</si>
  <si>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</si>
  <si>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</si>
  <si>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</si>
  <si>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</si>
  <si>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</si>
  <si>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</si>
  <si>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</si>
  <si>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</si>
  <si>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</si>
  <si>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</si>
  <si>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</si>
  <si>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</si>
  <si>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</si>
  <si>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</si>
  <si>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</si>
  <si>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</si>
  <si>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</si>
  <si>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</si>
  <si>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</si>
  <si>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</si>
  <si>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</si>
  <si>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</si>
  <si>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</si>
  <si>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</si>
  <si>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</si>
  <si>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</si>
  <si>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</si>
  <si>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</si>
  <si>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</si>
  <si>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</si>
  <si>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</si>
  <si>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</si>
  <si>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</si>
  <si>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</si>
  <si>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</si>
  <si>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</si>
  <si>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</si>
  <si>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</si>
  <si>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</si>
  <si>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</si>
  <si>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</si>
  <si>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</si>
  <si>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</si>
  <si>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</si>
  <si>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</si>
  <si>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</si>
  <si>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</si>
  <si>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</si>
  <si>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</si>
  <si>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</si>
  <si>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</si>
  <si>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</si>
  <si>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</si>
  <si>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</si>
  <si>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</si>
  <si>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</si>
  <si>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</si>
  <si>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</si>
  <si>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</si>
  <si>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</si>
  <si>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</si>
  <si>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</si>
  <si>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</si>
  <si>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</si>
  <si>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</si>
  <si>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</si>
  <si>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</si>
  <si>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</si>
  <si>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</si>
  <si>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</si>
  <si>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</si>
  <si>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</si>
  <si>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</si>
  <si>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</si>
  <si>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</si>
  <si>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</si>
  <si>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</si>
  <si>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</si>
  <si>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</si>
  <si>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</si>
  <si>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</si>
  <si>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</si>
  <si>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</si>
  <si>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</si>
  <si>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</si>
  <si>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</si>
  <si>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</si>
  <si>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</si>
  <si>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</si>
  <si>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</si>
  <si>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</si>
  <si>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</si>
  <si>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</si>
  <si>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</si>
  <si>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</si>
  <si>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</si>
  <si>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</si>
  <si>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</si>
  <si>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</si>
  <si>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</si>
  <si>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</si>
  <si>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</si>
  <si>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</si>
  <si>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</si>
  <si>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</si>
  <si>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</si>
  <si>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</si>
  <si>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</si>
  <si>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</si>
  <si>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</si>
  <si>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</si>
  <si>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</si>
  <si>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</si>
  <si>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</si>
  <si>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</si>
  <si>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</si>
  <si>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</si>
  <si>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</si>
  <si>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</si>
  <si>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</si>
  <si>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</si>
  <si>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</si>
  <si>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</si>
  <si>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</si>
  <si>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</si>
  <si>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</si>
  <si>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</si>
  <si>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</si>
  <si>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</si>
  <si>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</si>
  <si>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</si>
  <si>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</si>
  <si>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</si>
  <si>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</si>
  <si>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</si>
  <si>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</si>
  <si>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</si>
  <si>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</si>
  <si>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</si>
  <si>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</si>
  <si>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</si>
  <si>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</si>
  <si>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</si>
  <si>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</si>
  <si>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</si>
  <si>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</si>
  <si>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</si>
  <si>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</si>
  <si>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</si>
  <si>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</si>
  <si>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</si>
  <si>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</si>
  <si>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</si>
  <si>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</si>
  <si>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</si>
  <si>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</si>
  <si>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</si>
  <si>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</si>
  <si>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</si>
  <si>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</si>
  <si>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</si>
  <si>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</si>
  <si>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</si>
  <si>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</si>
  <si>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</si>
  <si>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</si>
  <si>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</si>
  <si>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</si>
  <si>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</si>
  <si>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</si>
  <si>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</si>
  <si>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</si>
  <si>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</si>
  <si>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</si>
  <si>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</si>
  <si>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</si>
  <si>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</si>
  <si>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</si>
  <si>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</si>
  <si>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</si>
  <si>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</si>
  <si>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</si>
  <si>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</si>
  <si>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</si>
  <si>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</si>
  <si>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</si>
  <si>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</si>
  <si>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</si>
  <si>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</si>
  <si>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</si>
  <si>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</si>
  <si>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</si>
  <si>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</si>
  <si>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</si>
  <si>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</si>
  <si>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</si>
  <si>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</si>
  <si>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</si>
  <si>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</si>
  <si>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</si>
  <si>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</si>
  <si>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</si>
  <si>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</si>
  <si>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</si>
  <si>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</si>
  <si>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</si>
  <si>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</si>
  <si>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</si>
  <si>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</si>
  <si>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</si>
  <si>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</si>
  <si>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</si>
  <si>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</si>
  <si>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</si>
  <si>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</si>
  <si>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</si>
  <si>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</si>
  <si>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</si>
  <si>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</si>
  <si>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</si>
  <si>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</si>
  <si>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</si>
  <si>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</si>
  <si>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</si>
  <si>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</si>
  <si>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</si>
  <si>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</si>
  <si>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</si>
  <si>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</si>
  <si>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</si>
  <si>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</si>
  <si>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</si>
  <si>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</si>
  <si>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</si>
  <si>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</si>
  <si>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</si>
  <si>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</si>
  <si>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</si>
  <si>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</si>
  <si>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</si>
  <si>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</si>
  <si>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</si>
  <si>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</si>
  <si>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</si>
  <si>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</si>
  <si>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</si>
  <si>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</si>
  <si>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</si>
  <si>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</si>
  <si>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</si>
  <si>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</si>
  <si>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</si>
  <si>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</si>
  <si>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</si>
  <si>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</si>
  <si>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</si>
  <si>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</si>
  <si>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</si>
  <si>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</si>
  <si>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</si>
  <si>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</si>
  <si>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</si>
  <si>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</si>
  <si>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</si>
  <si>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</si>
  <si>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</si>
  <si>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</si>
  <si>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</si>
  <si>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</si>
  <si>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</si>
  <si>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</si>
  <si>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</si>
  <si>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</si>
  <si>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</si>
  <si>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</si>
  <si>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</si>
  <si>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</si>
  <si>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</si>
  <si>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</si>
  <si>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</si>
  <si>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</si>
  <si>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</si>
  <si>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</si>
  <si>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</si>
  <si>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</si>
  <si>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</si>
  <si>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</si>
  <si>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</si>
  <si>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</si>
  <si>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</si>
  <si>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</si>
  <si>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</si>
  <si>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</si>
  <si>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</si>
  <si>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</si>
  <si>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</si>
  <si>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</si>
  <si>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</si>
  <si>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</si>
  <si>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</si>
  <si>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</si>
  <si>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</si>
  <si>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</si>
  <si>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</si>
  <si>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</si>
  <si>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</si>
  <si>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</si>
  <si>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</si>
  <si>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</si>
  <si>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</si>
  <si>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</si>
  <si>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</si>
  <si>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</si>
  <si>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</si>
  <si>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</si>
  <si>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</si>
  <si>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</si>
  <si>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</si>
  <si>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</si>
  <si>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</si>
  <si>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</si>
  <si>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</si>
  <si>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</si>
  <si>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</si>
  <si>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</si>
  <si>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</si>
  <si>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</si>
  <si>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</si>
  <si>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</si>
  <si>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</si>
  <si>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</si>
  <si>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</si>
  <si>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</si>
  <si>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</si>
  <si>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</si>
  <si>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</si>
  <si>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</si>
  <si>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</si>
  <si>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</si>
  <si>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</si>
  <si>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</si>
  <si>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</si>
  <si>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</si>
  <si>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</si>
  <si>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</si>
  <si>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</si>
  <si>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</si>
  <si>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</si>
  <si>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</si>
  <si>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</si>
  <si>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</si>
  <si>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</si>
  <si>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</si>
  <si>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</si>
  <si>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</si>
  <si>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</si>
  <si>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</si>
  <si>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</si>
  <si>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</si>
  <si>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</si>
  <si>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</si>
  <si>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</si>
  <si>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</si>
  <si>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</si>
  <si>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</si>
  <si>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</si>
  <si>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</si>
  <si>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</si>
  <si>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</si>
  <si>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</si>
  <si>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</si>
  <si>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</si>
  <si>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</si>
  <si>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</si>
  <si>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</si>
  <si>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</si>
  <si>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</si>
  <si>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</si>
  <si>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</si>
  <si>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</si>
  <si>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</si>
  <si>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</si>
  <si>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</si>
  <si>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</si>
  <si>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</si>
  <si>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</si>
  <si>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</si>
  <si>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</si>
  <si>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</si>
  <si>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</si>
  <si>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</si>
  <si>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</si>
  <si>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</si>
  <si>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</si>
  <si>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</si>
  <si>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</si>
  <si>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</si>
  <si>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</si>
  <si>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</si>
  <si>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</si>
  <si>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</si>
  <si>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</si>
  <si>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</si>
  <si>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</si>
  <si>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</si>
  <si>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</si>
  <si>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</si>
  <si>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</si>
  <si>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</si>
  <si>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</si>
  <si>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</si>
  <si>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</si>
  <si>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</si>
  <si>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</si>
  <si>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</si>
  <si>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</si>
  <si>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</si>
  <si>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</si>
  <si>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</si>
  <si>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</si>
  <si>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</si>
  <si>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</si>
  <si>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</si>
  <si>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</si>
  <si>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</si>
  <si>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</si>
  <si>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</si>
  <si>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</si>
  <si>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</si>
  <si>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</si>
  <si>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</si>
  <si>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</si>
  <si>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</si>
  <si>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</si>
  <si>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</si>
  <si>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</si>
  <si>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</si>
  <si>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</si>
  <si>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</si>
  <si>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</si>
  <si>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</si>
  <si>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</si>
  <si>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</si>
  <si>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</si>
  <si>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</si>
  <si>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</si>
  <si>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</si>
  <si>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</si>
  <si>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</si>
  <si>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</si>
  <si>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</si>
  <si>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</si>
  <si>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</si>
  <si>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</si>
  <si>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</si>
  <si>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</si>
  <si>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</si>
  <si>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</si>
  <si>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</si>
  <si>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</si>
  <si>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</si>
  <si>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</si>
  <si>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</si>
  <si>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</si>
  <si>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</si>
  <si>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</si>
  <si>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</si>
  <si>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</si>
  <si>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</si>
  <si>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</si>
  <si>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</si>
  <si>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</si>
  <si>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</si>
  <si>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</si>
  <si>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</si>
  <si>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</si>
  <si>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</si>
  <si>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</si>
  <si>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</si>
  <si>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</si>
  <si>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</si>
  <si>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</si>
  <si>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</si>
  <si>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</si>
  <si>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</si>
  <si>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</si>
  <si>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</si>
  <si>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</si>
  <si>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</si>
  <si>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</si>
  <si>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</si>
  <si>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</si>
  <si>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</si>
  <si>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</si>
  <si>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</si>
  <si>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</si>
  <si>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</si>
  <si>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</si>
  <si>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</si>
  <si>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</si>
  <si>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</si>
  <si>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</si>
  <si>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</si>
  <si>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</si>
  <si>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</si>
  <si>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</si>
  <si>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</si>
  <si>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</si>
  <si>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</si>
  <si>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</si>
  <si>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</si>
  <si>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</si>
  <si>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</si>
  <si>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</si>
  <si>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</si>
  <si>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</si>
  <si>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</si>
  <si>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</si>
  <si>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</si>
  <si>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</si>
  <si>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</si>
  <si>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</si>
  <si>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</si>
  <si>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</si>
  <si>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</si>
  <si>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</si>
  <si>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</si>
  <si>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</si>
  <si>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</si>
  <si>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</si>
  <si>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</si>
  <si>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</si>
  <si>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</si>
  <si>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</si>
  <si>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</si>
  <si>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</si>
  <si>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</si>
  <si>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</si>
  <si>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</si>
  <si>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</si>
  <si>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</si>
  <si>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</si>
  <si>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</si>
  <si>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</si>
  <si>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</si>
  <si>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</si>
  <si>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</si>
  <si>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</si>
  <si>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</si>
  <si>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</si>
  <si>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</si>
  <si>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</si>
  <si>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</si>
  <si>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</si>
  <si>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</si>
  <si>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</si>
  <si>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</si>
  <si>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</si>
  <si>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</si>
  <si>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</si>
  <si>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</si>
  <si>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</si>
  <si>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</si>
  <si>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</si>
  <si>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</si>
  <si>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</si>
  <si>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</si>
  <si>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</si>
  <si>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</si>
  <si>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</si>
  <si>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</si>
  <si>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</si>
  <si>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</si>
  <si>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</si>
  <si>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</si>
  <si>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</si>
  <si>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</si>
  <si>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</si>
  <si>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</si>
  <si>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</si>
  <si>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</si>
  <si>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</si>
  <si>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</si>
  <si>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</si>
  <si>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</si>
  <si>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</si>
  <si>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</si>
  <si>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</si>
  <si>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</si>
  <si>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</si>
  <si>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</si>
  <si>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</si>
  <si>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</si>
  <si>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</si>
  <si>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</si>
  <si>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</si>
  <si>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</si>
  <si>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</si>
  <si>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</si>
  <si>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</si>
  <si>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</si>
  <si>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</si>
  <si>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</si>
  <si>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</si>
  <si>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</si>
  <si>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</si>
  <si>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</si>
  <si>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</si>
  <si>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</si>
  <si>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</si>
  <si>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</si>
  <si>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</si>
  <si>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</si>
  <si>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</si>
  <si>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</si>
  <si>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</si>
  <si>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</si>
  <si>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</si>
  <si>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</si>
  <si>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</si>
  <si>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</si>
  <si>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</si>
  <si>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</si>
  <si>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</si>
  <si>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</si>
  <si>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</si>
  <si>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</si>
  <si>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</si>
  <si>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</si>
  <si>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</si>
  <si>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</si>
  <si>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</si>
  <si>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</si>
  <si>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</si>
  <si>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</si>
  <si>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</si>
  <si>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</si>
  <si>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</si>
  <si>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</si>
  <si>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</si>
  <si>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</si>
  <si>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</si>
  <si>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</si>
  <si>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</si>
  <si>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</si>
  <si>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</si>
  <si>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</si>
  <si>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</si>
  <si>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</si>
  <si>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</si>
  <si>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</si>
  <si>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</si>
  <si>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</si>
  <si>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</si>
  <si>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</si>
  <si>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</si>
  <si>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</si>
  <si>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</si>
  <si>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</si>
  <si>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</si>
  <si>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</si>
  <si>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</si>
  <si>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</si>
  <si>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</si>
  <si>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</si>
  <si>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</si>
  <si>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</si>
  <si>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</si>
  <si>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</si>
  <si>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</si>
  <si>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</si>
  <si>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</si>
  <si>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</si>
  <si>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</si>
  <si>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</si>
  <si>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</si>
  <si>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</si>
  <si>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</si>
  <si>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</si>
  <si>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</si>
  <si>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</si>
  <si>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</si>
  <si>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</si>
  <si>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</si>
  <si>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</si>
  <si>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</si>
  <si>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</si>
  <si>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</si>
  <si>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</si>
  <si>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</si>
  <si>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</si>
  <si>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</si>
  <si>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</si>
  <si>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</si>
  <si>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</si>
  <si>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</si>
  <si>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</si>
  <si>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</si>
  <si>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</si>
  <si>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</si>
  <si>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</si>
  <si>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</si>
  <si>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</si>
  <si>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</si>
  <si>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</si>
  <si>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</si>
  <si>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</si>
  <si>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</si>
  <si>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</si>
  <si>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</si>
  <si>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</si>
  <si>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</si>
  <si>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</si>
  <si>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</si>
  <si>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</si>
  <si>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</si>
  <si>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</si>
  <si>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</si>
  <si>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</si>
  <si>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</si>
  <si>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</si>
  <si>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</si>
  <si>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</si>
  <si>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</si>
  <si>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</si>
  <si>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</si>
  <si>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</si>
  <si>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</si>
  <si>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</si>
  <si>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</si>
  <si>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</si>
  <si>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</si>
  <si>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</si>
  <si>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</si>
  <si>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</si>
  <si>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</si>
  <si>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</si>
  <si>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</si>
  <si>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</si>
  <si>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</si>
  <si>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</si>
  <si>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</si>
  <si>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</si>
  <si>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</si>
  <si>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</si>
  <si>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</si>
  <si>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</si>
  <si>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</si>
  <si>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</si>
  <si>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</si>
  <si>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</si>
  <si>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</si>
  <si>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</si>
  <si>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</si>
  <si>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</si>
  <si>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</si>
  <si>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</si>
  <si>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</si>
  <si>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</si>
  <si>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</si>
  <si>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</si>
  <si>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</si>
  <si>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</si>
  <si>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</si>
  <si>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</si>
  <si>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</si>
  <si>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</si>
  <si>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</si>
  <si>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</si>
  <si>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</si>
  <si>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</si>
  <si>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</si>
  <si>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</si>
  <si>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</si>
  <si>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</si>
  <si>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</si>
  <si>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</si>
  <si>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</si>
  <si>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</si>
  <si>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</si>
  <si>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</si>
  <si>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</si>
  <si>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</si>
  <si>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</si>
  <si>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</si>
  <si>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</si>
  <si>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</si>
  <si>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</si>
  <si>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</si>
  <si>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</si>
  <si>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</si>
  <si>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</si>
  <si>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</si>
  <si>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</si>
  <si>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</si>
  <si>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</si>
  <si>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</si>
  <si>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</si>
  <si>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</si>
  <si>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</si>
  <si>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</si>
  <si>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</si>
  <si>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</si>
  <si>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</si>
  <si>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</si>
  <si>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</si>
  <si>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</si>
  <si>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</si>
  <si>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</si>
  <si>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</si>
  <si>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</si>
  <si>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</si>
  <si>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</si>
  <si>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</si>
  <si>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</si>
  <si>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</si>
  <si>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</si>
  <si>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</si>
  <si>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</si>
  <si>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</si>
  <si>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</si>
  <si>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</si>
  <si>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</si>
  <si>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</si>
  <si>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</si>
  <si>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</si>
  <si>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</si>
  <si>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</si>
  <si>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</si>
  <si>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</si>
  <si>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</si>
  <si>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</si>
  <si>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</si>
  <si>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</si>
  <si>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Prüfzeit/Teil (sec)</t>
  </si>
  <si>
    <t>Farbeindring Prüfung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</si>
</sst>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72.603939292091951</c:v>
                </c:pt>
                <c:pt idx="11">
                  <c:v>16.415410925223767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11.679352860981114</c:v>
                </c:pt>
                <c:pt idx="11">
                  <c:v>3.8565299552611116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19.999984037589414</c:v>
                </c:pt>
                <c:pt idx="11">
                  <c:v>5.5206561905827716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36" dataDxfId="235">
  <autoFilter ref="A2:I5" xr:uid="{399A8E1C-09BC-4743-AD8C-E418CE2EA4E8}"/>
  <tableColumns count="9">
    <tableColumn id="1" xr3:uid="{B225B105-11E0-4B7D-876C-35434AD95A88}" uniqueName="1" name="Contract" queryTableFieldId="1" dataDxfId="234"/>
    <tableColumn id="2" xr3:uid="{3EFA9724-CFDD-4663-AB0A-513A3288DDDE}" uniqueName="2" name="Bid (US$ / Tonne)" queryTableFieldId="2" dataDxfId="233"/>
    <tableColumn id="3" xr3:uid="{5794DC2A-421E-484C-A3E5-D6BD65E63E5B}" uniqueName="3" name="Offer (US$ / Tonne)*" queryTableFieldId="3" dataDxfId="232"/>
    <tableColumn id="11" xr3:uid="{227DC090-9CC6-4ACB-940A-060FA6149FC5}" uniqueName="11" name="Spalte2" queryTableFieldId="11" dataDxfId="231"/>
    <tableColumn id="6" xr3:uid="{B4645055-4894-4C05-823C-070977F75F3E}" uniqueName="6" name="Exchange [$/€]" queryTableFieldId="6" dataDxfId="230">
      <calculatedColumnFormula>MID($B$9,1,6)</calculatedColumnFormula>
    </tableColumn>
    <tableColumn id="13" xr3:uid="{C18F9609-F45D-46E8-B4A0-57BD5DE45F50}" uniqueName="13" name="Abbrand" queryTableFieldId="4" dataDxfId="229"/>
    <tableColumn id="12" xr3:uid="{893B3F09-6F5B-453F-9DB9-06EC27D1B0FF}" uniqueName="12" name="Premium_x000a_[€/t]" queryTableFieldId="5" dataDxfId="228"/>
    <tableColumn id="8" xr3:uid="{974393AB-7E4D-4F8E-99AC-5C57496E75BE}" uniqueName="8" name="Alu-Alloy_x000a_3-months [$/kg]" queryTableFieldId="8" dataDxfId="22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2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25"/>
    <tableColumn id="2" xr3:uid="{C03FD864-AFEE-44BB-B951-D0D4DAD18490}" uniqueName="2" name="Kurs" queryTableFieldId="2" dataDxfId="224"/>
    <tableColumn id="3" xr3:uid="{A4C2B2BB-6AA3-4B22-8DEB-3906671A7EBF}" uniqueName="3" name="Diff. %" queryTableFieldId="3" dataDxfId="223"/>
    <tableColumn id="4" xr3:uid="{BFCC29AB-4E28-462C-AB84-349A9E098312}" uniqueName="4" name="Datum" queryTableFieldId="4"/>
    <tableColumn id="5" xr3:uid="{1A3C214E-7127-4164-A36B-F677BEB85A2A}" uniqueName="5" name="Zeit" queryTableFieldId="5" dataDxfId="222"/>
    <tableColumn id="6" xr3:uid="{C0ECD932-A527-466C-8F2E-A68A19722DB1}" uniqueName="6" name="Eröffnung" queryTableFieldId="6" dataDxfId="221"/>
    <tableColumn id="7" xr3:uid="{FBB0D7E8-40FF-49D8-863E-E500BE4134C6}" uniqueName="7" name="T.-Hoch" queryTableFieldId="7" dataDxfId="220"/>
    <tableColumn id="8" xr3:uid="{5E9B2620-C889-4E1F-B9EE-DEA4775AD700}" uniqueName="8" name="T.-Tief" queryTableFieldId="8" dataDxfId="2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18" dataCellStyle="Standard 4"/>
    <tableColumn id="2" xr3:uid="{FBE21D6A-46E2-48CF-9AB9-57ACBAC49356}" uniqueName="2" name="Bid (US$ / Tonne)" queryTableFieldId="2" dataDxfId="217" dataCellStyle="Standard 4"/>
    <tableColumn id="3" xr3:uid="{9CCB034B-697E-4340-9016-4F9260AF9130}" uniqueName="3" name="Offer (US$ / Tonne)*" queryTableFieldId="3" dataDxfId="216" dataCellStyle="Standard 4"/>
    <tableColumn id="4" xr3:uid="{1B69AAC5-FBB8-4773-9BF5-325B64A4FAB8}" uniqueName="4" name="Spalte2" queryTableFieldId="4" dataDxfId="215" dataCellStyle="Standard 4"/>
    <tableColumn id="5" xr3:uid="{14F0497C-9F37-4055-8F16-0332B1CC3F3F}" uniqueName="5" name="Exchange [$/€]" queryTableFieldId="5" dataDxfId="214" dataCellStyle="Standard 4">
      <calculatedColumnFormula>MID($B$9,1,6)</calculatedColumnFormula>
    </tableColumn>
    <tableColumn id="6" xr3:uid="{69F4BCAE-C936-4909-986E-C0A4FAB354D8}" uniqueName="6" name="Abbrand" queryTableFieldId="6" dataDxfId="213" dataCellStyle="Prozent 3"/>
    <tableColumn id="7" xr3:uid="{528A962C-055C-443F-BC0A-C9EB518D1DE7}" uniqueName="7" name="Premium_x000a_[€/t]" queryTableFieldId="7" dataDxfId="212" dataCellStyle="Standard 4"/>
    <tableColumn id="8" xr3:uid="{3003FB8D-BA21-441D-82C4-AA119C161CF1}" uniqueName="8" name="Alu-Alloy_x000a_3-months [$/kg]" queryTableFieldId="8" dataDxfId="21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44420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Refkalkulation!D107</f>
        <v>Fertigungskosten gesamt</v>
      </c>
      <c r="D38" s="1133">
        <f>SUM(E39:E43)</f>
        <v>72.603939292091951</v>
      </c>
      <c r="E38" s="1141"/>
      <c r="F38" s="1037"/>
      <c r="G38" s="1132" t="str">
        <f t="shared" si="0"/>
        <v>Fertigungskosten gesamt</v>
      </c>
      <c r="H38" s="1133">
        <f>SUM(I39:I43)</f>
        <v>11.679352860981114</v>
      </c>
      <c r="I38" s="1141"/>
      <c r="J38" s="1037"/>
      <c r="K38" s="1132" t="str">
        <f t="shared" si="1"/>
        <v>Fertigungskosten gesamt</v>
      </c>
      <c r="L38" s="1133">
        <f>SUM(M39:M43)</f>
        <v>19.999984037589414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0.51505136653098071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11.570448466752099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2.7368080039194185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Refkalkulation!H101+Refkalkulation!H104/Refkalkulation!H61</f>
        <v>4.3878347222222214</v>
      </c>
      <c r="F42" s="1041"/>
      <c r="G42" s="1142" t="str">
        <f t="shared" si="0"/>
        <v xml:space="preserve">               Prüfen</v>
      </c>
      <c r="H42" s="1145"/>
      <c r="I42" s="1144">
        <f>Refkalkulation!K101+Refkalkulation!K104/Refkalkulation!K61</f>
        <v>0.75006375000000003</v>
      </c>
      <c r="J42" s="1041"/>
      <c r="K42" s="1142" t="str">
        <f t="shared" si="1"/>
        <v xml:space="preserve">               Prüfen</v>
      </c>
      <c r="L42" s="1145"/>
      <c r="M42" s="1144">
        <f>Refkalkulation!N101+Refkalkulation!N104/Refkalkulation!N61</f>
        <v>3.3594958333333329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",Refkalkulation!D106)</f>
        <v xml:space="preserve">               Fertigungsgemeinkosten</v>
      </c>
      <c r="D43" s="1145"/>
      <c r="E43" s="1144">
        <f>Refkalkulation!H106</f>
        <v>6.6003581174629051</v>
      </c>
      <c r="F43" s="1041"/>
      <c r="G43" s="1142" t="str">
        <f t="shared" si="0"/>
        <v xml:space="preserve">               Fertigungsgemeinkosten</v>
      </c>
      <c r="H43" s="1145"/>
      <c r="I43" s="1144">
        <f>Refkalkulation!K106</f>
        <v>1.061759350998283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Refkalkulation!N106</f>
        <v>1.8181803670535832</v>
      </c>
      <c r="N43" s="1041"/>
      <c r="O43" s="995"/>
    </row>
    <row r="44" spans="1:16" x14ac:dyDescent="0.2">
      <c r="A44" s="993"/>
      <c r="B44" s="996"/>
      <c r="C44" s="1146" t="str">
        <f>Refkalkulation!D114</f>
        <v>Gesamtgemeinkosten</v>
      </c>
      <c r="D44" s="1147">
        <f>Refkalkulation!H114</f>
        <v>16.415410925223767</v>
      </c>
      <c r="E44" s="1148">
        <f>D44/D46</f>
        <v>0.15662383006995098</v>
      </c>
      <c r="F44" s="1041"/>
      <c r="G44" s="1146" t="str">
        <f t="shared" si="0"/>
        <v>Gesamtgemeinkosten</v>
      </c>
      <c r="H44" s="1147">
        <f>Refkalkulation!K114</f>
        <v>3.8565299552611116</v>
      </c>
      <c r="I44" s="1148">
        <f>H44/H46</f>
        <v>0.13671738134460648</v>
      </c>
      <c r="J44" s="996"/>
      <c r="K44" s="1146" t="str">
        <f t="shared" si="1"/>
        <v>Gesamtgemeinkosten</v>
      </c>
      <c r="L44" s="1147">
        <f>Refkalkulation!N114</f>
        <v>5.5206561905827716</v>
      </c>
      <c r="M44" s="1148">
        <f>L44/L46</f>
        <v>0.14454703339605293</v>
      </c>
      <c r="N44" s="996"/>
      <c r="O44" s="995"/>
    </row>
    <row r="45" spans="1:16" ht="18" customHeight="1" x14ac:dyDescent="0.25">
      <c r="A45" s="993"/>
      <c r="B45" s="996"/>
      <c r="C45" s="1149" t="str">
        <f>Refkalkulation!D117</f>
        <v>Gesamtgewinn</v>
      </c>
      <c r="D45" s="1147">
        <f>Refkalkulation!H117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Refkalkulation!K117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Refkalkulation!N117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Refkalkulation!D119</f>
        <v>Bauteilpreis gesamt</v>
      </c>
      <c r="D46" s="1151">
        <f>SUM(D33:D45)</f>
        <v>104.8078757740272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28.208044341782969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38.192801753712928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Refkalkulation!D123</f>
        <v>Zielpreis Bauteil</v>
      </c>
      <c r="D47" s="1153">
        <f>Refkalkulation!H123</f>
        <v>55</v>
      </c>
      <c r="E47" s="1154">
        <f>(D47-D46)*D13</f>
        <v>-249039.37887013599</v>
      </c>
      <c r="F47" s="1114"/>
      <c r="G47" s="1156" t="str">
        <f>C47</f>
        <v>Zielpreis Bauteil</v>
      </c>
      <c r="H47" s="1153">
        <f>Refkalkulation!K123</f>
        <v>55</v>
      </c>
      <c r="I47" s="1154">
        <f>(H47-H46)*H13</f>
        <v>133959.77829108515</v>
      </c>
      <c r="J47" s="1114"/>
      <c r="K47" s="1156" t="str">
        <f>C47</f>
        <v>Zielpreis Bauteil</v>
      </c>
      <c r="L47" s="1153">
        <f>Refkalkulation!N123</f>
        <v>55</v>
      </c>
      <c r="M47" s="1154">
        <f>(L47-L46)*L13</f>
        <v>84035.991231435357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Refkalkulation!H127+Refkalkulation!H128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Refkalkulation!K127+Refkalkulation!K128</f>
        <v>8500</v>
      </c>
      <c r="I48" s="1152" t="s">
        <v>921</v>
      </c>
      <c r="J48" s="1114"/>
      <c r="K48" s="1155" t="str">
        <f>C48</f>
        <v>Modellkosten geschätzt</v>
      </c>
      <c r="L48" s="1151">
        <f>Refkalkulation!N127+Refkalkulation!N128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Refkalkulation!D129</f>
        <v>Modellkosten Angebot</v>
      </c>
      <c r="D49" s="1153">
        <f>Refkalkulation!H129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Refkalkulation!K129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Refkalkulation!N129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72.603939292091951</v>
      </c>
      <c r="E57" s="1121">
        <f>D44</f>
        <v>16.415410925223767</v>
      </c>
      <c r="F57" s="1121">
        <f>D45</f>
        <v>0</v>
      </c>
      <c r="G57" s="1121">
        <f>D46</f>
        <v>104.8078757740272</v>
      </c>
      <c r="H57" s="1121">
        <f>I57-G57</f>
        <v>-49.807875774027195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88.392464848803428</v>
      </c>
      <c r="F58" s="1121">
        <f>E57+E58</f>
        <v>104.8078757740272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11.679352860981114</v>
      </c>
      <c r="E63" s="1121">
        <f>H44</f>
        <v>3.8565299552611116</v>
      </c>
      <c r="F63" s="1121">
        <f>H45</f>
        <v>0</v>
      </c>
      <c r="G63" s="1121">
        <f>H46</f>
        <v>28.208044341782969</v>
      </c>
      <c r="H63" s="1121">
        <f>I63-G63</f>
        <v>26.791955658217031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24.351514386521856</v>
      </c>
      <c r="F64" s="1121">
        <f>E63+E64</f>
        <v>28.208044341782969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19.999984037589414</v>
      </c>
      <c r="E68" s="1121">
        <f>L44</f>
        <v>5.5206561905827716</v>
      </c>
      <c r="F68" s="1121">
        <f>L45</f>
        <v>0</v>
      </c>
      <c r="G68" s="1121">
        <f>L46</f>
        <v>38.192801753712928</v>
      </c>
      <c r="H68" s="1121">
        <f>I68-G68</f>
        <v>16.807198246287072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32.672145563130158</v>
      </c>
      <c r="F69" s="1121">
        <f>E68+E69</f>
        <v>38.192801753712928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44420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US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Refkalkulation!H107</f>
        <v>72.603939292091951</v>
      </c>
      <c r="E40" s="1036"/>
      <c r="F40" s="1037"/>
      <c r="G40" s="1034" t="str">
        <f t="shared" si="0"/>
        <v>Fertigungskosten</v>
      </c>
      <c r="H40" s="1035">
        <f>Refkalkulation!K107</f>
        <v>11.679352860981114</v>
      </c>
      <c r="I40" s="1036"/>
      <c r="J40" s="1037"/>
      <c r="K40" s="1034" t="str">
        <f t="shared" si="1"/>
        <v>Fertigungskosten</v>
      </c>
      <c r="L40" s="1035">
        <f>Refkalkulation!N107</f>
        <v>19.999984037589414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0.51505136653098071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11.570448466752099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2.7368080039194185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Refkalkulation!H101</f>
        <v>4.3878347222222214</v>
      </c>
      <c r="F44" s="1041"/>
      <c r="G44" s="1038" t="str">
        <f t="shared" si="0"/>
        <v xml:space="preserve">               Prüfen</v>
      </c>
      <c r="H44" s="1042"/>
      <c r="I44" s="1040">
        <f>Refkalkulation!K101</f>
        <v>0.75006375000000003</v>
      </c>
      <c r="J44" s="1041"/>
      <c r="K44" s="1038" t="str">
        <f t="shared" si="1"/>
        <v xml:space="preserve">               Prüfen</v>
      </c>
      <c r="L44" s="1042"/>
      <c r="M44" s="1040">
        <f>Refkalkulation!N101</f>
        <v>3.3594958333333329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Refkalkulation!H107-Refkalkulation!H103</f>
        <v>6.6003581174629034</v>
      </c>
      <c r="F45" s="1041"/>
      <c r="G45" s="1038" t="str">
        <f t="shared" si="0"/>
        <v xml:space="preserve">               Fertigungsnebenkosten</v>
      </c>
      <c r="H45" s="1042"/>
      <c r="I45" s="1040">
        <f>Refkalkulation!K107-Refkalkulation!K103</f>
        <v>1.0617593509982832</v>
      </c>
      <c r="J45" s="1041"/>
      <c r="K45" s="1038" t="str">
        <f t="shared" si="1"/>
        <v xml:space="preserve">               Fertigungsnebenkosten</v>
      </c>
      <c r="L45" s="1042"/>
      <c r="M45" s="1040">
        <f>Refkalkulation!N107-Refkalkulation!N103</f>
        <v>1.8181803670535821</v>
      </c>
      <c r="N45" s="1041"/>
      <c r="O45" s="995"/>
    </row>
    <row r="46" spans="1:15" ht="15" x14ac:dyDescent="0.25">
      <c r="A46" s="993"/>
      <c r="B46" s="996"/>
      <c r="C46" s="1043" t="str">
        <f>Refkalkulation!D114</f>
        <v>Gesamtgemeinkosten</v>
      </c>
      <c r="D46" s="1044">
        <f>Refkalkulation!H114</f>
        <v>16.415410925223767</v>
      </c>
      <c r="E46" s="1045">
        <f>D46/D48</f>
        <v>0.15662383006995098</v>
      </c>
      <c r="F46" s="1041"/>
      <c r="G46" s="1043" t="str">
        <f t="shared" si="0"/>
        <v>Gesamtgemeinkosten</v>
      </c>
      <c r="H46" s="1044">
        <f>Refkalkulation!K114</f>
        <v>3.8565299552611116</v>
      </c>
      <c r="I46" s="1045">
        <f>H46/H48</f>
        <v>0.13671738134460648</v>
      </c>
      <c r="J46" s="996"/>
      <c r="K46" s="1043" t="str">
        <f t="shared" si="1"/>
        <v>Gesamtgemeinkosten</v>
      </c>
      <c r="L46" s="1044">
        <f>Refkalkulation!N114</f>
        <v>5.5206561905827716</v>
      </c>
      <c r="M46" s="1045">
        <f>L46/L48</f>
        <v>0.14454703339605293</v>
      </c>
      <c r="N46" s="996"/>
      <c r="O46" s="995"/>
    </row>
    <row r="47" spans="1:15" ht="18" customHeight="1" x14ac:dyDescent="0.25">
      <c r="A47" s="993"/>
      <c r="B47" s="996"/>
      <c r="C47" s="1046" t="str">
        <f>Refkalkulation!D117</f>
        <v>Gesamtgewinn</v>
      </c>
      <c r="D47" s="1047">
        <f>Refkalkulation!H117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Refkalkulation!K117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Refkalkulation!N117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Refkalkulation!D119</f>
        <v>Bauteilpreis gesamt</v>
      </c>
      <c r="D48" s="1050">
        <f>SUM(D35:D47)</f>
        <v>104.8078757740272</v>
      </c>
      <c r="E48" s="1051"/>
      <c r="F48" s="1052"/>
      <c r="G48" s="1049" t="str">
        <f t="shared" si="0"/>
        <v>Bauteilpreis gesamt</v>
      </c>
      <c r="H48" s="1050">
        <f>SUM(H35:H47)</f>
        <v>28.208044341782969</v>
      </c>
      <c r="I48" s="1051"/>
      <c r="J48" s="1052"/>
      <c r="K48" s="1049" t="str">
        <f t="shared" si="1"/>
        <v>Bauteilpreis gesamt</v>
      </c>
      <c r="L48" s="1050">
        <f>SUM(L35:L47)</f>
        <v>38.192801753712928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9" activePane="bottomRight" state="frozenSplit"/>
      <selection activeCell="L30" sqref="L30"/>
      <selection pane="topRight" activeCell="L30" sqref="L30"/>
      <selection pane="bottomLeft" activeCell="L30" sqref="L30"/>
      <selection pane="bottomRight" activeCell="X29" sqref="X29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44420</v>
      </c>
      <c r="H4" s="125"/>
      <c r="I4" s="260" t="str">
        <f>IF(Deutsch,C4,D4)</f>
        <v>Datum</v>
      </c>
      <c r="J4" s="262" t="s">
        <v>233</v>
      </c>
      <c r="K4" s="34">
        <f ca="1">TODAY()</f>
        <v>44420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602</v>
      </c>
      <c r="P45" s="104" t="str">
        <f>IFERROR(VLOOKUP(O$45,Auswahlfelder!$I$3:$I$15,1,FALSE),VLOOKUP(O$45,Auswahlfelder!$H$3:$I$15,2,FALSE))</f>
        <v>Türkei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21</v>
      </c>
      <c r="S46" s="104" t="str">
        <f>IFERROR(VLOOKUP(R$46,Auswahlfelder!$D$7:$D$9,1,FALSE),VLOOKUP(R$46,Auswahlfelder!$C$7:$D$9,2,FALSE))</f>
        <v>3-Schicht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Refkalkulation!H$92</f>
        <v>0.27447916666666672</v>
      </c>
      <c r="N74" s="279"/>
      <c r="O74" s="961">
        <f>P$74</f>
        <v>0.26010416666666664</v>
      </c>
      <c r="P74" s="278">
        <f>Refkalkulation!K$92</f>
        <v>0.26010416666666664</v>
      </c>
      <c r="Q74" s="279"/>
      <c r="R74" s="961">
        <f t="shared" ref="R74" si="50">S$74</f>
        <v>0.27447916666666672</v>
      </c>
      <c r="S74" s="278">
        <f>Refkalkulation!N$92</f>
        <v>0.27447916666666672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</v>
      </c>
      <c r="M75" s="235">
        <f>Refkalkulation!H$95</f>
        <v>0</v>
      </c>
      <c r="N75" s="279"/>
      <c r="O75" s="961">
        <f>P$75</f>
        <v>0</v>
      </c>
      <c r="P75" s="235">
        <f>Refkalkulation!K$95</f>
        <v>0</v>
      </c>
      <c r="Q75" s="279"/>
      <c r="R75" s="961">
        <f t="shared" ref="R75" si="55">S$75</f>
        <v>0</v>
      </c>
      <c r="S75" s="235">
        <f>Refkalkulation!N$95</f>
        <v>0</v>
      </c>
      <c r="T75" s="279"/>
      <c r="U75" s="961">
        <f t="shared" ref="U75" si="56">V$75</f>
        <v>0</v>
      </c>
      <c r="V75" s="235">
        <f>Refkalkulation!Q$95</f>
        <v>0</v>
      </c>
      <c r="W75" s="279"/>
      <c r="X75" s="961">
        <f t="shared" ref="X75" si="57">Y$75</f>
        <v>0</v>
      </c>
      <c r="Y75" s="235">
        <f>Refkalkulation!T$95</f>
        <v>0</v>
      </c>
      <c r="Z75" s="279"/>
      <c r="AA75" s="961">
        <f t="shared" ref="AA75" si="58">AB$75</f>
        <v>0</v>
      </c>
      <c r="AB75" s="277">
        <f>Refkalkulation!W$95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Refkalkulation!H$96</f>
        <v>0</v>
      </c>
      <c r="N76" s="279"/>
      <c r="O76" s="961">
        <f>P$76</f>
        <v>0</v>
      </c>
      <c r="P76" s="235">
        <f>Refkalkulation!K$96</f>
        <v>0</v>
      </c>
      <c r="Q76" s="279"/>
      <c r="R76" s="961">
        <f t="shared" ref="R76" si="59">S$76</f>
        <v>0</v>
      </c>
      <c r="S76" s="235">
        <f>Refkalkulation!N$96</f>
        <v>0</v>
      </c>
      <c r="T76" s="279"/>
      <c r="U76" s="961">
        <f t="shared" ref="U76" si="60">V$76</f>
        <v>0</v>
      </c>
      <c r="V76" s="235">
        <f>Refkalkulation!Q$96</f>
        <v>0</v>
      </c>
      <c r="W76" s="279"/>
      <c r="X76" s="961">
        <f t="shared" ref="X76" si="61">Y$76</f>
        <v>0</v>
      </c>
      <c r="Y76" s="235">
        <f>Refkalkulation!T$96</f>
        <v>0</v>
      </c>
      <c r="Z76" s="279"/>
      <c r="AA76" s="961">
        <f t="shared" ref="AA76" si="62">AB$76</f>
        <v>0</v>
      </c>
      <c r="AB76" s="277">
        <f>Refkalkulation!W$96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Refkalkulation!H$99</f>
        <v>0.5</v>
      </c>
      <c r="N77" s="279"/>
      <c r="O77" s="794">
        <f>P$77</f>
        <v>0.5</v>
      </c>
      <c r="P77" s="235">
        <f>Refkalkulation!K$99</f>
        <v>0.5</v>
      </c>
      <c r="Q77" s="279"/>
      <c r="R77" s="794">
        <f>S$77</f>
        <v>0.5</v>
      </c>
      <c r="S77" s="235">
        <f>Refkalkulation!N$99</f>
        <v>0.5</v>
      </c>
      <c r="T77" s="279"/>
      <c r="U77" s="794">
        <f>V$77</f>
        <v>0.5</v>
      </c>
      <c r="V77" s="235">
        <f>Refkalkulation!Q$99</f>
        <v>0.5</v>
      </c>
      <c r="W77" s="279"/>
      <c r="X77" s="794">
        <f>Y$77</f>
        <v>0.5</v>
      </c>
      <c r="Y77" s="235">
        <f>Refkalkulation!T$99</f>
        <v>0.5</v>
      </c>
      <c r="Z77" s="279"/>
      <c r="AA77" s="794">
        <f>AB$77</f>
        <v>0.5</v>
      </c>
      <c r="AB77" s="277">
        <f>Refkalkulation!W$99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Refkalkulation!H$98</f>
        <v>0</v>
      </c>
      <c r="N78" s="122"/>
      <c r="O78" s="135">
        <f>P$78</f>
        <v>0</v>
      </c>
      <c r="P78" s="122">
        <f>Refkalkulation!K$98</f>
        <v>0</v>
      </c>
      <c r="Q78" s="279"/>
      <c r="R78" s="135">
        <f>S$78</f>
        <v>0</v>
      </c>
      <c r="S78" s="122">
        <f>Refkalkulation!N$98</f>
        <v>0</v>
      </c>
      <c r="T78" s="279"/>
      <c r="U78" s="135">
        <f>V$78</f>
        <v>0</v>
      </c>
      <c r="V78" s="122">
        <f>Refkalkulation!Q$98</f>
        <v>0</v>
      </c>
      <c r="W78" s="279"/>
      <c r="X78" s="135">
        <f>Y$78</f>
        <v>0</v>
      </c>
      <c r="Y78" s="122">
        <f>Refkalkulation!T$98</f>
        <v>0</v>
      </c>
      <c r="Z78" s="279"/>
      <c r="AA78" s="135">
        <f>AB$78</f>
        <v>0</v>
      </c>
      <c r="AB78" s="681">
        <f>Refkalkulation!W$98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Refkalkulation!H$105</f>
        <v>0.1</v>
      </c>
      <c r="N79" s="279"/>
      <c r="O79" s="135">
        <f>P$79</f>
        <v>0.1</v>
      </c>
      <c r="P79" s="235">
        <f>Refkalkulation!K$105</f>
        <v>0.1</v>
      </c>
      <c r="Q79" s="279"/>
      <c r="R79" s="135">
        <f>S$79</f>
        <v>0.1</v>
      </c>
      <c r="S79" s="235">
        <f>Refkalkulation!N$105</f>
        <v>0.1</v>
      </c>
      <c r="T79" s="279"/>
      <c r="U79" s="135">
        <f>V$79</f>
        <v>0</v>
      </c>
      <c r="V79" s="235">
        <f>Refkalkulation!Q$105</f>
        <v>0</v>
      </c>
      <c r="W79" s="279"/>
      <c r="X79" s="135">
        <f>Y$79</f>
        <v>0</v>
      </c>
      <c r="Y79" s="235">
        <f>Refkalkulation!T$105</f>
        <v>0</v>
      </c>
      <c r="Z79" s="279"/>
      <c r="AA79" s="135">
        <f>AB$79</f>
        <v>0</v>
      </c>
      <c r="AB79" s="277">
        <f>Refkalkulation!W$105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Refkalkulation!H$111</f>
        <v>0.12</v>
      </c>
      <c r="N80" s="279"/>
      <c r="O80" s="135">
        <f>P$80</f>
        <v>0.12</v>
      </c>
      <c r="P80" s="235">
        <f>Refkalkulation!K$111</f>
        <v>0.12</v>
      </c>
      <c r="Q80" s="279"/>
      <c r="R80" s="135">
        <f t="shared" ref="R80" si="64">S$80</f>
        <v>0.12</v>
      </c>
      <c r="S80" s="235">
        <f>Refkalkulation!N$111</f>
        <v>0.12</v>
      </c>
      <c r="T80" s="279"/>
      <c r="U80" s="135">
        <f t="shared" ref="U80" si="65">V$80</f>
        <v>0.12</v>
      </c>
      <c r="V80" s="235">
        <f>Refkalkulation!Q$111</f>
        <v>0.12</v>
      </c>
      <c r="W80" s="279"/>
      <c r="X80" s="135">
        <f t="shared" ref="X80" si="66">Y$80</f>
        <v>0.12</v>
      </c>
      <c r="Y80" s="235">
        <f>Refkalkulation!T$111</f>
        <v>0.12</v>
      </c>
      <c r="Z80" s="279"/>
      <c r="AA80" s="135">
        <f t="shared" ref="AA80" si="67">AB$80</f>
        <v>0.12</v>
      </c>
      <c r="AB80" s="277">
        <f>Refkalkulation!W$111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Refkalkulation!H$115</f>
        <v>0</v>
      </c>
      <c r="N81" s="279"/>
      <c r="O81" s="135">
        <f>P$81</f>
        <v>0</v>
      </c>
      <c r="P81" s="235">
        <f>Refkalkulation!K$115</f>
        <v>0</v>
      </c>
      <c r="Q81" s="279"/>
      <c r="R81" s="135">
        <f t="shared" ref="R81" si="68">S$81</f>
        <v>0</v>
      </c>
      <c r="S81" s="235">
        <f>Refkalkulation!N$115</f>
        <v>0</v>
      </c>
      <c r="T81" s="279"/>
      <c r="U81" s="135">
        <f t="shared" ref="U81" si="69">V$81</f>
        <v>0</v>
      </c>
      <c r="V81" s="235">
        <f>Refkalkulation!Q$115</f>
        <v>0</v>
      </c>
      <c r="W81" s="279"/>
      <c r="X81" s="135">
        <f t="shared" ref="X81" si="70">Y$81</f>
        <v>0</v>
      </c>
      <c r="Y81" s="235">
        <f>Refkalkulation!T$115</f>
        <v>0</v>
      </c>
      <c r="Z81" s="279"/>
      <c r="AA81" s="135">
        <f t="shared" ref="AA81" si="71">AB$81</f>
        <v>0</v>
      </c>
      <c r="AB81" s="235">
        <f>Refkalkulation!W$115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Refkalkulation!H$116</f>
        <v>0</v>
      </c>
      <c r="N82" s="279"/>
      <c r="O82" s="135">
        <f>P$82</f>
        <v>0</v>
      </c>
      <c r="P82" s="235">
        <f>Refkalkulation!K$116</f>
        <v>0</v>
      </c>
      <c r="Q82" s="279"/>
      <c r="R82" s="135">
        <f>S$82</f>
        <v>0</v>
      </c>
      <c r="S82" s="235">
        <f>Refkalkulation!N$116</f>
        <v>0</v>
      </c>
      <c r="T82" s="279"/>
      <c r="U82" s="135">
        <f>V$82</f>
        <v>0</v>
      </c>
      <c r="V82" s="235">
        <f>Refkalkulation!Q$116</f>
        <v>0</v>
      </c>
      <c r="W82" s="279"/>
      <c r="X82" s="135">
        <f>Y$82</f>
        <v>0</v>
      </c>
      <c r="Y82" s="235">
        <f>Refkalkulation!T$116</f>
        <v>0</v>
      </c>
      <c r="Z82" s="279"/>
      <c r="AA82" s="135">
        <f>AB$82</f>
        <v>0</v>
      </c>
      <c r="AB82" s="277">
        <f>Refkalkulation!W$116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09" priority="65" stopIfTrue="1">
      <formula>VALUE(L12="Materialdatenbank")</formula>
    </cfRule>
  </conditionalFormatting>
  <conditionalFormatting sqref="O36 R36 U36 AA36 L36 X36">
    <cfRule type="cellIs" dxfId="208" priority="66" stopIfTrue="1" operator="notBetween">
      <formula>$E$36</formula>
      <formula>$F$36</formula>
    </cfRule>
  </conditionalFormatting>
  <conditionalFormatting sqref="L11 L20 O20 X20 R20 U20 AA20 O11 R11 U11 X11 AA11">
    <cfRule type="expression" dxfId="207" priority="70" stopIfTrue="1">
      <formula>K$11=0</formula>
    </cfRule>
  </conditionalFormatting>
  <conditionalFormatting sqref="L44">
    <cfRule type="cellIs" dxfId="206" priority="71" stopIfTrue="1" operator="lessThan">
      <formula>$E44</formula>
    </cfRule>
  </conditionalFormatting>
  <conditionalFormatting sqref="AA37:AA43 R37:R43 U37:U43 X37:X43 O37:O43 L37:L43">
    <cfRule type="cellIs" dxfId="205" priority="72" stopIfTrue="1" operator="greaterThan">
      <formula>M$36</formula>
    </cfRule>
  </conditionalFormatting>
  <conditionalFormatting sqref="AA8:AA9 O8:O9 R8:R9 U8:U9 X8:X9 L9">
    <cfRule type="cellIs" dxfId="204" priority="73" operator="equal">
      <formula>"?"</formula>
    </cfRule>
  </conditionalFormatting>
  <conditionalFormatting sqref="X4:X5">
    <cfRule type="cellIs" dxfId="203" priority="74" operator="equal">
      <formula>FALSE</formula>
    </cfRule>
  </conditionalFormatting>
  <conditionalFormatting sqref="L13 O13 R13 U13 X13 AA13">
    <cfRule type="cellIs" dxfId="202" priority="431" operator="notBetween">
      <formula>$E13</formula>
      <formula>$F13</formula>
    </cfRule>
  </conditionalFormatting>
  <conditionalFormatting sqref="L28">
    <cfRule type="expression" dxfId="201" priority="60" stopIfTrue="1">
      <formula>VALUE(#REF!="Materialdatenbank")</formula>
    </cfRule>
  </conditionalFormatting>
  <conditionalFormatting sqref="L29">
    <cfRule type="expression" dxfId="200" priority="59" stopIfTrue="1">
      <formula>VALUE(#REF!="Materialdatenbank")</formula>
    </cfRule>
  </conditionalFormatting>
  <conditionalFormatting sqref="L30">
    <cfRule type="expression" dxfId="199" priority="58" stopIfTrue="1">
      <formula>VALUE(#REF!="Materialdatenbank")</formula>
    </cfRule>
  </conditionalFormatting>
  <conditionalFormatting sqref="O28">
    <cfRule type="expression" dxfId="198" priority="57" stopIfTrue="1">
      <formula>VALUE(#REF!="Materialdatenbank")</formula>
    </cfRule>
  </conditionalFormatting>
  <conditionalFormatting sqref="O29">
    <cfRule type="expression" dxfId="197" priority="56" stopIfTrue="1">
      <formula>VALUE(#REF!="Materialdatenbank")</formula>
    </cfRule>
  </conditionalFormatting>
  <conditionalFormatting sqref="O30">
    <cfRule type="expression" dxfId="196" priority="55" stopIfTrue="1">
      <formula>VALUE(#REF!="Materialdatenbank")</formula>
    </cfRule>
  </conditionalFormatting>
  <conditionalFormatting sqref="R28">
    <cfRule type="expression" dxfId="195" priority="42" stopIfTrue="1">
      <formula>VALUE(#REF!="Materialdatenbank")</formula>
    </cfRule>
  </conditionalFormatting>
  <conditionalFormatting sqref="R29">
    <cfRule type="expression" dxfId="194" priority="41" stopIfTrue="1">
      <formula>VALUE(#REF!="Materialdatenbank")</formula>
    </cfRule>
  </conditionalFormatting>
  <conditionalFormatting sqref="R30">
    <cfRule type="expression" dxfId="193" priority="40" stopIfTrue="1">
      <formula>VALUE(#REF!="Materialdatenbank")</formula>
    </cfRule>
  </conditionalFormatting>
  <conditionalFormatting sqref="U28">
    <cfRule type="expression" dxfId="192" priority="39" stopIfTrue="1">
      <formula>VALUE(#REF!="Materialdatenbank")</formula>
    </cfRule>
  </conditionalFormatting>
  <conditionalFormatting sqref="U29">
    <cfRule type="expression" dxfId="191" priority="38" stopIfTrue="1">
      <formula>VALUE(#REF!="Materialdatenbank")</formula>
    </cfRule>
  </conditionalFormatting>
  <conditionalFormatting sqref="U30">
    <cfRule type="expression" dxfId="190" priority="37" stopIfTrue="1">
      <formula>VALUE(#REF!="Materialdatenbank")</formula>
    </cfRule>
  </conditionalFormatting>
  <conditionalFormatting sqref="X28">
    <cfRule type="expression" dxfId="189" priority="36" stopIfTrue="1">
      <formula>VALUE(#REF!="Materialdatenbank")</formula>
    </cfRule>
  </conditionalFormatting>
  <conditionalFormatting sqref="X29">
    <cfRule type="expression" dxfId="188" priority="35" stopIfTrue="1">
      <formula>VALUE(#REF!="Materialdatenbank")</formula>
    </cfRule>
  </conditionalFormatting>
  <conditionalFormatting sqref="X30">
    <cfRule type="expression" dxfId="187" priority="34" stopIfTrue="1">
      <formula>VALUE(#REF!="Materialdatenbank")</formula>
    </cfRule>
  </conditionalFormatting>
  <conditionalFormatting sqref="AA28">
    <cfRule type="expression" dxfId="186" priority="33" stopIfTrue="1">
      <formula>VALUE(#REF!="Materialdatenbank")</formula>
    </cfRule>
  </conditionalFormatting>
  <conditionalFormatting sqref="AA29">
    <cfRule type="expression" dxfId="185" priority="32" stopIfTrue="1">
      <formula>VALUE(#REF!="Materialdatenbank")</formula>
    </cfRule>
  </conditionalFormatting>
  <conditionalFormatting sqref="AA30">
    <cfRule type="expression" dxfId="184" priority="31" stopIfTrue="1">
      <formula>VALUE(#REF!="Materialdatenbank")</formula>
    </cfRule>
  </conditionalFormatting>
  <conditionalFormatting sqref="L25">
    <cfRule type="expression" dxfId="183" priority="23" stopIfTrue="1">
      <formula>VALUE(#REF!="Materialdatenbank")</formula>
    </cfRule>
  </conditionalFormatting>
  <conditionalFormatting sqref="O25">
    <cfRule type="expression" dxfId="182" priority="22" stopIfTrue="1">
      <formula>VALUE(#REF!="Materialdatenbank")</formula>
    </cfRule>
  </conditionalFormatting>
  <conditionalFormatting sqref="R25">
    <cfRule type="expression" dxfId="181" priority="21" stopIfTrue="1">
      <formula>VALUE(#REF!="Materialdatenbank")</formula>
    </cfRule>
  </conditionalFormatting>
  <conditionalFormatting sqref="U25">
    <cfRule type="expression" dxfId="180" priority="20" stopIfTrue="1">
      <formula>VALUE(#REF!="Materialdatenbank")</formula>
    </cfRule>
  </conditionalFormatting>
  <conditionalFormatting sqref="X25">
    <cfRule type="expression" dxfId="179" priority="19" stopIfTrue="1">
      <formula>VALUE(#REF!="Materialdatenbank")</formula>
    </cfRule>
  </conditionalFormatting>
  <conditionalFormatting sqref="AA25">
    <cfRule type="expression" dxfId="178" priority="18" stopIfTrue="1">
      <formula>VALUE(#REF!="Materialdatenbank")</formula>
    </cfRule>
  </conditionalFormatting>
  <conditionalFormatting sqref="L26">
    <cfRule type="expression" dxfId="177" priority="17" stopIfTrue="1">
      <formula>VALUE(#REF!="Materialdatenbank")</formula>
    </cfRule>
  </conditionalFormatting>
  <conditionalFormatting sqref="O26">
    <cfRule type="expression" dxfId="176" priority="16" stopIfTrue="1">
      <formula>VALUE(#REF!="Materialdatenbank")</formula>
    </cfRule>
  </conditionalFormatting>
  <conditionalFormatting sqref="R26">
    <cfRule type="expression" dxfId="175" priority="15" stopIfTrue="1">
      <formula>VALUE(#REF!="Materialdatenbank")</formula>
    </cfRule>
  </conditionalFormatting>
  <conditionalFormatting sqref="U26">
    <cfRule type="expression" dxfId="174" priority="14" stopIfTrue="1">
      <formula>VALUE(#REF!="Materialdatenbank")</formula>
    </cfRule>
  </conditionalFormatting>
  <conditionalFormatting sqref="X26">
    <cfRule type="expression" dxfId="173" priority="13" stopIfTrue="1">
      <formula>VALUE(#REF!="Materialdatenbank")</formula>
    </cfRule>
  </conditionalFormatting>
  <conditionalFormatting sqref="AA26">
    <cfRule type="expression" dxfId="172" priority="12" stopIfTrue="1">
      <formula>VALUE(#REF!="Materialdatenbank")</formula>
    </cfRule>
  </conditionalFormatting>
  <conditionalFormatting sqref="L27">
    <cfRule type="expression" dxfId="171" priority="11" stopIfTrue="1">
      <formula>VALUE(#REF!="Materialdatenbank")</formula>
    </cfRule>
  </conditionalFormatting>
  <conditionalFormatting sqref="O27">
    <cfRule type="expression" dxfId="170" priority="10" stopIfTrue="1">
      <formula>VALUE(#REF!="Materialdatenbank")</formula>
    </cfRule>
  </conditionalFormatting>
  <conditionalFormatting sqref="R27">
    <cfRule type="expression" dxfId="169" priority="9" stopIfTrue="1">
      <formula>VALUE(#REF!="Materialdatenbank")</formula>
    </cfRule>
  </conditionalFormatting>
  <conditionalFormatting sqref="U27">
    <cfRule type="expression" dxfId="168" priority="8" stopIfTrue="1">
      <formula>VALUE(#REF!="Materialdatenbank")</formula>
    </cfRule>
  </conditionalFormatting>
  <conditionalFormatting sqref="X27">
    <cfRule type="expression" dxfId="167" priority="7" stopIfTrue="1">
      <formula>VALUE(#REF!="Materialdatenbank")</formula>
    </cfRule>
  </conditionalFormatting>
  <conditionalFormatting sqref="AA27">
    <cfRule type="expression" dxfId="166" priority="6" stopIfTrue="1">
      <formula>VALUE(#REF!="Materialdatenbank")</formula>
    </cfRule>
  </conditionalFormatting>
  <conditionalFormatting sqref="L8">
    <cfRule type="cellIs" dxfId="165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2"/>
  <sheetViews>
    <sheetView zoomScaleNormal="100" workbookViewId="0">
      <pane xSplit="6" ySplit="8" topLeftCell="G71" activePane="bottomRight" state="frozenSplit"/>
      <selection activeCell="L30" sqref="L30"/>
      <selection pane="topRight" activeCell="L30" sqref="L30"/>
      <selection pane="bottomLeft" activeCell="L30" sqref="L30"/>
      <selection pane="bottomRight" activeCell="A93" sqref="A93:XFD93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OR(ISERROR(H119),H5="?",H5=0,H12=0,H16=0,H24=0)</f>
        <v>0</v>
      </c>
      <c r="I2" s="67"/>
      <c r="J2" s="67"/>
      <c r="K2" s="390" t="b">
        <f>OR(ISERROR(K119),K5="?",K5=0,K12=0,K16=0,K24=0)</f>
        <v>0</v>
      </c>
      <c r="L2" s="67"/>
      <c r="M2" s="67"/>
      <c r="N2" s="390" t="b">
        <f>OR(ISERROR(N119),N5="?",N5=0,N12=0,N16=0,N24=0)</f>
        <v>0</v>
      </c>
      <c r="O2" s="67"/>
      <c r="P2" s="67"/>
      <c r="Q2" s="390" t="b">
        <f>OR(ISERROR(Q119),Q5="?",Q5=0,Q12=0,Q16=0,Q24=0)</f>
        <v>1</v>
      </c>
      <c r="R2" s="67"/>
      <c r="S2" s="67"/>
      <c r="T2" s="390" t="b">
        <f>OR(ISERROR(T119),T5="?",T5=0,T12=0,T16=0,T24=0)</f>
        <v>1</v>
      </c>
      <c r="U2" s="67"/>
      <c r="V2" s="67"/>
      <c r="W2" s="390" t="b">
        <f>OR(ISERROR(W119),W5="?",W5=0,W12=0,W16=0,W24=0)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Türkei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288</v>
      </c>
      <c r="J35" s="634"/>
      <c r="K35" s="136">
        <f>Parametrikber!I$108</f>
        <v>15.821702244116038</v>
      </c>
      <c r="L35" s="78" t="s">
        <v>288</v>
      </c>
      <c r="M35" s="78"/>
      <c r="N35" s="136">
        <f>Parametrikber!L$108</f>
        <v>16.059027777777779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288</v>
      </c>
      <c r="J36" s="634"/>
      <c r="K36" s="85">
        <f>K$34/60*K$33/Parametrikber!I$101*K$35</f>
        <v>8.2065358547284459E-2</v>
      </c>
      <c r="L36" s="634" t="s">
        <v>288</v>
      </c>
      <c r="M36" s="634"/>
      <c r="N36" s="85">
        <f>N$34/60*N$33/Parametrikber!L$101*N$35</f>
        <v>8.3296338925493735E-2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0.04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0.2119760421782762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288</v>
      </c>
      <c r="J41" s="634"/>
      <c r="K41" s="136">
        <f>Parametrikber!I$21</f>
        <v>5.4197425000000008</v>
      </c>
      <c r="L41" s="78" t="s">
        <v>288</v>
      </c>
      <c r="M41" s="78"/>
      <c r="N41" s="136">
        <f>Parametrikber!L$21</f>
        <v>32.477666666666664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288</v>
      </c>
      <c r="J42" s="634"/>
      <c r="K42" s="85">
        <f>K$33*(1+K$16)/Parametrikber!I$101*K$34/60*K$40*K$41</f>
        <v>2.0770243830834815E-2</v>
      </c>
      <c r="L42" s="78" t="s">
        <v>288</v>
      </c>
      <c r="M42" s="78"/>
      <c r="N42" s="85">
        <f>N$33*(1+N$16)/Parametrikber!L$101*N$34/60*N$40*N$41</f>
        <v>0.12446514861605373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288</v>
      </c>
      <c r="J44" s="634"/>
      <c r="K44" s="136">
        <f>Parametrikber!I220</f>
        <v>9.0839485</v>
      </c>
      <c r="L44" s="78" t="s">
        <v>288</v>
      </c>
      <c r="M44" s="78"/>
      <c r="N44" s="136">
        <f>Parametrikber!L220</f>
        <v>14.495533333333334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288</v>
      </c>
      <c r="J45" s="634"/>
      <c r="K45" s="85">
        <f>K$43/60*K$44*K$33/Parametrikber!I$101</f>
        <v>1.0228905879236045E-2</v>
      </c>
      <c r="L45" s="78" t="s">
        <v>288</v>
      </c>
      <c r="M45" s="78"/>
      <c r="N45" s="85">
        <f>N$43/60*N$44*N$33/Parametrikber!L$101</f>
        <v>1.6322576700648999E-2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288</v>
      </c>
      <c r="J47" s="1058"/>
      <c r="K47" s="1057">
        <f>(K42+K36+K39+K45)*(1+K46)</f>
        <v>0.33154136144434415</v>
      </c>
      <c r="L47" s="1059" t="s">
        <v>288</v>
      </c>
      <c r="M47" s="1059"/>
      <c r="N47" s="1057">
        <f>(N42+N36+N39+N45)*(1+N46)</f>
        <v>0.51505136653098071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288</v>
      </c>
      <c r="J54" s="634"/>
      <c r="K54" s="74">
        <f>Parametrikber!I$137</f>
        <v>441.76907713498633</v>
      </c>
      <c r="L54" s="78" t="s">
        <v>288</v>
      </c>
      <c r="M54" s="67"/>
      <c r="N54" s="74">
        <f>Parametrikber!L$137</f>
        <v>495.5512626262626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288</v>
      </c>
      <c r="J56" s="634"/>
      <c r="K56" s="74">
        <f>Parametrikber!I21</f>
        <v>5.4197425000000008</v>
      </c>
      <c r="L56" s="78" t="s">
        <v>288</v>
      </c>
      <c r="M56" s="67"/>
      <c r="N56" s="74">
        <f>Parametrikber!L21</f>
        <v>32.477666666666664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288</v>
      </c>
      <c r="J57" s="634"/>
      <c r="K57" s="74">
        <f>K$54+K$55*K$56</f>
        <v>458.02830463498634</v>
      </c>
      <c r="L57" s="634" t="s">
        <v>288</v>
      </c>
      <c r="M57" s="622"/>
      <c r="N57" s="74">
        <f t="shared" ref="N57" si="15">N$54+N$55*N$56</f>
        <v>592.98426262626253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288</v>
      </c>
      <c r="J60" s="623">
        <f>K$50</f>
        <v>1</v>
      </c>
      <c r="K60" s="85">
        <f>K$57/3600*K$59/K$50</f>
        <v>5.0892033848331817</v>
      </c>
      <c r="L60" s="78" t="s">
        <v>288</v>
      </c>
      <c r="M60" s="599">
        <f>N$50</f>
        <v>1</v>
      </c>
      <c r="N60" s="85">
        <f>N$57/3600*N$59/N$50</f>
        <v>6.5887140291806947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288</v>
      </c>
      <c r="J64" s="622"/>
      <c r="K64" s="74">
        <f>Parametrikber!I$22</f>
        <v>5.8795150000000005</v>
      </c>
      <c r="L64" s="78" t="s">
        <v>288</v>
      </c>
      <c r="M64" s="67"/>
      <c r="N64" s="74">
        <f>Parametrikber!L$22</f>
        <v>37.020199999999996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288</v>
      </c>
      <c r="J65" s="622"/>
      <c r="K65" s="74">
        <f>K$62/60*(K$57+K$63*K$64)</f>
        <v>384.79526732747064</v>
      </c>
      <c r="L65" s="78" t="s">
        <v>288</v>
      </c>
      <c r="M65" s="67"/>
      <c r="N65" s="74">
        <f>N$62/60*(N$57+N$63*N$64)</f>
        <v>498.17344375714043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288</v>
      </c>
      <c r="J66" s="622"/>
      <c r="K66" s="85">
        <f>K$65/ROUNDUP(K$61,0)</f>
        <v>3.8479526732747065</v>
      </c>
      <c r="L66" s="634" t="s">
        <v>288</v>
      </c>
      <c r="M66" s="622"/>
      <c r="N66" s="85">
        <f>N$65/ROUNDUP(N$61,0)</f>
        <v>4.9817344375714043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288</v>
      </c>
      <c r="J72" s="887"/>
      <c r="K72" s="886">
        <f>K$60+K$66+K$69+K$71</f>
        <v>8.9371560581078882</v>
      </c>
      <c r="L72" s="640" t="s">
        <v>288</v>
      </c>
      <c r="M72" s="887"/>
      <c r="N72" s="886">
        <f t="shared" ref="N72" si="29">N$60+N$66+N$69+N$71</f>
        <v>11.570448466752099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288</v>
      </c>
      <c r="J76" s="634"/>
      <c r="K76" s="74">
        <f>Parametrikber!I$20</f>
        <v>4.1240200000000007</v>
      </c>
      <c r="L76" s="78" t="s">
        <v>288</v>
      </c>
      <c r="M76" s="78"/>
      <c r="N76" s="74">
        <f>Parametrikber!L$20</f>
        <v>27.399866666666668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288</v>
      </c>
      <c r="J77" s="634"/>
      <c r="K77" s="85">
        <f>(K74+K75)/60*K76</f>
        <v>0.34366833333333335</v>
      </c>
      <c r="L77" s="634" t="s">
        <v>288</v>
      </c>
      <c r="M77" s="634"/>
      <c r="N77" s="85">
        <f t="shared" ref="N77" si="33">(N74+N75)/60*N76</f>
        <v>2.283322222222222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288</v>
      </c>
      <c r="J81" s="634"/>
      <c r="K81" s="85">
        <f>(K$78/3600*K$76)+(K$79/1000*K$14)+(K$80/3600*K$76)</f>
        <v>2.9944106708789858E-2</v>
      </c>
      <c r="L81" s="634" t="s">
        <v>288</v>
      </c>
      <c r="M81" s="634"/>
      <c r="N81" s="85">
        <f>(N$78/3600*N$76)+(N$79/1000*N$14)+(N$80/3600*N$76)</f>
        <v>0.19894775759411468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288</v>
      </c>
      <c r="J82" s="634"/>
      <c r="K82" s="74">
        <f>Parametrikber!I$122</f>
        <v>1.2271468098197256</v>
      </c>
      <c r="L82" s="78" t="s">
        <v>288</v>
      </c>
      <c r="M82" s="78"/>
      <c r="N82" s="74">
        <f>Parametrikber!L$122</f>
        <v>1.1547005383792517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288</v>
      </c>
      <c r="J83" s="634"/>
      <c r="K83" s="85">
        <f>K$82*Parametrikber!I$75/1000</f>
        <v>0.21347808979179506</v>
      </c>
      <c r="L83" s="78" t="s">
        <v>288</v>
      </c>
      <c r="M83" s="78"/>
      <c r="N83" s="85">
        <f>N$82*Parametrikber!L$75/1000</f>
        <v>0.20087512206544597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288</v>
      </c>
      <c r="J87" s="640"/>
      <c r="K87" s="886">
        <f>(1+K86)*(K77+K81+K$83+K$85)</f>
        <v>0.59883234043059663</v>
      </c>
      <c r="L87" s="640" t="s">
        <v>288</v>
      </c>
      <c r="M87" s="640"/>
      <c r="N87" s="886">
        <f>(1+N86)*(N77+N81+N$83+N$85)</f>
        <v>2.7368080039194185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prüfen</v>
      </c>
      <c r="I88" s="950" t="s">
        <v>288</v>
      </c>
      <c r="J88" s="950"/>
      <c r="K88" s="949" t="str">
        <f>Parametrikber!I$252</f>
        <v>US prüfen</v>
      </c>
      <c r="L88" s="950" t="s">
        <v>288</v>
      </c>
      <c r="M88" s="950"/>
      <c r="N88" s="949" t="str">
        <f>Parametrikber!L$252</f>
        <v>US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288</v>
      </c>
      <c r="J90" s="634"/>
      <c r="K90" s="74">
        <f>Parametrikber!I$22</f>
        <v>5.8795150000000005</v>
      </c>
      <c r="L90" s="78" t="s">
        <v>288</v>
      </c>
      <c r="M90" s="78"/>
      <c r="N90" s="74">
        <f>Parametrikber!L$22</f>
        <v>37.020199999999996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999</v>
      </c>
      <c r="E91" s="73"/>
      <c r="G91" s="626"/>
      <c r="H91" s="121">
        <v>400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0.27447916666666672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0.26010416666666664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0.27447916666666672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/>
      <c r="E93" s="73"/>
      <c r="F93" s="75"/>
      <c r="G93" s="626"/>
      <c r="H93" s="348"/>
      <c r="I93" s="635"/>
      <c r="J93" s="635"/>
      <c r="K93" s="348"/>
      <c r="L93" s="361"/>
      <c r="M93" s="361"/>
      <c r="N93" s="348"/>
      <c r="O93" s="361"/>
      <c r="P93" s="361"/>
      <c r="Q93" s="348"/>
      <c r="R93" s="361"/>
      <c r="S93" s="361"/>
      <c r="T93" s="348"/>
      <c r="U93" s="361"/>
      <c r="V93" s="361"/>
      <c r="W93" s="348"/>
      <c r="X93" s="642"/>
      <c r="Y93" s="78"/>
    </row>
    <row r="94" spans="2:25" x14ac:dyDescent="0.2">
      <c r="C94" s="78"/>
      <c r="D94" s="72" t="s">
        <v>1000</v>
      </c>
      <c r="E94" s="73"/>
      <c r="F94" s="75"/>
      <c r="G94" s="626"/>
      <c r="H94" s="348"/>
      <c r="I94" s="635"/>
      <c r="J94" s="635"/>
      <c r="K94" s="348"/>
      <c r="L94" s="361"/>
      <c r="M94" s="361"/>
      <c r="N94" s="348"/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tr">
        <f>IF(Deutsch,'Quick Input'!C29,'Quick Input'!D29)</f>
        <v>Farbeindring Prüfung</v>
      </c>
      <c r="E95" s="73"/>
      <c r="F95" s="75"/>
      <c r="G95" s="626"/>
      <c r="H95" s="348">
        <v>0</v>
      </c>
      <c r="I95" s="635"/>
      <c r="J95" s="635"/>
      <c r="K95" s="348">
        <v>0</v>
      </c>
      <c r="L95" s="361"/>
      <c r="M95" s="361"/>
      <c r="N95" s="348">
        <v>0</v>
      </c>
      <c r="O95" s="361"/>
      <c r="P95" s="361"/>
      <c r="Q95" s="348">
        <v>0</v>
      </c>
      <c r="R95" s="361"/>
      <c r="S95" s="361"/>
      <c r="T95" s="348">
        <v>0</v>
      </c>
      <c r="U95" s="361"/>
      <c r="V95" s="361"/>
      <c r="W95" s="348">
        <v>0</v>
      </c>
      <c r="X95" s="642"/>
      <c r="Y95" s="78"/>
    </row>
    <row r="96" spans="2:25" x14ac:dyDescent="0.2">
      <c r="C96" s="78"/>
      <c r="D96" s="72" t="str">
        <f>IF(Deutsch,'Quick Input'!C30,'Quick Input'!D30)</f>
        <v>Röntgen Prüfung</v>
      </c>
      <c r="E96" s="73"/>
      <c r="F96" s="75"/>
      <c r="G96" s="626"/>
      <c r="H96" s="348">
        <v>0</v>
      </c>
      <c r="I96" s="635"/>
      <c r="J96" s="635"/>
      <c r="K96" s="348">
        <v>0</v>
      </c>
      <c r="L96" s="361"/>
      <c r="M96" s="361"/>
      <c r="N96" s="348">
        <v>0</v>
      </c>
      <c r="O96" s="361"/>
      <c r="P96" s="361"/>
      <c r="Q96" s="348">
        <v>0</v>
      </c>
      <c r="R96" s="361"/>
      <c r="S96" s="361"/>
      <c r="T96" s="348">
        <v>0</v>
      </c>
      <c r="U96" s="361"/>
      <c r="V96" s="361"/>
      <c r="W96" s="348">
        <v>0</v>
      </c>
      <c r="X96" s="642"/>
      <c r="Y96" s="78"/>
    </row>
    <row r="97" spans="2:25" x14ac:dyDescent="0.2">
      <c r="C97" s="78"/>
      <c r="D97" s="72" t="str">
        <f>IF(Deutsch,Auswahlfelder!$B$59,Auswahlfelder!$D$59)</f>
        <v>Reparaturschweißen</v>
      </c>
      <c r="E97" s="73"/>
      <c r="F97" s="75"/>
      <c r="G97" s="626"/>
      <c r="H97" s="80" t="str">
        <f>'Quick Input'!L$33</f>
        <v>ohne</v>
      </c>
      <c r="I97" s="634"/>
      <c r="J97" s="634"/>
      <c r="K97" s="80" t="str">
        <f>'Quick Input'!O$33</f>
        <v>ohne</v>
      </c>
      <c r="L97" s="78"/>
      <c r="M97" s="78"/>
      <c r="N97" s="80" t="str">
        <f>'Quick Input'!R$33</f>
        <v>ohne</v>
      </c>
      <c r="O97" s="78"/>
      <c r="P97" s="78"/>
      <c r="Q97" s="80" t="str">
        <f>'Quick Input'!U$33</f>
        <v>ohne</v>
      </c>
      <c r="R97" s="78"/>
      <c r="S97" s="78"/>
      <c r="T97" s="80" t="str">
        <f>'Quick Input'!X$33</f>
        <v>ohne</v>
      </c>
      <c r="U97" s="78"/>
      <c r="V97" s="78"/>
      <c r="W97" s="80" t="str">
        <f>'Quick Input'!AA$33</f>
        <v>ohne</v>
      </c>
      <c r="X97" s="642"/>
      <c r="Y97" s="78"/>
    </row>
    <row r="98" spans="2:25" x14ac:dyDescent="0.2">
      <c r="C98" s="78"/>
      <c r="D98" s="72" t="str">
        <f>IF(Deutsch,"Reparaturanteil (%)","repair proportion (%)")</f>
        <v>Reparaturanteil (%)</v>
      </c>
      <c r="E98" s="73"/>
      <c r="F98" s="75"/>
      <c r="G98" s="626"/>
      <c r="H98" s="549">
        <v>0</v>
      </c>
      <c r="I98" s="635"/>
      <c r="J98" s="635"/>
      <c r="K98" s="549">
        <v>0</v>
      </c>
      <c r="L98" s="361"/>
      <c r="M98" s="361"/>
      <c r="N98" s="549">
        <v>0</v>
      </c>
      <c r="O98" s="361"/>
      <c r="P98" s="361"/>
      <c r="Q98" s="549">
        <v>0</v>
      </c>
      <c r="R98" s="361"/>
      <c r="S98" s="361"/>
      <c r="T98" s="549">
        <v>0</v>
      </c>
      <c r="U98" s="361"/>
      <c r="V98" s="361"/>
      <c r="W98" s="549">
        <v>0</v>
      </c>
      <c r="X98" s="642"/>
      <c r="Y98" s="78"/>
    </row>
    <row r="99" spans="2:25" x14ac:dyDescent="0.2">
      <c r="C99" s="78"/>
      <c r="D99" s="72" t="str">
        <f>'Quick Input'!$I$77</f>
        <v>Anteil Nachprüfung</v>
      </c>
      <c r="E99" s="73"/>
      <c r="F99" s="75"/>
      <c r="G99" s="626"/>
      <c r="H99" s="720">
        <v>0.5</v>
      </c>
      <c r="I99" s="635"/>
      <c r="J99" s="635"/>
      <c r="K99" s="720">
        <v>0.5</v>
      </c>
      <c r="L99" s="361"/>
      <c r="M99" s="361"/>
      <c r="N99" s="720">
        <v>0.5</v>
      </c>
      <c r="O99" s="361"/>
      <c r="P99" s="361"/>
      <c r="Q99" s="720">
        <v>0.5</v>
      </c>
      <c r="R99" s="361"/>
      <c r="S99" s="361"/>
      <c r="T99" s="720">
        <v>0.5</v>
      </c>
      <c r="U99" s="361"/>
      <c r="V99" s="361"/>
      <c r="W99" s="720">
        <v>0.5</v>
      </c>
      <c r="X99" s="642"/>
      <c r="Y99" s="78"/>
    </row>
    <row r="100" spans="2:25" x14ac:dyDescent="0.2">
      <c r="C100" s="78"/>
      <c r="D100" s="72" t="str">
        <f>IF(Deutsch,"Kosten je Reparatur (€)","cost per repair (€)")</f>
        <v>Kosten je Reparatur (€)</v>
      </c>
      <c r="E100" s="73"/>
      <c r="F100" s="75"/>
      <c r="G100" s="626"/>
      <c r="H100" s="85">
        <f>IF('Quick Input'!M$33=Auswahlfelder!$D$60,0,Parametrikber!F$187)</f>
        <v>0</v>
      </c>
      <c r="I100" s="634"/>
      <c r="J100" s="634"/>
      <c r="K100" s="85">
        <f>IF('Quick Input'!P$33=Auswahlfelder!$D$60,0,Parametrikber!I$187)</f>
        <v>0</v>
      </c>
      <c r="L100" s="78"/>
      <c r="M100" s="78"/>
      <c r="N100" s="85">
        <f>IF('Quick Input'!S$33=Auswahlfelder!$D$60,0,Parametrikber!L$187)</f>
        <v>0</v>
      </c>
      <c r="O100" s="78"/>
      <c r="P100" s="78"/>
      <c r="Q100" s="85">
        <f>IF('Quick Input'!V$33=Auswahlfelder!$D$60,0,Parametrikber!O$187)</f>
        <v>0</v>
      </c>
      <c r="R100" s="78"/>
      <c r="S100" s="78"/>
      <c r="T100" s="85">
        <f>IF('Quick Input'!Y$33=Auswahlfelder!$D$60,0,Parametrikber!R$187)</f>
        <v>0</v>
      </c>
      <c r="U100" s="78"/>
      <c r="V100" s="78"/>
      <c r="W100" s="85">
        <f>IF('Quick Input'!AB$33=Auswahlfelder!$D$60,0,Parametrikber!U$187)</f>
        <v>0</v>
      </c>
      <c r="X100" s="642"/>
      <c r="Y100" s="78"/>
    </row>
    <row r="101" spans="2:25" ht="15" thickBot="1" x14ac:dyDescent="0.25">
      <c r="C101" s="78"/>
      <c r="D101" s="116" t="str">
        <f>IF(Deutsch,"Prüfkosten pro Stück","testing cost per part")</f>
        <v>Prüfkosten pro Stück</v>
      </c>
      <c r="E101" s="73"/>
      <c r="F101" s="75"/>
      <c r="G101" s="888"/>
      <c r="H101" s="886">
        <f>H$89/3600*H$90+(H$92+H$95+H$96)*(1+H$99*H$98)+H$98*H$100</f>
        <v>4.3878347222222214</v>
      </c>
      <c r="I101" s="640" t="s">
        <v>288</v>
      </c>
      <c r="J101" s="640"/>
      <c r="K101" s="886">
        <f>K$89/3600*K$90+(K$92+K$95+K$96)*(1+K$99*K$98)+K$98*K$100</f>
        <v>0.75006375000000003</v>
      </c>
      <c r="L101" s="640" t="s">
        <v>288</v>
      </c>
      <c r="M101" s="640"/>
      <c r="N101" s="886">
        <f>N$89/3600*N$90+(N$92+N$95+N$96)*(1+N$99*N$98)+N$98*N$100</f>
        <v>3.3594958333333329</v>
      </c>
      <c r="O101" s="640" t="s">
        <v>288</v>
      </c>
      <c r="P101" s="640"/>
      <c r="Q101" s="886">
        <f>Q$89/3600*Q$90+(Q$92+Q$95+Q$96)*(1+Q$99*Q$98)+Q$98*Q$100</f>
        <v>0</v>
      </c>
      <c r="R101" s="640" t="s">
        <v>288</v>
      </c>
      <c r="S101" s="640"/>
      <c r="T101" s="886">
        <f>T$89/3600*T$90+(T$92+T$95+T$96)*(1+T$99*T$98)+T$98*T$100</f>
        <v>0</v>
      </c>
      <c r="U101" s="640" t="s">
        <v>288</v>
      </c>
      <c r="V101" s="640"/>
      <c r="W101" s="886">
        <f>W$89/3600*W$90+(W$92+W$95+W$96)*(1+W$99*W$98)+W$98*W$100</f>
        <v>0</v>
      </c>
      <c r="X101" s="644"/>
      <c r="Y101" s="78" t="s">
        <v>33</v>
      </c>
    </row>
    <row r="102" spans="2:25" ht="11.25" customHeight="1" x14ac:dyDescent="0.2">
      <c r="C102" s="78"/>
      <c r="D102" s="1234" t="str">
        <f>IF(Deutsch,"Fertigungsnebenkosten","production cost")</f>
        <v>Fertigungsnebenkosten</v>
      </c>
      <c r="E102" s="1235"/>
      <c r="F102" s="1236"/>
      <c r="G102" s="626"/>
      <c r="H102" s="79"/>
      <c r="I102" s="634" t="s">
        <v>288</v>
      </c>
      <c r="J102" s="634"/>
      <c r="K102" s="79"/>
      <c r="L102" s="78" t="s">
        <v>288</v>
      </c>
      <c r="M102" s="78"/>
      <c r="N102" s="79"/>
      <c r="O102" s="78" t="s">
        <v>288</v>
      </c>
      <c r="P102" s="78"/>
      <c r="Q102" s="79"/>
      <c r="R102" s="78" t="s">
        <v>288</v>
      </c>
      <c r="S102" s="78"/>
      <c r="T102" s="79"/>
      <c r="U102" s="78" t="s">
        <v>288</v>
      </c>
      <c r="V102" s="78"/>
      <c r="W102" s="79"/>
      <c r="X102" s="642"/>
      <c r="Y102" s="78" t="s">
        <v>33</v>
      </c>
    </row>
    <row r="103" spans="2:25" ht="14.25" customHeight="1" x14ac:dyDescent="0.2">
      <c r="C103" s="78"/>
      <c r="D103" s="1237"/>
      <c r="E103" s="1238"/>
      <c r="F103" s="1239"/>
      <c r="G103" s="626"/>
      <c r="H103" s="965">
        <f>H$47+H$72+H87+H$101</f>
        <v>66.003581174629048</v>
      </c>
      <c r="I103" s="634" t="s">
        <v>288</v>
      </c>
      <c r="J103" s="634"/>
      <c r="K103" s="965">
        <f>K$47+K$72+K87+K$101</f>
        <v>10.61759350998283</v>
      </c>
      <c r="L103" s="634" t="s">
        <v>288</v>
      </c>
      <c r="M103" s="634"/>
      <c r="N103" s="965">
        <f>N$47+N$72+N87+N$101</f>
        <v>18.181803670535832</v>
      </c>
      <c r="O103" s="634" t="s">
        <v>288</v>
      </c>
      <c r="P103" s="634"/>
      <c r="Q103" s="965" t="e">
        <f>Q$47+Q$72+Q87+Q$101</f>
        <v>#VALUE!</v>
      </c>
      <c r="R103" s="634" t="s">
        <v>288</v>
      </c>
      <c r="S103" s="634"/>
      <c r="T103" s="965" t="e">
        <f>T$47+T$72+T87+T$101</f>
        <v>#VALUE!</v>
      </c>
      <c r="U103" s="634" t="s">
        <v>288</v>
      </c>
      <c r="V103" s="634"/>
      <c r="W103" s="965" t="e">
        <f>W$47+W$72+W87+W$101</f>
        <v>#VALUE!</v>
      </c>
      <c r="X103" s="642"/>
      <c r="Y103" s="78" t="s">
        <v>33</v>
      </c>
    </row>
    <row r="104" spans="2:25" x14ac:dyDescent="0.2">
      <c r="C104" s="78"/>
      <c r="D104" s="72" t="str">
        <f>CONCATENATE(IF(Deutsch,'Quick Input'!C31,'Quick Input'!D31)," (per lot)")</f>
        <v>Materialprüfzertifikat (per lot)</v>
      </c>
      <c r="E104" s="73"/>
      <c r="F104" s="75"/>
      <c r="G104" s="626"/>
      <c r="H104" s="74">
        <f>Parametrikber!F$192</f>
        <v>0</v>
      </c>
      <c r="I104" s="634" t="s">
        <v>288</v>
      </c>
      <c r="J104" s="634"/>
      <c r="K104" s="74">
        <f>Parametrikber!I$192</f>
        <v>0</v>
      </c>
      <c r="L104" s="634" t="s">
        <v>288</v>
      </c>
      <c r="M104" s="634"/>
      <c r="N104" s="74">
        <f>Parametrikber!L$192</f>
        <v>0</v>
      </c>
      <c r="O104" s="634" t="s">
        <v>288</v>
      </c>
      <c r="P104" s="634"/>
      <c r="Q104" s="74">
        <f>Parametrikber!O$192</f>
        <v>0</v>
      </c>
      <c r="R104" s="634" t="s">
        <v>288</v>
      </c>
      <c r="S104" s="634"/>
      <c r="T104" s="74">
        <f>Parametrikber!R$192</f>
        <v>0</v>
      </c>
      <c r="U104" s="634" t="s">
        <v>288</v>
      </c>
      <c r="V104" s="634"/>
      <c r="W104" s="74">
        <f>Parametrikber!U$192</f>
        <v>0</v>
      </c>
      <c r="X104" s="642"/>
      <c r="Y104" s="78"/>
    </row>
    <row r="105" spans="2:25" ht="14.25" customHeight="1" x14ac:dyDescent="0.2">
      <c r="B105" s="55" t="s">
        <v>127</v>
      </c>
      <c r="C105" s="78"/>
      <c r="D105" s="238" t="str">
        <f>'Quick Input'!I79</f>
        <v>Fertigungsgemeinkosten</v>
      </c>
      <c r="E105" s="73"/>
      <c r="F105" s="75"/>
      <c r="G105" s="626"/>
      <c r="H105" s="119">
        <v>0.1</v>
      </c>
      <c r="I105" s="635"/>
      <c r="J105" s="635"/>
      <c r="K105" s="119">
        <v>0.1</v>
      </c>
      <c r="L105" s="361"/>
      <c r="M105" s="361"/>
      <c r="N105" s="119">
        <v>0.1</v>
      </c>
      <c r="O105" s="361"/>
      <c r="P105" s="361"/>
      <c r="Q105" s="119">
        <v>0</v>
      </c>
      <c r="R105" s="361"/>
      <c r="S105" s="361"/>
      <c r="T105" s="119">
        <v>0</v>
      </c>
      <c r="U105" s="361"/>
      <c r="V105" s="361"/>
      <c r="W105" s="119">
        <v>0</v>
      </c>
      <c r="X105" s="642"/>
      <c r="Y105" s="78" t="s">
        <v>33</v>
      </c>
    </row>
    <row r="106" spans="2:25" x14ac:dyDescent="0.2">
      <c r="C106" s="78"/>
      <c r="D106" s="238" t="str">
        <f>IF(Deutsch,'Quick Input'!C79,'Quick Input'!D79)</f>
        <v>Fertigungsgemeinkosten</v>
      </c>
      <c r="E106" s="73"/>
      <c r="F106" s="75"/>
      <c r="G106" s="626"/>
      <c r="H106" s="74">
        <f>H$105*H$103</f>
        <v>6.6003581174629051</v>
      </c>
      <c r="I106" s="634" t="s">
        <v>288</v>
      </c>
      <c r="J106" s="634"/>
      <c r="K106" s="74">
        <f>K$105*K$103</f>
        <v>1.061759350998283</v>
      </c>
      <c r="L106" s="78" t="s">
        <v>288</v>
      </c>
      <c r="M106" s="78"/>
      <c r="N106" s="74">
        <f>N$105*N$103</f>
        <v>1.8181803670535832</v>
      </c>
      <c r="O106" s="78" t="s">
        <v>288</v>
      </c>
      <c r="P106" s="78"/>
      <c r="Q106" s="74" t="e">
        <f>Q$105*Q$103</f>
        <v>#VALUE!</v>
      </c>
      <c r="R106" s="78" t="s">
        <v>288</v>
      </c>
      <c r="S106" s="78"/>
      <c r="T106" s="74" t="e">
        <f>T$105*T$103</f>
        <v>#VALUE!</v>
      </c>
      <c r="U106" s="78" t="s">
        <v>288</v>
      </c>
      <c r="V106" s="78"/>
      <c r="W106" s="74" t="e">
        <f>W$105*W$103</f>
        <v>#VALUE!</v>
      </c>
      <c r="X106" s="642"/>
      <c r="Y106" s="78" t="s">
        <v>33</v>
      </c>
    </row>
    <row r="107" spans="2:25" ht="15" customHeight="1" x14ac:dyDescent="0.2">
      <c r="C107" s="78"/>
      <c r="D107" s="116" t="str">
        <f>IF(Deutsch,"Fertigungskosten gesamt","manufacturing cost total")</f>
        <v>Fertigungskosten gesamt</v>
      </c>
      <c r="E107" s="73"/>
      <c r="F107" s="75"/>
      <c r="G107" s="626"/>
      <c r="H107" s="113">
        <f>H$103+H$104/H$61+H$106</f>
        <v>72.603939292091951</v>
      </c>
      <c r="I107" s="634" t="s">
        <v>288</v>
      </c>
      <c r="J107" s="634"/>
      <c r="K107" s="113">
        <f>K$103+K$104/K$61+K$106</f>
        <v>11.679352860981114</v>
      </c>
      <c r="L107" s="634" t="s">
        <v>288</v>
      </c>
      <c r="M107" s="634"/>
      <c r="N107" s="113">
        <f>N$103+N$104/N$61+N$106</f>
        <v>19.999984037589414</v>
      </c>
      <c r="O107" s="634" t="s">
        <v>288</v>
      </c>
      <c r="P107" s="634"/>
      <c r="Q107" s="113" t="e">
        <f>Q$103+Q$104/Q$61+Q$106</f>
        <v>#VALUE!</v>
      </c>
      <c r="R107" s="634" t="s">
        <v>288</v>
      </c>
      <c r="S107" s="634"/>
      <c r="T107" s="113" t="e">
        <f>T$103+T$104/T$61+T$106</f>
        <v>#VALUE!</v>
      </c>
      <c r="U107" s="634" t="s">
        <v>288</v>
      </c>
      <c r="V107" s="634"/>
      <c r="W107" s="113" t="e">
        <f>W$103+W$104/W$61+W$106</f>
        <v>#VALUE!</v>
      </c>
      <c r="X107" s="642"/>
      <c r="Y107" s="78" t="s">
        <v>33</v>
      </c>
    </row>
    <row r="108" spans="2:25" ht="4.5" customHeight="1" thickBot="1" x14ac:dyDescent="0.25">
      <c r="C108" s="87"/>
      <c r="D108" s="88"/>
      <c r="E108" s="87"/>
      <c r="F108" s="89"/>
      <c r="G108" s="626"/>
      <c r="H108" s="91"/>
      <c r="I108" s="634" t="s">
        <v>288</v>
      </c>
      <c r="J108" s="634"/>
      <c r="K108" s="91"/>
      <c r="L108" s="78" t="s">
        <v>288</v>
      </c>
      <c r="M108" s="78"/>
      <c r="N108" s="91"/>
      <c r="O108" s="78" t="s">
        <v>288</v>
      </c>
      <c r="P108" s="78"/>
      <c r="Q108" s="91"/>
      <c r="R108" s="78" t="s">
        <v>288</v>
      </c>
      <c r="S108" s="78"/>
      <c r="T108" s="91"/>
      <c r="U108" s="78" t="s">
        <v>288</v>
      </c>
      <c r="V108" s="78"/>
      <c r="W108" s="91"/>
      <c r="X108" s="644"/>
      <c r="Y108" s="78" t="s">
        <v>33</v>
      </c>
    </row>
    <row r="109" spans="2:25" ht="7.5" customHeight="1" x14ac:dyDescent="0.2">
      <c r="D109" s="1234" t="str">
        <f>IF(Deutsch,"Gemeinkosten &amp; Gewinn","common cost &amp; profit")</f>
        <v>Gemeinkosten &amp; Gewinn</v>
      </c>
      <c r="E109" s="1235"/>
      <c r="F109" s="1236"/>
      <c r="G109" s="626"/>
      <c r="H109" s="79"/>
      <c r="I109" s="634" t="s">
        <v>288</v>
      </c>
      <c r="J109" s="634"/>
      <c r="K109" s="79"/>
      <c r="L109" s="78" t="s">
        <v>288</v>
      </c>
      <c r="M109" s="78"/>
      <c r="N109" s="79"/>
      <c r="O109" s="78" t="s">
        <v>288</v>
      </c>
      <c r="P109" s="78"/>
      <c r="Q109" s="79"/>
      <c r="R109" s="78" t="s">
        <v>288</v>
      </c>
      <c r="S109" s="78"/>
      <c r="T109" s="79"/>
      <c r="U109" s="78" t="s">
        <v>288</v>
      </c>
      <c r="V109" s="78"/>
      <c r="W109" s="79"/>
      <c r="X109" s="642"/>
      <c r="Y109" s="78" t="s">
        <v>33</v>
      </c>
    </row>
    <row r="110" spans="2:25" x14ac:dyDescent="0.2">
      <c r="D110" s="1237"/>
      <c r="E110" s="1238"/>
      <c r="F110" s="1239"/>
      <c r="G110" s="626"/>
      <c r="H110" s="74">
        <f>H$26+H$107</f>
        <v>88.392464848803428</v>
      </c>
      <c r="I110" s="634" t="s">
        <v>288</v>
      </c>
      <c r="J110" s="634"/>
      <c r="K110" s="85">
        <f>K$26+K$107</f>
        <v>24.351514386521856</v>
      </c>
      <c r="L110" s="634" t="s">
        <v>288</v>
      </c>
      <c r="M110" s="634"/>
      <c r="N110" s="85">
        <f>N$26+N$107</f>
        <v>32.672145563130158</v>
      </c>
      <c r="O110" s="634" t="s">
        <v>288</v>
      </c>
      <c r="P110" s="634"/>
      <c r="Q110" s="85" t="e">
        <f>Q$26+Q$107</f>
        <v>#VALUE!</v>
      </c>
      <c r="R110" s="634" t="s">
        <v>288</v>
      </c>
      <c r="S110" s="634"/>
      <c r="T110" s="85" t="e">
        <f>T$26+T$107</f>
        <v>#VALUE!</v>
      </c>
      <c r="U110" s="634" t="s">
        <v>288</v>
      </c>
      <c r="V110" s="634"/>
      <c r="W110" s="85" t="e">
        <f>W$26+W$107</f>
        <v>#VALUE!</v>
      </c>
      <c r="X110" s="642"/>
      <c r="Y110" s="78" t="s">
        <v>33</v>
      </c>
    </row>
    <row r="111" spans="2:25" x14ac:dyDescent="0.2">
      <c r="B111" s="55" t="s">
        <v>127</v>
      </c>
      <c r="D111" s="72" t="str">
        <f>IF(Deutsch,"Vertriebs- und Verw.-gemeinkostensatz","administration cost rate")</f>
        <v>Vertriebs- und Verw.-gemeinkostensatz</v>
      </c>
      <c r="E111" s="67"/>
      <c r="F111" s="75"/>
      <c r="G111" s="626"/>
      <c r="H111" s="119">
        <v>0.12</v>
      </c>
      <c r="I111" s="635"/>
      <c r="J111" s="635"/>
      <c r="K111" s="119">
        <v>0.12</v>
      </c>
      <c r="L111" s="361"/>
      <c r="M111" s="361"/>
      <c r="N111" s="119">
        <v>0.12</v>
      </c>
      <c r="O111" s="361"/>
      <c r="P111" s="361"/>
      <c r="Q111" s="119">
        <v>0.12</v>
      </c>
      <c r="R111" s="361"/>
      <c r="S111" s="361"/>
      <c r="T111" s="119">
        <v>0.12</v>
      </c>
      <c r="U111" s="361"/>
      <c r="V111" s="361"/>
      <c r="W111" s="119">
        <v>0.12</v>
      </c>
      <c r="X111" s="642"/>
      <c r="Y111" s="78" t="s">
        <v>33</v>
      </c>
    </row>
    <row r="112" spans="2:25" x14ac:dyDescent="0.2">
      <c r="D112" s="72" t="str">
        <f>IF(Deutsch,"Vertriebs- und Verw.-gemeinkosten","administration costs")</f>
        <v>Vertriebs- und Verw.-gemeinkosten</v>
      </c>
      <c r="E112" s="67"/>
      <c r="F112" s="75"/>
      <c r="G112" s="626"/>
      <c r="H112" s="74">
        <f>H$110*H111</f>
        <v>10.607095781856412</v>
      </c>
      <c r="I112" s="634" t="s">
        <v>288</v>
      </c>
      <c r="J112" s="634"/>
      <c r="K112" s="74">
        <f>K$110*K111</f>
        <v>2.9221817263826226</v>
      </c>
      <c r="L112" s="634" t="s">
        <v>288</v>
      </c>
      <c r="M112" s="634"/>
      <c r="N112" s="74">
        <f t="shared" ref="N112" si="37">N$110*N111</f>
        <v>3.9206574675756189</v>
      </c>
      <c r="O112" s="634" t="s">
        <v>288</v>
      </c>
      <c r="P112" s="634"/>
      <c r="Q112" s="74" t="e">
        <f t="shared" ref="Q112" si="38">Q$110*Q111</f>
        <v>#VALUE!</v>
      </c>
      <c r="R112" s="634" t="s">
        <v>288</v>
      </c>
      <c r="S112" s="634"/>
      <c r="T112" s="74" t="e">
        <f t="shared" ref="T112" si="39">T$110*T111</f>
        <v>#VALUE!</v>
      </c>
      <c r="U112" s="634" t="s">
        <v>288</v>
      </c>
      <c r="V112" s="634"/>
      <c r="W112" s="74" t="e">
        <f t="shared" ref="W112" si="40">W$110*W111</f>
        <v>#VALUE!</v>
      </c>
      <c r="X112" s="642"/>
      <c r="Y112" s="78" t="s">
        <v>33</v>
      </c>
    </row>
    <row r="113" spans="2:25" x14ac:dyDescent="0.2">
      <c r="D113" s="72" t="str">
        <f>CONCATENATE(IF(Deutsch,"F&amp;E- Kosten (","design and development cost ("),'Länder-DB'!I35*100,"%)")</f>
        <v>F&amp;E- Kosten (8%)</v>
      </c>
      <c r="E113" s="67"/>
      <c r="F113" s="75"/>
      <c r="G113" s="626"/>
      <c r="H113" s="74">
        <f>H$107*'Länder-DB'!$I$35</f>
        <v>5.8083151433673565</v>
      </c>
      <c r="I113" s="634" t="s">
        <v>288</v>
      </c>
      <c r="J113" s="634"/>
      <c r="K113" s="74">
        <f>K$107*'Länder-DB'!$I$35</f>
        <v>0.93434822887848912</v>
      </c>
      <c r="L113" s="78" t="s">
        <v>288</v>
      </c>
      <c r="M113" s="78"/>
      <c r="N113" s="74">
        <f>N$107*'Länder-DB'!$I$35</f>
        <v>1.5999987230071531</v>
      </c>
      <c r="O113" s="78" t="s">
        <v>288</v>
      </c>
      <c r="P113" s="78"/>
      <c r="Q113" s="74" t="e">
        <f>Q$107*'Länder-DB'!$I$35</f>
        <v>#VALUE!</v>
      </c>
      <c r="R113" s="78" t="s">
        <v>288</v>
      </c>
      <c r="S113" s="78"/>
      <c r="T113" s="74" t="e">
        <f>T$107*'Länder-DB'!$I$35</f>
        <v>#VALUE!</v>
      </c>
      <c r="U113" s="78" t="s">
        <v>288</v>
      </c>
      <c r="V113" s="78"/>
      <c r="W113" s="74" t="e">
        <f>W$107*'Länder-DB'!$I$35</f>
        <v>#VALUE!</v>
      </c>
      <c r="X113" s="642"/>
      <c r="Y113" s="78" t="s">
        <v>33</v>
      </c>
    </row>
    <row r="114" spans="2:25" x14ac:dyDescent="0.2">
      <c r="D114" s="82" t="str">
        <f>IF(Deutsch,"Gesamtgemeinkosten","administration cost total")</f>
        <v>Gesamtgemeinkosten</v>
      </c>
      <c r="E114" s="67"/>
      <c r="F114" s="75"/>
      <c r="G114" s="626"/>
      <c r="H114" s="1070">
        <f>H$112+H$113</f>
        <v>16.415410925223767</v>
      </c>
      <c r="I114" s="634" t="s">
        <v>288</v>
      </c>
      <c r="J114" s="634"/>
      <c r="K114" s="1070">
        <f>K$112+K$113</f>
        <v>3.8565299552611116</v>
      </c>
      <c r="L114" s="634" t="s">
        <v>288</v>
      </c>
      <c r="M114" s="634"/>
      <c r="N114" s="1070">
        <f t="shared" ref="N114" si="41">N$112+N$113</f>
        <v>5.5206561905827716</v>
      </c>
      <c r="O114" s="634" t="s">
        <v>288</v>
      </c>
      <c r="P114" s="634"/>
      <c r="Q114" s="1070" t="e">
        <f t="shared" ref="Q114" si="42">Q$112+Q$113</f>
        <v>#VALUE!</v>
      </c>
      <c r="R114" s="634" t="s">
        <v>288</v>
      </c>
      <c r="S114" s="634"/>
      <c r="T114" s="1070" t="e">
        <f t="shared" ref="T114" si="43">T$112+T$113</f>
        <v>#VALUE!</v>
      </c>
      <c r="U114" s="634" t="s">
        <v>288</v>
      </c>
      <c r="V114" s="634"/>
      <c r="W114" s="1070" t="e">
        <f t="shared" ref="W114" si="44">W$112+W$113</f>
        <v>#VALUE!</v>
      </c>
      <c r="X114" s="642"/>
      <c r="Y114" s="78" t="s">
        <v>33</v>
      </c>
    </row>
    <row r="115" spans="2:25" x14ac:dyDescent="0.2">
      <c r="B115" s="55" t="s">
        <v>127</v>
      </c>
      <c r="D115" s="72" t="str">
        <f>'Quick Input'!I81</f>
        <v>Gewinn auf Material</v>
      </c>
      <c r="E115" s="67"/>
      <c r="F115" s="75"/>
      <c r="G115" s="626"/>
      <c r="H115" s="119">
        <v>0</v>
      </c>
      <c r="I115" s="635"/>
      <c r="J115" s="635"/>
      <c r="K115" s="119">
        <v>0</v>
      </c>
      <c r="L115" s="635"/>
      <c r="M115" s="635"/>
      <c r="N115" s="119">
        <v>0</v>
      </c>
      <c r="O115" s="635"/>
      <c r="P115" s="635"/>
      <c r="Q115" s="119">
        <v>0</v>
      </c>
      <c r="R115" s="635"/>
      <c r="S115" s="635"/>
      <c r="T115" s="119">
        <v>0</v>
      </c>
      <c r="U115" s="635"/>
      <c r="V115" s="635"/>
      <c r="W115" s="119">
        <v>0</v>
      </c>
      <c r="X115" s="642"/>
      <c r="Y115" s="78" t="s">
        <v>33</v>
      </c>
    </row>
    <row r="116" spans="2:25" x14ac:dyDescent="0.2">
      <c r="B116" s="55" t="s">
        <v>127</v>
      </c>
      <c r="D116" s="72" t="str">
        <f>'Quick Input'!I82</f>
        <v>Gewinn auf Wertschöpfung</v>
      </c>
      <c r="E116" s="67"/>
      <c r="F116" s="75"/>
      <c r="G116" s="626"/>
      <c r="H116" s="119">
        <v>0</v>
      </c>
      <c r="I116" s="635"/>
      <c r="J116" s="635"/>
      <c r="K116" s="119">
        <v>0</v>
      </c>
      <c r="L116" s="635"/>
      <c r="M116" s="635"/>
      <c r="N116" s="119">
        <v>0</v>
      </c>
      <c r="O116" s="635"/>
      <c r="P116" s="635"/>
      <c r="Q116" s="119">
        <v>0</v>
      </c>
      <c r="R116" s="635"/>
      <c r="S116" s="635"/>
      <c r="T116" s="119">
        <v>0</v>
      </c>
      <c r="U116" s="635"/>
      <c r="V116" s="635"/>
      <c r="W116" s="119">
        <v>0</v>
      </c>
      <c r="X116" s="642"/>
      <c r="Y116" s="78" t="s">
        <v>33</v>
      </c>
    </row>
    <row r="117" spans="2:25" x14ac:dyDescent="0.2">
      <c r="D117" s="82" t="str">
        <f>IF(Deutsch,"Gesamtgewinn","profit total")</f>
        <v>Gesamtgewinn</v>
      </c>
      <c r="E117" s="67"/>
      <c r="F117" s="75"/>
      <c r="G117" s="626"/>
      <c r="H117" s="1069">
        <f>H$115*H$26+H$116*H$103</f>
        <v>0</v>
      </c>
      <c r="I117" s="634" t="s">
        <v>288</v>
      </c>
      <c r="J117" s="634"/>
      <c r="K117" s="1069">
        <f>K$115*K$26+K$116*K$103</f>
        <v>0</v>
      </c>
      <c r="L117" s="634" t="s">
        <v>288</v>
      </c>
      <c r="M117" s="634"/>
      <c r="N117" s="1069">
        <f>N$115*N$26+N$116*N$103</f>
        <v>0</v>
      </c>
      <c r="O117" s="634" t="s">
        <v>288</v>
      </c>
      <c r="P117" s="634"/>
      <c r="Q117" s="1069" t="e">
        <f>Q$115*Q$26+Q$116*Q$103</f>
        <v>#VALUE!</v>
      </c>
      <c r="R117" s="634" t="s">
        <v>288</v>
      </c>
      <c r="S117" s="634"/>
      <c r="T117" s="1069" t="e">
        <f>T$115*T$26+T$116*T$103</f>
        <v>#VALUE!</v>
      </c>
      <c r="U117" s="634" t="s">
        <v>288</v>
      </c>
      <c r="V117" s="634"/>
      <c r="W117" s="1069" t="e">
        <f>W$115*W$26+W$116*W$103</f>
        <v>#VALUE!</v>
      </c>
      <c r="X117" s="642"/>
      <c r="Y117" s="78" t="s">
        <v>33</v>
      </c>
    </row>
    <row r="118" spans="2:25" ht="6" customHeight="1" x14ac:dyDescent="0.2">
      <c r="D118" s="72"/>
      <c r="E118" s="67"/>
      <c r="F118" s="75"/>
      <c r="G118" s="626"/>
      <c r="H118" s="86"/>
      <c r="I118" s="634" t="s">
        <v>288</v>
      </c>
      <c r="J118" s="634"/>
      <c r="K118" s="86"/>
      <c r="L118" s="78" t="s">
        <v>288</v>
      </c>
      <c r="M118" s="78"/>
      <c r="N118" s="86"/>
      <c r="O118" s="78" t="s">
        <v>288</v>
      </c>
      <c r="P118" s="78"/>
      <c r="Q118" s="86"/>
      <c r="R118" s="78" t="s">
        <v>288</v>
      </c>
      <c r="S118" s="78"/>
      <c r="T118" s="86"/>
      <c r="U118" s="78" t="s">
        <v>288</v>
      </c>
      <c r="V118" s="78"/>
      <c r="W118" s="86"/>
      <c r="X118" s="642"/>
      <c r="Y118" s="78" t="s">
        <v>33</v>
      </c>
    </row>
    <row r="119" spans="2:25" x14ac:dyDescent="0.2">
      <c r="D119" s="808" t="str">
        <f>IF(Deutsch,"Bauteilpreis gesamt","part cost total")</f>
        <v>Bauteilpreis gesamt</v>
      </c>
      <c r="E119" s="67"/>
      <c r="F119" s="75"/>
      <c r="G119" s="626"/>
      <c r="H119" s="1071">
        <f>H$110+H$114+H$117</f>
        <v>104.8078757740272</v>
      </c>
      <c r="I119" s="634" t="s">
        <v>288</v>
      </c>
      <c r="J119" s="634"/>
      <c r="K119" s="1071">
        <f>K$110+K$114+K$117</f>
        <v>28.208044341782969</v>
      </c>
      <c r="L119" s="634" t="s">
        <v>288</v>
      </c>
      <c r="M119" s="634"/>
      <c r="N119" s="1071">
        <f>N$110+N$114+N$117</f>
        <v>38.192801753712928</v>
      </c>
      <c r="O119" s="634" t="s">
        <v>288</v>
      </c>
      <c r="P119" s="634"/>
      <c r="Q119" s="1071" t="e">
        <f>Q$110+Q$114+Q$117</f>
        <v>#VALUE!</v>
      </c>
      <c r="R119" s="634" t="s">
        <v>288</v>
      </c>
      <c r="S119" s="634"/>
      <c r="T119" s="1071" t="e">
        <f>T$110+T$114+T$117</f>
        <v>#VALUE!</v>
      </c>
      <c r="U119" s="634" t="s">
        <v>288</v>
      </c>
      <c r="V119" s="634"/>
      <c r="W119" s="1071" t="e">
        <f>W$110+W$114+W$117</f>
        <v>#VALUE!</v>
      </c>
      <c r="X119" s="642"/>
      <c r="Y119" s="78" t="s">
        <v>33</v>
      </c>
    </row>
    <row r="120" spans="2:25" ht="6" customHeight="1" thickBot="1" x14ac:dyDescent="0.25">
      <c r="D120" s="82"/>
      <c r="E120" s="67"/>
      <c r="F120" s="75"/>
      <c r="G120" s="626"/>
      <c r="H120" s="92"/>
      <c r="I120" s="634" t="s">
        <v>288</v>
      </c>
      <c r="J120" s="634"/>
      <c r="K120" s="92"/>
      <c r="L120" s="78" t="s">
        <v>288</v>
      </c>
      <c r="M120" s="78"/>
      <c r="N120" s="92"/>
      <c r="O120" s="78" t="s">
        <v>288</v>
      </c>
      <c r="P120" s="78"/>
      <c r="Q120" s="92"/>
      <c r="R120" s="78" t="s">
        <v>288</v>
      </c>
      <c r="S120" s="78"/>
      <c r="T120" s="92"/>
      <c r="U120" s="78" t="s">
        <v>288</v>
      </c>
      <c r="V120" s="78"/>
      <c r="W120" s="92"/>
      <c r="X120" s="642"/>
      <c r="Y120" s="78" t="s">
        <v>33</v>
      </c>
    </row>
    <row r="121" spans="2:25" ht="14.25" customHeight="1" x14ac:dyDescent="0.2">
      <c r="D121" s="1234" t="str">
        <f>IF(Deutsch,"Potenziabschätzung","estimation potential")</f>
        <v>Potenziabschätzung</v>
      </c>
      <c r="E121" s="1235"/>
      <c r="F121" s="1236"/>
      <c r="G121" s="626"/>
      <c r="H121" s="286" t="e">
        <f>IF(H50=Parametrikber!F126,IF(H51=#REF!,TRUE,FALSE),FALSE)</f>
        <v>#REF!</v>
      </c>
      <c r="I121" s="634" t="s">
        <v>288</v>
      </c>
      <c r="J121" s="634"/>
      <c r="K121" s="286" t="e">
        <f>IF(K50=Parametrikber!I126,IF(K51=#REF!,TRUE,FALSE),FALSE)</f>
        <v>#REF!</v>
      </c>
      <c r="L121" s="78" t="s">
        <v>288</v>
      </c>
      <c r="M121" s="364"/>
      <c r="N121" s="286" t="e">
        <f>IF(N50=Parametrikber!L126,IF(N51=#REF!,TRUE,FALSE),FALSE)</f>
        <v>#REF!</v>
      </c>
      <c r="O121" s="78" t="s">
        <v>288</v>
      </c>
      <c r="P121" s="364"/>
      <c r="Q121" s="286" t="e">
        <f>IF(Q50=Parametrikber!O126,IF(Q51=#REF!,TRUE,FALSE),FALSE)</f>
        <v>#VALUE!</v>
      </c>
      <c r="R121" s="78" t="s">
        <v>288</v>
      </c>
      <c r="S121" s="364"/>
      <c r="T121" s="286" t="e">
        <f>IF(T50=Parametrikber!R126,IF(T51=#REF!,TRUE,FALSE),FALSE)</f>
        <v>#VALUE!</v>
      </c>
      <c r="U121" s="78" t="s">
        <v>288</v>
      </c>
      <c r="V121" s="364"/>
      <c r="W121" s="286" t="e">
        <f>IF(W50=Parametrikber!U126,IF(W51=#REF!,TRUE,FALSE),FALSE)</f>
        <v>#VALUE!</v>
      </c>
      <c r="X121" s="641"/>
      <c r="Y121" s="78" t="s">
        <v>33</v>
      </c>
    </row>
    <row r="122" spans="2:25" x14ac:dyDescent="0.2">
      <c r="D122" s="1237"/>
      <c r="E122" s="1238"/>
      <c r="F122" s="1239"/>
      <c r="G122" s="626"/>
      <c r="H122" s="143"/>
      <c r="I122" s="634" t="s">
        <v>288</v>
      </c>
      <c r="J122" s="638"/>
      <c r="K122" s="143"/>
      <c r="L122" s="78" t="s">
        <v>288</v>
      </c>
      <c r="M122" s="144"/>
      <c r="N122" s="143"/>
      <c r="O122" s="78" t="s">
        <v>288</v>
      </c>
      <c r="P122" s="144"/>
      <c r="Q122" s="143"/>
      <c r="R122" s="78" t="s">
        <v>288</v>
      </c>
      <c r="S122" s="144"/>
      <c r="T122" s="143"/>
      <c r="U122" s="78" t="s">
        <v>288</v>
      </c>
      <c r="V122" s="144"/>
      <c r="W122" s="143"/>
      <c r="X122" s="642"/>
      <c r="Y122" s="78" t="s">
        <v>33</v>
      </c>
    </row>
    <row r="123" spans="2:25" x14ac:dyDescent="0.2">
      <c r="B123" s="55" t="s">
        <v>127</v>
      </c>
      <c r="D123" s="72" t="str">
        <f>'Quick Input'!I51</f>
        <v>Zielpreis Bauteil</v>
      </c>
      <c r="E123" s="73"/>
      <c r="F123" s="75"/>
      <c r="G123" s="626"/>
      <c r="H123" s="85">
        <f>AVERAGE('Quick Input'!M$52:M$56)</f>
        <v>55</v>
      </c>
      <c r="I123" s="634" t="s">
        <v>288</v>
      </c>
      <c r="J123" s="638"/>
      <c r="K123" s="85">
        <f>AVERAGE('Quick Input'!P52:P56)</f>
        <v>55</v>
      </c>
      <c r="L123" s="78" t="s">
        <v>288</v>
      </c>
      <c r="M123" s="365"/>
      <c r="N123" s="85">
        <f>AVERAGE('Quick Input'!S52:S56)</f>
        <v>55</v>
      </c>
      <c r="O123" s="78" t="s">
        <v>288</v>
      </c>
      <c r="P123" s="365"/>
      <c r="Q123" s="85" t="e">
        <f>AVERAGE('Quick Input'!V52:V56)</f>
        <v>#DIV/0!</v>
      </c>
      <c r="R123" s="78" t="s">
        <v>288</v>
      </c>
      <c r="S123" s="365"/>
      <c r="T123" s="85" t="e">
        <f>AVERAGE('Quick Input'!Y52:Y56)</f>
        <v>#DIV/0!</v>
      </c>
      <c r="U123" s="78" t="s">
        <v>288</v>
      </c>
      <c r="V123" s="365"/>
      <c r="W123" s="85" t="e">
        <f>AVERAGE('Quick Input'!AB52:AB56)</f>
        <v>#DIV/0!</v>
      </c>
      <c r="X123" s="642"/>
      <c r="Y123" s="78" t="s">
        <v>33</v>
      </c>
    </row>
    <row r="124" spans="2:25" x14ac:dyDescent="0.2">
      <c r="D124" s="72" t="str">
        <f>IF(Deutsch,"Potenzial pro Bauteil","earning per part")</f>
        <v>Potenzial pro Bauteil</v>
      </c>
      <c r="E124" s="73"/>
      <c r="F124" s="75"/>
      <c r="G124" s="626"/>
      <c r="H124" s="85">
        <f>H$123-H$119</f>
        <v>-49.807875774027195</v>
      </c>
      <c r="I124" s="634" t="s">
        <v>288</v>
      </c>
      <c r="J124" s="634"/>
      <c r="K124" s="85">
        <f>K123-K119</f>
        <v>26.791955658217031</v>
      </c>
      <c r="L124" s="78" t="s">
        <v>288</v>
      </c>
      <c r="M124" s="78"/>
      <c r="N124" s="85">
        <f>N123-N119</f>
        <v>16.807198246287072</v>
      </c>
      <c r="O124" s="78" t="s">
        <v>288</v>
      </c>
      <c r="P124" s="78"/>
      <c r="Q124" s="85" t="e">
        <f>Q123-Q119</f>
        <v>#DIV/0!</v>
      </c>
      <c r="R124" s="78" t="s">
        <v>288</v>
      </c>
      <c r="S124" s="78"/>
      <c r="T124" s="85" t="e">
        <f>T123-T119</f>
        <v>#DIV/0!</v>
      </c>
      <c r="U124" s="78" t="s">
        <v>288</v>
      </c>
      <c r="V124" s="78"/>
      <c r="W124" s="85" t="e">
        <f>W123-W119</f>
        <v>#DIV/0!</v>
      </c>
      <c r="X124" s="642"/>
      <c r="Y124" s="78" t="s">
        <v>33</v>
      </c>
    </row>
    <row r="125" spans="2:25" x14ac:dyDescent="0.2">
      <c r="D125" s="72" t="str">
        <f>IF(Deutsch,"Potenzial über Lebenszyklus","earnig per live time")</f>
        <v>Potenzial über Lebenszyklus</v>
      </c>
      <c r="E125" s="73"/>
      <c r="F125" s="75"/>
      <c r="G125" s="626"/>
      <c r="H125" s="93">
        <f>IF(H$124&gt;0,H$124*'Quick Input'!M$44,0)</f>
        <v>0</v>
      </c>
      <c r="I125" s="634" t="s">
        <v>288</v>
      </c>
      <c r="J125" s="634"/>
      <c r="K125" s="93">
        <f>IF(K124&gt;0,K124*'Quick Input'!P44,0)</f>
        <v>803758.66974651092</v>
      </c>
      <c r="L125" s="78" t="s">
        <v>288</v>
      </c>
      <c r="M125" s="78"/>
      <c r="N125" s="93">
        <f>IF(N124&gt;0,N124*'Quick Input'!S44,0)</f>
        <v>504215.94738861214</v>
      </c>
      <c r="O125" s="78" t="s">
        <v>288</v>
      </c>
      <c r="P125" s="78"/>
      <c r="Q125" s="93" t="e">
        <f>IF(Q124&gt;0,Q124*'Quick Input'!V44,0)</f>
        <v>#DIV/0!</v>
      </c>
      <c r="R125" s="78" t="s">
        <v>288</v>
      </c>
      <c r="S125" s="78"/>
      <c r="T125" s="93" t="e">
        <f>IF(T124&gt;0,T124*'Quick Input'!Y44,0)</f>
        <v>#DIV/0!</v>
      </c>
      <c r="U125" s="78" t="s">
        <v>288</v>
      </c>
      <c r="V125" s="78"/>
      <c r="W125" s="93" t="e">
        <f>IF(W124&gt;0,W124*'Quick Input'!AB44,0)</f>
        <v>#DIV/0!</v>
      </c>
      <c r="X125" s="642"/>
      <c r="Y125" s="78" t="s">
        <v>33</v>
      </c>
    </row>
    <row r="126" spans="2:25" x14ac:dyDescent="0.2">
      <c r="D126" s="72" t="str">
        <f>IF(Deutsch,"Anzahl notwendiger Gieß-WKZ","tool sets")</f>
        <v>Anzahl notwendiger Gieß-WKZ</v>
      </c>
      <c r="E126" s="73"/>
      <c r="F126" s="75"/>
      <c r="G126" s="626"/>
      <c r="H126" s="140" t="str">
        <f>CONCATENATE(Parametrikber!F$259," x ",Parametrikber!F$258)</f>
        <v>2 x Alu</v>
      </c>
      <c r="I126" s="634" t="s">
        <v>288</v>
      </c>
      <c r="J126" s="634"/>
      <c r="K126" s="140" t="str">
        <f>CONCATENATE(Parametrikber!I$259," x ",Parametrikber!I$258)</f>
        <v>2 x Alu</v>
      </c>
      <c r="L126" s="78" t="s">
        <v>288</v>
      </c>
      <c r="M126" s="78"/>
      <c r="N126" s="140" t="str">
        <f>CONCATENATE(Parametrikber!L$259," x ",Parametrikber!L$258)</f>
        <v>2 x Alu</v>
      </c>
      <c r="O126" s="78" t="s">
        <v>288</v>
      </c>
      <c r="P126" s="78"/>
      <c r="Q126" s="140" t="e">
        <f>CONCATENATE(Parametrikber!O$259," x ",Parametrikber!O$258)</f>
        <v>#VALUE!</v>
      </c>
      <c r="R126" s="78" t="s">
        <v>288</v>
      </c>
      <c r="S126" s="78"/>
      <c r="T126" s="140" t="e">
        <f>CONCATENATE(Parametrikber!R$259," x ",Parametrikber!R$258)</f>
        <v>#VALUE!</v>
      </c>
      <c r="U126" s="78" t="s">
        <v>288</v>
      </c>
      <c r="V126" s="78"/>
      <c r="W126" s="140" t="e">
        <f>CONCATENATE(Parametrikber!U$259," x ",Parametrikber!U$258)</f>
        <v>#VALUE!</v>
      </c>
      <c r="X126" s="642"/>
      <c r="Y126" s="78"/>
    </row>
    <row r="127" spans="2:25" x14ac:dyDescent="0.2">
      <c r="D127" s="72" t="str">
        <f>IF(Deutsch,"Werkzeuginvest geschätzt","tool invest - calculated")</f>
        <v>Werkzeuginvest geschätzt</v>
      </c>
      <c r="E127" s="73"/>
      <c r="F127" s="75"/>
      <c r="G127" s="626"/>
      <c r="H127" s="93">
        <f>Parametrikber!F$263</f>
        <v>10100</v>
      </c>
      <c r="I127" s="634" t="s">
        <v>288</v>
      </c>
      <c r="J127" s="634"/>
      <c r="K127" s="93">
        <f>Parametrikber!I$263</f>
        <v>8500</v>
      </c>
      <c r="L127" s="634" t="s">
        <v>288</v>
      </c>
      <c r="M127" s="634"/>
      <c r="N127" s="93">
        <f>Parametrikber!L$263</f>
        <v>10100</v>
      </c>
      <c r="O127" s="634" t="s">
        <v>288</v>
      </c>
      <c r="P127" s="634"/>
      <c r="Q127" s="93" t="e">
        <f>Parametrikber!O$263</f>
        <v>#VALUE!</v>
      </c>
      <c r="R127" s="634" t="s">
        <v>288</v>
      </c>
      <c r="S127" s="634"/>
      <c r="T127" s="93" t="e">
        <f>Parametrikber!R$263</f>
        <v>#VALUE!</v>
      </c>
      <c r="U127" s="634" t="s">
        <v>288</v>
      </c>
      <c r="V127" s="634"/>
      <c r="W127" s="93" t="e">
        <f>Parametrikber!U$263</f>
        <v>#VALUE!</v>
      </c>
      <c r="X127" s="642"/>
      <c r="Y127" s="78"/>
    </row>
    <row r="128" spans="2:25" x14ac:dyDescent="0.2">
      <c r="D128" s="72" t="str">
        <f>IF(Deutsch,"Kernkasteninvest geschätzt","tool invest - calculated")</f>
        <v>Kernkasteninvest geschätzt</v>
      </c>
      <c r="E128" s="73"/>
      <c r="F128" s="75"/>
      <c r="G128" s="626"/>
      <c r="H128" s="93">
        <f>Parametrikber!F$268</f>
        <v>0</v>
      </c>
      <c r="I128" s="634" t="s">
        <v>288</v>
      </c>
      <c r="J128" s="634"/>
      <c r="K128" s="93">
        <f>Parametrikber!I$268</f>
        <v>0</v>
      </c>
      <c r="L128" s="634" t="s">
        <v>288</v>
      </c>
      <c r="M128" s="634"/>
      <c r="N128" s="93">
        <f>Parametrikber!L$268</f>
        <v>0</v>
      </c>
      <c r="O128" s="634" t="s">
        <v>288</v>
      </c>
      <c r="P128" s="634"/>
      <c r="Q128" s="93">
        <f>Parametrikber!O$268</f>
        <v>0</v>
      </c>
      <c r="R128" s="634" t="s">
        <v>288</v>
      </c>
      <c r="S128" s="634"/>
      <c r="T128" s="93">
        <f>Parametrikber!R$268</f>
        <v>0</v>
      </c>
      <c r="U128" s="634" t="s">
        <v>288</v>
      </c>
      <c r="V128" s="634"/>
      <c r="W128" s="93">
        <f>Parametrikber!U$268</f>
        <v>0</v>
      </c>
      <c r="X128" s="642"/>
      <c r="Y128" s="78"/>
    </row>
    <row r="129" spans="2:25" ht="15" thickBot="1" x14ac:dyDescent="0.25">
      <c r="D129" s="807" t="str">
        <f>IF(Deutsch,"Modellkosten Angebot","tool invest - supplier")</f>
        <v>Modellkosten Angebot</v>
      </c>
      <c r="E129" s="94"/>
      <c r="F129" s="89"/>
      <c r="G129" s="630"/>
      <c r="H129" s="366">
        <f>'Quick Input'!M57+'Quick Input'!M58</f>
        <v>10000</v>
      </c>
      <c r="I129" s="639" t="s">
        <v>288</v>
      </c>
      <c r="J129" s="640"/>
      <c r="K129" s="366">
        <f>'Quick Input'!P57+'Quick Input'!P58</f>
        <v>5600</v>
      </c>
      <c r="L129" s="639" t="s">
        <v>288</v>
      </c>
      <c r="M129" s="640"/>
      <c r="N129" s="366">
        <f>'Quick Input'!S57+'Quick Input'!S58</f>
        <v>7500</v>
      </c>
      <c r="O129" s="639" t="s">
        <v>288</v>
      </c>
      <c r="P129" s="640"/>
      <c r="Q129" s="366" t="e">
        <f>'Quick Input'!V57+'Quick Input'!V58</f>
        <v>#VALUE!</v>
      </c>
      <c r="R129" s="639" t="s">
        <v>288</v>
      </c>
      <c r="S129" s="640"/>
      <c r="T129" s="366" t="e">
        <f>'Quick Input'!Y57+'Quick Input'!Y58</f>
        <v>#VALUE!</v>
      </c>
      <c r="U129" s="639" t="s">
        <v>288</v>
      </c>
      <c r="V129" s="640"/>
      <c r="W129" s="366" t="e">
        <f>'Quick Input'!AB57+'Quick Input'!AB58</f>
        <v>#VALUE!</v>
      </c>
      <c r="X129" s="644"/>
      <c r="Y129" s="78" t="s">
        <v>33</v>
      </c>
    </row>
    <row r="130" spans="2:25" ht="9" customHeight="1" thickBot="1" x14ac:dyDescent="0.25">
      <c r="G130" s="276"/>
      <c r="Y130" s="55" t="s">
        <v>33</v>
      </c>
    </row>
    <row r="131" spans="2:25" ht="11.25" customHeight="1" x14ac:dyDescent="0.2">
      <c r="D131" s="1222" t="str">
        <f>IF(Deutsch,"Empfehlungen / Info"," suggestion, infos")</f>
        <v>Empfehlungen / Info</v>
      </c>
      <c r="E131" s="1223"/>
      <c r="F131" s="1224"/>
      <c r="G131" s="191"/>
    </row>
    <row r="132" spans="2:25" ht="9.75" customHeight="1" thickBot="1" x14ac:dyDescent="0.25">
      <c r="D132" s="1225"/>
      <c r="E132" s="1226"/>
      <c r="F132" s="1227"/>
      <c r="G132" s="191"/>
    </row>
    <row r="133" spans="2:25" ht="26.25" customHeight="1" x14ac:dyDescent="0.2">
      <c r="B133" s="55" t="s">
        <v>127</v>
      </c>
      <c r="D133" s="603" t="str">
        <f>IF(Deutsch,"Parameter","parameter")</f>
        <v>Parameter</v>
      </c>
      <c r="E133" s="600"/>
      <c r="F133" s="601"/>
      <c r="G133" s="631"/>
      <c r="H133" s="703" t="str">
        <f>VLOOKUP(1,Parametrikber!E$275:$X$291,IF(Deutsch,19,20),FALSE)</f>
        <v>Empfehlung Formverfahren</v>
      </c>
      <c r="I133" s="271" t="s">
        <v>288</v>
      </c>
      <c r="J133" s="602"/>
      <c r="K133" s="703" t="str">
        <f>VLOOKUP(1,Parametrikber!H$275:$X$291,IF(Deutsch,16,17),FALSE)</f>
        <v>Empfehlung Formverfahren</v>
      </c>
      <c r="L133" s="271" t="s">
        <v>288</v>
      </c>
      <c r="M133" s="602"/>
      <c r="N133" s="703" t="str">
        <f>VLOOKUP(1,Parametrikber!K$275:$X$291,IF(Deutsch,13,14),FALSE)</f>
        <v>Empfehlung Formverfahren</v>
      </c>
      <c r="O133" s="271" t="s">
        <v>288</v>
      </c>
      <c r="P133" s="602"/>
      <c r="Q133" s="703" t="str">
        <f>VLOOKUP(1,Parametrikber!N$275:$X$291,IF(Deutsch,10,11),FALSE)</f>
        <v xml:space="preserve"> </v>
      </c>
      <c r="R133" s="271" t="s">
        <v>288</v>
      </c>
      <c r="S133" s="602"/>
      <c r="T133" s="703" t="str">
        <f>VLOOKUP(1,Parametrikber!Q$275:$X$291,IF(Deutsch,7,8),FALSE)</f>
        <v xml:space="preserve"> </v>
      </c>
      <c r="U133" s="271" t="s">
        <v>288</v>
      </c>
      <c r="V133" s="602"/>
      <c r="W133" s="703" t="str">
        <f>VLOOKUP(1,Parametrikber!T$275:$X$291,IF(Deutsch,4,5),FALSE)</f>
        <v xml:space="preserve"> </v>
      </c>
      <c r="X133" s="360"/>
      <c r="Y133" s="78" t="s">
        <v>33</v>
      </c>
    </row>
    <row r="134" spans="2:25" ht="15" thickBot="1" x14ac:dyDescent="0.25">
      <c r="D134" s="142"/>
      <c r="E134" s="94"/>
      <c r="F134" s="89"/>
      <c r="G134" s="632"/>
      <c r="H134" s="724" t="str">
        <f>VLOOKUP(2,Parametrikber!E$275:$X$292,2,FALSE)</f>
        <v>automatisch</v>
      </c>
      <c r="I134" s="87" t="s">
        <v>288</v>
      </c>
      <c r="J134" s="87"/>
      <c r="K134" s="704" t="str">
        <f>VLOOKUP(2,Parametrikber!H$275:$X$292,2,FALSE)</f>
        <v>automatisch</v>
      </c>
      <c r="L134" s="87" t="s">
        <v>288</v>
      </c>
      <c r="M134" s="87"/>
      <c r="N134" s="704" t="str">
        <f>VLOOKUP(2,Parametrikber!K$275:$X$292,2,FALSE)</f>
        <v>automatisch</v>
      </c>
      <c r="O134" s="87" t="s">
        <v>288</v>
      </c>
      <c r="P134" s="87"/>
      <c r="Q134" s="704" t="str">
        <f>VLOOKUP(2,Parametrikber!N$275:$X$292,2,FALSE)</f>
        <v xml:space="preserve"> </v>
      </c>
      <c r="R134" s="87" t="s">
        <v>288</v>
      </c>
      <c r="S134" s="87"/>
      <c r="T134" s="704" t="str">
        <f>VLOOKUP(2,Parametrikber!Q$275:$X$292,2,FALSE)</f>
        <v xml:space="preserve"> </v>
      </c>
      <c r="U134" s="87" t="s">
        <v>288</v>
      </c>
      <c r="V134" s="87"/>
      <c r="W134" s="704" t="str">
        <f>VLOOKUP(2,Parametrikber!T$275:$X$292,2,FALSE)</f>
        <v xml:space="preserve"> </v>
      </c>
      <c r="X134" s="362"/>
      <c r="Y134" s="78" t="s">
        <v>33</v>
      </c>
    </row>
    <row r="135" spans="2:25" ht="25.5" customHeight="1" x14ac:dyDescent="0.2">
      <c r="D135" s="603" t="str">
        <f>IF(Deutsch,"Parameter","parameter")</f>
        <v>Parameter</v>
      </c>
      <c r="E135" s="600"/>
      <c r="F135" s="601"/>
      <c r="G135" s="631"/>
      <c r="H135" s="703" t="str">
        <f>VLOOKUP(3,Parametrikber!E$275:$X$291,IF(Deutsch,19,20),FALSE)</f>
        <v>Kastenausnutzung (Volumen)</v>
      </c>
      <c r="I135" s="271" t="s">
        <v>288</v>
      </c>
      <c r="J135" s="602"/>
      <c r="K135" s="703" t="str">
        <f>VLOOKUP(3,Parametrikber!H$275:$X$291,IF(Deutsch,16,17),FALSE)</f>
        <v>Kastenausnutzung (Volumen)</v>
      </c>
      <c r="L135" s="271" t="s">
        <v>288</v>
      </c>
      <c r="M135" s="602"/>
      <c r="N135" s="703" t="str">
        <f>VLOOKUP(3,Parametrikber!K$275:$X$291,IF(Deutsch,13,14),FALSE)</f>
        <v>Kastenausnutzung (Volumen)</v>
      </c>
      <c r="O135" s="271" t="s">
        <v>288</v>
      </c>
      <c r="P135" s="602"/>
      <c r="Q135" s="703" t="str">
        <f>VLOOKUP(3,Parametrikber!N$275:$X$291,IF(Deutsch,10,11),FALSE)</f>
        <v xml:space="preserve"> </v>
      </c>
      <c r="R135" s="271" t="s">
        <v>288</v>
      </c>
      <c r="S135" s="602"/>
      <c r="T135" s="703" t="str">
        <f>VLOOKUP(3,Parametrikber!Q$275:$X$291,IF(Deutsch,7,8),FALSE)</f>
        <v xml:space="preserve"> </v>
      </c>
      <c r="U135" s="271" t="s">
        <v>288</v>
      </c>
      <c r="V135" s="602"/>
      <c r="W135" s="703" t="str">
        <f>VLOOKUP(3,Parametrikber!T$275:$X$291,IF(Deutsch,4,5),FALSE)</f>
        <v xml:space="preserve"> </v>
      </c>
      <c r="X135" s="360"/>
      <c r="Y135" s="55" t="s">
        <v>33</v>
      </c>
    </row>
    <row r="136" spans="2:25" ht="15" thickBot="1" x14ac:dyDescent="0.25">
      <c r="D136" s="142"/>
      <c r="E136" s="94"/>
      <c r="F136" s="89"/>
      <c r="G136" s="632"/>
      <c r="H136" s="723" t="str">
        <f>VLOOKUP(4,Parametrikber!E$275:$X$292,2,FALSE)</f>
        <v>0%</v>
      </c>
      <c r="I136" s="87" t="s">
        <v>288</v>
      </c>
      <c r="J136" s="87"/>
      <c r="K136" s="723" t="str">
        <f>VLOOKUP(4,Parametrikber!H$275:$X$292,2,FALSE)</f>
        <v>1%</v>
      </c>
      <c r="L136" s="87" t="s">
        <v>288</v>
      </c>
      <c r="M136" s="87"/>
      <c r="N136" s="723" t="str">
        <f>VLOOKUP(4,Parametrikber!K$275:$X$292,2,FALSE)</f>
        <v>1%</v>
      </c>
      <c r="O136" s="87" t="s">
        <v>288</v>
      </c>
      <c r="P136" s="87"/>
      <c r="Q136" s="723" t="str">
        <f>VLOOKUP(4,Parametrikber!N$275:$X$292,2,FALSE)</f>
        <v xml:space="preserve"> </v>
      </c>
      <c r="R136" s="87" t="s">
        <v>288</v>
      </c>
      <c r="S136" s="87"/>
      <c r="T136" s="723" t="str">
        <f>VLOOKUP(4,Parametrikber!Q$275:$X$292,2,FALSE)</f>
        <v xml:space="preserve"> </v>
      </c>
      <c r="U136" s="87" t="s">
        <v>288</v>
      </c>
      <c r="V136" s="87"/>
      <c r="W136" s="723" t="str">
        <f>VLOOKUP(4,Parametrikber!T$275:$X$292,2,FALSE)</f>
        <v xml:space="preserve"> </v>
      </c>
      <c r="X136" s="362"/>
      <c r="Y136" s="55" t="s">
        <v>33</v>
      </c>
    </row>
    <row r="137" spans="2:25" ht="26.25" customHeight="1" x14ac:dyDescent="0.2">
      <c r="D137" s="603" t="str">
        <f>IF(Deutsch,"Parameter","parameter")</f>
        <v>Parameter</v>
      </c>
      <c r="E137" s="600"/>
      <c r="F137" s="601"/>
      <c r="G137" s="631"/>
      <c r="H137" s="703" t="str">
        <f>VLOOKUP(5,Parametrikber!E$275:$X$291,IF(Deutsch,19,20),FALSE)</f>
        <v>Anzahl Modelle &gt;1</v>
      </c>
      <c r="I137" s="271" t="s">
        <v>288</v>
      </c>
      <c r="J137" s="602"/>
      <c r="K137" s="703" t="str">
        <f>VLOOKUP(5,Parametrikber!H$275:$X$291,IF(Deutsch,16,17),FALSE)</f>
        <v>Anteil Rüstzeit zu Prod.-Zeit</v>
      </c>
      <c r="L137" s="271" t="s">
        <v>288</v>
      </c>
      <c r="M137" s="602"/>
      <c r="N137" s="703" t="str">
        <f>VLOOKUP(5,Parametrikber!K$275:$X$291,IF(Deutsch,13,14),FALSE)</f>
        <v>Anteil Rüstzeit zu Prod.-Zeit</v>
      </c>
      <c r="O137" s="271" t="s">
        <v>288</v>
      </c>
      <c r="P137" s="602"/>
      <c r="Q137" s="703" t="str">
        <f>VLOOKUP(5,Parametrikber!N$275:$X$291,IF(Deutsch,10,11),FALSE)</f>
        <v xml:space="preserve"> </v>
      </c>
      <c r="R137" s="271" t="s">
        <v>288</v>
      </c>
      <c r="S137" s="602"/>
      <c r="T137" s="703" t="str">
        <f>VLOOKUP(5,Parametrikber!Q$275:$X$291,IF(Deutsch,7,8),FALSE)</f>
        <v xml:space="preserve"> </v>
      </c>
      <c r="U137" s="271" t="s">
        <v>288</v>
      </c>
      <c r="V137" s="602"/>
      <c r="W137" s="703" t="str">
        <f>VLOOKUP(5,Parametrikber!T$275:$X$291,IF(Deutsch,4,5),FALSE)</f>
        <v xml:space="preserve"> </v>
      </c>
      <c r="X137" s="360"/>
      <c r="Y137" s="55" t="s">
        <v>33</v>
      </c>
    </row>
    <row r="138" spans="2:25" ht="15" thickBot="1" x14ac:dyDescent="0.25">
      <c r="D138" s="142"/>
      <c r="E138" s="94"/>
      <c r="F138" s="89"/>
      <c r="G138" s="632"/>
      <c r="H138" s="704" t="str">
        <f>VLOOKUP(6,Parametrikber!E$275:$X$292,2,FALSE)</f>
        <v>2 WKZ aus Alu</v>
      </c>
      <c r="I138" s="87" t="s">
        <v>288</v>
      </c>
      <c r="J138" s="87"/>
      <c r="K138" s="704" t="str">
        <f>VLOOKUP(6,Parametrikber!H$275:$X$292,2,FALSE)</f>
        <v>43,1 %</v>
      </c>
      <c r="L138" s="87" t="s">
        <v>288</v>
      </c>
      <c r="M138" s="87"/>
      <c r="N138" s="704" t="str">
        <f>VLOOKUP(6,Parametrikber!K$275:$X$292,2,FALSE)</f>
        <v>43,1 %</v>
      </c>
      <c r="O138" s="87" t="s">
        <v>288</v>
      </c>
      <c r="P138" s="87"/>
      <c r="Q138" s="704" t="str">
        <f>VLOOKUP(6,Parametrikber!N$275:$X$292,2,FALSE)</f>
        <v xml:space="preserve"> </v>
      </c>
      <c r="R138" s="87" t="s">
        <v>288</v>
      </c>
      <c r="S138" s="87"/>
      <c r="T138" s="704" t="str">
        <f>VLOOKUP(6,Parametrikber!Q$275:$X$292,2,FALSE)</f>
        <v xml:space="preserve"> </v>
      </c>
      <c r="U138" s="87" t="s">
        <v>288</v>
      </c>
      <c r="V138" s="87"/>
      <c r="W138" s="704" t="str">
        <f>VLOOKUP(6,Parametrikber!T$275:$X$292,2,FALSE)</f>
        <v xml:space="preserve"> </v>
      </c>
      <c r="X138" s="362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1:F132"/>
    <mergeCell ref="D5:F6"/>
    <mergeCell ref="D121:F122"/>
    <mergeCell ref="D28:F29"/>
    <mergeCell ref="D109:F110"/>
    <mergeCell ref="D9:F11"/>
    <mergeCell ref="D7:F7"/>
    <mergeCell ref="D8:F8"/>
    <mergeCell ref="D48:F48"/>
    <mergeCell ref="D102:F103"/>
    <mergeCell ref="D73:F73"/>
    <mergeCell ref="D88:F88"/>
  </mergeCells>
  <phoneticPr fontId="4" type="noConversion"/>
  <conditionalFormatting sqref="N120 Q120 T120 W120 K120 H15 H65 H120 K15 N15 Q15 W15 T15 H112 K112 N112 Q112 T112 W112 H47">
    <cfRule type="expression" dxfId="157" priority="452" stopIfTrue="1">
      <formula>VALUE(H16="Materialdatenbank")</formula>
    </cfRule>
  </conditionalFormatting>
  <conditionalFormatting sqref="H118 K118 N118 Q118 T118 W118 W54 K54 N54 Q54 T54 H54">
    <cfRule type="expression" dxfId="156" priority="453" stopIfTrue="1">
      <formula>VALUE(H56="Materialdatenbank")</formula>
    </cfRule>
  </conditionalFormatting>
  <conditionalFormatting sqref="N60 Q60 T60 W60 K60">
    <cfRule type="expression" dxfId="155" priority="455" stopIfTrue="1">
      <formula>VALUE(K116="Materialdatenbank")</formula>
    </cfRule>
  </conditionalFormatting>
  <conditionalFormatting sqref="H34">
    <cfRule type="expression" dxfId="154" priority="457" stopIfTrue="1">
      <formula>VALUE(H33="Materialdatenbank")</formula>
    </cfRule>
  </conditionalFormatting>
  <conditionalFormatting sqref="H56 K56 N56 Q56 W56 T56">
    <cfRule type="expression" dxfId="153" priority="458" stopIfTrue="1">
      <formula>VALUE(#REF!="Materialdatenbank")</formula>
    </cfRule>
  </conditionalFormatting>
  <conditionalFormatting sqref="H60">
    <cfRule type="expression" dxfId="152" priority="459" stopIfTrue="1">
      <formula>VALUE(H116="Materialdatenbank")</formula>
    </cfRule>
  </conditionalFormatting>
  <conditionalFormatting sqref="K76 N76 Q76 W76 H76">
    <cfRule type="expression" dxfId="151" priority="460" stopIfTrue="1">
      <formula>VALUE(H66="Materialdatenbank")</formula>
    </cfRule>
  </conditionalFormatting>
  <conditionalFormatting sqref="H119 H90 H33 N90 Q90 T90 W90 K119 N119 Q119 T119 W119 H84:H85 H104 K84:K85 K104 N84:N85 Q84:Q85 T84:T85 W84:W85 N104 Q104 T104 W104 K90 H92:H94 K92:K94 N92:N94 Q92:Q94 T92:T94 W92:W94">
    <cfRule type="expression" dxfId="150" priority="461" stopIfTrue="1">
      <formula>VALUE(#REF!="Materialdatenbank")</formula>
    </cfRule>
  </conditionalFormatting>
  <conditionalFormatting sqref="H122:H125 K122:K125 N122:N125 Q122:Q125 T122:T125 H127 H57 H25 H14 H68 K14 N14 Q14 T14 W14 W122:W125 K68 N68 Q68 T68 W68 H9:H12 K9:K12 N9:N12 Q9:Q12 T9:T12 W9:W12 K25 N25 Q25 T25 W25 K57 N57 Q57 T57 W57 K129 H129 K127 N127 Q127 T127 W127 N129 Q129 T129 W129">
    <cfRule type="expression" dxfId="149" priority="462" stopIfTrue="1">
      <formula>VALUE(#REF!="Materialdatenbank")</formula>
    </cfRule>
  </conditionalFormatting>
  <conditionalFormatting sqref="H110 K110 N110 Q110 W110 T110">
    <cfRule type="expression" dxfId="148" priority="464" stopIfTrue="1">
      <formula>VALUE(#REF!="Materialdatenbank")</formula>
    </cfRule>
  </conditionalFormatting>
  <conditionalFormatting sqref="H42">
    <cfRule type="expression" dxfId="147" priority="465" stopIfTrue="1">
      <formula>VALUE(#REF!="Materialdatenbank")</formula>
    </cfRule>
  </conditionalFormatting>
  <conditionalFormatting sqref="H37">
    <cfRule type="expression" dxfId="146" priority="466" stopIfTrue="1">
      <formula>VALUE(#REF!="Materialdatenbank")</formula>
    </cfRule>
  </conditionalFormatting>
  <conditionalFormatting sqref="K2:K4 T2:T4 N2:N4 W2:W4 Q2:Q4 H2:H4">
    <cfRule type="cellIs" dxfId="145" priority="467" operator="equal">
      <formula>FALSE</formula>
    </cfRule>
  </conditionalFormatting>
  <conditionalFormatting sqref="H17">
    <cfRule type="expression" dxfId="144" priority="468" stopIfTrue="1">
      <formula>VALUE(H24="Materialdatenbank")</formula>
    </cfRule>
  </conditionalFormatting>
  <conditionalFormatting sqref="H20">
    <cfRule type="expression" dxfId="143" priority="448" stopIfTrue="1">
      <formula>VALUE(H26="Materialdatenbank")</formula>
    </cfRule>
  </conditionalFormatting>
  <conditionalFormatting sqref="H21">
    <cfRule type="expression" dxfId="142" priority="447" stopIfTrue="1">
      <formula>VALUE(H25="Materialdatenbank")</formula>
    </cfRule>
  </conditionalFormatting>
  <conditionalFormatting sqref="K17">
    <cfRule type="expression" dxfId="141" priority="420" stopIfTrue="1">
      <formula>VALUE(K24="Materialdatenbank")</formula>
    </cfRule>
  </conditionalFormatting>
  <conditionalFormatting sqref="H100 H98 K100 K98 N100 N98 Q100 Q98 W100 W98 T100 T98">
    <cfRule type="expression" dxfId="140" priority="431" stopIfTrue="1">
      <formula>VALUE(#REF!="Materialdatenbank")</formula>
    </cfRule>
  </conditionalFormatting>
  <conditionalFormatting sqref="H36">
    <cfRule type="expression" dxfId="139" priority="469" stopIfTrue="1">
      <formula>VALUE(#REF!="Materialdatenbank")</formula>
    </cfRule>
  </conditionalFormatting>
  <conditionalFormatting sqref="H40">
    <cfRule type="expression" dxfId="138" priority="475" stopIfTrue="1">
      <formula>VALUE(H34="Materialdatenbank")</formula>
    </cfRule>
  </conditionalFormatting>
  <conditionalFormatting sqref="N17">
    <cfRule type="expression" dxfId="137" priority="419" stopIfTrue="1">
      <formula>VALUE(N24="Materialdatenbank")</formula>
    </cfRule>
  </conditionalFormatting>
  <conditionalFormatting sqref="Q17">
    <cfRule type="expression" dxfId="136" priority="418" stopIfTrue="1">
      <formula>VALUE(Q24="Materialdatenbank")</formula>
    </cfRule>
  </conditionalFormatting>
  <conditionalFormatting sqref="T17">
    <cfRule type="expression" dxfId="135" priority="417" stopIfTrue="1">
      <formula>VALUE(T24="Materialdatenbank")</formula>
    </cfRule>
  </conditionalFormatting>
  <conditionalFormatting sqref="W17">
    <cfRule type="expression" dxfId="134" priority="416" stopIfTrue="1">
      <formula>VALUE(W24="Materialdatenbank")</formula>
    </cfRule>
  </conditionalFormatting>
  <conditionalFormatting sqref="H39 K39 Q39 T39 W39">
    <cfRule type="expression" dxfId="133" priority="404" stopIfTrue="1">
      <formula>VALUE(H47="Materialdatenbank")</formula>
    </cfRule>
  </conditionalFormatting>
  <conditionalFormatting sqref="K40">
    <cfRule type="expression" dxfId="132" priority="410" stopIfTrue="1">
      <formula>VALUE(K34="Materialdatenbank")</formula>
    </cfRule>
  </conditionalFormatting>
  <conditionalFormatting sqref="N40">
    <cfRule type="expression" dxfId="131" priority="402" stopIfTrue="1">
      <formula>VALUE(N34="Materialdatenbank")</formula>
    </cfRule>
  </conditionalFormatting>
  <conditionalFormatting sqref="Q40">
    <cfRule type="expression" dxfId="130" priority="394" stopIfTrue="1">
      <formula>VALUE(Q34="Materialdatenbank")</formula>
    </cfRule>
  </conditionalFormatting>
  <conditionalFormatting sqref="T40">
    <cfRule type="expression" dxfId="129" priority="386" stopIfTrue="1">
      <formula>VALUE(T34="Materialdatenbank")</formula>
    </cfRule>
  </conditionalFormatting>
  <conditionalFormatting sqref="W40">
    <cfRule type="expression" dxfId="128" priority="378" stopIfTrue="1">
      <formula>VALUE(W34="Materialdatenbank")</formula>
    </cfRule>
  </conditionalFormatting>
  <conditionalFormatting sqref="K42">
    <cfRule type="expression" dxfId="127" priority="360" stopIfTrue="1">
      <formula>VALUE(#REF!="Materialdatenbank")</formula>
    </cfRule>
  </conditionalFormatting>
  <conditionalFormatting sqref="N42">
    <cfRule type="expression" dxfId="126" priority="359" stopIfTrue="1">
      <formula>VALUE(#REF!="Materialdatenbank")</formula>
    </cfRule>
  </conditionalFormatting>
  <conditionalFormatting sqref="Q42">
    <cfRule type="expression" dxfId="125" priority="358" stopIfTrue="1">
      <formula>VALUE(#REF!="Materialdatenbank")</formula>
    </cfRule>
  </conditionalFormatting>
  <conditionalFormatting sqref="T42">
    <cfRule type="expression" dxfId="124" priority="357" stopIfTrue="1">
      <formula>VALUE(#REF!="Materialdatenbank")</formula>
    </cfRule>
  </conditionalFormatting>
  <conditionalFormatting sqref="W42">
    <cfRule type="expression" dxfId="123" priority="356" stopIfTrue="1">
      <formula>VALUE(#REF!="Materialdatenbank")</formula>
    </cfRule>
  </conditionalFormatting>
  <conditionalFormatting sqref="K65">
    <cfRule type="expression" dxfId="122" priority="352" stopIfTrue="1">
      <formula>VALUE(K66="Materialdatenbank")</formula>
    </cfRule>
  </conditionalFormatting>
  <conditionalFormatting sqref="N65">
    <cfRule type="expression" dxfId="121" priority="350" stopIfTrue="1">
      <formula>VALUE(N66="Materialdatenbank")</formula>
    </cfRule>
  </conditionalFormatting>
  <conditionalFormatting sqref="Q65">
    <cfRule type="expression" dxfId="120" priority="348" stopIfTrue="1">
      <formula>VALUE(Q66="Materialdatenbank")</formula>
    </cfRule>
  </conditionalFormatting>
  <conditionalFormatting sqref="T65">
    <cfRule type="expression" dxfId="119" priority="346" stopIfTrue="1">
      <formula>VALUE(T66="Materialdatenbank")</formula>
    </cfRule>
  </conditionalFormatting>
  <conditionalFormatting sqref="W65">
    <cfRule type="expression" dxfId="118" priority="344" stopIfTrue="1">
      <formula>VALUE(W66="Materialdatenbank")</formula>
    </cfRule>
  </conditionalFormatting>
  <conditionalFormatting sqref="K134">
    <cfRule type="expression" dxfId="117" priority="234" stopIfTrue="1">
      <formula>K134=" "</formula>
    </cfRule>
  </conditionalFormatting>
  <conditionalFormatting sqref="K133">
    <cfRule type="expression" dxfId="116" priority="233" stopIfTrue="1">
      <formula>K133=" "</formula>
    </cfRule>
  </conditionalFormatting>
  <conditionalFormatting sqref="Q133">
    <cfRule type="expression" dxfId="115" priority="214" stopIfTrue="1">
      <formula>Q133=" "</formula>
    </cfRule>
  </conditionalFormatting>
  <conditionalFormatting sqref="N133">
    <cfRule type="expression" dxfId="114" priority="220" stopIfTrue="1">
      <formula>N133=" "</formula>
    </cfRule>
  </conditionalFormatting>
  <conditionalFormatting sqref="K138">
    <cfRule type="expression" dxfId="113" priority="229" stopIfTrue="1">
      <formula>K138=" "</formula>
    </cfRule>
  </conditionalFormatting>
  <conditionalFormatting sqref="N136">
    <cfRule type="expression" dxfId="112" priority="219" stopIfTrue="1">
      <formula>N136=" "</formula>
    </cfRule>
  </conditionalFormatting>
  <conditionalFormatting sqref="H134">
    <cfRule type="expression" dxfId="111" priority="227" stopIfTrue="1">
      <formula>H134=" "</formula>
    </cfRule>
  </conditionalFormatting>
  <conditionalFormatting sqref="H133">
    <cfRule type="expression" dxfId="110" priority="226" stopIfTrue="1">
      <formula>H133=" "</formula>
    </cfRule>
  </conditionalFormatting>
  <conditionalFormatting sqref="H138">
    <cfRule type="expression" dxfId="109" priority="223" stopIfTrue="1">
      <formula>H138=" "</formula>
    </cfRule>
  </conditionalFormatting>
  <conditionalFormatting sqref="Q138">
    <cfRule type="expression" dxfId="108" priority="211" stopIfTrue="1">
      <formula>Q138=" "</formula>
    </cfRule>
  </conditionalFormatting>
  <conditionalFormatting sqref="N134">
    <cfRule type="expression" dxfId="107" priority="221" stopIfTrue="1">
      <formula>N134=" "</formula>
    </cfRule>
  </conditionalFormatting>
  <conditionalFormatting sqref="N138">
    <cfRule type="expression" dxfId="106" priority="217" stopIfTrue="1">
      <formula>N138=" "</formula>
    </cfRule>
  </conditionalFormatting>
  <conditionalFormatting sqref="T134">
    <cfRule type="expression" dxfId="105" priority="209" stopIfTrue="1">
      <formula>T134=" "</formula>
    </cfRule>
  </conditionalFormatting>
  <conditionalFormatting sqref="Q134">
    <cfRule type="expression" dxfId="104" priority="215" stopIfTrue="1">
      <formula>Q134=" "</formula>
    </cfRule>
  </conditionalFormatting>
  <conditionalFormatting sqref="Q136">
    <cfRule type="expression" dxfId="103" priority="213" stopIfTrue="1">
      <formula>Q136=" "</formula>
    </cfRule>
  </conditionalFormatting>
  <conditionalFormatting sqref="T138">
    <cfRule type="expression" dxfId="102" priority="205" stopIfTrue="1">
      <formula>T138=" "</formula>
    </cfRule>
  </conditionalFormatting>
  <conditionalFormatting sqref="T133">
    <cfRule type="expression" dxfId="101" priority="208" stopIfTrue="1">
      <formula>T133=" "</formula>
    </cfRule>
  </conditionalFormatting>
  <conditionalFormatting sqref="T136">
    <cfRule type="expression" dxfId="100" priority="207" stopIfTrue="1">
      <formula>T136=" "</formula>
    </cfRule>
  </conditionalFormatting>
  <conditionalFormatting sqref="W133">
    <cfRule type="expression" dxfId="99" priority="202" stopIfTrue="1">
      <formula>W133=" "</formula>
    </cfRule>
  </conditionalFormatting>
  <conditionalFormatting sqref="W136">
    <cfRule type="expression" dxfId="98" priority="201" stopIfTrue="1">
      <formula>W136=" "</formula>
    </cfRule>
  </conditionalFormatting>
  <conditionalFormatting sqref="W134">
    <cfRule type="expression" dxfId="97" priority="203" stopIfTrue="1">
      <formula>W134=" "</formula>
    </cfRule>
  </conditionalFormatting>
  <conditionalFormatting sqref="W138">
    <cfRule type="expression" dxfId="96" priority="199" stopIfTrue="1">
      <formula>W138=" "</formula>
    </cfRule>
  </conditionalFormatting>
  <conditionalFormatting sqref="H22">
    <cfRule type="expression" dxfId="95" priority="197" stopIfTrue="1">
      <formula>VALUE(H119="Materialdatenbank")</formula>
    </cfRule>
  </conditionalFormatting>
  <conditionalFormatting sqref="K22">
    <cfRule type="expression" dxfId="94" priority="186" stopIfTrue="1">
      <formula>VALUE(K119="Materialdatenbank")</formula>
    </cfRule>
  </conditionalFormatting>
  <conditionalFormatting sqref="N22">
    <cfRule type="expression" dxfId="93" priority="185" stopIfTrue="1">
      <formula>VALUE(N119="Materialdatenbank")</formula>
    </cfRule>
  </conditionalFormatting>
  <conditionalFormatting sqref="Q22">
    <cfRule type="expression" dxfId="92" priority="184" stopIfTrue="1">
      <formula>VALUE(Q119="Materialdatenbank")</formula>
    </cfRule>
  </conditionalFormatting>
  <conditionalFormatting sqref="T22">
    <cfRule type="expression" dxfId="91" priority="183" stopIfTrue="1">
      <formula>VALUE(T119="Materialdatenbank")</formula>
    </cfRule>
  </conditionalFormatting>
  <conditionalFormatting sqref="W22">
    <cfRule type="expression" dxfId="90" priority="182" stopIfTrue="1">
      <formula>VALUE(W119="Materialdatenbank")</formula>
    </cfRule>
  </conditionalFormatting>
  <conditionalFormatting sqref="H135">
    <cfRule type="expression" dxfId="89" priority="180" stopIfTrue="1">
      <formula>H135=" "</formula>
    </cfRule>
  </conditionalFormatting>
  <conditionalFormatting sqref="H137">
    <cfRule type="expression" dxfId="88" priority="179" stopIfTrue="1">
      <formula>H137=" "</formula>
    </cfRule>
  </conditionalFormatting>
  <conditionalFormatting sqref="K135">
    <cfRule type="expression" dxfId="87" priority="178" stopIfTrue="1">
      <formula>K135=" "</formula>
    </cfRule>
  </conditionalFormatting>
  <conditionalFormatting sqref="K137">
    <cfRule type="expression" dxfId="86" priority="177" stopIfTrue="1">
      <formula>K137=" "</formula>
    </cfRule>
  </conditionalFormatting>
  <conditionalFormatting sqref="N135">
    <cfRule type="expression" dxfId="85" priority="176" stopIfTrue="1">
      <formula>N135=" "</formula>
    </cfRule>
  </conditionalFormatting>
  <conditionalFormatting sqref="N137">
    <cfRule type="expression" dxfId="84" priority="175" stopIfTrue="1">
      <formula>N137=" "</formula>
    </cfRule>
  </conditionalFormatting>
  <conditionalFormatting sqref="Q135">
    <cfRule type="expression" dxfId="83" priority="174" stopIfTrue="1">
      <formula>Q135=" "</formula>
    </cfRule>
  </conditionalFormatting>
  <conditionalFormatting sqref="Q137">
    <cfRule type="expression" dxfId="82" priority="173" stopIfTrue="1">
      <formula>Q137=" "</formula>
    </cfRule>
  </conditionalFormatting>
  <conditionalFormatting sqref="T135">
    <cfRule type="expression" dxfId="81" priority="172" stopIfTrue="1">
      <formula>T135=" "</formula>
    </cfRule>
  </conditionalFormatting>
  <conditionalFormatting sqref="T137">
    <cfRule type="expression" dxfId="80" priority="171" stopIfTrue="1">
      <formula>T137=" "</formula>
    </cfRule>
  </conditionalFormatting>
  <conditionalFormatting sqref="W135">
    <cfRule type="expression" dxfId="79" priority="170" stopIfTrue="1">
      <formula>W135=" "</formula>
    </cfRule>
  </conditionalFormatting>
  <conditionalFormatting sqref="W137">
    <cfRule type="expression" dxfId="78" priority="169" stopIfTrue="1">
      <formula>W137=" "</formula>
    </cfRule>
  </conditionalFormatting>
  <conditionalFormatting sqref="H99 K99 N99 Q99 W99 T99">
    <cfRule type="expression" dxfId="77" priority="168" stopIfTrue="1">
      <formula>VALUE(#REF!="Materialdatenbank")</formula>
    </cfRule>
  </conditionalFormatting>
  <conditionalFormatting sqref="H136">
    <cfRule type="expression" dxfId="76" priority="160" stopIfTrue="1">
      <formula>H136=" "</formula>
    </cfRule>
  </conditionalFormatting>
  <conditionalFormatting sqref="K136">
    <cfRule type="expression" dxfId="75" priority="158" stopIfTrue="1">
      <formula>K136=" "</formula>
    </cfRule>
  </conditionalFormatting>
  <conditionalFormatting sqref="H95 K95 N95 Q95 T95 W95">
    <cfRule type="expression" dxfId="74" priority="152" stopIfTrue="1">
      <formula>VALUE(#REF!="Materialdatenbank")</formula>
    </cfRule>
  </conditionalFormatting>
  <conditionalFormatting sqref="H96 K96 N96 Q96 T96 W96">
    <cfRule type="expression" dxfId="73" priority="151" stopIfTrue="1">
      <formula>VALUE(#REF!="Materialdatenbank")</formula>
    </cfRule>
  </conditionalFormatting>
  <conditionalFormatting sqref="K33">
    <cfRule type="expression" dxfId="72" priority="146" stopIfTrue="1">
      <formula>VALUE(#REF!="Materialdatenbank")</formula>
    </cfRule>
  </conditionalFormatting>
  <conditionalFormatting sqref="N33">
    <cfRule type="expression" dxfId="71" priority="144" stopIfTrue="1">
      <formula>VALUE(#REF!="Materialdatenbank")</formula>
    </cfRule>
  </conditionalFormatting>
  <conditionalFormatting sqref="Q33">
    <cfRule type="expression" dxfId="70" priority="142" stopIfTrue="1">
      <formula>VALUE(#REF!="Materialdatenbank")</formula>
    </cfRule>
  </conditionalFormatting>
  <conditionalFormatting sqref="T33">
    <cfRule type="expression" dxfId="69" priority="140" stopIfTrue="1">
      <formula>VALUE(#REF!="Materialdatenbank")</formula>
    </cfRule>
  </conditionalFormatting>
  <conditionalFormatting sqref="W33">
    <cfRule type="expression" dxfId="68" priority="138" stopIfTrue="1">
      <formula>VALUE(#REF!="Materialdatenbank")</formula>
    </cfRule>
  </conditionalFormatting>
  <conditionalFormatting sqref="K37 N37 Q37 T37 W37">
    <cfRule type="expression" dxfId="67" priority="136" stopIfTrue="1">
      <formula>VALUE(#REF!="Materialdatenbank")</formula>
    </cfRule>
  </conditionalFormatting>
  <conditionalFormatting sqref="K34">
    <cfRule type="expression" dxfId="66" priority="133" stopIfTrue="1">
      <formula>VALUE(K33="Materialdatenbank")</formula>
    </cfRule>
  </conditionalFormatting>
  <conditionalFormatting sqref="N34">
    <cfRule type="expression" dxfId="65" priority="132" stopIfTrue="1">
      <formula>VALUE(N33="Materialdatenbank")</formula>
    </cfRule>
  </conditionalFormatting>
  <conditionalFormatting sqref="Q34">
    <cfRule type="expression" dxfId="64" priority="131" stopIfTrue="1">
      <formula>VALUE(Q33="Materialdatenbank")</formula>
    </cfRule>
  </conditionalFormatting>
  <conditionalFormatting sqref="T34">
    <cfRule type="expression" dxfId="63" priority="130" stopIfTrue="1">
      <formula>VALUE(T33="Materialdatenbank")</formula>
    </cfRule>
  </conditionalFormatting>
  <conditionalFormatting sqref="W34">
    <cfRule type="expression" dxfId="62" priority="129" stopIfTrue="1">
      <formula>VALUE(W33="Materialdatenbank")</formula>
    </cfRule>
  </conditionalFormatting>
  <conditionalFormatting sqref="H45">
    <cfRule type="expression" dxfId="61" priority="127" stopIfTrue="1">
      <formula>VALUE(#REF!="Materialdatenbank")</formula>
    </cfRule>
  </conditionalFormatting>
  <conditionalFormatting sqref="H43">
    <cfRule type="expression" dxfId="60" priority="128" stopIfTrue="1">
      <formula>VALUE(H37="Materialdatenbank")</formula>
    </cfRule>
  </conditionalFormatting>
  <conditionalFormatting sqref="K43">
    <cfRule type="expression" dxfId="59" priority="106" stopIfTrue="1">
      <formula>VALUE(K37="Materialdatenbank")</formula>
    </cfRule>
  </conditionalFormatting>
  <conditionalFormatting sqref="N43">
    <cfRule type="expression" dxfId="58" priority="105" stopIfTrue="1">
      <formula>VALUE(N37="Materialdatenbank")</formula>
    </cfRule>
  </conditionalFormatting>
  <conditionalFormatting sqref="Q43">
    <cfRule type="expression" dxfId="57" priority="104" stopIfTrue="1">
      <formula>VALUE(Q37="Materialdatenbank")</formula>
    </cfRule>
  </conditionalFormatting>
  <conditionalFormatting sqref="T43">
    <cfRule type="expression" dxfId="56" priority="103" stopIfTrue="1">
      <formula>VALUE(T37="Materialdatenbank")</formula>
    </cfRule>
  </conditionalFormatting>
  <conditionalFormatting sqref="W43">
    <cfRule type="expression" dxfId="55" priority="102" stopIfTrue="1">
      <formula>VALUE(W37="Materialdatenbank")</formula>
    </cfRule>
  </conditionalFormatting>
  <conditionalFormatting sqref="K21">
    <cfRule type="expression" dxfId="54" priority="91" stopIfTrue="1">
      <formula>VALUE(K25="Materialdatenbank")</formula>
    </cfRule>
  </conditionalFormatting>
  <conditionalFormatting sqref="N21">
    <cfRule type="expression" dxfId="53" priority="90" stopIfTrue="1">
      <formula>VALUE(N25="Materialdatenbank")</formula>
    </cfRule>
  </conditionalFormatting>
  <conditionalFormatting sqref="Q21">
    <cfRule type="expression" dxfId="52" priority="89" stopIfTrue="1">
      <formula>VALUE(Q25="Materialdatenbank")</formula>
    </cfRule>
  </conditionalFormatting>
  <conditionalFormatting sqref="W21">
    <cfRule type="expression" dxfId="51" priority="87" stopIfTrue="1">
      <formula>VALUE(W25="Materialdatenbank")</formula>
    </cfRule>
  </conditionalFormatting>
  <conditionalFormatting sqref="K103 H103 N103 Q103 T103 W103">
    <cfRule type="expression" dxfId="50" priority="78" stopIfTrue="1">
      <formula>VALUE(H106="Materialdatenbank")</formula>
    </cfRule>
  </conditionalFormatting>
  <conditionalFormatting sqref="H26 K26 N26 Q26 T26 W26">
    <cfRule type="expression" dxfId="49" priority="477" stopIfTrue="1">
      <formula>VALUE(#REF!="Materialdatenbank")</formula>
    </cfRule>
  </conditionalFormatting>
  <conditionalFormatting sqref="H18 N18 Q18 T18 W18 K18">
    <cfRule type="expression" dxfId="48" priority="75" stopIfTrue="1">
      <formula>VALUE(H21="Materialdatenbank")</formula>
    </cfRule>
  </conditionalFormatting>
  <conditionalFormatting sqref="H23">
    <cfRule type="expression" dxfId="47" priority="74" stopIfTrue="1">
      <formula>VALUE(H27="Materialdatenbank")</formula>
    </cfRule>
  </conditionalFormatting>
  <conditionalFormatting sqref="H19">
    <cfRule type="expression" dxfId="46" priority="61" stopIfTrue="1">
      <formula>VALUE(#REF!="Materialdatenbank")</formula>
    </cfRule>
  </conditionalFormatting>
  <conditionalFormatting sqref="K19 N19 Q19 T19 W19">
    <cfRule type="expression" dxfId="45" priority="60" stopIfTrue="1">
      <formula>VALUE(#REF!="Materialdatenbank")</formula>
    </cfRule>
  </conditionalFormatting>
  <conditionalFormatting sqref="K20 N20 Q20 W20 T20">
    <cfRule type="expression" dxfId="44" priority="59" stopIfTrue="1">
      <formula>VALUE(K26="Materialdatenbank")</formula>
    </cfRule>
  </conditionalFormatting>
  <conditionalFormatting sqref="K23 N23 Q23 T23 W23">
    <cfRule type="expression" dxfId="43" priority="58" stopIfTrue="1">
      <formula>VALUE(K27="Materialdatenbank")</formula>
    </cfRule>
  </conditionalFormatting>
  <conditionalFormatting sqref="K45">
    <cfRule type="expression" dxfId="42" priority="57" stopIfTrue="1">
      <formula>VALUE(#REF!="Materialdatenbank")</formula>
    </cfRule>
  </conditionalFormatting>
  <conditionalFormatting sqref="N45">
    <cfRule type="expression" dxfId="41" priority="56" stopIfTrue="1">
      <formula>VALUE(#REF!="Materialdatenbank")</formula>
    </cfRule>
  </conditionalFormatting>
  <conditionalFormatting sqref="Q45">
    <cfRule type="expression" dxfId="40" priority="55" stopIfTrue="1">
      <formula>VALUE(#REF!="Materialdatenbank")</formula>
    </cfRule>
  </conditionalFormatting>
  <conditionalFormatting sqref="W45">
    <cfRule type="expression" dxfId="39" priority="54" stopIfTrue="1">
      <formula>VALUE(#REF!="Materialdatenbank")</formula>
    </cfRule>
  </conditionalFormatting>
  <conditionalFormatting sqref="K36 N36 Q36 T36 W36">
    <cfRule type="expression" dxfId="38" priority="53" stopIfTrue="1">
      <formula>VALUE(#REF!="Materialdatenbank")</formula>
    </cfRule>
  </conditionalFormatting>
  <conditionalFormatting sqref="N39">
    <cfRule type="expression" dxfId="37" priority="52" stopIfTrue="1">
      <formula>VALUE(N47="Materialdatenbank")</formula>
    </cfRule>
  </conditionalFormatting>
  <conditionalFormatting sqref="T21">
    <cfRule type="expression" dxfId="36" priority="51" stopIfTrue="1">
      <formula>VALUE(T25="Materialdatenbank")</formula>
    </cfRule>
  </conditionalFormatting>
  <conditionalFormatting sqref="T45">
    <cfRule type="expression" dxfId="35" priority="50" stopIfTrue="1">
      <formula>VALUE(#REF!="Materialdatenbank")</formula>
    </cfRule>
  </conditionalFormatting>
  <conditionalFormatting sqref="K87 N87 Q87 T87 W87 H87">
    <cfRule type="expression" dxfId="34" priority="484" stopIfTrue="1">
      <formula>VALUE(H65="Materialdatenbank")</formula>
    </cfRule>
  </conditionalFormatting>
  <conditionalFormatting sqref="T76">
    <cfRule type="expression" dxfId="33" priority="490" stopIfTrue="1">
      <formula>VALUE(T66="Materialdatenbank")</formula>
    </cfRule>
  </conditionalFormatting>
  <conditionalFormatting sqref="T64 W64 H64 K64 N64 Q64">
    <cfRule type="expression" dxfId="32" priority="496" stopIfTrue="1">
      <formula>VALUE(H53="Materialdatenbank")</formula>
    </cfRule>
  </conditionalFormatting>
  <conditionalFormatting sqref="H83 K83 N83 Q83 T83 W83">
    <cfRule type="expression" dxfId="31" priority="498" stopIfTrue="1">
      <formula>VALUE(H63="Materialdatenbank")</formula>
    </cfRule>
  </conditionalFormatting>
  <conditionalFormatting sqref="K66 N66 Q66 T66 W66 H66 N69 Q69 T69 W69">
    <cfRule type="expression" dxfId="30" priority="46" stopIfTrue="1">
      <formula>VALUE(H120="Materialdatenbank")</formula>
    </cfRule>
  </conditionalFormatting>
  <conditionalFormatting sqref="H113 K113 N113 Q113 T113 W113">
    <cfRule type="expression" dxfId="29" priority="500" stopIfTrue="1">
      <formula>VALUE(#REF!="Materialdatenbank")</formula>
    </cfRule>
  </conditionalFormatting>
  <conditionalFormatting sqref="N114 Q114 T114 W114">
    <cfRule type="expression" dxfId="28" priority="523" stopIfTrue="1">
      <formula>VALUE(N101="Materialdatenbank")</formula>
    </cfRule>
  </conditionalFormatting>
  <conditionalFormatting sqref="K106 N106 Q106 T106 W106 H106">
    <cfRule type="expression" dxfId="27" priority="524" stopIfTrue="1">
      <formula>VALUE(H70="Materialdatenbank")</formula>
    </cfRule>
  </conditionalFormatting>
  <conditionalFormatting sqref="K47">
    <cfRule type="expression" dxfId="26" priority="38" stopIfTrue="1">
      <formula>VALUE(K48="Materialdatenbank")</formula>
    </cfRule>
  </conditionalFormatting>
  <conditionalFormatting sqref="N47">
    <cfRule type="expression" dxfId="25" priority="37" stopIfTrue="1">
      <formula>VALUE(N48="Materialdatenbank")</formula>
    </cfRule>
  </conditionalFormatting>
  <conditionalFormatting sqref="Q47">
    <cfRule type="expression" dxfId="24" priority="36" stopIfTrue="1">
      <formula>VALUE(Q48="Materialdatenbank")</formula>
    </cfRule>
  </conditionalFormatting>
  <conditionalFormatting sqref="T47">
    <cfRule type="expression" dxfId="23" priority="35" stopIfTrue="1">
      <formula>VALUE(T48="Materialdatenbank")</formula>
    </cfRule>
  </conditionalFormatting>
  <conditionalFormatting sqref="W47">
    <cfRule type="expression" dxfId="22" priority="34" stopIfTrue="1">
      <formula>VALUE(W48="Materialdatenbank")</formula>
    </cfRule>
  </conditionalFormatting>
  <conditionalFormatting sqref="H72">
    <cfRule type="expression" dxfId="21" priority="29" stopIfTrue="1">
      <formula>VALUE(H68="Materialdatenbank")</formula>
    </cfRule>
  </conditionalFormatting>
  <conditionalFormatting sqref="H114">
    <cfRule type="expression" dxfId="20" priority="26" stopIfTrue="1">
      <formula>VALUE(H101="Materialdatenbank")</formula>
    </cfRule>
  </conditionalFormatting>
  <conditionalFormatting sqref="H117">
    <cfRule type="expression" dxfId="19" priority="25" stopIfTrue="1">
      <formula>VALUE(H104="Materialdatenbank")</formula>
    </cfRule>
  </conditionalFormatting>
  <conditionalFormatting sqref="K114">
    <cfRule type="expression" dxfId="18" priority="23" stopIfTrue="1">
      <formula>VALUE(K101="Materialdatenbank")</formula>
    </cfRule>
  </conditionalFormatting>
  <conditionalFormatting sqref="N71 Q71 T71 W71 K71 H71">
    <cfRule type="expression" dxfId="17" priority="529" stopIfTrue="1">
      <formula>VALUE(#REF!="Materialdatenbank")</formula>
    </cfRule>
  </conditionalFormatting>
  <conditionalFormatting sqref="H107">
    <cfRule type="expression" dxfId="16" priority="21" stopIfTrue="1">
      <formula>VALUE(H110="Materialdatenbank")</formula>
    </cfRule>
  </conditionalFormatting>
  <conditionalFormatting sqref="K107 N107 Q107 T107 W107">
    <cfRule type="expression" dxfId="15" priority="20" stopIfTrue="1">
      <formula>VALUE(K110="Materialdatenbank")</formula>
    </cfRule>
  </conditionalFormatting>
  <conditionalFormatting sqref="H82 K82 N82 Q82 T82 W82">
    <cfRule type="expression" dxfId="14" priority="553" stopIfTrue="1">
      <formula>VALUE(H64="Materialdatenbank")</formula>
    </cfRule>
  </conditionalFormatting>
  <conditionalFormatting sqref="H101 K101 N101 Q101 T101 W101">
    <cfRule type="expression" dxfId="13" priority="558" stopIfTrue="1">
      <formula>VALUE(H76="Materialdatenbank")</formula>
    </cfRule>
  </conditionalFormatting>
  <conditionalFormatting sqref="H77 N77 Q77 T77 W77 N81 Q81 T81 W81">
    <cfRule type="expression" dxfId="12" priority="19" stopIfTrue="1">
      <formula>VALUE(H60="Materialdatenbank")</formula>
    </cfRule>
  </conditionalFormatting>
  <conditionalFormatting sqref="K77">
    <cfRule type="expression" dxfId="11" priority="18" stopIfTrue="1">
      <formula>VALUE(K60="Materialdatenbank")</formula>
    </cfRule>
  </conditionalFormatting>
  <conditionalFormatting sqref="H81">
    <cfRule type="expression" dxfId="10" priority="15" stopIfTrue="1">
      <formula>VALUE(H64="Materialdatenbank")</formula>
    </cfRule>
  </conditionalFormatting>
  <conditionalFormatting sqref="K81">
    <cfRule type="expression" dxfId="9" priority="7" stopIfTrue="1">
      <formula>VALUE(K64="Materialdatenbank")</formula>
    </cfRule>
  </conditionalFormatting>
  <conditionalFormatting sqref="H69">
    <cfRule type="expression" dxfId="8" priority="5" stopIfTrue="1">
      <formula>VALUE(H123="Materialdatenbank")</formula>
    </cfRule>
  </conditionalFormatting>
  <conditionalFormatting sqref="K69">
    <cfRule type="expression" dxfId="7" priority="4" stopIfTrue="1">
      <formula>VALUE(K123="Materialdatenbank")</formula>
    </cfRule>
  </conditionalFormatting>
  <conditionalFormatting sqref="K72 N72 Q72 T72 W72">
    <cfRule type="expression" dxfId="6" priority="3" stopIfTrue="1">
      <formula>VALUE(K68="Materialdatenbank")</formula>
    </cfRule>
  </conditionalFormatting>
  <conditionalFormatting sqref="K117 N117 Q117 T117 W117">
    <cfRule type="expression" dxfId="5" priority="2" stopIfTrue="1">
      <formula>VALUE(K104="Materialdatenbank")</formula>
    </cfRule>
  </conditionalFormatting>
  <conditionalFormatting sqref="H128 K128 N128 Q128 T128 W128">
    <cfRule type="expression" dxfId="4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8 K98 N98 Q98 W98 H98" xr:uid="{00000000-0002-0000-0200-000005000000}">
      <formula1>0</formula1>
      <formula2>1</formula2>
    </dataValidation>
    <dataValidation type="decimal" allowBlank="1" showInputMessage="1" showErrorMessage="1" sqref="H99 K99 N99 Q99 W99 T99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0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abSelected="1" topLeftCell="A46" zoomScaleNormal="100" workbookViewId="0">
      <selection activeCell="A67" sqref="A67:XFD67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22" activePane="bottomRight" state="frozenSplit"/>
      <selection activeCell="L30" sqref="L30"/>
      <selection pane="topRight" activeCell="L30" sqref="L30"/>
      <selection pane="bottomLeft" activeCell="L30" sqref="L30"/>
      <selection pane="bottomRight" activeCell="F154" sqref="F154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IFERROR(IF(Refkalkulation!H$105=0,SUM(F$9:F$12),Refkalkulation!H$105),0)</f>
        <v>0.1</v>
      </c>
      <c r="G8" s="7"/>
      <c r="H8" s="7"/>
      <c r="I8" s="684">
        <f>IFERROR(IF(Refkalkulation!K$105=0,SUM(I$9:I$12),Refkalkulation!K$105),0)</f>
        <v>0.1</v>
      </c>
      <c r="J8" s="7"/>
      <c r="K8" s="7"/>
      <c r="L8" s="684">
        <f>IFERROR(IF(Refkalkulation!N$105=0,SUM(L$9:L$12),Refkalkulation!N$105),0)</f>
        <v>0.1</v>
      </c>
      <c r="M8" s="7"/>
      <c r="N8" s="7"/>
      <c r="O8" s="684">
        <f>IFERROR(IF(Refkalkulation!Q$105=0,SUM(O$9:O$12),Refkalkulation!Q$105),0)</f>
        <v>0.16639999999999999</v>
      </c>
      <c r="P8" s="7"/>
      <c r="Q8" s="7"/>
      <c r="R8" s="684">
        <f>IFERROR(IF(Refkalkulation!T$105=0,SUM(R$9:R$12),Refkalkulation!T$105),0)</f>
        <v>0.16639999999999999</v>
      </c>
      <c r="S8" s="7"/>
      <c r="T8" s="7"/>
      <c r="U8" s="684">
        <f>IFERROR(IF(Refkalkulation!W$105=0,SUM(U$9:U$12),Refkalkulation!W$105),0)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IFERROR(IF(Refkalkulation!H$115=0,'Länder-DB'!$I$25*F$14,Refkalkulation!H$115),0)</f>
        <v>0</v>
      </c>
      <c r="G13" s="7"/>
      <c r="H13" s="7"/>
      <c r="I13" s="684">
        <f>IFERROR(IF(Refkalkulation!K$115=0,'Länder-DB'!$I$25*I$14,Refkalkulation!K$115),0)</f>
        <v>0</v>
      </c>
      <c r="J13" s="7"/>
      <c r="K13" s="7"/>
      <c r="L13" s="684">
        <f>IFERROR(IF(Refkalkulation!N$115=0,'Länder-DB'!$I$25*L$14,Refkalkulation!N$115),0)</f>
        <v>0</v>
      </c>
      <c r="M13" s="7"/>
      <c r="N13" s="7"/>
      <c r="O13" s="684">
        <f>IFERROR(IF(Refkalkulation!Q$115=0,'Länder-DB'!$I$25*O$14,Refkalkulation!Q$115),0)</f>
        <v>0</v>
      </c>
      <c r="P13" s="7"/>
      <c r="Q13" s="7"/>
      <c r="R13" s="684">
        <f>IFERROR(IF(Refkalkulation!T$115=0,'Länder-DB'!$I$25*R$14,Refkalkulation!T$115),0)</f>
        <v>0</v>
      </c>
      <c r="S13" s="7"/>
      <c r="T13" s="7"/>
      <c r="U13" s="684">
        <f>IFERROR(IF(Refkalkulation!W$115=0,'Länder-DB'!$I$25*U$14,Refkalkulation!W$115),0)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IFERROR(IF(Refkalkulation!H$116=0,SUM(F$16:F$18),Refkalkulation!H$116),0)</f>
        <v>0.08</v>
      </c>
      <c r="G15" s="7"/>
      <c r="H15" s="7"/>
      <c r="I15" s="684">
        <f>IFERROR(IF(Refkalkulation!K$116=0,SUM(I$16:I$18),Refkalkulation!K$116),0)</f>
        <v>0.11</v>
      </c>
      <c r="J15" s="7"/>
      <c r="K15" s="7"/>
      <c r="L15" s="684">
        <f>IFERROR(IF(Refkalkulation!N$116=0,SUM(L$16:L$18),Refkalkulation!N$116),0)</f>
        <v>0.08</v>
      </c>
      <c r="M15" s="7"/>
      <c r="N15" s="7"/>
      <c r="O15" s="684">
        <f>IFERROR(IF(Refkalkulation!Q$116=0,SUM(O$16:O$18),Refkalkulation!Q$116),0)</f>
        <v>0.08</v>
      </c>
      <c r="P15" s="7"/>
      <c r="Q15" s="7"/>
      <c r="R15" s="684">
        <f>IFERROR(IF(Refkalkulation!T$116=0,SUM(R$16:R$18),Refkalkulation!T$116),0)</f>
        <v>0.08</v>
      </c>
      <c r="S15" s="7"/>
      <c r="T15" s="7"/>
      <c r="U15" s="684">
        <f>IFERROR(IF(Refkalkulation!W$116=0,SUM(U$16:U$18),Refkalkulation!W$116),0)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27.399866666666668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32.477666666666664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37.020199999999996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1.0999999999999996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16.059027777777779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1.1547005383792517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0.57735026918962584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495.5512626262626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24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5760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0.39600000000000002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2280.96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102.58838383838383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0.27447916666666672</v>
      </c>
      <c r="G175" s="451"/>
      <c r="H175" s="435"/>
      <c r="I175" s="667">
        <f>IFERROR(IF(OR(Refkalkulation!K$92=0,I$246=0),I$246,Refkalkulation!K$92),0)</f>
        <v>0.26010416666666664</v>
      </c>
      <c r="J175" s="451"/>
      <c r="K175" s="435"/>
      <c r="L175" s="667">
        <f>IFERROR(IF(OR(Refkalkulation!N$92=0,L$246=0),L$246,Refkalkulation!N$92),0)</f>
        <v>0.27447916666666672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IFERROR(IF(OR(Refkalkulation!H$95=0,F$249=0),F249,Refkalkulation!H$95),0)</f>
        <v>0</v>
      </c>
      <c r="G176" s="451"/>
      <c r="H176" s="435"/>
      <c r="I176" s="667">
        <f>IFERROR(IF(OR(Refkalkulation!K$95=0,I$249=0),I249,Refkalkulation!K$95),0)</f>
        <v>0</v>
      </c>
      <c r="J176" s="451"/>
      <c r="K176" s="435"/>
      <c r="L176" s="667">
        <f>IFERROR(IF(OR(Refkalkulation!N$95=0,L$249=0),L249,Refkalkulation!N$95),0)</f>
        <v>0</v>
      </c>
      <c r="M176" s="451"/>
      <c r="N176" s="435"/>
      <c r="O176" s="667">
        <f>IFERROR(IF(OR(Refkalkulation!Q$95=0,O$249=0),O249,Refkalkulation!Q$95),0)</f>
        <v>0</v>
      </c>
      <c r="P176" s="451"/>
      <c r="Q176" s="435"/>
      <c r="R176" s="667">
        <f>IFERROR(IF(OR(Refkalkulation!T$95=0,R$249=0),R249,Refkalkulation!T$95),0)</f>
        <v>0</v>
      </c>
      <c r="S176" s="451"/>
      <c r="T176" s="435"/>
      <c r="U176" s="667">
        <f>IFERROR(IF(OR(Refkalkulation!W$95=0,U$249=0),U249,Refkalkulation!W$95),0)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IFERROR(IF(OR(Refkalkulation!H$96=0,F$178=0),ROUND(F178*(1+F179),2),Refkalkulation!H$96),0)</f>
        <v>0</v>
      </c>
      <c r="G177" s="451"/>
      <c r="H177" s="435"/>
      <c r="I177" s="667">
        <f>IFERROR(IF(OR(Refkalkulation!K$96=0,I$178=0),ROUND(I178*(1+I179),2),Refkalkulation!K$96),0)</f>
        <v>0</v>
      </c>
      <c r="J177" s="451"/>
      <c r="K177" s="435"/>
      <c r="L177" s="667">
        <f>IFERROR(IF(OR(Refkalkulation!N$96=0,L$178=0),ROUND(L178*(1+L179),2),Refkalkulation!N$96),0)</f>
        <v>0</v>
      </c>
      <c r="M177" s="451"/>
      <c r="N177" s="435"/>
      <c r="O177" s="667">
        <f>IFERROR(IF(OR(Refkalkulation!Q$96=0,O$178=0),ROUND(O178*(1+O179),2),Refkalkulation!Q$96),0)</f>
        <v>0</v>
      </c>
      <c r="P177" s="451"/>
      <c r="Q177" s="435"/>
      <c r="R177" s="667">
        <f>IFERROR(IF(OR(Refkalkulation!T$96=0,R$178=0),ROUND(R178*(1+R179),2),Refkalkulation!T$96),0)</f>
        <v>0</v>
      </c>
      <c r="S177" s="451"/>
      <c r="T177" s="435"/>
      <c r="U177" s="667">
        <f>IFERROR(IF(OR(Refkalkulation!W$96=0,U$178=0),ROUND(U178*(1+U179),2),Refkalkulation!W$96),0)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2.6036984126984127E-2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3.0850166666666663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IF(Refkalkulation!H$111=0,'Länder-DB'!$I$33,Refkalkulation!H$111)</f>
        <v>0.12</v>
      </c>
      <c r="G204" s="7"/>
      <c r="H204" s="7"/>
      <c r="I204" s="684">
        <f>IF(Refkalkulation!K$111=0,'Länder-DB'!$I$33,Refkalkulation!K$111)</f>
        <v>0.12</v>
      </c>
      <c r="J204" s="7"/>
      <c r="K204" s="7"/>
      <c r="L204" s="684">
        <f>IF(Refkalkulation!N$111=0,'Länder-DB'!$I$33,Refkalkulation!N$111)</f>
        <v>0.12</v>
      </c>
      <c r="M204" s="7"/>
      <c r="N204" s="7"/>
      <c r="O204" s="684">
        <f>IF(Refkalkulation!Q$111=0,'Länder-DB'!$I$33,Refkalkulation!Q$111)</f>
        <v>0.12</v>
      </c>
      <c r="P204" s="7"/>
      <c r="Q204" s="7"/>
      <c r="R204" s="684">
        <f>IF(Refkalkulation!T$111=0,'Länder-DB'!$I$33,Refkalkulation!T$111)</f>
        <v>0.12</v>
      </c>
      <c r="S204" s="7"/>
      <c r="T204" s="7"/>
      <c r="U204" s="684">
        <f>IF(Refkalkulation!W$111=0,'Länder-DB'!$I$33,Refkalkulation!W$111)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14.495533333333334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21.920594837261504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54.398261503928168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0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4.1000000000000002E-2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13A507F7-A83A-4284-995E-DEA722A80A9A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2021-08-12T09:03:21Z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
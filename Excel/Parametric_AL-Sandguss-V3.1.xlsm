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hartEx1.xml" ContentType="application/vnd.ms-office.chartex+xml"/>
  <Override PartName="/xl/charts/chartEx2.xml" ContentType="application/vnd.ms-office.chartex+xml"/>
  <Override PartName="/xl/charts/chartEx3.xml" ContentType="application/vnd.ms-office.chartex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bookViews>
    <workbookView xWindow="-120" yWindow="-120" windowWidth="29040" windowHeight="15840" tabRatio="955" activeTab="3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Refkalkulation!$A$1:$X$135</definedName>
    <definedName name="_xlnm.Print_Area" localSheetId="4">'RFTI Template'!$B$2:$I$51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Refkalkulation!$A$1:$X$135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52511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9" i="7" l="1"/>
  <c r="F241" i="15" l="1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X227" i="15" s="1"/>
  <c r="O46" i="2"/>
  <c r="L228" i="15" l="1"/>
  <c r="L233" i="15" s="1"/>
  <c r="I228" i="15"/>
  <c r="L204" i="15"/>
  <c r="I204" i="15"/>
  <c r="F204" i="15"/>
  <c r="H46" i="7"/>
  <c r="L126" i="15"/>
  <c r="I126" i="15"/>
  <c r="I233" i="15" l="1"/>
  <c r="M21" i="3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P12" i="3"/>
  <c r="M12" i="3"/>
  <c r="P33" i="3"/>
  <c r="M33" i="3"/>
  <c r="P32" i="3"/>
  <c r="M32" i="3"/>
  <c r="P22" i="3"/>
  <c r="M22" i="3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5" i="7"/>
  <c r="L49" i="31" s="1"/>
  <c r="P58" i="3"/>
  <c r="K135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83" i="15"/>
  <c r="F227" i="15"/>
  <c r="F83" i="15"/>
  <c r="L83" i="15"/>
  <c r="L227" i="15"/>
  <c r="L30" i="31"/>
  <c r="G10" i="3"/>
  <c r="P10" i="3"/>
  <c r="H30" i="31" s="1"/>
  <c r="M10" i="3"/>
  <c r="D30" i="31" s="1"/>
  <c r="F228" i="15" l="1"/>
  <c r="F233" i="15" s="1"/>
  <c r="L229" i="15"/>
  <c r="L270" i="15"/>
  <c r="F270" i="15"/>
  <c r="I229" i="15"/>
  <c r="I270" i="15"/>
  <c r="M11" i="3"/>
  <c r="H9" i="7"/>
  <c r="H11" i="7" s="1"/>
  <c r="K9" i="7"/>
  <c r="K11" i="7" s="1"/>
  <c r="P11" i="3"/>
  <c r="N9" i="7"/>
  <c r="N11" i="7" s="1"/>
  <c r="D12" i="25"/>
  <c r="F229" i="15" l="1"/>
  <c r="F230" i="15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5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3" i="7"/>
  <c r="K103" i="7"/>
  <c r="H103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H7" i="7" s="1"/>
  <c r="H100" i="7" s="1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87" i="7" l="1"/>
  <c r="K7" i="7"/>
  <c r="D88" i="7"/>
  <c r="D79" i="7"/>
  <c r="D80" i="7"/>
  <c r="D81" i="7"/>
  <c r="D101" i="7"/>
  <c r="D96" i="7"/>
  <c r="D100" i="7"/>
  <c r="D99" i="7"/>
  <c r="D98" i="7"/>
  <c r="D83" i="7"/>
  <c r="D82" i="7"/>
  <c r="D103" i="7"/>
  <c r="D104" i="7"/>
  <c r="D94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4" i="7"/>
  <c r="D135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4" i="7"/>
  <c r="D77" i="7"/>
  <c r="D76" i="7"/>
  <c r="D108" i="7"/>
  <c r="D91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7" i="7"/>
  <c r="D113" i="7"/>
  <c r="C38" i="31" s="1"/>
  <c r="D118" i="7"/>
  <c r="D18" i="7"/>
  <c r="D86" i="7"/>
  <c r="D46" i="7"/>
  <c r="D89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P45" i="3"/>
  <c r="M45" i="3"/>
  <c r="I58" i="3"/>
  <c r="C53" i="24" s="1"/>
  <c r="O2" i="3"/>
  <c r="I26" i="3"/>
  <c r="C21" i="24" s="1"/>
  <c r="I27" i="3"/>
  <c r="C22" i="24" s="1"/>
  <c r="D9" i="7"/>
  <c r="R5" i="3"/>
  <c r="G7" i="31" s="1"/>
  <c r="D92" i="7"/>
  <c r="C42" i="31" s="1"/>
  <c r="D107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P13" i="3"/>
  <c r="H34" i="30" s="1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L34" i="30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3" i="7"/>
  <c r="D130" i="7"/>
  <c r="D120" i="7"/>
  <c r="D115" i="7"/>
  <c r="D63" i="7"/>
  <c r="D55" i="7"/>
  <c r="D52" i="7"/>
  <c r="D35" i="7"/>
  <c r="D28" i="7"/>
  <c r="D5" i="7"/>
  <c r="D141" i="7"/>
  <c r="D133" i="7"/>
  <c r="D127" i="7"/>
  <c r="D106" i="7"/>
  <c r="D85" i="7"/>
  <c r="D64" i="7"/>
  <c r="D51" i="7"/>
  <c r="D38" i="7"/>
  <c r="D34" i="7"/>
  <c r="D26" i="7"/>
  <c r="C35" i="30" s="1"/>
  <c r="D139" i="7"/>
  <c r="D132" i="7"/>
  <c r="D125" i="7"/>
  <c r="D119" i="7"/>
  <c r="D112" i="7"/>
  <c r="C43" i="31" s="1"/>
  <c r="D110" i="7"/>
  <c r="D66" i="7"/>
  <c r="D62" i="7"/>
  <c r="D59" i="7"/>
  <c r="D54" i="7"/>
  <c r="D49" i="7"/>
  <c r="D41" i="7"/>
  <c r="D37" i="7"/>
  <c r="D17" i="7"/>
  <c r="D137" i="7"/>
  <c r="D131" i="7"/>
  <c r="D123" i="7"/>
  <c r="D95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D102" i="7"/>
  <c r="I74" i="3"/>
  <c r="C69" i="24" s="1"/>
  <c r="I76" i="3"/>
  <c r="C71" i="24" s="1"/>
  <c r="D97" i="7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1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K100" i="7" l="1"/>
  <c r="K94" i="7"/>
  <c r="C38" i="30"/>
  <c r="K38" i="30" s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0" i="7"/>
  <c r="C67" i="24"/>
  <c r="I212" i="15"/>
  <c r="I213" i="15"/>
  <c r="N7" i="7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Q13" i="3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29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5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9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4" i="7"/>
  <c r="C55" i="24"/>
  <c r="D13" i="7"/>
  <c r="C7" i="24"/>
  <c r="C58" i="24"/>
  <c r="D50" i="7"/>
  <c r="D58" i="7"/>
  <c r="C60" i="24"/>
  <c r="D122" i="7"/>
  <c r="C77" i="24"/>
  <c r="C5" i="24"/>
  <c r="C61" i="24"/>
  <c r="D61" i="7"/>
  <c r="C14" i="31" s="1"/>
  <c r="C76" i="24"/>
  <c r="D121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K89" i="7" l="1"/>
  <c r="P71" i="3"/>
  <c r="O71" i="3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29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3" i="7" s="1"/>
  <c r="H89" i="7" l="1"/>
  <c r="M71" i="3"/>
  <c r="L71" i="3" s="1"/>
  <c r="H94" i="7"/>
  <c r="H83" i="7"/>
  <c r="K83" i="7"/>
  <c r="P75" i="3"/>
  <c r="O75" i="3" s="1"/>
  <c r="K97" i="7"/>
  <c r="P74" i="3" s="1"/>
  <c r="O74" i="3" s="1"/>
  <c r="N97" i="7"/>
  <c r="N94" i="7"/>
  <c r="H102" i="7"/>
  <c r="M76" i="3" s="1"/>
  <c r="L76" i="3" s="1"/>
  <c r="M75" i="3"/>
  <c r="L75" i="3" s="1"/>
  <c r="N102" i="7"/>
  <c r="R76" i="3" s="1"/>
  <c r="K102" i="7"/>
  <c r="P76" i="3" s="1"/>
  <c r="O76" i="3" s="1"/>
  <c r="R74" i="3"/>
  <c r="N100" i="7"/>
  <c r="R75" i="3" s="1"/>
  <c r="H97" i="7"/>
  <c r="M74" i="3" s="1"/>
  <c r="L74" i="3" s="1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4" i="7" s="1"/>
  <c r="F194" i="15"/>
  <c r="F151" i="15"/>
  <c r="F185" i="15" s="1"/>
  <c r="F125" i="15"/>
  <c r="F122" i="15" s="1"/>
  <c r="H85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5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N12" i="7"/>
  <c r="L32" i="31" s="1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N15" i="7"/>
  <c r="H15" i="7"/>
  <c r="K15" i="7"/>
  <c r="F192" i="15"/>
  <c r="H110" i="7" s="1"/>
  <c r="I271" i="15"/>
  <c r="I269" i="15" s="1"/>
  <c r="K134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5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4" i="7" s="1"/>
  <c r="L154" i="15"/>
  <c r="L17" i="15"/>
  <c r="L15" i="15" s="1"/>
  <c r="L125" i="15"/>
  <c r="L122" i="15" s="1"/>
  <c r="N85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29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4" i="7" l="1"/>
  <c r="N81" i="7"/>
  <c r="N79" i="7"/>
  <c r="K81" i="7"/>
  <c r="K79" i="7"/>
  <c r="E36" i="30"/>
  <c r="E34" i="31"/>
  <c r="M36" i="30"/>
  <c r="M34" i="31"/>
  <c r="I36" i="30"/>
  <c r="I34" i="31"/>
  <c r="F261" i="15"/>
  <c r="F256" i="15" s="1"/>
  <c r="L175" i="15"/>
  <c r="L253" i="15" s="1"/>
  <c r="N92" i="7" s="1"/>
  <c r="K16" i="30" s="1"/>
  <c r="I175" i="15"/>
  <c r="I253" i="15" s="1"/>
  <c r="K92" i="7" s="1"/>
  <c r="G16" i="30" s="1"/>
  <c r="F253" i="15"/>
  <c r="H92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0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5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L72" i="15" s="1"/>
  <c r="L71" i="15" s="1"/>
  <c r="I52" i="15"/>
  <c r="I56" i="15" s="1"/>
  <c r="N95" i="7"/>
  <c r="N64" i="7"/>
  <c r="N56" i="7"/>
  <c r="N41" i="7"/>
  <c r="N84" i="7" l="1"/>
  <c r="F257" i="15"/>
  <c r="F231" i="15"/>
  <c r="F232" i="15" s="1"/>
  <c r="F225" i="15" s="1"/>
  <c r="F118" i="15" s="1"/>
  <c r="F117" i="15" s="1"/>
  <c r="K84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231" i="15" s="1"/>
  <c r="I232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6" i="7"/>
  <c r="H107" i="7" s="1"/>
  <c r="E42" i="31" s="1"/>
  <c r="F189" i="15"/>
  <c r="F276" i="15"/>
  <c r="K110" i="7"/>
  <c r="F73" i="15"/>
  <c r="F59" i="15" s="1"/>
  <c r="O276" i="15"/>
  <c r="L276" i="15"/>
  <c r="L74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L58" i="15"/>
  <c r="L45" i="15" s="1"/>
  <c r="L42" i="15" s="1"/>
  <c r="N17" i="7" s="1"/>
  <c r="I57" i="15"/>
  <c r="I50" i="15" s="1"/>
  <c r="I49" i="15"/>
  <c r="I72" i="15" s="1"/>
  <c r="F43" i="15"/>
  <c r="F40" i="15" s="1"/>
  <c r="F259" i="15" l="1"/>
  <c r="F266" i="15" s="1"/>
  <c r="F264" i="15" s="1"/>
  <c r="H133" i="7" s="1"/>
  <c r="D48" i="31" s="1"/>
  <c r="E49" i="31" s="1"/>
  <c r="E44" i="30"/>
  <c r="M37" i="30"/>
  <c r="M35" i="31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I225" i="15"/>
  <c r="I118" i="15" s="1"/>
  <c r="I117" i="15" s="1"/>
  <c r="K68" i="7" s="1"/>
  <c r="K69" i="7" s="1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F111" i="15"/>
  <c r="F109" i="15" s="1"/>
  <c r="H62" i="7" s="1"/>
  <c r="N106" i="7"/>
  <c r="N107" i="7" s="1"/>
  <c r="M42" i="31" s="1"/>
  <c r="N18" i="7"/>
  <c r="K106" i="7"/>
  <c r="K107" i="7" s="1"/>
  <c r="I42" i="31" s="1"/>
  <c r="I255" i="15"/>
  <c r="I205" i="15" s="1"/>
  <c r="K22" i="7" s="1"/>
  <c r="N44" i="3"/>
  <c r="I127" i="15"/>
  <c r="L43" i="15"/>
  <c r="L40" i="15" s="1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27" i="7" s="1"/>
  <c r="L77" i="15"/>
  <c r="I43" i="15"/>
  <c r="I40" i="15" s="1"/>
  <c r="I111" i="15" s="1"/>
  <c r="K17" i="7"/>
  <c r="I59" i="15"/>
  <c r="I70" i="15"/>
  <c r="H51" i="7"/>
  <c r="H127" i="7" s="1"/>
  <c r="G49" i="7"/>
  <c r="E276" i="15"/>
  <c r="O277" i="15"/>
  <c r="U277" i="15"/>
  <c r="K276" i="15"/>
  <c r="F260" i="15" l="1"/>
  <c r="F282" i="15" s="1"/>
  <c r="F129" i="15"/>
  <c r="F130" i="15" s="1"/>
  <c r="F131" i="15" s="1"/>
  <c r="H49" i="7" s="1"/>
  <c r="I37" i="30"/>
  <c r="I35" i="31"/>
  <c r="L266" i="15"/>
  <c r="L264" i="15" s="1"/>
  <c r="N133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2" i="7" s="1"/>
  <c r="N59" i="7"/>
  <c r="N60" i="7" s="1"/>
  <c r="I109" i="15"/>
  <c r="K62" i="7" s="1"/>
  <c r="K65" i="7" s="1"/>
  <c r="K66" i="7" s="1"/>
  <c r="I78" i="15"/>
  <c r="I264" i="15"/>
  <c r="K133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5" i="15"/>
  <c r="N19" i="7" s="1"/>
  <c r="L76" i="15"/>
  <c r="M76" i="15" s="1"/>
  <c r="I277" i="15"/>
  <c r="K51" i="7"/>
  <c r="K127" i="7" s="1"/>
  <c r="I160" i="15"/>
  <c r="I158" i="15" s="1"/>
  <c r="I156" i="15" s="1"/>
  <c r="U278" i="15"/>
  <c r="O278" i="15"/>
  <c r="N276" i="15"/>
  <c r="T276" i="15"/>
  <c r="H19" i="7" l="1"/>
  <c r="H20" i="7" s="1"/>
  <c r="H86" i="7"/>
  <c r="H91" i="7" s="1"/>
  <c r="H132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6" i="7"/>
  <c r="N91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2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6" i="7"/>
  <c r="K91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39" i="7"/>
  <c r="N140" i="7"/>
  <c r="N142" i="7"/>
  <c r="N141" i="7"/>
  <c r="R279" i="15"/>
  <c r="N144" i="7"/>
  <c r="N143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N25" i="7"/>
  <c r="M38" i="30"/>
  <c r="N43" i="7"/>
  <c r="N45" i="7" s="1"/>
  <c r="N47" i="7" s="1"/>
  <c r="M39" i="31" s="1"/>
  <c r="H47" i="7"/>
  <c r="E39" i="31" s="1"/>
  <c r="H25" i="7"/>
  <c r="K141" i="7"/>
  <c r="K140" i="7"/>
  <c r="K144" i="7"/>
  <c r="K139" i="7"/>
  <c r="K143" i="7"/>
  <c r="K142" i="7"/>
  <c r="E285" i="15"/>
  <c r="E286" i="15" s="1"/>
  <c r="E287" i="15" s="1"/>
  <c r="E288" i="15" s="1"/>
  <c r="E289" i="15" s="1"/>
  <c r="E290" i="15" s="1"/>
  <c r="E291" i="15" s="1"/>
  <c r="E292" i="15" s="1"/>
  <c r="E293" i="15" s="1"/>
  <c r="H142" i="7" s="1"/>
  <c r="I41" i="30" l="1"/>
  <c r="I39" i="31"/>
  <c r="E39" i="30"/>
  <c r="E37" i="31"/>
  <c r="D33" i="31" s="1"/>
  <c r="I39" i="30"/>
  <c r="I37" i="31"/>
  <c r="H33" i="31" s="1"/>
  <c r="M39" i="30"/>
  <c r="M37" i="31"/>
  <c r="L33" i="31" s="1"/>
  <c r="H109" i="7"/>
  <c r="H112" i="7" s="1"/>
  <c r="E43" i="31" s="1"/>
  <c r="D38" i="31" s="1"/>
  <c r="D57" i="31" s="1"/>
  <c r="E41" i="30"/>
  <c r="N26" i="7"/>
  <c r="L35" i="30" s="1"/>
  <c r="N109" i="7"/>
  <c r="N112" i="7" s="1"/>
  <c r="M43" i="31" s="1"/>
  <c r="L38" i="31" s="1"/>
  <c r="M41" i="30"/>
  <c r="H26" i="7"/>
  <c r="D35" i="30" s="1"/>
  <c r="K26" i="7"/>
  <c r="H35" i="30" s="1"/>
  <c r="K109" i="7"/>
  <c r="H140" i="7"/>
  <c r="H139" i="7"/>
  <c r="H141" i="7"/>
  <c r="H144" i="7"/>
  <c r="H143" i="7"/>
  <c r="C57" i="31" l="1"/>
  <c r="D58" i="31" s="1"/>
  <c r="E58" i="31" s="1"/>
  <c r="C63" i="31"/>
  <c r="D64" i="31" s="1"/>
  <c r="C68" i="31"/>
  <c r="D69" i="31" s="1"/>
  <c r="N123" i="7"/>
  <c r="K123" i="7"/>
  <c r="H123" i="7"/>
  <c r="N113" i="7"/>
  <c r="D68" i="31" s="1"/>
  <c r="H113" i="7"/>
  <c r="K112" i="7"/>
  <c r="I43" i="31" s="1"/>
  <c r="H38" i="31" s="1"/>
  <c r="L47" i="30" l="1"/>
  <c r="L45" i="31"/>
  <c r="E69" i="31"/>
  <c r="D47" i="30"/>
  <c r="D45" i="31"/>
  <c r="H47" i="30"/>
  <c r="H45" i="31"/>
  <c r="N119" i="7"/>
  <c r="L40" i="30"/>
  <c r="M45" i="30"/>
  <c r="E45" i="30"/>
  <c r="D40" i="30"/>
  <c r="K113" i="7"/>
  <c r="H116" i="7"/>
  <c r="H118" i="7" s="1"/>
  <c r="N116" i="7"/>
  <c r="H119" i="7"/>
  <c r="W4" i="7"/>
  <c r="F63" i="31" l="1"/>
  <c r="F68" i="31"/>
  <c r="F57" i="31"/>
  <c r="D63" i="31"/>
  <c r="E64" i="31" s="1"/>
  <c r="K116" i="7"/>
  <c r="K118" i="7" s="1"/>
  <c r="I45" i="30"/>
  <c r="H40" i="30"/>
  <c r="N118" i="7"/>
  <c r="N120" i="7" s="1"/>
  <c r="L44" i="31" s="1"/>
  <c r="H120" i="7"/>
  <c r="D44" i="31" s="1"/>
  <c r="K119" i="7"/>
  <c r="E57" i="31" l="1"/>
  <c r="F58" i="31" s="1"/>
  <c r="D46" i="31"/>
  <c r="E47" i="31" s="1"/>
  <c r="E68" i="31"/>
  <c r="F69" i="31" s="1"/>
  <c r="L46" i="31"/>
  <c r="M47" i="31" s="1"/>
  <c r="K120" i="7"/>
  <c r="N125" i="7"/>
  <c r="L46" i="30"/>
  <c r="L48" i="30" s="1"/>
  <c r="H125" i="7"/>
  <c r="H2" i="7" s="1"/>
  <c r="H3" i="7" s="1"/>
  <c r="H4" i="7" s="1"/>
  <c r="D46" i="30"/>
  <c r="D48" i="30" s="1"/>
  <c r="N2" i="7" l="1"/>
  <c r="N3" i="7" s="1"/>
  <c r="N4" i="7" s="1"/>
  <c r="H46" i="30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5" i="7"/>
  <c r="K2" i="7" s="1"/>
  <c r="K3" i="7" s="1"/>
  <c r="K4" i="7" s="1"/>
  <c r="H130" i="7"/>
  <c r="H131" i="7" s="1"/>
  <c r="N130" i="7"/>
  <c r="N131" i="7" s="1"/>
  <c r="E46" i="30"/>
  <c r="E47" i="30"/>
  <c r="M46" i="30"/>
  <c r="M47" i="30"/>
  <c r="I46" i="30" l="1"/>
  <c r="E63" i="31"/>
  <c r="F64" i="31" s="1"/>
  <c r="H46" i="31"/>
  <c r="I47" i="31" s="1"/>
  <c r="K130" i="7"/>
  <c r="K131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>
  <authors>
    <author>R. Böse</author>
    <author>Rainer Böse</author>
  </authors>
  <commentList>
    <comment ref="I2" authorId="0" shapeId="0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Rainer Böse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Rainer Böse</author>
    <author>R. Böse</author>
  </authors>
  <commentList>
    <comment ref="C3" authorId="0" shapeId="0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Rainer Böse</author>
    <author>R. Böse</author>
  </authors>
  <commentList>
    <comment ref="E3" authorId="0" shapeId="0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>
  <connection id="1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<sst xmlns="http://schemas.openxmlformats.org/spreadsheetml/2006/main" count="3257" uniqueCount="1002">
  <si>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</si>
  <si>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</si>
  <si>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</si>
  <si>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</si>
  <si>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</si>
  <si>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</si>
  <si>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</si>
  <si>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</si>
  <si>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</si>
  <si>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</si>
  <si>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</si>
  <si>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</si>
  <si>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</si>
  <si>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</si>
  <si>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</si>
  <si>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</si>
  <si>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</si>
  <si>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</si>
  <si>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</si>
  <si>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</si>
  <si>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</si>
  <si>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</si>
  <si>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</si>
  <si>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</si>
  <si>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</si>
  <si>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</si>
  <si>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</si>
  <si>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</si>
  <si>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</si>
  <si>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</si>
  <si>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</si>
  <si>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</si>
  <si>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</si>
  <si>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</si>
  <si>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</si>
  <si>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</si>
  <si>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</si>
  <si>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</si>
  <si>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</si>
  <si>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</si>
  <si>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</si>
  <si>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</si>
  <si>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</si>
  <si>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</si>
  <si>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</si>
  <si>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</si>
  <si>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</si>
  <si>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</si>
  <si>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</si>
  <si>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</si>
  <si>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</si>
  <si>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</si>
  <si>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</si>
  <si>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</si>
  <si>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</si>
  <si>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</si>
  <si>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</si>
  <si>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</si>
  <si>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</si>
  <si>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</si>
  <si>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</si>
  <si>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</si>
  <si>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</si>
  <si>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</si>
  <si>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</si>
  <si>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</si>
  <si>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</si>
  <si>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</si>
  <si>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</si>
  <si>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</si>
  <si>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</si>
  <si>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</si>
  <si>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</si>
  <si>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</si>
  <si>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</si>
  <si>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</si>
  <si>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</si>
  <si>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</si>
  <si>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</si>
  <si>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</si>
  <si>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</si>
  <si>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</si>
  <si>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</si>
  <si>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</si>
  <si>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</si>
  <si>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</si>
  <si>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</si>
  <si>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</si>
  <si>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</si>
  <si>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</si>
  <si>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</si>
  <si>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</si>
  <si>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</si>
  <si>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</si>
  <si>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</si>
  <si>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</si>
  <si>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</si>
  <si>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</si>
  <si>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</si>
  <si>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</si>
  <si>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</si>
  <si>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</si>
  <si>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</si>
  <si>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</si>
  <si>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</si>
  <si>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</si>
  <si>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</si>
  <si>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</si>
  <si>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</si>
  <si>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</si>
  <si>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</si>
  <si>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</si>
  <si>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</si>
  <si>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</si>
  <si>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</si>
  <si>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</si>
  <si>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</si>
  <si>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</si>
  <si>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</si>
  <si>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</si>
  <si>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</si>
  <si>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</si>
  <si>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</si>
  <si>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</si>
  <si>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</si>
  <si>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</si>
  <si>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</si>
  <si>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</si>
  <si>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</si>
  <si>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</si>
  <si>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</si>
  <si>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</si>
  <si>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</si>
  <si>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</si>
  <si>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</si>
  <si>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</si>
  <si>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</si>
  <si>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</si>
  <si>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</si>
  <si>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</si>
  <si>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</si>
  <si>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</si>
  <si>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</si>
  <si>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</si>
  <si>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</si>
  <si>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</si>
  <si>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</si>
  <si>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</si>
  <si>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</si>
  <si>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</si>
  <si>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</si>
  <si>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</si>
  <si>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</si>
  <si>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</si>
  <si>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</si>
  <si>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</si>
  <si>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</si>
  <si>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</si>
  <si>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</si>
  <si>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</si>
  <si>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</si>
  <si>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</si>
  <si>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</si>
  <si>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</si>
  <si>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</si>
  <si>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</si>
  <si>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</si>
  <si>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</si>
  <si>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</si>
  <si>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</si>
  <si>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</si>
  <si>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</si>
  <si>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</si>
  <si>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</si>
  <si>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</si>
  <si>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</si>
  <si>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</si>
  <si>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</si>
  <si>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</si>
  <si>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</si>
  <si>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</si>
  <si>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</si>
  <si>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</si>
  <si>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</si>
  <si>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</si>
  <si>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</si>
  <si>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</si>
  <si>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</si>
  <si>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</si>
  <si>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</si>
  <si>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</si>
  <si>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</si>
  <si>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</si>
  <si>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</si>
  <si>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</si>
  <si>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</si>
  <si>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</si>
  <si>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</si>
  <si>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</si>
  <si>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</si>
  <si>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</si>
  <si>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</si>
  <si>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</si>
  <si>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</si>
  <si>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</si>
  <si>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</si>
  <si>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</si>
  <si>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</si>
  <si>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</si>
  <si>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</si>
  <si>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</si>
  <si>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</si>
  <si>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</si>
  <si>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</si>
  <si>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</si>
  <si>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</si>
  <si>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</si>
  <si>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</si>
  <si>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</si>
  <si>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</si>
  <si>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</si>
  <si>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</si>
  <si>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</si>
  <si>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</si>
  <si>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</si>
  <si>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</si>
  <si>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</si>
  <si>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</si>
  <si>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</si>
  <si>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</si>
  <si>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</si>
  <si>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</si>
  <si>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</si>
  <si>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</si>
  <si>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</si>
  <si>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</si>
  <si>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</si>
  <si>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</si>
  <si>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</si>
  <si>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</si>
  <si>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</si>
  <si>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</si>
  <si>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</si>
  <si>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</si>
  <si>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</si>
  <si>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</si>
  <si>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</si>
  <si>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</si>
  <si>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</si>
  <si>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</si>
  <si>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</si>
  <si>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</si>
  <si>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</si>
  <si>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</si>
  <si>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</si>
  <si>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</si>
  <si>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</si>
  <si>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</si>
  <si>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</si>
  <si>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</si>
  <si>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</si>
  <si>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</si>
  <si>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</si>
  <si>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</si>
  <si>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</si>
  <si>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</si>
  <si>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</si>
  <si>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</si>
  <si>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</si>
  <si>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</si>
  <si>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</si>
  <si>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</si>
  <si>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</si>
  <si>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</si>
  <si>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</si>
  <si>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</si>
  <si>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</si>
  <si>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</si>
  <si>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</si>
  <si>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</si>
  <si>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</si>
  <si>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</si>
  <si>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</si>
  <si>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</si>
  <si>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</si>
  <si>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</si>
  <si>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</si>
  <si>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</si>
  <si>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</si>
  <si>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</si>
  <si>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</si>
  <si>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</si>
  <si>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</si>
  <si>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</si>
  <si>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</si>
  <si>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</si>
  <si>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</si>
  <si>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</si>
  <si>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</si>
  <si>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</si>
  <si>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</si>
  <si>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</si>
  <si>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</si>
  <si>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</si>
  <si>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</si>
  <si>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</si>
  <si>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</si>
  <si>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</si>
  <si>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</si>
  <si>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</si>
  <si>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</si>
  <si>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</si>
  <si>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</si>
  <si>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</si>
  <si>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</si>
  <si>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</si>
  <si>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</si>
  <si>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</si>
  <si>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</si>
  <si>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</si>
  <si>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</si>
  <si>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</si>
  <si>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</si>
  <si>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</si>
  <si>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</si>
  <si>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</si>
  <si>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</si>
  <si>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</si>
  <si>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</si>
  <si>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</si>
  <si>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</si>
  <si>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</si>
  <si>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</si>
  <si>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</si>
  <si>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</si>
  <si>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</si>
  <si>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</si>
  <si>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</si>
  <si>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</si>
  <si>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</si>
  <si>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</si>
  <si>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</si>
  <si>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</si>
  <si>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</si>
  <si>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</si>
  <si>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</si>
  <si>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</si>
  <si>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</si>
  <si>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</si>
  <si>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</si>
  <si>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</si>
  <si>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</si>
  <si>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</si>
  <si>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</si>
  <si>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</si>
  <si>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</si>
  <si>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</si>
  <si>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</si>
  <si>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</si>
  <si>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</si>
  <si>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</si>
  <si>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</si>
  <si>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</si>
  <si>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</si>
  <si>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</si>
  <si>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</si>
  <si>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</si>
  <si>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</si>
  <si>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</si>
  <si>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</si>
  <si>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</si>
  <si>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</si>
  <si>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</si>
  <si>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</si>
  <si>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</si>
  <si>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</si>
  <si>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</si>
  <si>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</si>
  <si>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</si>
  <si>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</si>
  <si>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</si>
  <si>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</si>
  <si>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</si>
  <si>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</si>
  <si>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</si>
  <si>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</si>
  <si>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</si>
  <si>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</si>
  <si>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</si>
  <si>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</si>
  <si>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</si>
  <si>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</si>
  <si>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</si>
  <si>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</si>
  <si>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</si>
  <si>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</si>
  <si>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</si>
  <si>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</si>
  <si>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</si>
  <si>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</si>
  <si>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</si>
  <si>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</si>
  <si>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</si>
  <si>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</si>
  <si>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</si>
  <si>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</si>
  <si>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</si>
  <si>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</si>
  <si>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</si>
  <si>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</si>
  <si>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</si>
  <si>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</si>
  <si>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</si>
  <si>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</si>
  <si>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</si>
  <si>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</si>
  <si>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</si>
  <si>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</si>
  <si>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</si>
  <si>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</si>
  <si>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</si>
  <si>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</si>
  <si>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</si>
  <si>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</si>
  <si>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</si>
  <si>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</si>
  <si>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</si>
  <si>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</si>
  <si>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</si>
  <si>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</si>
  <si>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</si>
  <si>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</si>
  <si>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</si>
  <si>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</si>
  <si>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</si>
  <si>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</si>
  <si>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</si>
  <si>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</si>
  <si>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</si>
  <si>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</si>
  <si>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</si>
  <si>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</si>
  <si>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</si>
  <si>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</si>
  <si>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</si>
  <si>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</si>
  <si>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</si>
  <si>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</si>
  <si>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</si>
  <si>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</si>
  <si>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</si>
  <si>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</si>
  <si>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</si>
  <si>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</si>
  <si>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</si>
  <si>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</si>
  <si>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</si>
  <si>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</si>
  <si>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</si>
  <si>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</si>
  <si>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</si>
  <si>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</si>
  <si>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</si>
  <si>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</si>
  <si>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</si>
  <si>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</si>
  <si>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</si>
  <si>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</si>
  <si>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</si>
  <si>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</si>
  <si>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</si>
  <si>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</si>
  <si>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</si>
  <si>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</si>
  <si>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</si>
  <si>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</si>
  <si>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</si>
  <si>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</si>
  <si>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</si>
  <si>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</si>
  <si>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</si>
  <si>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</si>
  <si>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</si>
  <si>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</si>
  <si>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</si>
  <si>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</si>
  <si>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</si>
  <si>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</si>
  <si>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</si>
  <si>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</si>
  <si>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</si>
  <si>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</si>
  <si>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</si>
  <si>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</si>
  <si>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</si>
  <si>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</si>
  <si>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</si>
  <si>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</si>
  <si>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</si>
  <si>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</si>
  <si>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</si>
  <si>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</si>
  <si>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</si>
  <si>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</si>
  <si>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</si>
  <si>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</si>
  <si>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</si>
  <si>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</si>
  <si>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</si>
  <si>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</si>
  <si>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</si>
  <si>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</si>
  <si>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</si>
  <si>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</si>
  <si>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</si>
  <si>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</si>
  <si>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</si>
  <si>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</si>
  <si>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</si>
  <si>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</si>
  <si>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</si>
  <si>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</si>
  <si>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</si>
  <si>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</si>
  <si>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</si>
  <si>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</si>
  <si>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</si>
  <si>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</si>
  <si>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</si>
  <si>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</si>
  <si>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</si>
  <si>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</si>
  <si>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</si>
  <si>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</si>
  <si>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</si>
  <si>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</si>
  <si>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</si>
  <si>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</si>
  <si>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</si>
  <si>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</si>
  <si>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</si>
  <si>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</si>
  <si>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</si>
  <si>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</si>
  <si>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</si>
  <si>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</si>
  <si>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</si>
  <si>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</si>
  <si>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</si>
  <si>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</si>
  <si>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</si>
  <si>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</si>
  <si>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</si>
  <si>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</si>
  <si>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</si>
  <si>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</si>
  <si>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</si>
  <si>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</si>
  <si>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</si>
  <si>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</si>
  <si>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</si>
  <si>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</si>
  <si>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</si>
  <si>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</si>
  <si>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</si>
  <si>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</si>
  <si>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</si>
  <si>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</si>
  <si>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</si>
  <si>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</si>
  <si>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</si>
  <si>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</si>
  <si>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</si>
  <si>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</si>
  <si>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</si>
  <si>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</si>
  <si>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</si>
  <si>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</si>
  <si>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</si>
  <si>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</si>
  <si>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</si>
  <si>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</si>
  <si>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</si>
  <si>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</si>
  <si>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</si>
  <si>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</si>
  <si>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</si>
  <si>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</si>
  <si>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</si>
  <si>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</si>
  <si>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</si>
  <si>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</si>
  <si>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</si>
  <si>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</si>
  <si>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</si>
  <si>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</si>
  <si>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</si>
  <si>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</si>
  <si>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</si>
  <si>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</si>
  <si>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</si>
  <si>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</si>
  <si>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</si>
  <si>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</si>
  <si>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</si>
  <si>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</si>
  <si>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</si>
  <si>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</si>
  <si>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</si>
  <si>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</si>
  <si>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</si>
  <si>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</si>
  <si>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</si>
  <si>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</si>
  <si>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</si>
  <si>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</si>
  <si>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</si>
  <si>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</si>
  <si>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</si>
  <si>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</si>
  <si>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</si>
  <si>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</si>
  <si>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</si>
  <si>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</si>
  <si>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</si>
  <si>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</si>
  <si>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</si>
  <si>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</si>
  <si>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</si>
  <si>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</si>
  <si>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</si>
  <si>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</si>
  <si>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</si>
  <si>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</si>
  <si>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</si>
  <si>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</si>
  <si>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</si>
  <si>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</si>
  <si>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</si>
  <si>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</si>
  <si>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</si>
  <si>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</si>
  <si>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</si>
  <si>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</si>
  <si>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</si>
  <si>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</si>
  <si>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</si>
  <si>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</si>
  <si>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</si>
  <si>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</si>
  <si>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</si>
  <si>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</si>
  <si>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</si>
  <si>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</si>
  <si>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</si>
  <si>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</si>
  <si>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</si>
  <si>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</si>
  <si>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</si>
  <si>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</si>
  <si>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</si>
  <si>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</si>
  <si>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</si>
  <si>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</si>
  <si>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</si>
  <si>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</si>
  <si>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</si>
  <si>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</si>
  <si>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</si>
  <si>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</si>
  <si>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</si>
  <si>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</si>
  <si>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</si>
  <si>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</si>
  <si>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</si>
  <si>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</si>
  <si>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</si>
  <si>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</si>
  <si>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</si>
  <si>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</si>
  <si>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</si>
  <si>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</si>
  <si>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</si>
  <si>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</si>
  <si>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</si>
  <si>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</si>
  <si>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</si>
  <si>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</si>
  <si>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</si>
  <si>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</si>
  <si>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</si>
  <si>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</si>
  <si>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</si>
  <si>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</si>
  <si>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</si>
  <si>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</si>
  <si>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</si>
  <si>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</si>
  <si>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</si>
  <si>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</si>
  <si>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</si>
  <si>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</si>
  <si>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</si>
  <si>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</si>
  <si>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</si>
  <si>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</si>
  <si>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</si>
  <si>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</si>
  <si>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</si>
  <si>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</si>
  <si>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</si>
  <si>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</si>
  <si>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</si>
  <si>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</si>
  <si>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</si>
  <si>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</si>
  <si>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</si>
  <si>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</si>
  <si>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</si>
  <si>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</si>
  <si>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</si>
  <si>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</si>
  <si>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</si>
  <si>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</si>
  <si>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</si>
  <si>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</si>
  <si>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</si>
  <si>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</si>
  <si>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</si>
  <si>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</si>
  <si>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</si>
  <si>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</si>
  <si>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</si>
  <si>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</si>
  <si>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</si>
  <si>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</si>
  <si>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</si>
  <si>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</si>
  <si>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</si>
  <si>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</si>
  <si>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</si>
  <si>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</si>
  <si>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</si>
  <si>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</si>
  <si>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</si>
  <si>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</si>
  <si>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</si>
  <si>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</si>
  <si>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</si>
  <si>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</si>
  <si>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</si>
  <si>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</si>
  <si>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</si>
  <si>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</si>
  <si>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</si>
  <si>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</si>
  <si>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</si>
  <si>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</si>
  <si>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</si>
  <si>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</si>
  <si>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</si>
  <si>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</si>
  <si>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</si>
  <si>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</si>
  <si>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</si>
  <si>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</si>
  <si>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</si>
  <si>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</si>
  <si>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</si>
  <si>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</si>
  <si>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</si>
  <si>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</si>
  <si>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</si>
  <si>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</si>
  <si>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</si>
  <si>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</si>
  <si>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</si>
  <si>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</si>
  <si>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</si>
  <si>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</si>
  <si>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</si>
  <si>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</si>
  <si>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</si>
  <si>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</si>
  <si>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</si>
  <si>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</si>
  <si>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</si>
  <si>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</si>
  <si>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</si>
  <si>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</si>
  <si>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</si>
  <si>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</si>
  <si>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</si>
  <si>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</si>
  <si>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</si>
  <si>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</si>
  <si>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</si>
  <si>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</si>
  <si>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</si>
  <si>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</si>
  <si>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</si>
  <si>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</si>
  <si>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</si>
  <si>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</si>
  <si>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</si>
  <si>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</si>
  <si>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</si>
  <si>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</si>
  <si>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</si>
  <si>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</si>
  <si>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</si>
  <si>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</si>
  <si>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</si>
  <si>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</si>
  <si>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</si>
  <si>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</si>
  <si>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</si>
  <si>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</si>
  <si>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</si>
  <si>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</si>
  <si>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</si>
  <si>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</si>
  <si>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</si>
  <si>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</si>
  <si>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</si>
  <si>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</si>
  <si>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</si>
  <si>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</si>
  <si>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</si>
  <si>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</si>
  <si>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</si>
  <si>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</si>
  <si>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</si>
  <si>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</si>
  <si>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</si>
  <si>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</si>
  <si>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</si>
  <si>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</si>
  <si>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</si>
  <si>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</si>
  <si>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</si>
  <si>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</si>
  <si>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</si>
  <si>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</si>
  <si>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</si>
  <si>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</si>
  <si>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</si>
  <si>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</si>
  <si>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</si>
  <si>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</si>
  <si>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</si>
  <si>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</si>
  <si>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</si>
  <si>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</si>
  <si>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</si>
  <si>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</si>
  <si>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</si>
  <si>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</si>
  <si>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</si>
  <si>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</si>
  <si>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</si>
  <si>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</si>
  <si>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</si>
  <si>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</si>
  <si>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</si>
  <si>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</si>
  <si>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</si>
  <si>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</si>
  <si>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</si>
  <si>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</si>
  <si>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</si>
  <si>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</si>
  <si>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</si>
  <si>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</si>
  <si>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</si>
  <si>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</si>
  <si>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</si>
  <si>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</si>
  <si>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</si>
  <si>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</si>
  <si>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</si>
  <si>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</si>
  <si>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</si>
  <si>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</si>
  <si>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</si>
  <si>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</si>
  <si>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</si>
  <si>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</si>
  <si>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</si>
  <si>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</si>
  <si>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</si>
  <si>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</si>
  <si>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</si>
  <si>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</si>
  <si>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</si>
  <si>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</si>
  <si>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</si>
  <si>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</si>
  <si>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</si>
  <si>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</si>
  <si>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</si>
  <si>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</si>
  <si>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</si>
  <si>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</si>
  <si>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</si>
  <si>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</si>
  <si>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</si>
  <si>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</si>
  <si>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</si>
  <si>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</si>
  <si>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</si>
  <si>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</si>
  <si>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</si>
  <si>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</si>
  <si>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</si>
  <si>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</si>
  <si>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</si>
  <si>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</si>
  <si>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</si>
  <si>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</si>
  <si>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</si>
  <si>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</si>
  <si>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</si>
  <si>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</si>
  <si>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</si>
  <si>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</si>
  <si>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</si>
  <si>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</si>
  <si>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</si>
  <si>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</si>
  <si>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</si>
  <si>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</si>
  <si>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</si>
  <si>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</si>
  <si>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</si>
  <si>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</si>
  <si>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</si>
  <si>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</si>
  <si>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</si>
  <si>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</si>
  <si>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</si>
  <si>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</si>
  <si>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</si>
  <si>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</si>
  <si>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</si>
  <si>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</si>
  <si>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</si>
  <si>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</si>
  <si>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</si>
  <si>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</si>
  <si>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</si>
  <si>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</si>
  <si>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</si>
  <si>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</si>
  <si>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</si>
  <si>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</si>
  <si>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</si>
  <si>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</si>
  <si>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</si>
  <si>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</si>
  <si>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</si>
  <si>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</si>
  <si>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</si>
  <si>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</si>
  <si>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</si>
  <si>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</si>
  <si>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</si>
  <si>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</si>
  <si>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</si>
  <si>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</si>
  <si>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</si>
  <si>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</si>
  <si>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</si>
  <si>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</si>
  <si>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</si>
  <si>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</si>
  <si>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</si>
  <si>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</si>
  <si>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</si>
  <si>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</si>
  <si>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</si>
  <si>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</si>
  <si>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</si>
  <si>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</si>
  <si>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</si>
  <si>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</si>
  <si>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</si>
  <si>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</si>
  <si>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</si>
  <si>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</si>
  <si>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</si>
  <si>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</si>
  <si>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</si>
  <si>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Auf 0 geändert (27.09.21 ra)</t>
  </si>
  <si>
    <t>PT Manuell</t>
  </si>
  <si>
    <t xml:space="preserve">PT Automatik </t>
  </si>
  <si>
    <t>Machine Invest</t>
  </si>
  <si>
    <t>VT-Prüfung</t>
  </si>
  <si>
    <t>Farbeindringprüfung/PT</t>
  </si>
  <si>
    <t>Feinputz-Platz</t>
  </si>
  <si>
    <t>kWh/kg</t>
  </si>
  <si>
    <t>kg/Jahr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</si>
</sst>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4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166" fontId="6" fillId="22" borderId="9" xfId="0" applyNumberFormat="1" applyFont="1" applyFill="1" applyBorder="1" applyAlignment="1" applyProtection="1">
      <alignment horizontal="center"/>
    </xf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174" fontId="6" fillId="5" borderId="9" xfId="7" applyNumberFormat="1" applyFont="1" applyFill="1" applyBorder="1" applyAlignment="1" applyProtection="1">
      <alignment horizontal="center"/>
      <protection locked="0"/>
    </xf>
  </cellXfs>
  <cellStyles count="18">
    <cellStyle name="Bad" xfId="6" builtinId="27"/>
    <cellStyle name="Comma" xfId="3" builtinId="3"/>
    <cellStyle name="Currency" xfId="7" builtinId="4"/>
    <cellStyle name="Euro" xfId="1"/>
    <cellStyle name="Good" xfId="2" builtinId="26"/>
    <cellStyle name="Komma 2" xfId="9"/>
    <cellStyle name="Komma 3" xfId="16"/>
    <cellStyle name="Normal" xfId="0" builtinId="0"/>
    <cellStyle name="Note" xfId="4" builtinId="10"/>
    <cellStyle name="Percent" xfId="5" builtinId="5"/>
    <cellStyle name="Prozent 2" xfId="10"/>
    <cellStyle name="Prozent 3" xfId="14"/>
    <cellStyle name="Standard 2" xfId="8"/>
    <cellStyle name="Standard 3" xfId="11"/>
    <cellStyle name="Standard 4" xfId="13"/>
    <cellStyle name="Standard 4 2" xfId="17"/>
    <cellStyle name="Währung 2" xfId="12"/>
    <cellStyle name="Währung 3" xfId="15"/>
  </cellStyles>
  <dxfs count="172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FFCC"/>
      <color rgb="FFFFCCCC"/>
      <color rgb="FFFFFF99"/>
      <color rgb="FF00CCFF"/>
      <color rgb="FF00FF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DD3-4131-B56E-381E3A3C519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16.503044154272455</c:v>
                </c:pt>
                <c:pt idx="5">
                  <c:v>86.188630544500256</c:v>
                </c:pt>
                <c:pt idx="11">
                  <c:v>19.218091407412746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16.70658437260284</c:v>
                </c:pt>
                <c:pt idx="11">
                  <c:v>4.8619762575854573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#N/A</c:v>
                </c:pt>
                <c:pt idx="5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4" name="Rectangle 3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xmlns="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xmlns="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xmlns="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xmlns="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xmlns="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xmlns="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xmlns="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xmlns="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xmlns="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xmlns="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xmlns="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xmlns="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xmlns="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xmlns="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xmlns="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xmlns="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xmlns="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xmlns="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xmlns="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xmlns="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xmlns="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xmlns="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xmlns="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xmlns="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xmlns="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xmlns="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xmlns="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name="ExterneDaten_1" connectionId="4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name="ExterneDaten_3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name="ExterneDaten_4" connectionId="3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0__2" displayName="Table_0__2" ref="A2:I5" tableType="queryTable" totalsRowShown="0" headerRowDxfId="26" dataDxfId="25">
  <autoFilter ref="A2:I5"/>
  <tableColumns count="9">
    <tableColumn id="1" uniqueName="1" name="Contract" queryTableFieldId="1" dataDxfId="24"/>
    <tableColumn id="2" uniqueName="2" name="Bid (US$ / Tonne)" queryTableFieldId="2" dataDxfId="23"/>
    <tableColumn id="3" uniqueName="3" name="Offer (US$ / Tonne)*" queryTableFieldId="3" dataDxfId="22"/>
    <tableColumn id="11" uniqueName="11" name="Spalte2" queryTableFieldId="11" dataDxfId="21"/>
    <tableColumn id="6" uniqueName="6" name="Exchange [$/€]" queryTableFieldId="6" dataDxfId="20">
      <calculatedColumnFormula>MID($B$9,1,6)</calculatedColumnFormula>
    </tableColumn>
    <tableColumn id="13" uniqueName="13" name="Abbrand" queryTableFieldId="4" dataDxfId="19"/>
    <tableColumn id="12" uniqueName="12" name="Premium_x000a_[€/t]" queryTableFieldId="5" dataDxfId="18"/>
    <tableColumn id="8" uniqueName="8" name="Alu-Alloy_x000a_3-months [$/kg]" queryTableFieldId="8" dataDxfId="17">
      <calculatedColumnFormula>(C3/100+G3*E3)/1000*(1+F3)</calculatedColumnFormula>
    </tableColumn>
    <tableColumn id="9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5" name="Börsenplätze_EUR_USD6" displayName="Börsenplätze_EUR_USD6" ref="A8:H13" tableType="queryTable" totalsRowShown="0">
  <autoFilter ref="A8:H13"/>
  <tableColumns count="8">
    <tableColumn id="1" uniqueName="1" name="Börsenplatz" queryTableFieldId="1" dataDxfId="15"/>
    <tableColumn id="2" uniqueName="2" name="Kurs" queryTableFieldId="2" dataDxfId="14"/>
    <tableColumn id="3" uniqueName="3" name="Diff. %" queryTableFieldId="3" dataDxfId="13"/>
    <tableColumn id="4" uniqueName="4" name="Datum" queryTableFieldId="4"/>
    <tableColumn id="5" uniqueName="5" name="Zeit" queryTableFieldId="5" dataDxfId="12"/>
    <tableColumn id="6" uniqueName="6" name="Eröffnung" queryTableFieldId="6" dataDxfId="11"/>
    <tableColumn id="7" uniqueName="7" name="T.-Hoch" queryTableFieldId="7" dataDxfId="10"/>
    <tableColumn id="8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le_0" displayName="Table_0" ref="A17:I21" tableType="queryTable" totalsRowShown="0">
  <autoFilter ref="A17:I21"/>
  <tableColumns count="9">
    <tableColumn id="1" uniqueName="1" name="Contract" queryTableFieldId="1" dataDxfId="8" dataCellStyle="Standard 4"/>
    <tableColumn id="2" uniqueName="2" name="Bid (US$ / Tonne)" queryTableFieldId="2" dataDxfId="7" dataCellStyle="Standard 4"/>
    <tableColumn id="3" uniqueName="3" name="Offer (US$ / Tonne)*" queryTableFieldId="3" dataDxfId="6" dataCellStyle="Standard 4"/>
    <tableColumn id="4" uniqueName="4" name="Spalte2" queryTableFieldId="4" dataDxfId="5" dataCellStyle="Standard 4"/>
    <tableColumn id="5" uniqueName="5" name="Exchange [$/€]" queryTableFieldId="5" dataDxfId="4" dataCellStyle="Standard 4">
      <calculatedColumnFormula>MID($B$9,1,6)</calculatedColumnFormula>
    </tableColumn>
    <tableColumn id="6" uniqueName="6" name="Abbrand" queryTableFieldId="6" dataDxfId="3" dataCellStyle="Prozent 3"/>
    <tableColumn id="7" uniqueName="7" name="Premium_x000a_[€/t]" queryTableFieldId="7" dataDxfId="2" dataCellStyle="Standard 4"/>
    <tableColumn id="8" uniqueName="8" name="Alu-Alloy_x000a_3-months [$/kg]" queryTableFieldId="8" dataDxfId="1" dataCellStyle="Währung 3">
      <calculatedColumnFormula>(C18/100+G18*E18)/1000*(1+F18)</calculatedColumnFormula>
    </tableColumn>
    <tableColumn id="9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defaultColWidth="11" defaultRowHeight="14.25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44491</v>
      </c>
      <c r="N3" s="958"/>
      <c r="O3" s="957"/>
    </row>
    <row r="4" spans="1:28" ht="20.25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e">
        <f>Refkalkulation!N7</f>
        <v>#N/A</v>
      </c>
      <c r="L10" s="1071"/>
      <c r="M10" s="1073"/>
      <c r="N10" s="958"/>
      <c r="O10" s="957"/>
    </row>
    <row r="11" spans="1:28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0</v>
      </c>
      <c r="M11" s="1065"/>
      <c r="N11" s="958"/>
      <c r="O11" s="957"/>
    </row>
    <row r="12" spans="1:28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ohne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>
        <f>'Quick Input'!S10</f>
        <v>0</v>
      </c>
      <c r="M30" s="1073"/>
      <c r="N30" s="958"/>
      <c r="O30" s="957"/>
    </row>
    <row r="31" spans="1:15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>
        <f>'Quick Input'!S11</f>
        <v>0</v>
      </c>
      <c r="M31" s="1089"/>
      <c r="N31" s="958"/>
      <c r="O31" s="957"/>
    </row>
    <row r="32" spans="1:15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0</v>
      </c>
      <c r="M32" s="1092"/>
      <c r="N32" s="958"/>
      <c r="O32" s="957"/>
    </row>
    <row r="33" spans="1:16" ht="15">
      <c r="A33" s="955"/>
      <c r="B33" s="958"/>
      <c r="C33" s="1093" t="str">
        <f>Refkalkulation!D9</f>
        <v>Materialien</v>
      </c>
      <c r="D33" s="1094">
        <f>SUM(E34:E37)</f>
        <v>16.503044154272455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 t="e">
        <f>SUM(M34:M37)</f>
        <v>#N/A</v>
      </c>
      <c r="M33" s="1095"/>
      <c r="N33" s="958"/>
      <c r="O33" s="957"/>
    </row>
    <row r="34" spans="1:16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0</v>
      </c>
      <c r="N34" s="992"/>
      <c r="O34" s="957"/>
    </row>
    <row r="35" spans="1:16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0.81107480677288102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 t="e">
        <f>Refkalkulation!N17</f>
        <v>#N/A</v>
      </c>
      <c r="N35" s="992"/>
      <c r="O35" s="957"/>
    </row>
    <row r="36" spans="1:16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4.6110675823957674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 t="e">
        <f>Refkalkulation!N23</f>
        <v>#N/A</v>
      </c>
      <c r="N36" s="992"/>
      <c r="O36" s="957"/>
    </row>
    <row r="37" spans="1:16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1.0796384026159551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 t="e">
        <f>Refkalkulation!N25</f>
        <v>#N/A</v>
      </c>
      <c r="N37" s="992"/>
      <c r="O37" s="957"/>
    </row>
    <row r="38" spans="1:16" ht="15">
      <c r="A38" s="955"/>
      <c r="B38" s="958"/>
      <c r="C38" s="1093" t="str">
        <f>Refkalkulation!D113</f>
        <v>Fertigungskosten gesamt</v>
      </c>
      <c r="D38" s="1094">
        <f>SUM(E39:E43)</f>
        <v>86.188630544500256</v>
      </c>
      <c r="E38" s="1102"/>
      <c r="F38" s="999"/>
      <c r="G38" s="1093" t="str">
        <f t="shared" si="0"/>
        <v>Fertigungskosten gesamt</v>
      </c>
      <c r="H38" s="1094">
        <f>SUM(I39:I43)</f>
        <v>16.70658437260284</v>
      </c>
      <c r="I38" s="1102"/>
      <c r="J38" s="999"/>
      <c r="K38" s="1093" t="str">
        <f t="shared" si="1"/>
        <v>Fertigungskosten gesamt</v>
      </c>
      <c r="L38" s="1094" t="e">
        <f>SUM(M39:M43)</f>
        <v>#N/A</v>
      </c>
      <c r="M38" s="1102"/>
      <c r="N38" s="999"/>
      <c r="O38" s="957"/>
    </row>
    <row r="39" spans="1:16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0.47684538443851526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 t="e">
        <f>Refkalkulation!N47</f>
        <v>#N/A</v>
      </c>
      <c r="N39" s="1003"/>
      <c r="O39" s="957"/>
    </row>
    <row r="40" spans="1:16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43.145413881307022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9.6532312146949977</v>
      </c>
      <c r="J40" s="1003"/>
      <c r="K40" s="1103" t="str">
        <f t="shared" si="1"/>
        <v xml:space="preserve">               Prozess Formen</v>
      </c>
      <c r="L40" s="1106"/>
      <c r="M40" s="1105" t="e">
        <f>Refkalkulation!N72</f>
        <v>#N/A</v>
      </c>
      <c r="N40" s="1003"/>
      <c r="O40" s="957"/>
    </row>
    <row r="41" spans="1:16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Refkalkulation!H91</f>
        <v>28.380809203791738</v>
      </c>
      <c r="F41" s="1003"/>
      <c r="G41" s="1103" t="str">
        <f t="shared" si="0"/>
        <v xml:space="preserve">               Nachbehandlung</v>
      </c>
      <c r="H41" s="1106"/>
      <c r="I41" s="1105">
        <f>Refkalkulation!K91</f>
        <v>1.4945328151684594</v>
      </c>
      <c r="J41" s="1003"/>
      <c r="K41" s="1103" t="str">
        <f t="shared" si="1"/>
        <v xml:space="preserve">               Nachbehandlung</v>
      </c>
      <c r="L41" s="1106"/>
      <c r="M41" s="1105" t="e">
        <f>Refkalkulation!N91</f>
        <v>#N/A</v>
      </c>
      <c r="N41" s="1003"/>
      <c r="O41" s="957"/>
    </row>
    <row r="42" spans="1:16">
      <c r="A42" s="955"/>
      <c r="B42" s="958"/>
      <c r="C42" s="1103" t="str">
        <f>CONCATENATE("               ",Refkalkulation!D92)</f>
        <v xml:space="preserve">               Prüfen</v>
      </c>
      <c r="D42" s="1106"/>
      <c r="E42" s="1105">
        <f>Refkalkulation!H107+Refkalkulation!H110/Refkalkulation!H61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Refkalkulation!K107+Refkalkulation!K110/Refkalkulation!K61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 t="e">
        <f>Refkalkulation!N107+Refkalkulation!N110/Refkalkulation!N61</f>
        <v>#N/A</v>
      </c>
      <c r="N42" s="1003"/>
      <c r="O42" s="957"/>
    </row>
    <row r="43" spans="1:16">
      <c r="A43" s="955"/>
      <c r="B43" s="958"/>
      <c r="C43" s="1103" t="str">
        <f>CONCATENATE("               ",Refkalkulation!D112)</f>
        <v xml:space="preserve">               Fertigungsgemeinkosten</v>
      </c>
      <c r="D43" s="1106"/>
      <c r="E43" s="1105">
        <f>Refkalkulation!H112</f>
        <v>7.8353300495000227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Refkalkulation!K112</f>
        <v>1.5187803975093492</v>
      </c>
      <c r="J43" s="1003"/>
      <c r="K43" s="1103" t="str">
        <f t="shared" si="1"/>
        <v xml:space="preserve">               Fertigungsgemeinkosten</v>
      </c>
      <c r="L43" s="1106"/>
      <c r="M43" s="1105" t="e">
        <f>Refkalkulation!N112</f>
        <v>#N/A</v>
      </c>
      <c r="N43" s="1003"/>
      <c r="O43" s="957"/>
    </row>
    <row r="44" spans="1:16">
      <c r="A44" s="955"/>
      <c r="B44" s="958"/>
      <c r="C44" s="1107" t="str">
        <f>Refkalkulation!D120</f>
        <v>Gesamtgemeinkosten</v>
      </c>
      <c r="D44" s="1108">
        <f>Refkalkulation!H120</f>
        <v>19.218091407412746</v>
      </c>
      <c r="E44" s="1109">
        <f>D44/D46</f>
        <v>0.15764193486084999</v>
      </c>
      <c r="F44" s="1003"/>
      <c r="G44" s="1107" t="str">
        <f t="shared" si="0"/>
        <v>Gesamtgemeinkosten</v>
      </c>
      <c r="H44" s="1108">
        <f>Refkalkulation!K120</f>
        <v>4.8619762575854573</v>
      </c>
      <c r="I44" s="1109">
        <f>H44/H46</f>
        <v>0.14199397534528835</v>
      </c>
      <c r="J44" s="958"/>
      <c r="K44" s="1107" t="str">
        <f t="shared" si="1"/>
        <v>Gesamtgemeinkosten</v>
      </c>
      <c r="L44" s="1108" t="e">
        <f>Refkalkulation!N120</f>
        <v>#N/A</v>
      </c>
      <c r="M44" s="1109" t="e">
        <f>L44/L46</f>
        <v>#N/A</v>
      </c>
      <c r="N44" s="958"/>
      <c r="O44" s="957"/>
    </row>
    <row r="45" spans="1:16" ht="18" customHeight="1">
      <c r="A45" s="955"/>
      <c r="B45" s="958"/>
      <c r="C45" s="1110" t="str">
        <f>Refkalkulation!D123</f>
        <v>Gesamtgewinn</v>
      </c>
      <c r="D45" s="1108">
        <f>Refkalkulation!H123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Refkalkulation!K123</f>
        <v>0</v>
      </c>
      <c r="I45" s="1111">
        <f>H45/H46</f>
        <v>0</v>
      </c>
      <c r="J45" s="958"/>
      <c r="K45" s="1110" t="str">
        <f t="shared" si="1"/>
        <v>Gesamtgewinn</v>
      </c>
      <c r="L45" s="1108" t="e">
        <f>Refkalkulation!N123</f>
        <v>#N/A</v>
      </c>
      <c r="M45" s="1111" t="e">
        <f>L45/L46</f>
        <v>#N/A</v>
      </c>
      <c r="N45" s="958"/>
      <c r="O45" s="957"/>
    </row>
    <row r="46" spans="1:16" ht="15">
      <c r="A46" s="955"/>
      <c r="B46" s="958"/>
      <c r="C46" s="1116" t="str">
        <f>Refkalkulation!D125</f>
        <v>Bauteilpreis gesamt</v>
      </c>
      <c r="D46" s="1112">
        <f>SUM(D33:D45)</f>
        <v>121.90976610618546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34.240722155729038</v>
      </c>
      <c r="I46" s="1113" t="s">
        <v>917</v>
      </c>
      <c r="J46" s="1075"/>
      <c r="K46" s="1116" t="str">
        <f t="shared" si="1"/>
        <v>Bauteilpreis gesamt</v>
      </c>
      <c r="L46" s="1112" t="e">
        <f>SUM(L33:L45)</f>
        <v>#N/A</v>
      </c>
      <c r="M46" s="1113" t="s">
        <v>917</v>
      </c>
      <c r="N46" s="1014"/>
      <c r="O46" s="957"/>
    </row>
    <row r="47" spans="1:16">
      <c r="A47" s="955"/>
      <c r="B47" s="958"/>
      <c r="C47" s="1117" t="str">
        <f>Refkalkulation!D129</f>
        <v>Zielpreis Bauteil</v>
      </c>
      <c r="D47" s="1114">
        <f>Refkalkulation!H129</f>
        <v>55</v>
      </c>
      <c r="E47" s="1115">
        <f>(D47-D46)*D13</f>
        <v>-334548.83053092728</v>
      </c>
      <c r="F47" s="1075"/>
      <c r="G47" s="1117" t="str">
        <f>C47</f>
        <v>Zielpreis Bauteil</v>
      </c>
      <c r="H47" s="1114">
        <f>Refkalkulation!K129</f>
        <v>55</v>
      </c>
      <c r="I47" s="1115">
        <f>(H47-H46)*H13</f>
        <v>103796.38922135481</v>
      </c>
      <c r="J47" s="1075"/>
      <c r="K47" s="1117" t="str">
        <f>C47</f>
        <v>Zielpreis Bauteil</v>
      </c>
      <c r="L47" s="1114" t="e">
        <f>Refkalkulation!N129</f>
        <v>#DIV/0!</v>
      </c>
      <c r="M47" s="1115" t="e">
        <f>(L47-L46)*L13</f>
        <v>#DIV/0!</v>
      </c>
      <c r="N47" s="1014"/>
      <c r="O47" s="957"/>
    </row>
    <row r="48" spans="1:16" ht="15">
      <c r="A48" s="955"/>
      <c r="B48" s="958"/>
      <c r="C48" s="1116" t="str">
        <f>IF(Deutsch,"Modellkosten geschätzt","Pattern Cost estimated")</f>
        <v>Modellkosten geschätzt</v>
      </c>
      <c r="D48" s="1112">
        <f>Refkalkulation!H133+Refkalkulation!H134</f>
        <v>12400</v>
      </c>
      <c r="E48" s="1113" t="s">
        <v>918</v>
      </c>
      <c r="F48" s="1075"/>
      <c r="G48" s="1116" t="str">
        <f>C48</f>
        <v>Modellkosten geschätzt</v>
      </c>
      <c r="H48" s="1112">
        <f>Refkalkulation!K133+Refkalkulation!K134</f>
        <v>8800</v>
      </c>
      <c r="I48" s="1113" t="s">
        <v>918</v>
      </c>
      <c r="J48" s="1075"/>
      <c r="K48" s="1116" t="str">
        <f>C48</f>
        <v>Modellkosten geschätzt</v>
      </c>
      <c r="L48" s="1112" t="e">
        <f>Refkalkulation!N133+Refkalkulation!N134</f>
        <v>#DIV/0!</v>
      </c>
      <c r="M48" s="1113" t="s">
        <v>918</v>
      </c>
      <c r="N48" s="1014"/>
      <c r="O48" s="957"/>
      <c r="P48" s="1145"/>
    </row>
    <row r="49" spans="1:15">
      <c r="A49" s="955"/>
      <c r="B49" s="958"/>
      <c r="C49" s="1117" t="str">
        <f>Refkalkulation!D135</f>
        <v>Modellkosten Angebot</v>
      </c>
      <c r="D49" s="1114">
        <f>Refkalkulation!H135</f>
        <v>10500</v>
      </c>
      <c r="E49" s="1115">
        <f>D49-D48</f>
        <v>-1900</v>
      </c>
      <c r="F49" s="1075"/>
      <c r="G49" s="1117" t="str">
        <f>C49</f>
        <v>Modellkosten Angebot</v>
      </c>
      <c r="H49" s="1114">
        <f>Refkalkulation!K135</f>
        <v>5600</v>
      </c>
      <c r="I49" s="1115">
        <f>H49-H48</f>
        <v>-3200</v>
      </c>
      <c r="J49" s="1075"/>
      <c r="K49" s="1117" t="str">
        <f>C49</f>
        <v>Modellkosten Angebot</v>
      </c>
      <c r="L49" s="1114">
        <f>Refkalkulation!N135</f>
        <v>0</v>
      </c>
      <c r="M49" s="1115" t="e">
        <f>L49-L48</f>
        <v>#DIV/0!</v>
      </c>
      <c r="N49" s="1014"/>
      <c r="O49" s="957"/>
    </row>
    <row r="50" spans="1:15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>
      <c r="C57" s="1082">
        <f>D33</f>
        <v>16.503044154272455</v>
      </c>
      <c r="D57" s="1082">
        <f>D38</f>
        <v>86.188630544500256</v>
      </c>
      <c r="E57" s="1082">
        <f>D44</f>
        <v>19.218091407412746</v>
      </c>
      <c r="F57" s="1082">
        <f>D45</f>
        <v>0</v>
      </c>
      <c r="G57" s="1082">
        <f>D46</f>
        <v>121.90976610618546</v>
      </c>
      <c r="H57" s="1082">
        <f>I57-G57</f>
        <v>-66.909766106185458</v>
      </c>
      <c r="I57" s="1082">
        <f>D47</f>
        <v>55</v>
      </c>
    </row>
    <row r="58" spans="1:15" ht="0.2" customHeight="1">
      <c r="C58" s="1082"/>
      <c r="D58" s="1082">
        <f>C57</f>
        <v>16.503044154272455</v>
      </c>
      <c r="E58" s="1082">
        <f>D57+D58</f>
        <v>102.69167469877272</v>
      </c>
      <c r="F58" s="1082">
        <f>E57+E58</f>
        <v>121.90976610618546</v>
      </c>
      <c r="G58" s="1082"/>
      <c r="H58" s="1082"/>
      <c r="I58" s="1082"/>
    </row>
    <row r="59" spans="1:15" ht="0.2" customHeight="1"/>
    <row r="60" spans="1:15" ht="0.2" customHeight="1"/>
    <row r="61" spans="1:15" ht="0.2" customHeight="1"/>
    <row r="62" spans="1:15" ht="0.2" customHeight="1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>
      <c r="C63" s="1082">
        <f>H33</f>
        <v>12.672161525540741</v>
      </c>
      <c r="D63" s="1082">
        <f>H38</f>
        <v>16.70658437260284</v>
      </c>
      <c r="E63" s="1082">
        <f>H44</f>
        <v>4.8619762575854573</v>
      </c>
      <c r="F63" s="1082">
        <f>H45</f>
        <v>0</v>
      </c>
      <c r="G63" s="1082">
        <f>H46</f>
        <v>34.240722155729038</v>
      </c>
      <c r="H63" s="1082">
        <f>I63-G63</f>
        <v>20.759277844270962</v>
      </c>
      <c r="I63" s="1082">
        <f>H47</f>
        <v>55</v>
      </c>
    </row>
    <row r="64" spans="1:15" ht="0.2" customHeight="1">
      <c r="C64" s="1082"/>
      <c r="D64" s="1082">
        <f>C63</f>
        <v>12.672161525540741</v>
      </c>
      <c r="E64" s="1082">
        <f>D63+D64</f>
        <v>29.378745898143581</v>
      </c>
      <c r="F64" s="1082">
        <f>E63+E64</f>
        <v>34.240722155729038</v>
      </c>
      <c r="G64" s="1082"/>
      <c r="H64" s="1082"/>
      <c r="I64" s="1082"/>
    </row>
    <row r="65" spans="1:9" ht="0.2" customHeight="1"/>
    <row r="66" spans="1:9" ht="0.2" customHeight="1"/>
    <row r="67" spans="1:9" ht="0.2" customHeight="1">
      <c r="A67" s="954" t="e">
        <f>K10</f>
        <v>#N/A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>
      <c r="C68" s="1082" t="e">
        <f>L33</f>
        <v>#N/A</v>
      </c>
      <c r="D68" s="1082" t="e">
        <f>L38</f>
        <v>#N/A</v>
      </c>
      <c r="E68" s="1082" t="e">
        <f>L44</f>
        <v>#N/A</v>
      </c>
      <c r="F68" s="1082" t="e">
        <f>L45</f>
        <v>#N/A</v>
      </c>
      <c r="G68" s="1082" t="e">
        <f>L46</f>
        <v>#N/A</v>
      </c>
      <c r="H68" s="1082" t="e">
        <f>I68-G68</f>
        <v>#DIV/0!</v>
      </c>
      <c r="I68" s="1082" t="e">
        <f>L47</f>
        <v>#DIV/0!</v>
      </c>
    </row>
    <row r="69" spans="1:9" ht="0.2" customHeight="1">
      <c r="C69" s="1082"/>
      <c r="D69" s="1082" t="e">
        <f>C68</f>
        <v>#N/A</v>
      </c>
      <c r="E69" s="1082" t="e">
        <f>D68+D69</f>
        <v>#N/A</v>
      </c>
      <c r="F69" s="1082" t="e">
        <f>E68+E69</f>
        <v>#N/A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defaultColWidth="11" defaultRowHeight="14.25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44491</v>
      </c>
      <c r="N3" s="960"/>
      <c r="O3" s="957"/>
    </row>
    <row r="4" spans="1:28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e">
        <f>Refkalkulation!N7</f>
        <v>#N/A</v>
      </c>
      <c r="L12" s="974">
        <f>Refkalkulation!N$6</f>
        <v>0</v>
      </c>
      <c r="M12" s="953"/>
      <c r="N12" s="958"/>
      <c r="O12" s="957"/>
    </row>
    <row r="13" spans="1:28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5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ohne: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/>
      </c>
      <c r="L15" s="958"/>
      <c r="M15" s="957"/>
      <c r="N15" s="958"/>
      <c r="O15" s="957"/>
    </row>
    <row r="16" spans="1:28">
      <c r="A16" s="955"/>
      <c r="B16" s="958"/>
      <c r="C16" s="955" t="str">
        <f>Refkalkulation!H92</f>
        <v>US PT Röntgen prüfen</v>
      </c>
      <c r="D16" s="958"/>
      <c r="E16" s="957"/>
      <c r="F16" s="958"/>
      <c r="G16" s="955" t="str">
        <f>Refkalkulation!K92</f>
        <v>US PT Röntgen prüfen</v>
      </c>
      <c r="H16" s="958"/>
      <c r="I16" s="957"/>
      <c r="J16" s="958"/>
      <c r="K16" s="955" t="e">
        <f>Refkalkulation!N92</f>
        <v>#N/A</v>
      </c>
      <c r="L16" s="958"/>
      <c r="M16" s="957"/>
      <c r="N16" s="958"/>
      <c r="O16" s="957"/>
    </row>
    <row r="17" spans="1:15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>
        <f>'Quick Input'!S11</f>
        <v>0</v>
      </c>
      <c r="M33" s="981"/>
      <c r="N33" s="958"/>
      <c r="O33" s="957"/>
    </row>
    <row r="34" spans="1:15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0</v>
      </c>
      <c r="M34" s="984"/>
      <c r="N34" s="958"/>
      <c r="O34" s="957"/>
    </row>
    <row r="35" spans="1:15" ht="15">
      <c r="A35" s="955"/>
      <c r="B35" s="958"/>
      <c r="C35" s="986" t="str">
        <f>Refkalkulation!D26</f>
        <v>Materialkosten gesamt</v>
      </c>
      <c r="D35" s="987">
        <f>Refkalkulation!H26</f>
        <v>16.503044154272455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 t="e">
        <f>Refkalkulation!N26</f>
        <v>#N/A</v>
      </c>
      <c r="M35" s="988"/>
      <c r="N35" s="958"/>
      <c r="O35" s="957"/>
    </row>
    <row r="36" spans="1:15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0</v>
      </c>
      <c r="N36" s="992"/>
      <c r="O36" s="957"/>
    </row>
    <row r="37" spans="1:15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0.81107480677288102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 t="e">
        <f>Refkalkulation!N17</f>
        <v>#N/A</v>
      </c>
      <c r="N37" s="992"/>
      <c r="O37" s="957"/>
    </row>
    <row r="38" spans="1:15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4.6110675823957674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 t="e">
        <f>Refkalkulation!N23</f>
        <v>#N/A</v>
      </c>
      <c r="N38" s="992"/>
      <c r="O38" s="957"/>
    </row>
    <row r="39" spans="1:15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1.0796384026159551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 t="e">
        <f>Refkalkulation!N25</f>
        <v>#N/A</v>
      </c>
      <c r="N39" s="992"/>
      <c r="O39" s="957"/>
    </row>
    <row r="40" spans="1:15" ht="15">
      <c r="A40" s="955"/>
      <c r="B40" s="958"/>
      <c r="C40" s="996" t="s">
        <v>910</v>
      </c>
      <c r="D40" s="997">
        <f>Refkalkulation!H113</f>
        <v>86.188630544500256</v>
      </c>
      <c r="E40" s="998"/>
      <c r="F40" s="999"/>
      <c r="G40" s="996" t="str">
        <f t="shared" si="0"/>
        <v>Fertigungskosten</v>
      </c>
      <c r="H40" s="997">
        <f>Refkalkulation!K113</f>
        <v>16.70658437260284</v>
      </c>
      <c r="I40" s="998"/>
      <c r="J40" s="999"/>
      <c r="K40" s="996" t="str">
        <f t="shared" si="1"/>
        <v>Fertigungskosten</v>
      </c>
      <c r="L40" s="997" t="e">
        <f>Refkalkulation!N113</f>
        <v>#N/A</v>
      </c>
      <c r="M40" s="998"/>
      <c r="N40" s="999"/>
      <c r="O40" s="957"/>
    </row>
    <row r="41" spans="1:15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0.47684538443851526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 t="e">
        <f>Refkalkulation!N47</f>
        <v>#N/A</v>
      </c>
      <c r="N41" s="1003"/>
      <c r="O41" s="957"/>
    </row>
    <row r="42" spans="1:15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43.145413881307022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9.6532312146949977</v>
      </c>
      <c r="J42" s="1003"/>
      <c r="K42" s="1000" t="str">
        <f t="shared" si="1"/>
        <v xml:space="preserve">               Prozess Formen</v>
      </c>
      <c r="L42" s="1004"/>
      <c r="M42" s="1002" t="e">
        <f>Refkalkulation!N72</f>
        <v>#N/A</v>
      </c>
      <c r="N42" s="1003"/>
      <c r="O42" s="957"/>
    </row>
    <row r="43" spans="1:15">
      <c r="A43" s="955"/>
      <c r="B43" s="958"/>
      <c r="C43" s="1000" t="s">
        <v>911</v>
      </c>
      <c r="D43" s="1004"/>
      <c r="E43" s="1002">
        <f>Refkalkulation!H91</f>
        <v>28.380809203791738</v>
      </c>
      <c r="F43" s="1003"/>
      <c r="G43" s="1000" t="str">
        <f t="shared" si="0"/>
        <v xml:space="preserve">               Nachbehandlung</v>
      </c>
      <c r="H43" s="1004"/>
      <c r="I43" s="1002">
        <f>Refkalkulation!K91</f>
        <v>1.4945328151684594</v>
      </c>
      <c r="J43" s="1003"/>
      <c r="K43" s="1000" t="str">
        <f t="shared" si="1"/>
        <v xml:space="preserve">               Nachbehandlung</v>
      </c>
      <c r="L43" s="1004"/>
      <c r="M43" s="1002" t="e">
        <f>Refkalkulation!N91</f>
        <v>#N/A</v>
      </c>
      <c r="N43" s="1003"/>
      <c r="O43" s="957"/>
    </row>
    <row r="44" spans="1:15">
      <c r="A44" s="955"/>
      <c r="B44" s="958"/>
      <c r="C44" s="1000" t="s">
        <v>912</v>
      </c>
      <c r="D44" s="1004"/>
      <c r="E44" s="1002">
        <f>Refkalkulation!H107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Refkalkulation!K107</f>
        <v>3.2506872407407412</v>
      </c>
      <c r="J44" s="1003"/>
      <c r="K44" s="1000" t="str">
        <f t="shared" si="1"/>
        <v xml:space="preserve">               Prüfen</v>
      </c>
      <c r="L44" s="1004"/>
      <c r="M44" s="1002" t="e">
        <f>Refkalkulation!N107</f>
        <v>#N/A</v>
      </c>
      <c r="N44" s="1003"/>
      <c r="O44" s="957"/>
    </row>
    <row r="45" spans="1:15">
      <c r="A45" s="955"/>
      <c r="B45" s="958"/>
      <c r="C45" s="1000" t="s">
        <v>913</v>
      </c>
      <c r="D45" s="1004"/>
      <c r="E45" s="1002">
        <f>Refkalkulation!H113-Refkalkulation!H109</f>
        <v>7.8353300495000298</v>
      </c>
      <c r="F45" s="1003"/>
      <c r="G45" s="1000" t="str">
        <f t="shared" si="0"/>
        <v xml:space="preserve">               Fertigungsnebenkosten</v>
      </c>
      <c r="H45" s="1004"/>
      <c r="I45" s="1002">
        <f>Refkalkulation!K113-Refkalkulation!K109</f>
        <v>1.5187803975093495</v>
      </c>
      <c r="J45" s="1003"/>
      <c r="K45" s="1000" t="str">
        <f t="shared" si="1"/>
        <v xml:space="preserve">               Fertigungsnebenkosten</v>
      </c>
      <c r="L45" s="1004"/>
      <c r="M45" s="1002" t="e">
        <f>Refkalkulation!N113-Refkalkulation!N109</f>
        <v>#N/A</v>
      </c>
      <c r="N45" s="1003"/>
      <c r="O45" s="957"/>
    </row>
    <row r="46" spans="1:15" ht="15">
      <c r="A46" s="955"/>
      <c r="B46" s="958"/>
      <c r="C46" s="1005" t="str">
        <f>Refkalkulation!D120</f>
        <v>Gesamtgemeinkosten</v>
      </c>
      <c r="D46" s="1006">
        <f>Refkalkulation!H120</f>
        <v>19.218091407412746</v>
      </c>
      <c r="E46" s="1007">
        <f>D46/D48</f>
        <v>0.15764193486084999</v>
      </c>
      <c r="F46" s="1003"/>
      <c r="G46" s="1005" t="str">
        <f t="shared" si="0"/>
        <v>Gesamtgemeinkosten</v>
      </c>
      <c r="H46" s="1006">
        <f>Refkalkulation!K120</f>
        <v>4.8619762575854573</v>
      </c>
      <c r="I46" s="1007">
        <f>H46/H48</f>
        <v>0.14199397534528835</v>
      </c>
      <c r="J46" s="958"/>
      <c r="K46" s="1005" t="str">
        <f t="shared" si="1"/>
        <v>Gesamtgemeinkosten</v>
      </c>
      <c r="L46" s="1006" t="e">
        <f>Refkalkulation!N120</f>
        <v>#N/A</v>
      </c>
      <c r="M46" s="1007" t="e">
        <f>L46/L48</f>
        <v>#N/A</v>
      </c>
      <c r="N46" s="958"/>
      <c r="O46" s="957"/>
    </row>
    <row r="47" spans="1:15" ht="18" customHeight="1">
      <c r="A47" s="955"/>
      <c r="B47" s="958"/>
      <c r="C47" s="1008" t="str">
        <f>Refkalkulation!D123</f>
        <v>Gesamtgewinn</v>
      </c>
      <c r="D47" s="1009">
        <f>Refkalkulation!H123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Refkalkulation!K123</f>
        <v>0</v>
      </c>
      <c r="I47" s="1010">
        <f>H47/H48</f>
        <v>0</v>
      </c>
      <c r="J47" s="958"/>
      <c r="K47" s="1008" t="str">
        <f t="shared" si="1"/>
        <v>Gesamtgewinn</v>
      </c>
      <c r="L47" s="1009" t="e">
        <f>Refkalkulation!N123</f>
        <v>#N/A</v>
      </c>
      <c r="M47" s="1010" t="e">
        <f>L47/L48</f>
        <v>#N/A</v>
      </c>
      <c r="N47" s="958"/>
      <c r="O47" s="957"/>
    </row>
    <row r="48" spans="1:15" ht="33" customHeight="1">
      <c r="A48" s="955"/>
      <c r="B48" s="958"/>
      <c r="C48" s="1011" t="str">
        <f>Refkalkulation!D125</f>
        <v>Bauteilpreis gesamt</v>
      </c>
      <c r="D48" s="1012">
        <f>SUM(D35:D47)</f>
        <v>121.90976610618546</v>
      </c>
      <c r="E48" s="1013"/>
      <c r="F48" s="1014"/>
      <c r="G48" s="1011" t="str">
        <f t="shared" si="0"/>
        <v>Bauteilpreis gesamt</v>
      </c>
      <c r="H48" s="1012">
        <f>SUM(H35:H47)</f>
        <v>34.240722155729038</v>
      </c>
      <c r="I48" s="1013"/>
      <c r="J48" s="1014"/>
      <c r="K48" s="1011" t="str">
        <f t="shared" si="1"/>
        <v>Bauteilpreis gesamt</v>
      </c>
      <c r="L48" s="1012" t="e">
        <f>SUM(L35:L47)</f>
        <v>#N/A</v>
      </c>
      <c r="M48" s="1013"/>
      <c r="N48" s="1014"/>
      <c r="O48" s="957"/>
    </row>
    <row r="49" spans="1:15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FF99"/>
    <pageSetUpPr fitToPage="1"/>
  </sheetPr>
  <dimension ref="A1:ZZ85"/>
  <sheetViews>
    <sheetView zoomScaleNormal="100" workbookViewId="0">
      <pane xSplit="10" ySplit="9" topLeftCell="K31" activePane="bottomRight" state="frozenSplit"/>
      <selection activeCell="L30" sqref="L30"/>
      <selection pane="topRight" activeCell="L30" sqref="L30"/>
      <selection pane="bottomLeft" activeCell="L30" sqref="L30"/>
      <selection pane="bottomRight" activeCell="R11" sqref="R11"/>
    </sheetView>
  </sheetViews>
  <sheetFormatPr defaultColWidth="11" defaultRowHeight="14.25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2.1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44491</v>
      </c>
      <c r="H4" s="125"/>
      <c r="I4" s="255" t="str">
        <f>IF(Deutsch,C4,D4)</f>
        <v>Datum</v>
      </c>
      <c r="J4" s="257" t="s">
        <v>230</v>
      </c>
      <c r="K4" s="34">
        <f ca="1">TODAY()</f>
        <v>44491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/>
      <c r="T8" s="850"/>
      <c r="AB8" s="108">
        <f>AA$8</f>
        <v>0</v>
      </c>
      <c r="AC8" s="4" t="s">
        <v>33</v>
      </c>
    </row>
    <row r="9" spans="1:702" ht="15" thickBot="1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/>
      <c r="T9" s="850"/>
      <c r="AB9" s="104">
        <f>AA$9</f>
        <v>0</v>
      </c>
      <c r="AC9" s="4" t="s">
        <v>33</v>
      </c>
    </row>
    <row r="10" spans="1:702" ht="15" thickBot="1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/>
      <c r="T10" s="850"/>
    </row>
    <row r="11" spans="1:702" ht="15" thickBot="1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 xml:space="preserve">  </v>
      </c>
      <c r="R11" s="674"/>
      <c r="S11" s="1184"/>
      <c r="T11" s="850"/>
      <c r="V11" t="s">
        <v>33</v>
      </c>
    </row>
    <row r="12" spans="1:702" ht="15" thickBot="1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/>
      <c r="T12" s="850"/>
      <c r="V12" t="s">
        <v>33</v>
      </c>
    </row>
    <row r="13" spans="1:702" ht="15" thickBot="1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0,000</v>
      </c>
      <c r="R13" s="291">
        <v>1.9670528580208975</v>
      </c>
      <c r="S13" s="107"/>
      <c r="T13" s="850"/>
      <c r="V13" t="s">
        <v>33</v>
      </c>
    </row>
    <row r="14" spans="1:702" ht="15.75" thickBot="1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/>
      <c r="T14" s="850"/>
      <c r="V14" t="s">
        <v>33</v>
      </c>
    </row>
    <row r="15" spans="1:702" ht="15.75" thickBot="1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/>
      <c r="T15" s="850"/>
      <c r="V15" t="s">
        <v>33</v>
      </c>
    </row>
    <row r="16" spans="1:702" ht="15.75" thickBot="1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/>
      <c r="T16" s="850"/>
      <c r="V16" t="s">
        <v>33</v>
      </c>
    </row>
    <row r="17" spans="1:22" ht="15.75" thickBot="1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/>
      <c r="T17" s="850"/>
      <c r="V17" t="s">
        <v>33</v>
      </c>
    </row>
    <row r="18" spans="1:22" ht="15.75" thickBot="1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/>
      <c r="T18" s="850"/>
      <c r="V18" t="s">
        <v>33</v>
      </c>
    </row>
    <row r="19" spans="1:22" ht="15.75" thickBot="1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87.48</v>
      </c>
      <c r="L19" s="491">
        <v>5</v>
      </c>
      <c r="M19" s="107">
        <f>L$19</f>
        <v>5</v>
      </c>
      <c r="N19" s="108">
        <f>0.9*Parametrikber!I$38</f>
        <v>87.674400000000006</v>
      </c>
      <c r="O19" s="492">
        <v>5</v>
      </c>
      <c r="P19" s="107">
        <f>O$19</f>
        <v>5</v>
      </c>
      <c r="Q19" s="108" t="e">
        <f>0.9*Parametrikber!L$38</f>
        <v>#DIV/0!</v>
      </c>
      <c r="R19" s="492">
        <v>5</v>
      </c>
      <c r="S19" s="107"/>
      <c r="T19" s="850"/>
      <c r="V19" t="s">
        <v>33</v>
      </c>
    </row>
    <row r="20" spans="1:22" ht="15.75" thickBot="1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1.852</v>
      </c>
      <c r="L20" s="292"/>
      <c r="M20" s="235">
        <f>IF(M$19&lt;&gt;"?",M$19*1000/VLOOKUP(M$10,DB_Material,5,FALSE),0)</f>
        <v>1851.8518518518517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00</v>
      </c>
      <c r="R20" s="234"/>
      <c r="S20" s="235"/>
      <c r="T20" s="850"/>
      <c r="V20" t="s">
        <v>33</v>
      </c>
    </row>
    <row r="21" spans="1:22" ht="15.75" thickBot="1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/>
      <c r="T21" s="850"/>
      <c r="V21" t="s">
        <v>33</v>
      </c>
    </row>
    <row r="22" spans="1:22" ht="15.75" thickBot="1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/>
      <c r="T22" s="850"/>
      <c r="V22" t="s">
        <v>33</v>
      </c>
    </row>
    <row r="23" spans="1:22" ht="15.75" thickBot="1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262</v>
      </c>
      <c r="P23" s="104" t="str">
        <f>IFERROR(VLOOKUP(O$23,Auswahlfelder!$D$49:$D$51,1,FALSE),VLOOKUP(O$23,Auswahlfelder!$C$49:$D$51,2,FALSE))</f>
        <v>ohne</v>
      </c>
      <c r="Q23" s="104"/>
      <c r="R23" s="52" t="s">
        <v>262</v>
      </c>
      <c r="S23" s="104"/>
      <c r="T23" s="850"/>
      <c r="V23" t="s">
        <v>33</v>
      </c>
    </row>
    <row r="24" spans="1:22" ht="15.75" thickBot="1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763</v>
      </c>
      <c r="P24" s="104" t="str">
        <f>IFERROR(VLOOKUP(O$24,Auswahlfelder!$D$54:$D$57,1,FALSE),VLOOKUP(O$24,Auswahlfelder!$C$54:$D$57,2,FALSE))</f>
        <v>Cold Box</v>
      </c>
      <c r="Q24" s="104"/>
      <c r="R24" s="47" t="s">
        <v>763</v>
      </c>
      <c r="S24" s="104"/>
      <c r="T24" s="850"/>
      <c r="V24" t="s">
        <v>33</v>
      </c>
    </row>
    <row r="25" spans="1:22" ht="15.75" thickBot="1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/>
      <c r="T25" s="850"/>
      <c r="V25" t="s">
        <v>33</v>
      </c>
    </row>
    <row r="26" spans="1:22" ht="15.75" thickBot="1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/>
      <c r="T26" s="850"/>
      <c r="V26" t="s">
        <v>33</v>
      </c>
    </row>
    <row r="27" spans="1:22" ht="15.75" thickBot="1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/>
      <c r="T27" s="850"/>
      <c r="V27" t="s">
        <v>33</v>
      </c>
    </row>
    <row r="28" spans="1:22" ht="15.75" thickBot="1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 t="shared" ref="I28:I34" si="4"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/>
      <c r="T28" s="850"/>
      <c r="V28" t="s">
        <v>33</v>
      </c>
    </row>
    <row r="29" spans="1:22" ht="15.75" thickBot="1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998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/>
      <c r="T29" s="850"/>
      <c r="V29" t="s">
        <v>33</v>
      </c>
    </row>
    <row r="30" spans="1:22" ht="15.75" thickBot="1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si="4"/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/>
      <c r="T30" s="850"/>
      <c r="V30" t="s">
        <v>33</v>
      </c>
    </row>
    <row r="31" spans="1:22" ht="15.75" thickBot="1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/>
      <c r="T31" s="850"/>
      <c r="V31" t="s">
        <v>33</v>
      </c>
    </row>
    <row r="32" spans="1:22" ht="15.75" thickBot="1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569</v>
      </c>
      <c r="M32" s="104" t="str">
        <f>IFERROR(VLOOKUP(L$32,Auswahlfelder!$D$41:$D$46,1,FALSE),VLOOKUP(L$32,Auswahlfelder!$C$41:$D$46,2,FALSE))</f>
        <v>ohne (F)</v>
      </c>
      <c r="N32" s="104"/>
      <c r="O32" s="47" t="s">
        <v>569</v>
      </c>
      <c r="P32" s="104" t="str">
        <f>IFERROR(VLOOKUP(O$32,Auswahlfelder!$D$41:$D$46,1,FALSE),VLOOKUP(O$32,Auswahlfelder!$C$41:$D$46,2,FALSE))</f>
        <v>ohne (F)</v>
      </c>
      <c r="Q32" s="104"/>
      <c r="R32" s="47" t="s">
        <v>569</v>
      </c>
      <c r="S32" s="104"/>
      <c r="T32" s="850"/>
      <c r="V32" t="s">
        <v>33</v>
      </c>
    </row>
    <row r="33" spans="1:22" ht="15.75" thickBot="1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/>
      <c r="T33" s="1202"/>
      <c r="V33" t="s">
        <v>33</v>
      </c>
    </row>
    <row r="34" spans="1:22" ht="15.75" thickBot="1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/>
      <c r="T34" s="1203"/>
      <c r="V34" t="s">
        <v>33</v>
      </c>
    </row>
    <row r="35" spans="1:22" ht="15.75" thickBot="1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/>
      <c r="T35" s="850"/>
      <c r="V35" t="s">
        <v>33</v>
      </c>
    </row>
    <row r="36" spans="1:22" ht="15.75" thickBot="1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/>
      <c r="T36" s="850"/>
      <c r="V36" t="s">
        <v>33</v>
      </c>
    </row>
    <row r="37" spans="1:22" ht="15.75" thickBot="1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00</v>
      </c>
      <c r="R37" s="133"/>
      <c r="S37" s="132"/>
      <c r="T37" s="850"/>
      <c r="V37" t="s">
        <v>33</v>
      </c>
    </row>
    <row r="38" spans="1:22" ht="15.75" thickBot="1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00</v>
      </c>
      <c r="R38" s="133"/>
      <c r="S38" s="132"/>
      <c r="T38" s="850"/>
      <c r="V38" t="s">
        <v>33</v>
      </c>
    </row>
    <row r="39" spans="1:22" ht="15.75" thickBot="1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00</v>
      </c>
      <c r="R39" s="133"/>
      <c r="S39" s="132"/>
      <c r="T39" s="850"/>
      <c r="V39" t="s">
        <v>33</v>
      </c>
    </row>
    <row r="40" spans="1:22" ht="15.75" thickBot="1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00</v>
      </c>
      <c r="R40" s="133"/>
      <c r="S40" s="132"/>
      <c r="T40" s="850"/>
      <c r="V40" t="s">
        <v>33</v>
      </c>
    </row>
    <row r="41" spans="1:22" ht="15.75" thickBot="1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00</v>
      </c>
      <c r="R41" s="133"/>
      <c r="S41" s="132"/>
      <c r="T41" s="850"/>
      <c r="V41" t="s">
        <v>33</v>
      </c>
    </row>
    <row r="42" spans="1:22" ht="15.75" thickBot="1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00</v>
      </c>
      <c r="R42" s="133"/>
      <c r="S42" s="132"/>
      <c r="T42" s="850"/>
      <c r="V42" t="s">
        <v>33</v>
      </c>
    </row>
    <row r="43" spans="1:22" ht="15.75" thickBot="1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00</v>
      </c>
      <c r="R43" s="133"/>
      <c r="S43" s="132"/>
      <c r="T43" s="850"/>
      <c r="V43" t="s">
        <v>33</v>
      </c>
    </row>
    <row r="44" spans="1:22" ht="15.75" thickBot="1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00</v>
      </c>
      <c r="R44" s="659"/>
      <c r="S44" s="230"/>
      <c r="T44" s="850"/>
      <c r="V44" t="s">
        <v>33</v>
      </c>
    </row>
    <row r="45" spans="1:22" ht="15.75" thickBot="1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0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/>
      <c r="T45" s="850"/>
      <c r="V45" t="s">
        <v>33</v>
      </c>
    </row>
    <row r="46" spans="1:22" ht="15" thickBot="1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0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/>
      <c r="T46" s="850"/>
      <c r="V46" t="s">
        <v>33</v>
      </c>
    </row>
    <row r="47" spans="1:22" ht="15" thickBot="1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/>
      <c r="T47" s="850"/>
      <c r="V47" t="s">
        <v>33</v>
      </c>
    </row>
    <row r="48" spans="1:22" ht="15" thickBot="1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/>
      <c r="T48" s="850"/>
      <c r="V48" t="s">
        <v>33</v>
      </c>
    </row>
    <row r="49" spans="1:22" ht="15" thickBot="1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0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/>
      <c r="T49" s="850"/>
      <c r="V49" t="s">
        <v>33</v>
      </c>
    </row>
    <row r="50" spans="1:22" ht="15" thickBot="1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0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/>
      <c r="T50" s="850"/>
      <c r="V50" t="s">
        <v>33</v>
      </c>
    </row>
    <row r="51" spans="1:22" ht="12.75" customHeight="1" thickBot="1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0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/>
      <c r="T51" s="850"/>
      <c r="V51" t="s">
        <v>33</v>
      </c>
    </row>
    <row r="52" spans="1:22" ht="14.25" customHeight="1" thickBot="1">
      <c r="A52" s="26"/>
      <c r="B52" s="319"/>
      <c r="C52" s="318" t="str">
        <f t="shared" ref="C52:D56" ca="1" si="11">C37</f>
        <v>FY 21/22</v>
      </c>
      <c r="D52" s="318" t="str">
        <f t="shared" ca="1" si="11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/>
      <c r="T52" s="850"/>
      <c r="V52" t="s">
        <v>33</v>
      </c>
    </row>
    <row r="53" spans="1:22" ht="15" thickBot="1">
      <c r="A53" s="26"/>
      <c r="B53" s="319"/>
      <c r="C53" s="318" t="str">
        <f t="shared" ca="1" si="11"/>
        <v>FY 22/23</v>
      </c>
      <c r="D53" s="318" t="str">
        <f t="shared" ca="1" si="11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0,00</v>
      </c>
      <c r="R53" s="293"/>
      <c r="S53" s="39"/>
      <c r="T53" s="850"/>
      <c r="V53" t="s">
        <v>33</v>
      </c>
    </row>
    <row r="54" spans="1:22" ht="15" thickBot="1">
      <c r="A54" s="26"/>
      <c r="B54" s="319"/>
      <c r="C54" s="318" t="str">
        <f t="shared" ca="1" si="11"/>
        <v>FY 23/24</v>
      </c>
      <c r="D54" s="318" t="str">
        <f t="shared" ca="1" si="11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0,00</v>
      </c>
      <c r="R54" s="293"/>
      <c r="S54" s="39"/>
      <c r="T54" s="850"/>
      <c r="V54" t="s">
        <v>33</v>
      </c>
    </row>
    <row r="55" spans="1:22" ht="15" thickBot="1">
      <c r="A55" s="26"/>
      <c r="B55" s="319"/>
      <c r="C55" s="318" t="str">
        <f t="shared" ca="1" si="11"/>
        <v>FY 24/25</v>
      </c>
      <c r="D55" s="318" t="str">
        <f t="shared" ca="1" si="11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0,00</v>
      </c>
      <c r="R55" s="293"/>
      <c r="S55" s="39"/>
      <c r="T55" s="850"/>
      <c r="V55" t="s">
        <v>33</v>
      </c>
    </row>
    <row r="56" spans="1:22" ht="15" thickBot="1">
      <c r="A56" s="26"/>
      <c r="B56" s="319"/>
      <c r="C56" s="318" t="str">
        <f t="shared" ca="1" si="11"/>
        <v>FY 25/26</v>
      </c>
      <c r="D56" s="318" t="str">
        <f t="shared" ca="1" si="11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0,00</v>
      </c>
      <c r="R56" s="293"/>
      <c r="S56" s="39"/>
      <c r="T56" s="850"/>
      <c r="V56" t="s">
        <v>33</v>
      </c>
    </row>
    <row r="57" spans="1:22" ht="15" thickBot="1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2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/>
      <c r="T57" s="850"/>
      <c r="V57" t="s">
        <v>33</v>
      </c>
    </row>
    <row r="58" spans="1:22" ht="15" thickBot="1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3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0</v>
      </c>
      <c r="Q58" s="39"/>
      <c r="R58" s="188">
        <v>550</v>
      </c>
      <c r="S58" s="651"/>
      <c r="T58" s="850"/>
      <c r="V58" t="s">
        <v>33</v>
      </c>
    </row>
    <row r="59" spans="1:22" ht="15" hidden="1" thickBot="1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0</v>
      </c>
      <c r="S59" s="233"/>
      <c r="T59" s="850"/>
    </row>
    <row r="60" spans="1:22" ht="15" hidden="1" thickBot="1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0</v>
      </c>
      <c r="S60" s="233"/>
      <c r="T60" s="850"/>
    </row>
    <row r="61" spans="1:22" ht="15" hidden="1" thickBot="1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e">
        <f>VLOOKUP(VLOOKUP(S$61,Auswahlfelder!$D$71:$E$73,2,FALSE),Auswahlfelder!$A$71:$B$73,2,FALSE)</f>
        <v>#N/A</v>
      </c>
      <c r="S61" s="233"/>
      <c r="T61" s="850"/>
      <c r="V61" t="s">
        <v>33</v>
      </c>
    </row>
    <row r="62" spans="1:22" ht="15" hidden="1" thickBot="1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4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5">S$62</f>
        <v>0</v>
      </c>
      <c r="S62" s="233"/>
      <c r="T62" s="850"/>
      <c r="V62" t="s">
        <v>33</v>
      </c>
    </row>
    <row r="63" spans="1:22" ht="15" hidden="1" thickBot="1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2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0</v>
      </c>
      <c r="S63" s="272"/>
      <c r="T63" s="850"/>
    </row>
    <row r="64" spans="1:22" ht="15" hidden="1" thickBot="1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2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0</v>
      </c>
      <c r="S64" s="272"/>
      <c r="T64" s="850"/>
    </row>
    <row r="65" spans="1:22" ht="15" hidden="1" thickBot="1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e">
        <f>VLOOKUP(VLOOKUP(S65,Auswahlfelder!$D$65:$E$68,2,FALSE),Auswahlfelder!$A$65:$B$68,2,FALSE)</f>
        <v>#N/A</v>
      </c>
      <c r="S65" s="272"/>
      <c r="T65" s="850"/>
    </row>
    <row r="66" spans="1:22" ht="15" hidden="1" thickBot="1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2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0</v>
      </c>
      <c r="S66" s="272"/>
      <c r="T66" s="850"/>
    </row>
    <row r="67" spans="1:22" ht="15" hidden="1" thickBot="1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2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/>
      <c r="T67" s="850"/>
    </row>
    <row r="68" spans="1:22" ht="15" hidden="1" thickBot="1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/>
      <c r="T68" s="850"/>
    </row>
    <row r="69" spans="1:22" ht="15" hidden="1" thickBot="1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6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7">S$69</f>
        <v>0</v>
      </c>
      <c r="S69" s="272"/>
      <c r="T69" s="850"/>
    </row>
    <row r="70" spans="1:22" ht="15" hidden="1" thickBot="1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18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0</v>
      </c>
      <c r="S70" s="272"/>
      <c r="T70" s="850"/>
    </row>
    <row r="71" spans="1:22" ht="15" hidden="1" thickBot="1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</v>
      </c>
      <c r="M71" s="122">
        <f>Refkalkulation!H$88</f>
        <v>0</v>
      </c>
      <c r="N71" s="122"/>
      <c r="O71" s="924">
        <f>P$71</f>
        <v>0</v>
      </c>
      <c r="P71" s="122">
        <f>Refkalkulation!K$88</f>
        <v>0</v>
      </c>
      <c r="Q71" s="273"/>
      <c r="R71" s="924">
        <f>S$71</f>
        <v>0</v>
      </c>
      <c r="S71" s="122"/>
      <c r="T71" s="850"/>
      <c r="V71" t="s">
        <v>33</v>
      </c>
    </row>
    <row r="72" spans="1:22" ht="15" hidden="1" thickBot="1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Refkalkulation!H$90</f>
        <v>0.02</v>
      </c>
      <c r="N72" s="273"/>
      <c r="O72" s="135">
        <f>P$72</f>
        <v>0.02</v>
      </c>
      <c r="P72" s="233">
        <f>Refkalkulation!K$90</f>
        <v>0.02</v>
      </c>
      <c r="Q72" s="273"/>
      <c r="R72" s="135">
        <f t="shared" ref="R72" si="19">S$72</f>
        <v>0</v>
      </c>
      <c r="S72" s="233"/>
      <c r="T72" s="850"/>
    </row>
    <row r="73" spans="1:22" ht="15" hidden="1" thickBot="1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2"/>
        <v>VT Prüfzeit/Teil (sec)</v>
      </c>
      <c r="J73" s="18"/>
      <c r="K73" s="120"/>
      <c r="L73" s="187">
        <f>M$73</f>
        <v>400</v>
      </c>
      <c r="M73" s="272">
        <f>Refkalkulation!H$93</f>
        <v>400</v>
      </c>
      <c r="N73" s="273"/>
      <c r="O73" s="187">
        <f>P$73</f>
        <v>300</v>
      </c>
      <c r="P73" s="272">
        <f>Refkalkulation!K$93</f>
        <v>300</v>
      </c>
      <c r="Q73" s="273"/>
      <c r="R73" s="187">
        <f t="shared" ref="R73" si="20">S$73</f>
        <v>0</v>
      </c>
      <c r="S73" s="272"/>
      <c r="T73" s="850"/>
    </row>
    <row r="74" spans="1:22" ht="15" hidden="1" thickBot="1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Refkalkulation!H$97</f>
        <v>0.41742621527777779</v>
      </c>
      <c r="N74" s="273"/>
      <c r="O74" s="924">
        <f>P$74</f>
        <v>0.30864583333333334</v>
      </c>
      <c r="P74" s="272">
        <f>Refkalkulation!K$97</f>
        <v>0.30864583333333334</v>
      </c>
      <c r="Q74" s="273"/>
      <c r="R74" s="924">
        <f t="shared" ref="R74" si="21">S$74</f>
        <v>0</v>
      </c>
      <c r="S74" s="272"/>
      <c r="T74" s="850"/>
    </row>
    <row r="75" spans="1:22" ht="15" hidden="1" thickBot="1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2">IF($G$2,C75,D75)</f>
        <v>Kosten FE-Prüfung</v>
      </c>
      <c r="J75" s="18"/>
      <c r="K75" s="120"/>
      <c r="L75" s="924">
        <f>M$75</f>
        <v>0.37082465277777776</v>
      </c>
      <c r="M75" s="233">
        <f>Refkalkulation!H$100</f>
        <v>0.37082465277777776</v>
      </c>
      <c r="N75" s="273"/>
      <c r="O75" s="924">
        <f>P$75</f>
        <v>0.34611111111111109</v>
      </c>
      <c r="P75" s="233">
        <f>Refkalkulation!K$100</f>
        <v>0.34611111111111109</v>
      </c>
      <c r="Q75" s="273"/>
      <c r="R75" s="924">
        <f t="shared" ref="R75" si="23">S$75</f>
        <v>0</v>
      </c>
      <c r="S75" s="233"/>
      <c r="T75" s="850"/>
    </row>
    <row r="76" spans="1:22" ht="15" hidden="1" thickBot="1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2"/>
        <v>Kosten X-Prüfung</v>
      </c>
      <c r="J76" s="18"/>
      <c r="K76" s="120"/>
      <c r="L76" s="924">
        <f>M$76</f>
        <v>1.8357928240740744</v>
      </c>
      <c r="M76" s="233">
        <f>Refkalkulation!H$102</f>
        <v>1.8357928240740744</v>
      </c>
      <c r="N76" s="273"/>
      <c r="O76" s="924">
        <f>P$76</f>
        <v>1.7619212962962969</v>
      </c>
      <c r="P76" s="233">
        <f>Refkalkulation!K$102</f>
        <v>1.7619212962962969</v>
      </c>
      <c r="Q76" s="273"/>
      <c r="R76" s="924">
        <f t="shared" ref="R76" si="24">S$76</f>
        <v>0</v>
      </c>
      <c r="S76" s="233"/>
      <c r="T76" s="850"/>
    </row>
    <row r="77" spans="1:22" ht="15" hidden="1" thickBot="1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Refkalkulation!H$105</f>
        <v>0.5</v>
      </c>
      <c r="N77" s="273"/>
      <c r="O77" s="762">
        <f>P$77</f>
        <v>0.5</v>
      </c>
      <c r="P77" s="233">
        <f>Refkalkulation!K$105</f>
        <v>0.5</v>
      </c>
      <c r="Q77" s="273"/>
      <c r="R77" s="762">
        <f>S$77</f>
        <v>0</v>
      </c>
      <c r="S77" s="233"/>
      <c r="T77" s="850"/>
    </row>
    <row r="78" spans="1:22" ht="15" hidden="1" thickBot="1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Refkalkulation!H$104</f>
        <v>0</v>
      </c>
      <c r="N78" s="122"/>
      <c r="O78" s="135">
        <f>P$78</f>
        <v>0</v>
      </c>
      <c r="P78" s="122">
        <f>Refkalkulation!K$104</f>
        <v>0</v>
      </c>
      <c r="Q78" s="273"/>
      <c r="R78" s="135">
        <f>S$78</f>
        <v>0</v>
      </c>
      <c r="S78" s="122"/>
      <c r="T78" s="850"/>
      <c r="V78" t="s">
        <v>33</v>
      </c>
    </row>
    <row r="79" spans="1:22" ht="15" hidden="1" thickBot="1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2"/>
        <v>Fertigungsgemeinkosten</v>
      </c>
      <c r="J79" s="18"/>
      <c r="K79" s="120"/>
      <c r="L79" s="135">
        <f>M$79</f>
        <v>0.1</v>
      </c>
      <c r="M79" s="233">
        <f>Refkalkulation!H$111</f>
        <v>0.1</v>
      </c>
      <c r="N79" s="273"/>
      <c r="O79" s="135">
        <f>P$79</f>
        <v>0.1</v>
      </c>
      <c r="P79" s="233">
        <f>Refkalkulation!K$111</f>
        <v>0.1</v>
      </c>
      <c r="Q79" s="273"/>
      <c r="R79" s="135">
        <f>S$79</f>
        <v>0</v>
      </c>
      <c r="S79" s="233"/>
      <c r="T79" s="850"/>
    </row>
    <row r="80" spans="1:22" ht="15" hidden="1" thickBot="1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5">IF($G$2,C80,D80)</f>
        <v>Vertriebs- und Verw. GK satz</v>
      </c>
      <c r="J80" s="18"/>
      <c r="K80" s="120"/>
      <c r="L80" s="135">
        <f>M$80</f>
        <v>0.12</v>
      </c>
      <c r="M80" s="233">
        <f>Refkalkulation!H$117</f>
        <v>0.12</v>
      </c>
      <c r="N80" s="273"/>
      <c r="O80" s="135">
        <f>P$80</f>
        <v>0.12</v>
      </c>
      <c r="P80" s="233">
        <f>Refkalkulation!K$117</f>
        <v>0.12</v>
      </c>
      <c r="Q80" s="273"/>
      <c r="R80" s="135">
        <f t="shared" ref="R80" si="26">S$80</f>
        <v>0</v>
      </c>
      <c r="S80" s="233"/>
      <c r="T80" s="850"/>
    </row>
    <row r="81" spans="1:22" ht="15" hidden="1" thickBot="1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2"/>
        <v>Gewinn auf Material</v>
      </c>
      <c r="J81" s="18"/>
      <c r="K81" s="120"/>
      <c r="L81" s="135">
        <f>M$81</f>
        <v>0</v>
      </c>
      <c r="M81" s="233">
        <f>Refkalkulation!H$121</f>
        <v>0</v>
      </c>
      <c r="N81" s="273"/>
      <c r="O81" s="135">
        <f>P$81</f>
        <v>0</v>
      </c>
      <c r="P81" s="233">
        <f>Refkalkulation!K$121</f>
        <v>0</v>
      </c>
      <c r="Q81" s="273"/>
      <c r="R81" s="135">
        <f t="shared" ref="R81" si="27">S$81</f>
        <v>0</v>
      </c>
      <c r="S81" s="233"/>
      <c r="T81" s="850"/>
    </row>
    <row r="82" spans="1:22" ht="15" hidden="1" thickBot="1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2"/>
        <v>Gewinn auf Wertschöpfung</v>
      </c>
      <c r="J82" s="18"/>
      <c r="K82" s="120"/>
      <c r="L82" s="135">
        <f>M$82</f>
        <v>0</v>
      </c>
      <c r="M82" s="233">
        <f>Refkalkulation!H$122</f>
        <v>0</v>
      </c>
      <c r="N82" s="273"/>
      <c r="O82" s="135">
        <f>P$82</f>
        <v>0</v>
      </c>
      <c r="P82" s="233">
        <f>Refkalkulation!K$122</f>
        <v>0</v>
      </c>
      <c r="Q82" s="273"/>
      <c r="R82" s="135">
        <f>S$82</f>
        <v>0</v>
      </c>
      <c r="S82" s="233"/>
      <c r="T82" s="850"/>
    </row>
    <row r="83" spans="1:22" ht="39" hidden="1" customHeight="1" thickBot="1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>
        <f>S$83</f>
        <v>0</v>
      </c>
      <c r="S83" s="1028"/>
      <c r="T83" s="850"/>
      <c r="V83" t="s">
        <v>33</v>
      </c>
    </row>
    <row r="84" spans="1:22" ht="6.75" customHeight="1" thickBot="1">
      <c r="A84" s="26"/>
      <c r="B84" s="326"/>
      <c r="C84" s="327"/>
      <c r="D84" s="327"/>
      <c r="E84" s="27"/>
      <c r="F84" s="27"/>
      <c r="G84" s="32"/>
      <c r="H84" s="242"/>
      <c r="I84" s="352">
        <f t="shared" si="12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71" priority="65" stopIfTrue="1">
      <formula>VALUE(L12="Materialdatenbank")</formula>
    </cfRule>
  </conditionalFormatting>
  <conditionalFormatting sqref="O36 R36 L36">
    <cfRule type="cellIs" dxfId="170" priority="66" stopIfTrue="1" operator="notBetween">
      <formula>$E$36</formula>
      <formula>$F$36</formula>
    </cfRule>
  </conditionalFormatting>
  <conditionalFormatting sqref="L11 L20 O20 R20 O11 R11">
    <cfRule type="expression" dxfId="169" priority="70" stopIfTrue="1">
      <formula>K$11=0</formula>
    </cfRule>
  </conditionalFormatting>
  <conditionalFormatting sqref="L44">
    <cfRule type="cellIs" dxfId="168" priority="71" stopIfTrue="1" operator="lessThan">
      <formula>$E44</formula>
    </cfRule>
  </conditionalFormatting>
  <conditionalFormatting sqref="R37:R43 O37:O43 L37:L43">
    <cfRule type="cellIs" dxfId="167" priority="72" stopIfTrue="1" operator="greaterThan">
      <formula>M$36</formula>
    </cfRule>
  </conditionalFormatting>
  <conditionalFormatting sqref="O8:O9 R8:R9 L9">
    <cfRule type="cellIs" dxfId="166" priority="73" operator="equal">
      <formula>"?"</formula>
    </cfRule>
  </conditionalFormatting>
  <conditionalFormatting sqref="X4:X5">
    <cfRule type="cellIs" dxfId="165" priority="74" operator="equal">
      <formula>FALSE</formula>
    </cfRule>
  </conditionalFormatting>
  <conditionalFormatting sqref="L13 O13 R13">
    <cfRule type="cellIs" dxfId="164" priority="431" operator="notBetween">
      <formula>$E13</formula>
      <formula>$F13</formula>
    </cfRule>
  </conditionalFormatting>
  <conditionalFormatting sqref="L28">
    <cfRule type="expression" dxfId="163" priority="60" stopIfTrue="1">
      <formula>VALUE(#REF!="Materialdatenbank")</formula>
    </cfRule>
  </conditionalFormatting>
  <conditionalFormatting sqref="L29">
    <cfRule type="expression" dxfId="162" priority="59" stopIfTrue="1">
      <formula>VALUE(#REF!="Materialdatenbank")</formula>
    </cfRule>
  </conditionalFormatting>
  <conditionalFormatting sqref="L30">
    <cfRule type="expression" dxfId="161" priority="58" stopIfTrue="1">
      <formula>VALUE(#REF!="Materialdatenbank")</formula>
    </cfRule>
  </conditionalFormatting>
  <conditionalFormatting sqref="O28">
    <cfRule type="expression" dxfId="160" priority="57" stopIfTrue="1">
      <formula>VALUE(#REF!="Materialdatenbank")</formula>
    </cfRule>
  </conditionalFormatting>
  <conditionalFormatting sqref="O29">
    <cfRule type="expression" dxfId="159" priority="56" stopIfTrue="1">
      <formula>VALUE(#REF!="Materialdatenbank")</formula>
    </cfRule>
  </conditionalFormatting>
  <conditionalFormatting sqref="O30">
    <cfRule type="expression" dxfId="158" priority="55" stopIfTrue="1">
      <formula>VALUE(#REF!="Materialdatenbank")</formula>
    </cfRule>
  </conditionalFormatting>
  <conditionalFormatting sqref="R28">
    <cfRule type="expression" dxfId="157" priority="42" stopIfTrue="1">
      <formula>VALUE(#REF!="Materialdatenbank")</formula>
    </cfRule>
  </conditionalFormatting>
  <conditionalFormatting sqref="R29">
    <cfRule type="expression" dxfId="156" priority="41" stopIfTrue="1">
      <formula>VALUE(#REF!="Materialdatenbank")</formula>
    </cfRule>
  </conditionalFormatting>
  <conditionalFormatting sqref="R30">
    <cfRule type="expression" dxfId="155" priority="40" stopIfTrue="1">
      <formula>VALUE(#REF!="Materialdatenbank")</formula>
    </cfRule>
  </conditionalFormatting>
  <conditionalFormatting sqref="L25">
    <cfRule type="expression" dxfId="154" priority="23" stopIfTrue="1">
      <formula>VALUE(#REF!="Materialdatenbank")</formula>
    </cfRule>
  </conditionalFormatting>
  <conditionalFormatting sqref="O25">
    <cfRule type="expression" dxfId="153" priority="22" stopIfTrue="1">
      <formula>VALUE(#REF!="Materialdatenbank")</formula>
    </cfRule>
  </conditionalFormatting>
  <conditionalFormatting sqref="R25">
    <cfRule type="expression" dxfId="152" priority="21" stopIfTrue="1">
      <formula>VALUE(#REF!="Materialdatenbank")</formula>
    </cfRule>
  </conditionalFormatting>
  <conditionalFormatting sqref="L26">
    <cfRule type="expression" dxfId="151" priority="17" stopIfTrue="1">
      <formula>VALUE(#REF!="Materialdatenbank")</formula>
    </cfRule>
  </conditionalFormatting>
  <conditionalFormatting sqref="O26">
    <cfRule type="expression" dxfId="150" priority="16" stopIfTrue="1">
      <formula>VALUE(#REF!="Materialdatenbank")</formula>
    </cfRule>
  </conditionalFormatting>
  <conditionalFormatting sqref="R26">
    <cfRule type="expression" dxfId="149" priority="15" stopIfTrue="1">
      <formula>VALUE(#REF!="Materialdatenbank")</formula>
    </cfRule>
  </conditionalFormatting>
  <conditionalFormatting sqref="L27">
    <cfRule type="expression" dxfId="148" priority="11" stopIfTrue="1">
      <formula>VALUE(#REF!="Materialdatenbank")</formula>
    </cfRule>
  </conditionalFormatting>
  <conditionalFormatting sqref="O27">
    <cfRule type="expression" dxfId="147" priority="10" stopIfTrue="1">
      <formula>VALUE(#REF!="Materialdatenbank")</formula>
    </cfRule>
  </conditionalFormatting>
  <conditionalFormatting sqref="R27">
    <cfRule type="expression" dxfId="146" priority="9" stopIfTrue="1">
      <formula>VALUE(#REF!="Materialdatenbank")</formula>
    </cfRule>
  </conditionalFormatting>
  <conditionalFormatting sqref="L8">
    <cfRule type="cellIs" dxfId="145" priority="1" operator="equal">
      <formula>"?"</formula>
    </cfRule>
  </conditionalFormatting>
  <dataValidations count="27">
    <dataValidation type="whole" allowBlank="1" showInputMessage="1" showErrorMessage="1" sqref="L35 O35 R35">
      <formula1>2</formula1>
      <formula2>$F35</formula2>
    </dataValidation>
    <dataValidation type="list" allowBlank="1" showInputMessage="1" showErrorMessage="1" sqref="L46 R46 O46">
      <formula1>AW_Schichtmodel</formula1>
    </dataValidation>
    <dataValidation type="list" allowBlank="1" showInputMessage="1" showErrorMessage="1" sqref="L49 R49 O49">
      <formula1>AW_Größe</formula1>
    </dataValidation>
    <dataValidation type="list" allowBlank="1" showInputMessage="1" showErrorMessage="1" sqref="L45 O45 R45">
      <formula1>AW_Produktionsregion</formula1>
    </dataValidation>
    <dataValidation type="list" allowBlank="1" showInputMessage="1" showErrorMessage="1" sqref="L31 O31 R31">
      <formula1>AW_Prüfbescheinigung</formula1>
    </dataValidation>
    <dataValidation type="list" allowBlank="1" showInputMessage="1" showErrorMessage="1" sqref="R25:R30 O25:O30 L25:L30">
      <formula1>AW_JaNein</formula1>
    </dataValidation>
    <dataValidation type="list" operator="greaterThanOrEqual" allowBlank="1" showInputMessage="1" showErrorMessage="1" sqref="R22 L22 O22">
      <formula1>AW_Gusstechnik</formula1>
    </dataValidation>
    <dataValidation type="list" allowBlank="1" showInputMessage="1" showErrorMessage="1" promptTitle="Bitte Auswählen" sqref="R10 L10 O10">
      <formula1>AW_Materialtyp</formula1>
    </dataValidation>
    <dataValidation type="list" allowBlank="1" showInputMessage="1" showErrorMessage="1" sqref="R12 O12 L12">
      <formula1>AW_Preisquelle</formula1>
    </dataValidation>
    <dataValidation type="list" allowBlank="1" showInputMessage="1" showErrorMessage="1" sqref="L2">
      <formula1>AW_Sprachen</formula1>
    </dataValidation>
    <dataValidation type="list" allowBlank="1" showInputMessage="1" showErrorMessage="1" sqref="L32 O32 R32">
      <formula1>AW_Wärmebehandlung</formula1>
    </dataValidation>
    <dataValidation type="decimal" allowBlank="1" showInputMessage="1" showErrorMessage="1" error="Wert außerhalb des zulässigen Bereichs_x000a_out of range" sqref="R14 O14 L14">
      <formula1>$E14/1.2</formula1>
      <formula2>$F14*1.2</formula2>
    </dataValidation>
    <dataValidation type="decimal" allowBlank="1" showInputMessage="1" showErrorMessage="1" error="Wert außerhalb zulässiger Grenzen_x000a_out of range" sqref="R15 O15 L15">
      <formula1>$E15/1.2</formula1>
      <formula2>$F15*1.2</formula2>
    </dataValidation>
    <dataValidation type="list" allowBlank="1" showInputMessage="1" showErrorMessage="1" sqref="O23 R23 L23">
      <formula1>AW_Einlegekerne</formula1>
    </dataValidation>
    <dataValidation type="date" operator="lessThanOrEqual" allowBlank="1" showInputMessage="1" showErrorMessage="1" sqref="L4">
      <formula1>G4</formula1>
    </dataValidation>
    <dataValidation type="list" allowBlank="1" showInputMessage="1" showErrorMessage="1" sqref="O21 R21 L21">
      <formula1>AW_Bauteilkomplexität</formula1>
    </dataValidation>
    <dataValidation type="decimal" showErrorMessage="1" errorTitle="sehr große Abweichung" error="Untypischer  Materialwert_x000a_not allowed parameter range" sqref="L13 O13 R13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>
      <formula1>$E$18</formula1>
      <formula2>1.2*$F$17</formula2>
    </dataValidation>
    <dataValidation type="decimal" allowBlank="1" showInputMessage="1" showErrorMessage="1" errorTitle="data not valid" error="Wert nicht sinnvoll_x000a_" sqref="O18 R18 L18">
      <formula1>0.8*$E$18</formula1>
      <formula2>MIN($F$18,L$17)</formula2>
    </dataValidation>
    <dataValidation type="list" allowBlank="1" showInputMessage="1" showErrorMessage="1" sqref="L33 O33 R33">
      <formula1>AW_Reparaturschweißen</formula1>
    </dataValidation>
    <dataValidation type="whole" allowBlank="1" showInputMessage="1" showErrorMessage="1" sqref="L47 O47 R47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>
      <formula1>$E$19</formula1>
      <formula2>MIN(K$19,$F$19)</formula2>
    </dataValidation>
    <dataValidation type="list" allowBlank="1" showInputMessage="1" sqref="X3">
      <formula1>$D$1:$IV$1</formula1>
    </dataValidation>
    <dataValidation type="decimal" allowBlank="1" showInputMessage="1" showErrorMessage="1" sqref="R16 O16">
      <formula1>$E16/1.2</formula1>
      <formula2>$F16*1.2</formula2>
    </dataValidation>
    <dataValidation type="decimal" allowBlank="1" showErrorMessage="1" error="Wert außerhalb zulässiger Grenzen_x000a_out of range" sqref="L16">
      <formula1>$E16/1.2</formula1>
      <formula2>$F16*1.2</formula2>
    </dataValidation>
    <dataValidation type="textLength" showInputMessage="1" showErrorMessage="1" errorTitle="Your name please" error="text only" promptTitle="please" prompt="your name" sqref="L3">
      <formula1>3</formula1>
      <formula2>28</formula2>
    </dataValidation>
    <dataValidation type="list" allowBlank="1" showInputMessage="1" showErrorMessage="1" sqref="L24 O24 R24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00CCFF"/>
    <pageSetUpPr fitToPage="1"/>
  </sheetPr>
  <dimension ref="A1:Y248"/>
  <sheetViews>
    <sheetView tabSelected="1" zoomScaleNormal="100" workbookViewId="0">
      <pane xSplit="6" ySplit="8" topLeftCell="G84" activePane="bottomRight" state="frozenSplit"/>
      <selection activeCell="L30" sqref="L30"/>
      <selection pane="topRight" activeCell="L30" sqref="L30"/>
      <selection pane="bottomLeft" activeCell="L30" sqref="L30"/>
      <selection pane="bottomRight" activeCell="H7" sqref="H7"/>
    </sheetView>
  </sheetViews>
  <sheetFormatPr defaultColWidth="3" defaultRowHeight="14.25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>
      <c r="A2" s="55" t="e">
        <f>#REF!&lt;100</f>
        <v>#REF!</v>
      </c>
      <c r="D2" s="71"/>
      <c r="E2" s="666"/>
      <c r="F2" s="667"/>
      <c r="G2" s="67"/>
      <c r="H2" s="376" t="b">
        <f>OR(ISERROR(H125),H5="?",H5=0,H12=0,H16=0,H24=0)</f>
        <v>0</v>
      </c>
      <c r="I2" s="67"/>
      <c r="J2" s="67"/>
      <c r="K2" s="376" t="b">
        <f>OR(ISERROR(K125),K5="?",K5=0,K12=0,K16=0,K24=0)</f>
        <v>0</v>
      </c>
      <c r="L2" s="67"/>
      <c r="M2" s="67"/>
      <c r="N2" s="376" t="b">
        <f>OR(ISERROR(N125),N5="?",N5=0,N12=0,N16=0,N24=0)</f>
        <v>1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1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1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>
      <c r="D5" s="1219" t="str">
        <f>IF(Deutsch,"Artikel (Nr.  /  Bezeichnung)","part (no. / name)")</f>
        <v>Artikel (Nr.  /  Bezeichnung)</v>
      </c>
      <c r="E5" s="1220"/>
      <c r="F5" s="1221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0</v>
      </c>
      <c r="O5" s="489" t="s">
        <v>285</v>
      </c>
      <c r="Y5" s="55" t="s">
        <v>33</v>
      </c>
    </row>
    <row r="6" spans="1:25" ht="15" thickBot="1">
      <c r="D6" s="1222"/>
      <c r="E6" s="1223"/>
      <c r="F6" s="1224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>
        <f>'Quick Input'!S9</f>
        <v>0</v>
      </c>
      <c r="O6" s="1188" t="s">
        <v>750</v>
      </c>
      <c r="Y6" s="55" t="s">
        <v>33</v>
      </c>
    </row>
    <row r="7" spans="1:25" ht="15.75" customHeight="1" thickBot="1">
      <c r="D7" s="1239" t="str">
        <f>'Quick Input'!$I$45</f>
        <v>Produktionsregion</v>
      </c>
      <c r="E7" s="1240"/>
      <c r="F7" s="1241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e">
        <f>VLOOKUP('Quick Input'!S$45,DB_Länder,IF(Deutsch,1,2),FALSE)</f>
        <v>#N/A</v>
      </c>
      <c r="O7" s="1188" t="s">
        <v>285</v>
      </c>
      <c r="Y7" s="55" t="s">
        <v>33</v>
      </c>
    </row>
    <row r="8" spans="1:25" ht="16.5" customHeight="1" thickBot="1">
      <c r="D8" s="1242" t="str">
        <f>'Quick Input'!$I$4</f>
        <v>Datum</v>
      </c>
      <c r="E8" s="1243"/>
      <c r="F8" s="1244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0</v>
      </c>
      <c r="O8" s="1188" t="s">
        <v>285</v>
      </c>
      <c r="Y8" s="55" t="s">
        <v>33</v>
      </c>
    </row>
    <row r="9" spans="1:25" ht="14.25" customHeight="1" thickBot="1">
      <c r="D9" s="1236" t="str">
        <f>IF(Deutsch,"Materialien","materials")</f>
        <v>Materialien</v>
      </c>
      <c r="E9" s="1237"/>
      <c r="F9" s="1238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>
        <f>'Quick Input'!S$10</f>
        <v>0</v>
      </c>
      <c r="O9" s="1191" t="s">
        <v>285</v>
      </c>
      <c r="Y9" s="55" t="s">
        <v>33</v>
      </c>
    </row>
    <row r="10" spans="1:25" ht="13.5" customHeight="1" thickBot="1">
      <c r="D10" s="1236"/>
      <c r="E10" s="1237"/>
      <c r="F10" s="1238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>
        <f>'Quick Input'!S$11</f>
        <v>0</v>
      </c>
      <c r="O10" s="1188" t="s">
        <v>750</v>
      </c>
      <c r="Y10" s="55" t="s">
        <v>33</v>
      </c>
    </row>
    <row r="11" spans="1:25" ht="13.5" customHeight="1" thickBot="1">
      <c r="D11" s="1228"/>
      <c r="E11" s="1229"/>
      <c r="F11" s="1230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/>
      </c>
      <c r="O11" s="1188" t="s">
        <v>285</v>
      </c>
      <c r="Y11" s="55" t="s">
        <v>33</v>
      </c>
    </row>
    <row r="12" spans="1:25" ht="15" thickBot="1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0</v>
      </c>
      <c r="O12" s="1188" t="s">
        <v>285</v>
      </c>
      <c r="Y12" s="55" t="s">
        <v>33</v>
      </c>
    </row>
    <row r="13" spans="1:25" ht="15" thickBot="1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e">
        <f>IF('Quick Input'!S$12=Auswahlfelder!$D$13,'Material-DB'!$G$1,VLOOKUP(VLOOKUP('Quick Input'!S$12,Auswahlfelder!$D$12:$E$13,2,FALSE),Auswahlfelder!$A$12:$B$13,2,FALSE))</f>
        <v>#N/A</v>
      </c>
      <c r="O13" s="1188" t="s">
        <v>285</v>
      </c>
      <c r="Y13" s="55" t="s">
        <v>33</v>
      </c>
    </row>
    <row r="14" spans="1:25" ht="15" thickBot="1">
      <c r="D14" s="76" t="str">
        <f>'Quick Input'!I19</f>
        <v>Rohteilgewicht AL (kg)</v>
      </c>
      <c r="E14" s="73"/>
      <c r="F14" s="75"/>
      <c r="G14" s="611"/>
      <c r="H14" s="579">
        <f>'Quick Input'!M$19</f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0</v>
      </c>
      <c r="O14" s="1188" t="s">
        <v>285</v>
      </c>
      <c r="Y14" s="55" t="s">
        <v>33</v>
      </c>
    </row>
    <row r="15" spans="1:25" ht="15" thickBot="1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0</v>
      </c>
      <c r="O15" s="1188" t="s">
        <v>285</v>
      </c>
      <c r="Y15" s="55" t="s">
        <v>33</v>
      </c>
    </row>
    <row r="16" spans="1:25" ht="15" thickBot="1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0.81107480677288102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 t="e">
        <f>N$15*(1+Parametrikber!L$42)*N$16</f>
        <v>#N/A</v>
      </c>
      <c r="O17" s="1188" t="s">
        <v>285</v>
      </c>
      <c r="Y17" s="55" t="s">
        <v>33</v>
      </c>
    </row>
    <row r="18" spans="1:25" ht="15" thickBot="1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10.812338169260734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 t="e">
        <f t="shared" ref="N18" si="0">N15+N17</f>
        <v>#N/A</v>
      </c>
      <c r="O18" s="1188" t="s">
        <v>285</v>
      </c>
      <c r="Y18" s="55" t="s">
        <v>33</v>
      </c>
    </row>
    <row r="19" spans="1:25" ht="15" thickBot="1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616.64271517133375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 t="e">
        <f>Parametrikber!L$75</f>
        <v>#N/A</v>
      </c>
      <c r="O19" s="1188" t="s">
        <v>285</v>
      </c>
      <c r="Y19" s="55" t="s">
        <v>33</v>
      </c>
    </row>
    <row r="20" spans="1:25" ht="15" thickBot="1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4.5433738550957354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 t="e">
        <f>N$19*('Länder-DB'!$M$23*'Länder-DB'!$M$25/1000+Parametrikber!L$79)</f>
        <v>#N/A</v>
      </c>
      <c r="O20" s="1188" t="s">
        <v>285</v>
      </c>
      <c r="Y20" s="55" t="s">
        <v>33</v>
      </c>
    </row>
    <row r="21" spans="1:25" ht="15" thickBot="1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6.7693727300031592E-2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 t="e">
        <f>'Länder-DB'!$M$39*N$33/1000*(1+Parametrikber!L224)</f>
        <v>#N/A</v>
      </c>
      <c r="O21" s="1188" t="s">
        <v>285</v>
      </c>
      <c r="Y21" s="55" t="s">
        <v>33</v>
      </c>
    </row>
    <row r="22" spans="1:25" ht="15" thickBot="1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 t="e">
        <f>Parametrikber!L$205</f>
        <v>#N/A</v>
      </c>
      <c r="O22" s="1188" t="s">
        <v>285</v>
      </c>
      <c r="Y22" s="55" t="s">
        <v>33</v>
      </c>
    </row>
    <row r="23" spans="1:25" ht="15" thickBot="1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4.6110675823957674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 t="e">
        <f t="shared" ref="N23" si="1">N$20+N$21+N$22</f>
        <v>#N/A</v>
      </c>
      <c r="O23" s="1188" t="s">
        <v>285</v>
      </c>
      <c r="Y23" s="55" t="s">
        <v>33</v>
      </c>
    </row>
    <row r="24" spans="1:25" ht="15" thickBot="1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1.0796384026159551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 t="e">
        <f t="shared" ref="N25" si="2">(N$18+N$23)*N$24</f>
        <v>#N/A</v>
      </c>
      <c r="O25" s="1188" t="s">
        <v>285</v>
      </c>
      <c r="Y25" s="55" t="s">
        <v>33</v>
      </c>
    </row>
    <row r="26" spans="1:25" ht="15" thickBot="1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16.503044154272455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 t="e">
        <f>N$18+N$23+N$25</f>
        <v>#N/A</v>
      </c>
      <c r="O26" s="1188" t="s">
        <v>285</v>
      </c>
      <c r="Y26" s="55" t="s">
        <v>33</v>
      </c>
    </row>
    <row r="27" spans="1:25" ht="6" customHeight="1" thickBot="1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>
      <c r="D28" s="1225" t="str">
        <f>IF(Deutsch,"Prozess Schmelzen","melting process")</f>
        <v>Prozess Schmelzen</v>
      </c>
      <c r="E28" s="1231"/>
      <c r="F28" s="1232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>
      <c r="D29" s="1233"/>
      <c r="E29" s="1234"/>
      <c r="F29" s="1235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0.22222222222222221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7.7115433971184304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 t="e">
        <f>Parametrikber!L$40/N$50*(1+N$16)</f>
        <v>#N/A</v>
      </c>
      <c r="O33" s="1188" t="s">
        <v>285</v>
      </c>
    </row>
    <row r="34" spans="2:15" ht="15" thickBot="1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 t="e">
        <f>Parametrikber!L$108</f>
        <v>#N/A</v>
      </c>
      <c r="O35" s="1188" t="s">
        <v>285</v>
      </c>
    </row>
    <row r="36" spans="2:15" ht="15" thickBot="1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6.4886999937268458E-2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 t="e">
        <f>N$34/60*N$33/Parametrikber!L$101*N$35</f>
        <v>#N/A</v>
      </c>
      <c r="O36" s="1188" t="s">
        <v>285</v>
      </c>
    </row>
    <row r="37" spans="2:15" ht="15" thickBot="1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 t="e">
        <f>Parametrikber!L$210</f>
        <v>#N/A</v>
      </c>
      <c r="O38" s="1188" t="s">
        <v>285</v>
      </c>
    </row>
    <row r="39" spans="2:15" ht="15" thickBot="1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0.28078500663247918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 t="e">
        <f>N$33*N$37*N$38</f>
        <v>#N/A</v>
      </c>
      <c r="O39" s="1188" t="s">
        <v>285</v>
      </c>
    </row>
    <row r="40" spans="2:15" ht="15" thickBot="1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 t="e">
        <f>Parametrikber!L$133</f>
        <v>#N/A</v>
      </c>
      <c r="O40" s="1188" t="s">
        <v>285</v>
      </c>
    </row>
    <row r="41" spans="2:15" ht="15" thickBot="1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 t="e">
        <f>Parametrikber!L$21</f>
        <v>#N/A</v>
      </c>
      <c r="O41" s="1188" t="s">
        <v>285</v>
      </c>
    </row>
    <row r="42" spans="2:15" ht="15" thickBot="1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0.1127165191564623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 t="e">
        <f>N$33*(1+N$16)/Parametrikber!L$101*N$34/60*N$40*N$41</f>
        <v>#N/A</v>
      </c>
      <c r="O42" s="1188" t="s">
        <v>285</v>
      </c>
    </row>
    <row r="43" spans="2:15" ht="15" thickBot="1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 t="e">
        <f>Parametrikber!L223</f>
        <v>#N/A</v>
      </c>
      <c r="O43" s="1188" t="s">
        <v>285</v>
      </c>
    </row>
    <row r="44" spans="2:15" ht="15" thickBot="1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 t="e">
        <f>Parametrikber!L220</f>
        <v>#N/A</v>
      </c>
      <c r="O44" s="1188" t="s">
        <v>285</v>
      </c>
    </row>
    <row r="45" spans="2:15" ht="15" thickBot="1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9.1069492135108978E-3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 t="e">
        <f>N$43/60*N$44*N$33/Parametrikber!L$101</f>
        <v>#N/A</v>
      </c>
      <c r="O45" s="1188" t="s">
        <v>285</v>
      </c>
    </row>
    <row r="46" spans="2:15" ht="15" thickBot="1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H$70+H$90</f>
        <v>0.02</v>
      </c>
      <c r="I46" s="620"/>
      <c r="J46" s="620"/>
      <c r="K46" s="918">
        <f>K$70+K$90</f>
        <v>0.02</v>
      </c>
      <c r="L46" s="620"/>
      <c r="M46" s="620"/>
      <c r="N46" s="918">
        <f>N$70+N$90</f>
        <v>0.02</v>
      </c>
      <c r="O46" s="1188"/>
    </row>
    <row r="47" spans="2:15" ht="16.5" customHeight="1" thickBot="1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0.47684538443851526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 t="e">
        <f>(N42+N36+N39+N45)*(1+N46)</f>
        <v>#N/A</v>
      </c>
      <c r="O47" s="1192" t="s">
        <v>285</v>
      </c>
    </row>
    <row r="48" spans="2:15" ht="24.75" thickBot="1">
      <c r="D48" s="1233" t="str">
        <f>IF(Deutsch,"Prozess Formen","sand forming process")</f>
        <v>Prozess Formen</v>
      </c>
      <c r="E48" s="1234"/>
      <c r="F48" s="1235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e">
        <f>CONCATENATE(INDEX(AW_Gusstechnik,VLOOKUP('Quick Input'!S$22,Auswahlfelder!$D$36:$E$38,2,FALSE))," / ",'Quick Input'!$I21," ",INDEX(AW_Komplexität,VLOOKUP('Quick Input'!S$21,Auswahlfelder!$D$16:$E$19,2,FALSE)))</f>
        <v>#N/A</v>
      </c>
      <c r="O48" s="1189" t="s">
        <v>285</v>
      </c>
    </row>
    <row r="49" spans="2:15" ht="13.5" customHeight="1" thickBot="1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 t="e">
        <f>Parametrikber!L$70</f>
        <v>#N/A</v>
      </c>
      <c r="O51" s="1188" t="s">
        <v>285</v>
      </c>
    </row>
    <row r="52" spans="2:15" ht="15" thickBot="1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 t="e">
        <f>Parametrikber!L$137</f>
        <v>#N/A</v>
      </c>
      <c r="O54" s="1188" t="s">
        <v>285</v>
      </c>
    </row>
    <row r="55" spans="2:15" ht="15" thickBot="1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3</v>
      </c>
      <c r="L55" s="78" t="s">
        <v>285</v>
      </c>
      <c r="M55" s="67"/>
      <c r="N55" s="262" t="e">
        <f>Parametrikber!L$135</f>
        <v>#N/A</v>
      </c>
      <c r="O55" s="1188" t="s">
        <v>285</v>
      </c>
    </row>
    <row r="56" spans="2:15" ht="15" thickBot="1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 t="e">
        <f>Parametrikber!L21</f>
        <v>#N/A</v>
      </c>
      <c r="O56" s="1188" t="s">
        <v>285</v>
      </c>
    </row>
    <row r="57" spans="2:15" ht="15" thickBot="1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494.727080826242</v>
      </c>
      <c r="L57" s="619" t="s">
        <v>285</v>
      </c>
      <c r="M57" s="607"/>
      <c r="N57" s="74" t="e">
        <f t="shared" ref="N57" si="3">N$54+N$55*N$56</f>
        <v>#N/A</v>
      </c>
      <c r="O57" s="1188" t="s">
        <v>285</v>
      </c>
    </row>
    <row r="58" spans="2:15" ht="14.25" customHeight="1" thickBot="1">
      <c r="C58" s="78"/>
      <c r="D58" s="72" t="str">
        <f>'Quick Input'!$I$65</f>
        <v>Anteil Kühleisen Volumen</v>
      </c>
      <c r="E58" s="73"/>
      <c r="F58" s="75"/>
      <c r="G58" s="614">
        <f>Parametrikber!F$114</f>
        <v>0.22222222222222221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 t="e">
        <f>ROUND(Parametrikber!L$156,0)</f>
        <v>#N/A</v>
      </c>
      <c r="O59" s="1188"/>
    </row>
    <row r="60" spans="2:15" ht="15" thickBot="1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5.496967564736023</v>
      </c>
      <c r="L60" s="78" t="s">
        <v>285</v>
      </c>
      <c r="M60" s="584">
        <f>N$50</f>
        <v>1</v>
      </c>
      <c r="N60" s="85" t="e">
        <f>N$57/3600*N$59/N$50</f>
        <v>#N/A</v>
      </c>
      <c r="O60" s="1188" t="s">
        <v>285</v>
      </c>
    </row>
    <row r="61" spans="2:15" ht="15" thickBot="1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50.406745185862235</v>
      </c>
      <c r="M62" s="67"/>
      <c r="N62" s="114" t="e">
        <f>Parametrikber!L$109</f>
        <v>#N/A</v>
      </c>
      <c r="O62" s="1188"/>
    </row>
    <row r="63" spans="2:15" ht="15" thickBot="1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 t="e">
        <f>Parametrikber!L$136</f>
        <v>#N/A</v>
      </c>
      <c r="O63" s="1188" t="s">
        <v>285</v>
      </c>
    </row>
    <row r="64" spans="2:15" ht="15" thickBot="1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 t="e">
        <f>Parametrikber!L$22</f>
        <v>#N/A</v>
      </c>
      <c r="O64" s="1188" t="s">
        <v>285</v>
      </c>
    </row>
    <row r="65" spans="2:15" ht="15" thickBot="1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415.62636499589752</v>
      </c>
      <c r="L65" s="78" t="s">
        <v>285</v>
      </c>
      <c r="M65" s="67"/>
      <c r="N65" s="74" t="e">
        <f>N$62/60*(N$57+N$63*N$64)</f>
        <v>#N/A</v>
      </c>
      <c r="O65" s="1188" t="s">
        <v>285</v>
      </c>
    </row>
    <row r="66" spans="2:15" ht="15" thickBot="1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4.1562636499589756</v>
      </c>
      <c r="L66" s="619" t="s">
        <v>285</v>
      </c>
      <c r="M66" s="607"/>
      <c r="N66" s="85" t="e">
        <f>N$65/ROUNDUP(N$61,0)</f>
        <v>#N/A</v>
      </c>
      <c r="O66" s="1188" t="s">
        <v>285</v>
      </c>
    </row>
    <row r="67" spans="2:15" ht="14.25" customHeight="1" thickBot="1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>
      <c r="D68" s="72" t="str">
        <f>IF(Deutsch,"Sandkerne (€/ltr)","cores €/ltr.")</f>
        <v>Sandkerne (€/ltr)</v>
      </c>
      <c r="E68" s="457"/>
      <c r="F68" s="75"/>
      <c r="G68" s="614">
        <f>Parametrikber!F$114</f>
        <v>0.22222222222222221</v>
      </c>
      <c r="H68" s="74">
        <f>Parametrikber!F$117</f>
        <v>4.4174325986312393E-2</v>
      </c>
      <c r="I68" s="609">
        <f>Parametrikber!F$115</f>
        <v>30.548148148148147</v>
      </c>
      <c r="J68" s="609">
        <f>Parametrikber!I$114</f>
        <v>0</v>
      </c>
      <c r="K68" s="74">
        <f>Parametrikber!I$117</f>
        <v>0</v>
      </c>
      <c r="L68" s="470">
        <f>Parametrikber!I115</f>
        <v>0</v>
      </c>
      <c r="M68" s="470">
        <f>Parametrikber!L114</f>
        <v>0</v>
      </c>
      <c r="N68" s="74" t="e">
        <f>Parametrikber!L$117</f>
        <v>#N/A</v>
      </c>
      <c r="O68" s="1188"/>
    </row>
    <row r="69" spans="2:15" ht="15" customHeight="1" thickBot="1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0.88348651972624781</v>
      </c>
      <c r="I69" s="609"/>
      <c r="J69" s="609"/>
      <c r="K69" s="85">
        <f>K$67*K$68</f>
        <v>0</v>
      </c>
      <c r="L69" s="609"/>
      <c r="M69" s="609"/>
      <c r="N69" s="85" t="e">
        <f t="shared" ref="N69" si="4">N$67*N$68</f>
        <v>#N/A</v>
      </c>
      <c r="O69" s="1188"/>
    </row>
    <row r="70" spans="2:15" ht="15" thickBot="1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5">H$70*H$60</f>
        <v>0</v>
      </c>
      <c r="I71" s="619" t="s">
        <v>285</v>
      </c>
      <c r="J71" s="619"/>
      <c r="K71" s="74">
        <f t="shared" ref="K71" si="6">K$70*K$60</f>
        <v>0</v>
      </c>
      <c r="L71" s="619" t="s">
        <v>285</v>
      </c>
      <c r="M71" s="619"/>
      <c r="N71" s="74" t="e">
        <f t="shared" ref="N71" si="7">N$70*N$60</f>
        <v>#N/A</v>
      </c>
      <c r="O71" s="1188" t="s">
        <v>285</v>
      </c>
    </row>
    <row r="72" spans="2:15" ht="15" thickBot="1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43.145413881307022</v>
      </c>
      <c r="I72" s="625" t="s">
        <v>285</v>
      </c>
      <c r="J72" s="854"/>
      <c r="K72" s="853">
        <f>K$60+K$66+K$69+K$71</f>
        <v>9.6532312146949977</v>
      </c>
      <c r="L72" s="625" t="s">
        <v>285</v>
      </c>
      <c r="M72" s="854"/>
      <c r="N72" s="853" t="e">
        <f t="shared" ref="N72" si="8">N$60+N$66+N$69+N$71</f>
        <v>#N/A</v>
      </c>
      <c r="O72" s="1192" t="s">
        <v>285</v>
      </c>
    </row>
    <row r="73" spans="2:15" ht="33" customHeight="1" thickBot="1">
      <c r="D73" s="1245" t="str">
        <f>IF(Deutsch,"Nachbehandlung","after care")</f>
        <v>Nachbehandlung</v>
      </c>
      <c r="E73" s="1246"/>
      <c r="F73" s="1247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/>
      </c>
      <c r="O73" s="1189" t="s">
        <v>285</v>
      </c>
    </row>
    <row r="74" spans="2:15" ht="15" thickBot="1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 t="e">
        <f>Parametrikber!L$20</f>
        <v>#N/A</v>
      </c>
      <c r="O76" s="1188" t="s">
        <v>285</v>
      </c>
    </row>
    <row r="77" spans="2:15" ht="15" thickBot="1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 t="e">
        <f t="shared" ref="N77" si="9">(N74+N75)/60*N76</f>
        <v>#N/A</v>
      </c>
      <c r="O77" s="1188" t="s">
        <v>285</v>
      </c>
    </row>
    <row r="78" spans="2:15" ht="15" thickBot="1">
      <c r="C78" s="78"/>
      <c r="D78" s="1207" t="str">
        <f>IF(Deutsch,"Prozesszeit Strahlen (sec)","process time sand blasting (sec)")</f>
        <v>Prozesszeit Strahlen (sec)</v>
      </c>
      <c r="E78" s="1208"/>
      <c r="F78" s="1206"/>
      <c r="G78" s="611"/>
      <c r="H78" s="140">
        <f>Parametrikber!F$235</f>
        <v>26.144585576580216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0</v>
      </c>
      <c r="O78" s="1188" t="s">
        <v>285</v>
      </c>
    </row>
    <row r="79" spans="2:15" ht="15" thickBot="1">
      <c r="C79" s="78"/>
      <c r="D79" s="1207" t="str">
        <f>IF(Deutsch,"Strahlkosten (€/Stk.)","blasting costs (€/Stk.)")</f>
        <v>Strahlkosten (€/Stk.)</v>
      </c>
      <c r="E79" s="1208"/>
      <c r="F79" s="1206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 t="e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#N/A</v>
      </c>
      <c r="O79" s="1188"/>
    </row>
    <row r="80" spans="2:15" ht="15" thickBot="1">
      <c r="C80" s="78"/>
      <c r="D80" s="1207" t="str">
        <f>IF(Deutsch,"Prozesszeit Gleitschleifen (sec)","process time Slide grinding (sec)")</f>
        <v>Prozesszeit Gleitschleifen (sec)</v>
      </c>
      <c r="E80" s="1208"/>
      <c r="F80" s="1206"/>
      <c r="G80" s="611"/>
      <c r="H80" s="140">
        <f>Parametrikber!F240/Parametrikber!F242*60</f>
        <v>220</v>
      </c>
      <c r="I80" s="619"/>
      <c r="J80" s="619"/>
      <c r="K80" s="140">
        <f>Parametrikber!I240/Parametrikber!I242*60</f>
        <v>220</v>
      </c>
      <c r="L80" s="619"/>
      <c r="M80" s="619"/>
      <c r="N80" s="140" t="e">
        <f>Parametrikber!L240/Parametrikber!L242*60</f>
        <v>#DIV/0!</v>
      </c>
      <c r="O80" s="1188"/>
    </row>
    <row r="81" spans="2:23" ht="15" thickBot="1">
      <c r="C81" s="78"/>
      <c r="D81" s="1207" t="str">
        <f>IF(Deutsch,"Kosten Gleitschleifen (€/Stk.)","costs Slide grinding (€/Stk.)")</f>
        <v>Kosten Gleitschleifen (€/Stk.)</v>
      </c>
      <c r="E81" s="1208"/>
      <c r="F81" s="1206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 t="e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#DIV/0!</v>
      </c>
      <c r="O81" s="1188"/>
    </row>
    <row r="82" spans="2:23" ht="15" thickBot="1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8" t="s">
        <v>285</v>
      </c>
    </row>
    <row r="83" spans="2:23" ht="15" thickBot="1">
      <c r="C83" s="78"/>
      <c r="D83" s="1207" t="str">
        <f>IF(Deutsch,"Kosten Feinputzen (€)"," costs fine grinding (€)")</f>
        <v>Kosten Feinputzen (€)</v>
      </c>
      <c r="E83" s="1208"/>
      <c r="F83" s="1206"/>
      <c r="G83" s="611"/>
      <c r="H83" s="1200">
        <f>'Maschinen-DB'!E75*(1+'Maschinen-DB'!F75)/'Länder-DB'!I27/Parametrikber!F146/3600*H82+'Maschinen-DB'!G75/3600*H82*VLOOKUP(H$7,DB_Länder,7,FALSE)
+'Maschinen-DB'!H75*VLOOKUP(H$7,DB_Länder,8,FALSE)*12/Parametrikber!F146/3600*H82</f>
        <v>0</v>
      </c>
      <c r="I83" s="619"/>
      <c r="J83" s="619"/>
      <c r="K83" s="1200">
        <f>'Maschinen-DB'!E75*(1+'Maschinen-DB'!F75)/'Länder-DB'!I27/Parametrikber!I146/3600*K82+'Maschinen-DB'!G75/3600*K82*VLOOKUP(K$7,DB_Länder,7,FALSE)
+'Maschinen-DB'!H75*VLOOKUP(K$7,DB_Länder,8,FALSE)*12/Parametrikber!I146/3600*K82</f>
        <v>0</v>
      </c>
      <c r="L83" s="619"/>
      <c r="M83" s="619"/>
      <c r="N83" s="1200" t="e">
        <f>'Maschinen-DB'!E75*(1+'Maschinen-DB'!F75)/'Länder-DB'!I27/Parametrikber!L146/3600*N82+'Maschinen-DB'!G75/3600*N82*VLOOKUP(N$7,DB_Länder,7,FALSE)
+'Maschinen-DB'!H75*VLOOKUP(N$7,DB_Länder,8,FALSE)*12/Parametrikber!L146/3600*N82</f>
        <v>#N/A</v>
      </c>
      <c r="O83" s="1188"/>
      <c r="Q83" s="1212"/>
    </row>
    <row r="84" spans="2:23" ht="15" thickBot="1">
      <c r="C84" s="78"/>
      <c r="D84" s="82" t="str">
        <f>IF(Deutsch,"Oberflächenkosten (€/Stk.)","surfaces cost (€/pc.)")</f>
        <v>Oberflächenkosten (€/Stk.)</v>
      </c>
      <c r="E84" s="73"/>
      <c r="F84" s="75"/>
      <c r="G84" s="611"/>
      <c r="H84" s="85">
        <f>H$79+H$81+H83+(H$82/3600*H$76)</f>
        <v>2.1313882578815568</v>
      </c>
      <c r="I84" s="619" t="s">
        <v>285</v>
      </c>
      <c r="J84" s="619"/>
      <c r="K84" s="85">
        <f>K$79+K$81+(K$82/3600*K$76)</f>
        <v>0.7913542703450227</v>
      </c>
      <c r="L84" s="619" t="s">
        <v>285</v>
      </c>
      <c r="M84" s="619"/>
      <c r="N84" s="85" t="e">
        <f>N$79+N$81+(N$82/3600*N$76)</f>
        <v>#N/A</v>
      </c>
      <c r="O84" s="1188" t="s">
        <v>285</v>
      </c>
      <c r="T84" s="1212"/>
    </row>
    <row r="85" spans="2:23" ht="15" thickBot="1">
      <c r="C85" s="78"/>
      <c r="D85" s="72" t="str">
        <f>IF(Deutsch,"Sandaufbereitung (€/t)","sand regeneration (€/to)")</f>
        <v>Sandaufbereitung (€/t)</v>
      </c>
      <c r="E85" s="73"/>
      <c r="F85" s="75"/>
      <c r="G85" s="611"/>
      <c r="H85" s="74">
        <f>Parametrikber!F$122</f>
        <v>1.4142135623730949</v>
      </c>
      <c r="I85" s="619" t="s">
        <v>285</v>
      </c>
      <c r="J85" s="619"/>
      <c r="K85" s="74">
        <f>Parametrikber!I$122</f>
        <v>1.2477080261564104</v>
      </c>
      <c r="L85" s="78" t="s">
        <v>285</v>
      </c>
      <c r="M85" s="78"/>
      <c r="N85" s="74" t="e">
        <f>Parametrikber!L$122</f>
        <v>#N/A</v>
      </c>
      <c r="O85" s="1188" t="s">
        <v>285</v>
      </c>
      <c r="W85" s="689"/>
    </row>
    <row r="86" spans="2:23" ht="15" thickBot="1">
      <c r="C86" s="78"/>
      <c r="D86" s="82" t="str">
        <f>IF(Deutsch,"Sandaufbereitung (€/Stk.)","sand regeneration (€/pc.)")</f>
        <v>Sandaufbereitung (€/Stk.)</v>
      </c>
      <c r="E86" s="73"/>
      <c r="F86" s="75"/>
      <c r="G86" s="611"/>
      <c r="H86" s="85">
        <f>H$85*Parametrikber!F$75/1000</f>
        <v>0.87206449093386962</v>
      </c>
      <c r="I86" s="619" t="s">
        <v>285</v>
      </c>
      <c r="J86" s="619"/>
      <c r="K86" s="85">
        <f>K$85*Parametrikber!I$75/1000</f>
        <v>0.21705497982013336</v>
      </c>
      <c r="L86" s="78" t="s">
        <v>285</v>
      </c>
      <c r="M86" s="78"/>
      <c r="N86" s="85" t="e">
        <f>N$85*Parametrikber!L$75/1000</f>
        <v>#N/A</v>
      </c>
      <c r="O86" s="1188" t="s">
        <v>285</v>
      </c>
    </row>
    <row r="87" spans="2:23" ht="15" thickBot="1">
      <c r="C87" s="78"/>
      <c r="D87" s="1207" t="str">
        <f>IF(Deutsch,"Wärmebehandlung (Anlage)","heat treatment (system)")</f>
        <v>Wärmebehandlung (Anlage)</v>
      </c>
      <c r="E87" s="1209"/>
      <c r="F87" s="1210"/>
      <c r="G87" s="611"/>
      <c r="H87" s="1205" t="s">
        <v>989</v>
      </c>
      <c r="I87" s="619"/>
      <c r="J87" s="619"/>
      <c r="K87" s="1205" t="s">
        <v>988</v>
      </c>
      <c r="L87" s="78"/>
      <c r="M87" s="78"/>
      <c r="N87" s="1205" t="s">
        <v>988</v>
      </c>
      <c r="O87" s="1188"/>
    </row>
    <row r="88" spans="2:23" ht="15" thickBot="1">
      <c r="C88" s="78"/>
      <c r="D88" s="72" t="str">
        <f>CONCATENATE(IF(Deutsch,'Quick Input'!C71,'Quick Input'!D71)," (€/kg)")</f>
        <v>Wärmebehandlung (€/kg)</v>
      </c>
      <c r="E88" s="73"/>
      <c r="F88" s="75"/>
      <c r="G88" s="611"/>
      <c r="H88" s="1248"/>
      <c r="I88" s="620"/>
      <c r="J88" s="620"/>
      <c r="K88" s="342"/>
      <c r="L88" s="355"/>
      <c r="M88" s="355"/>
      <c r="N88" s="342"/>
      <c r="O88" s="1188"/>
    </row>
    <row r="89" spans="2:23" ht="15" thickBot="1">
      <c r="C89" s="78"/>
      <c r="D89" s="82" t="str">
        <f>IF(Deutsch,"Wärmebehandlung (€/Stk.)","heat treatment (€/pc.")</f>
        <v>Wärmebehandlung (€/Stk.)</v>
      </c>
      <c r="E89" s="73"/>
      <c r="F89" s="75"/>
      <c r="G89" s="611"/>
      <c r="H89" s="85">
        <f>H$88*H$14</f>
        <v>0</v>
      </c>
      <c r="I89" s="619"/>
      <c r="J89" s="619"/>
      <c r="K89" s="85">
        <f>K$88*K$14</f>
        <v>0</v>
      </c>
      <c r="L89" s="78"/>
      <c r="M89" s="78"/>
      <c r="N89" s="85">
        <f>N$88*N$14</f>
        <v>0</v>
      </c>
      <c r="O89" s="1188"/>
    </row>
    <row r="90" spans="2:23" ht="15" thickBot="1">
      <c r="B90" s="55" t="s">
        <v>127</v>
      </c>
      <c r="C90" s="78"/>
      <c r="D90" s="236" t="str">
        <f>'Quick Input'!I72</f>
        <v>Fertigungsausschuss 2</v>
      </c>
      <c r="E90" s="73"/>
      <c r="F90" s="75"/>
      <c r="G90" s="611"/>
      <c r="H90" s="119">
        <v>0.02</v>
      </c>
      <c r="I90" s="620"/>
      <c r="J90" s="620"/>
      <c r="K90" s="119">
        <v>0.02</v>
      </c>
      <c r="L90" s="355"/>
      <c r="M90" s="355"/>
      <c r="N90" s="119">
        <v>0.02</v>
      </c>
      <c r="O90" s="1188"/>
    </row>
    <row r="91" spans="2:23" ht="15" thickBot="1">
      <c r="C91" s="78"/>
      <c r="D91" s="116" t="str">
        <f>IF(Deutsch,"Prozesskosten pro Stück","process cost per part")</f>
        <v>Prozesskosten pro Stück</v>
      </c>
      <c r="E91" s="73"/>
      <c r="F91" s="75"/>
      <c r="G91" s="855"/>
      <c r="H91" s="853">
        <f>(1+H90)*(H77+H84+H$86+H$89)</f>
        <v>28.380809203791738</v>
      </c>
      <c r="I91" s="625" t="s">
        <v>285</v>
      </c>
      <c r="J91" s="625"/>
      <c r="K91" s="853">
        <f>(1+K90)*(K77+K84+K$86+K$89)</f>
        <v>1.4945328151684594</v>
      </c>
      <c r="L91" s="625" t="s">
        <v>285</v>
      </c>
      <c r="M91" s="625"/>
      <c r="N91" s="853" t="e">
        <f>(1+N90)*(N77+N84+N$86+N$89)</f>
        <v>#N/A</v>
      </c>
      <c r="O91" s="1192" t="s">
        <v>285</v>
      </c>
    </row>
    <row r="92" spans="2:23" ht="28.5" customHeight="1" thickBot="1">
      <c r="C92" s="78"/>
      <c r="D92" s="1245" t="str">
        <f>IF(Deutsch,"Prüfen","testing")</f>
        <v>Prüfen</v>
      </c>
      <c r="E92" s="1246"/>
      <c r="F92" s="1247"/>
      <c r="G92" s="611"/>
      <c r="H92" s="912" t="str">
        <f>Parametrikber!F$253</f>
        <v>US PT Röntgen prüfen</v>
      </c>
      <c r="I92" s="913" t="s">
        <v>285</v>
      </c>
      <c r="J92" s="913"/>
      <c r="K92" s="912" t="str">
        <f>Parametrikber!I$253</f>
        <v>US PT Röntgen prüfen</v>
      </c>
      <c r="L92" s="913" t="s">
        <v>285</v>
      </c>
      <c r="M92" s="913"/>
      <c r="N92" s="912" t="e">
        <f>Parametrikber!L$253</f>
        <v>#N/A</v>
      </c>
      <c r="O92" s="1189" t="s">
        <v>285</v>
      </c>
      <c r="T92" s="1211"/>
    </row>
    <row r="93" spans="2:23" ht="15" thickBot="1">
      <c r="B93" s="55" t="s">
        <v>127</v>
      </c>
      <c r="C93" s="78"/>
      <c r="D93" s="72" t="str">
        <f>'Quick Input'!I73</f>
        <v>VT Prüfzeit/Teil (sec)</v>
      </c>
      <c r="E93" s="73"/>
      <c r="F93" s="75"/>
      <c r="G93" s="611"/>
      <c r="H93" s="121">
        <v>400</v>
      </c>
      <c r="I93" s="620"/>
      <c r="J93" s="620"/>
      <c r="K93" s="121">
        <v>300</v>
      </c>
      <c r="L93" s="355"/>
      <c r="M93" s="355"/>
      <c r="N93" s="121">
        <v>300</v>
      </c>
      <c r="O93" s="1188"/>
    </row>
    <row r="94" spans="2:23" ht="15" thickBot="1">
      <c r="C94" s="78"/>
      <c r="D94" s="1207" t="str">
        <f>IF(Deutsch,"VT Prüfung","vt proportion (%)")</f>
        <v>VT Prüfung</v>
      </c>
      <c r="E94" s="1208"/>
      <c r="F94" s="1206"/>
      <c r="G94" s="611"/>
      <c r="H94" s="1199">
        <f>'Maschinen-DB'!E74*(1+'Maschinen-DB'!F74)/'Länder-DB'!I27/Parametrikber!F146/3600*H93+'Maschinen-DB'!G74/3600*H93*VLOOKUP(H$7,DB_Länder,7,FALSE) + 'Maschinen-DB'!H74*VLOOKUP(H$7,DB_Länder,8,FALSE)*12/Parametrikber!F146/3600*H93</f>
        <v>0.13463541666666667</v>
      </c>
      <c r="I94" s="620"/>
      <c r="J94" s="620"/>
      <c r="K94" s="1199">
        <f>'Maschinen-DB'!E74*(1+'Maschinen-DB'!F74)/'Länder-DB'!I27/Parametrikber!I146/3600*K93+'Maschinen-DB'!G74/3600*K93*VLOOKUP(K$7,DB_Länder,7,FALSE) + 'Maschinen-DB'!H74*VLOOKUP(K$7,DB_Länder,8,FALSE)*12/Parametrikber!I146/3600*K93</f>
        <v>9.0338541666666675E-2</v>
      </c>
      <c r="L94" s="355"/>
      <c r="M94" s="355"/>
      <c r="N94" s="1198" t="e">
        <f>'Maschinen-DB'!E74*(1+'Maschinen-DB'!F74)/'Länder-DB'!I27/Parametrikber!L146/3600*N93+'Maschinen-DB'!G74/3600*N93*VLOOKUP(N$7,DB_Länder,7,FALSE)
+ 'Maschinen-DB'!H74*VLOOKUP(N$7,DB_Länder,8,FALSE)*12/Parametrikber!L146/3600*N93</f>
        <v>#N/A</v>
      </c>
      <c r="O94" s="1188"/>
      <c r="T94" s="1212"/>
    </row>
    <row r="95" spans="2:23" ht="15" thickBot="1">
      <c r="C95" s="78"/>
      <c r="D95" s="72" t="str">
        <f>IF(Deutsch,"Personalkosten Prüfer","personal cost testing")</f>
        <v>Personalkosten Prüfer</v>
      </c>
      <c r="E95" s="73"/>
      <c r="F95" s="75"/>
      <c r="G95" s="611"/>
      <c r="H95" s="74">
        <f>Parametrikber!F$22</f>
        <v>33.535694999999997</v>
      </c>
      <c r="I95" s="619" t="s">
        <v>285</v>
      </c>
      <c r="J95" s="619"/>
      <c r="K95" s="74">
        <f>Parametrikber!I$22</f>
        <v>10.008107999999998</v>
      </c>
      <c r="L95" s="78" t="s">
        <v>285</v>
      </c>
      <c r="M95" s="78"/>
      <c r="N95" s="74" t="e">
        <f>Parametrikber!L$22</f>
        <v>#N/A</v>
      </c>
      <c r="O95" s="1188" t="s">
        <v>285</v>
      </c>
    </row>
    <row r="96" spans="2:23" ht="15" thickBot="1">
      <c r="C96" s="78"/>
      <c r="D96" s="1207" t="str">
        <f>IF(Deutsch,"Ultraschall Prüfzeit (sec)","ultrasonic testing time (sec)")</f>
        <v>Ultraschall Prüfzeit (sec)</v>
      </c>
      <c r="E96" s="1206"/>
      <c r="F96" s="1206"/>
      <c r="G96" s="611"/>
      <c r="H96" s="121">
        <v>500</v>
      </c>
      <c r="I96" s="619"/>
      <c r="J96" s="619"/>
      <c r="K96" s="121">
        <v>400</v>
      </c>
      <c r="L96" s="78"/>
      <c r="M96" s="78"/>
      <c r="N96" s="121">
        <v>400</v>
      </c>
      <c r="O96" s="1188"/>
    </row>
    <row r="97" spans="2:15" ht="15" thickBot="1">
      <c r="C97" s="78"/>
      <c r="D97" s="1207" t="str">
        <f>IF(Deutsch,'Quick Input'!C28,'Quick Input'!D28)</f>
        <v>Ultraschall Prüfung</v>
      </c>
      <c r="E97" s="1206"/>
      <c r="F97" s="1206"/>
      <c r="G97" s="611"/>
      <c r="H97" s="1199">
        <f>IF('Quick Input'!L28="ja",'Maschinen-DB'!E66*(1+'Maschinen-DB'!F66)/'Länder-DB'!I27/Parametrikber!F146/3600*H96+'Maschinen-DB'!G66/3600*H96*VLOOKUP(H$7,DB_Länder,7,FALSE) + 'Maschinen-DB'!H66*VLOOKUP(H$7,DB_Länder,8,FALSE)*12/Parametrikber!F146/3600*H96,0)</f>
        <v>0.41742621527777779</v>
      </c>
      <c r="I97" s="620"/>
      <c r="J97" s="620"/>
      <c r="K97" s="1199">
        <f>IF('Quick Input'!O28="ja",'Maschinen-DB'!E66*(1+'Maschinen-DB'!F66)/'Länder-DB'!I27/Parametrikber!I146/3600*K96+'Maschinen-DB'!G66/3600*K96*VLOOKUP(K$7,DB_Länder,7,FALSE) + 'Maschinen-DB'!H66*VLOOKUP(K$7,DB_Länder,8,FALSE)*12/Parametrikber!I146/3600*K96,0)</f>
        <v>0.30864583333333334</v>
      </c>
      <c r="L97" s="355"/>
      <c r="M97" s="355"/>
      <c r="N97" s="1199" t="e">
        <f>IF('Quick Input'!R28="ja",'Maschinen-DB'!E66*(1+'Maschinen-DB'!F66)/'Länder-DB'!I27/Parametrikber!L146/3600*N96+'Maschinen-DB'!G66/3600*N96*VLOOKUP(N$7,DB_Länder,7,FALSE) + 'Maschinen-DB'!H66*VLOOKUP(N$7,DB_Länder,8,FALSE)*12/Parametrikber!L146/3600*N96,0)</f>
        <v>#N/A</v>
      </c>
      <c r="O97" s="1188"/>
    </row>
    <row r="98" spans="2:15" ht="15" thickBot="1">
      <c r="C98" s="78"/>
      <c r="D98" s="1207" t="str">
        <f>IF(Deutsch,"Farbeindring (Anlage)","PT (system)")</f>
        <v>Farbeindring (Anlage)</v>
      </c>
      <c r="E98" s="1206"/>
      <c r="F98" s="1206"/>
      <c r="G98" s="611"/>
      <c r="H98" s="342" t="s">
        <v>994</v>
      </c>
      <c r="I98" s="620"/>
      <c r="J98" s="620"/>
      <c r="K98" s="342" t="s">
        <v>994</v>
      </c>
      <c r="L98" s="355"/>
      <c r="M98" s="355"/>
      <c r="N98" s="342" t="s">
        <v>994</v>
      </c>
      <c r="O98" s="1188"/>
    </row>
    <row r="99" spans="2:15" ht="15" thickBot="1">
      <c r="C99" s="78"/>
      <c r="D99" s="1207" t="str">
        <f>IF(Deutsch,"Farbeindring Prüfzeit (sec)","PT testing time (sec)")</f>
        <v>Farbeindring Prüfzeit (sec)</v>
      </c>
      <c r="E99" s="1206"/>
      <c r="F99" s="1206"/>
      <c r="G99" s="611"/>
      <c r="H99" s="121">
        <v>600</v>
      </c>
      <c r="I99" s="620"/>
      <c r="J99" s="620"/>
      <c r="K99" s="121">
        <v>600</v>
      </c>
      <c r="L99" s="355"/>
      <c r="M99" s="355"/>
      <c r="N99" s="121">
        <v>400</v>
      </c>
      <c r="O99" s="1188"/>
    </row>
    <row r="100" spans="2:15" ht="15" thickBot="1">
      <c r="C100" s="78"/>
      <c r="D100" s="1207" t="str">
        <f>IF(Deutsch,'Quick Input'!C29,'Quick Input'!D29)</f>
        <v>Farbeindring Prüfung</v>
      </c>
      <c r="E100" s="1206"/>
      <c r="F100" s="1206"/>
      <c r="G100" s="611"/>
      <c r="H100" s="1199">
        <f>IF('Quick Input'!L29="ja",VLOOKUP(Refkalkulation!H98,'Maschinen-DB'!B67:H69,4,FALSE)*(1+VLOOKUP(Refkalkulation!H98,'Maschinen-DB'!B67:H69,5,FALSE))/'Länder-DB'!I27/Parametrikber!F146/3600*H99+VLOOKUP(Refkalkulation!H98,'Maschinen-DB'!B67:H69,6,FALSE)/3600*H99*VLOOKUP(H$7,DB_Länder,7,FALSE) + VLOOKUP(Refkalkulation!H98,'Maschinen-DB'!B67:H69,7,FALSE)*VLOOKUP(H$7,DB_Länder,8,FALSE)*12/Parametrikber!F146/3600*H99,0)</f>
        <v>0.37082465277777776</v>
      </c>
      <c r="I100" s="620"/>
      <c r="J100" s="620"/>
      <c r="K100" s="1199">
        <f>IF('Quick Input'!O29="ja",VLOOKUP(Refkalkulation!K98,'Maschinen-DB'!B67:K69,4,FALSE)*(1+VLOOKUP(Refkalkulation!K98,'Maschinen-DB'!B67:K69,5,FALSE))/'Länder-DB'!I27/Parametrikber!I146/3600*K99+VLOOKUP(Refkalkulation!K98,'Maschinen-DB'!B67:K69,6,FALSE)/3600*K99*VLOOKUP(K$7,DB_Länder,7,FALSE) + VLOOKUP(Refkalkulation!K98,'Maschinen-DB'!B67:K69,7,FALSE)*VLOOKUP(K$7,DB_Länder,8,FALSE)*12/Parametrikber!I146/3600*K99,0)</f>
        <v>0.34611111111111109</v>
      </c>
      <c r="L100" s="355"/>
      <c r="M100" s="355"/>
      <c r="N100" s="1199" t="e">
        <f>IF('Quick Input'!R29="ja",VLOOKUP(Refkalkulation!N98,'Maschinen-DB'!B67:N69,4,FALSE)*(1+VLOOKUP(Refkalkulation!N98,'Maschinen-DB'!B67:N69,5,FALSE))/'Länder-DB'!I27/Parametrikber!L146/3600*N99+VLOOKUP(Refkalkulation!N98,'Maschinen-DB'!B67:N69,6,FALSE)/3600*N99*VLOOKUP(N$7,DB_Länder,7,FALSE) + VLOOKUP(Refkalkulation!N98,'Maschinen-DB'!B67:N69,7,FALSE)*VLOOKUP(N$7,DB_Länder,8,FALSE)*12/Parametrikber!L146/3600*N99,0)</f>
        <v>#N/A</v>
      </c>
      <c r="O100" s="1188"/>
    </row>
    <row r="101" spans="2:15" ht="15" thickBot="1">
      <c r="C101" s="78"/>
      <c r="D101" s="1207" t="str">
        <f>IF(Deutsch,"Röntgen Prüfzeit (sec)","X-ray testing time (sec)")</f>
        <v>Röntgen Prüfzeit (sec)</v>
      </c>
      <c r="E101" s="1206"/>
      <c r="F101" s="1206"/>
      <c r="G101" s="611"/>
      <c r="H101" s="121">
        <v>1000</v>
      </c>
      <c r="I101" s="620"/>
      <c r="J101" s="620"/>
      <c r="K101" s="121">
        <v>1000</v>
      </c>
      <c r="L101" s="355"/>
      <c r="M101" s="355"/>
      <c r="N101" s="121">
        <v>600</v>
      </c>
      <c r="O101" s="1188"/>
    </row>
    <row r="102" spans="2:15" ht="15" thickBot="1">
      <c r="C102" s="78"/>
      <c r="D102" s="1207" t="str">
        <f>IF(Deutsch,'Quick Input'!C30,'Quick Input'!D30)</f>
        <v>Röntgen Prüfung</v>
      </c>
      <c r="E102" s="1206"/>
      <c r="F102" s="1206"/>
      <c r="G102" s="611"/>
      <c r="H102" s="1199">
        <f>IF('Quick Input'!L30="ja",'Maschinen-DB'!E63*(1+'Maschinen-DB'!F63)/'Länder-DB'!I27/Parametrikber!F146/3600*H101+'Maschinen-DB'!G63/3600*H101*VLOOKUP(H$7,DB_Länder,7,FALSE) + 'Maschinen-DB'!H63*VLOOKUP(H$7,DB_Länder,8,FALSE)*12/Parametrikber!F146/3600*H101,0)</f>
        <v>1.8357928240740744</v>
      </c>
      <c r="I102" s="620"/>
      <c r="J102" s="620"/>
      <c r="K102" s="1199">
        <f>IF('Quick Input'!O30="ja",'Maschinen-DB'!E63*(1+'Maschinen-DB'!F63)/'Länder-DB'!I27/Parametrikber!F146/3600*K101+'Maschinen-DB'!G63/3600*K101*VLOOKUP(K$7,DB_Länder,7,FALSE) + 'Maschinen-DB'!H63*VLOOKUP(K$7,DB_Länder,8,FALSE)*12/Parametrikber!F146/3600*K101,0)</f>
        <v>1.7619212962962969</v>
      </c>
      <c r="L102" s="355"/>
      <c r="M102" s="355"/>
      <c r="N102" s="1199" t="e">
        <f>IF('Quick Input'!R30="ja",'Maschinen-DB'!E63*(1+'Maschinen-DB'!F63)/'Länder-DB'!I27/Parametrikber!F146/3600*N101+'Maschinen-DB'!G63/3600*N101*VLOOKUP(N$7,DB_Länder,7,FALSE) + 'Maschinen-DB'!H63*VLOOKUP(N$7,DB_Länder,8,FALSE)*12/Parametrikber!F146/3600*N101,0)</f>
        <v>#N/A</v>
      </c>
      <c r="O102" s="1188"/>
    </row>
    <row r="103" spans="2:15" ht="15" thickBot="1">
      <c r="C103" s="78"/>
      <c r="D103" s="72" t="str">
        <f>IF(Deutsch,Auswahlfelder!$B$59,Auswahlfelder!$D$59)</f>
        <v>Reparaturschweißen</v>
      </c>
      <c r="E103" s="73"/>
      <c r="F103" s="75"/>
      <c r="G103" s="611"/>
      <c r="H103" s="80" t="str">
        <f>'Quick Input'!L$33</f>
        <v>ohne</v>
      </c>
      <c r="I103" s="619"/>
      <c r="J103" s="619"/>
      <c r="K103" s="80" t="str">
        <f>'Quick Input'!O$33</f>
        <v>ohne</v>
      </c>
      <c r="L103" s="78"/>
      <c r="M103" s="78"/>
      <c r="N103" s="80" t="str">
        <f>'Quick Input'!R$33</f>
        <v>ohne</v>
      </c>
      <c r="O103" s="1188"/>
    </row>
    <row r="104" spans="2:15" ht="15" thickBot="1">
      <c r="C104" s="78"/>
      <c r="D104" s="72" t="str">
        <f>IF(Deutsch,"Reparaturanteil (%)","repair proportion (%)")</f>
        <v>Reparaturanteil (%)</v>
      </c>
      <c r="E104" s="73"/>
      <c r="F104" s="75"/>
      <c r="G104" s="611"/>
      <c r="H104" s="534">
        <v>0</v>
      </c>
      <c r="I104" s="620"/>
      <c r="J104" s="620"/>
      <c r="K104" s="534">
        <v>0</v>
      </c>
      <c r="L104" s="355"/>
      <c r="M104" s="355"/>
      <c r="N104" s="534">
        <v>0</v>
      </c>
      <c r="O104" s="1188"/>
    </row>
    <row r="105" spans="2:15" ht="15" thickBot="1">
      <c r="C105" s="78"/>
      <c r="D105" s="72" t="str">
        <f>'Quick Input'!$I$77</f>
        <v>Anteil Nachprüfung</v>
      </c>
      <c r="E105" s="73"/>
      <c r="F105" s="75"/>
      <c r="G105" s="611"/>
      <c r="H105" s="688">
        <v>0.5</v>
      </c>
      <c r="I105" s="620"/>
      <c r="J105" s="620"/>
      <c r="K105" s="688">
        <v>0.5</v>
      </c>
      <c r="L105" s="355"/>
      <c r="M105" s="355"/>
      <c r="N105" s="688">
        <v>0.5</v>
      </c>
      <c r="O105" s="1188"/>
    </row>
    <row r="106" spans="2:15" ht="15" thickBot="1">
      <c r="C106" s="78"/>
      <c r="D106" s="72" t="str">
        <f>IF(Deutsch,"Kosten je Reparatur (€)","cost per repair (€)")</f>
        <v>Kosten je Reparatur (€)</v>
      </c>
      <c r="E106" s="73"/>
      <c r="F106" s="75"/>
      <c r="G106" s="611"/>
      <c r="H106" s="85">
        <f>IF('Quick Input'!M$33=Auswahlfelder!$D$60,0,Parametrikber!F$187)</f>
        <v>0</v>
      </c>
      <c r="I106" s="619"/>
      <c r="J106" s="619"/>
      <c r="K106" s="85">
        <f>IF('Quick Input'!P$33=Auswahlfelder!$D$60,0,Parametrikber!I$187)</f>
        <v>0</v>
      </c>
      <c r="L106" s="78"/>
      <c r="M106" s="78"/>
      <c r="N106" s="85" t="e">
        <f>IF('Quick Input'!S$33=Auswahlfelder!$D$60,0,Parametrikber!L$187)</f>
        <v>#N/A</v>
      </c>
      <c r="O106" s="1188"/>
    </row>
    <row r="107" spans="2:15" ht="15" thickBot="1">
      <c r="C107" s="78"/>
      <c r="D107" s="116" t="str">
        <f>IF(Deutsch,"Prüfkosten pro Stück","testing cost per part")</f>
        <v>Prüfkosten pro Stück</v>
      </c>
      <c r="E107" s="73"/>
      <c r="F107" s="75"/>
      <c r="G107" s="855"/>
      <c r="H107" s="853">
        <f>H$93/3600*H$95+(H$97+H$100+H$102)*(1+H$105*H$104)+H$104*H$106</f>
        <v>6.3502320254629634</v>
      </c>
      <c r="I107" s="625" t="s">
        <v>285</v>
      </c>
      <c r="J107" s="625"/>
      <c r="K107" s="853">
        <f>K$93/3600*K$95+(K$97+K$100+K$102)*(1+K$105*K$104)+K$104*K$106</f>
        <v>3.2506872407407412</v>
      </c>
      <c r="L107" s="625" t="s">
        <v>285</v>
      </c>
      <c r="M107" s="625"/>
      <c r="N107" s="853" t="e">
        <f>N$93/3600*N$95+(N$97+N$100+N$102)*(1+N$105*N$104)+N$104*N$106</f>
        <v>#N/A</v>
      </c>
      <c r="O107" s="1192" t="s">
        <v>285</v>
      </c>
    </row>
    <row r="108" spans="2:15" ht="11.25" customHeight="1" thickBot="1">
      <c r="C108" s="78"/>
      <c r="D108" s="1225" t="str">
        <f>IF(Deutsch,"Fertigungsnebenkosten","production cost")</f>
        <v>Fertigungsnebenkosten</v>
      </c>
      <c r="E108" s="1226"/>
      <c r="F108" s="1227"/>
      <c r="G108" s="611"/>
      <c r="H108" s="79"/>
      <c r="I108" s="619" t="s">
        <v>285</v>
      </c>
      <c r="J108" s="619"/>
      <c r="K108" s="79"/>
      <c r="L108" s="78" t="s">
        <v>285</v>
      </c>
      <c r="M108" s="78"/>
      <c r="N108" s="79"/>
      <c r="O108" s="1189" t="s">
        <v>285</v>
      </c>
    </row>
    <row r="109" spans="2:15" ht="14.25" customHeight="1" thickBot="1">
      <c r="C109" s="78"/>
      <c r="D109" s="1228"/>
      <c r="E109" s="1229"/>
      <c r="F109" s="1230"/>
      <c r="G109" s="611"/>
      <c r="H109" s="928">
        <f>H$47+H$72+H91+H$107</f>
        <v>78.353300495000227</v>
      </c>
      <c r="I109" s="619" t="s">
        <v>285</v>
      </c>
      <c r="J109" s="619"/>
      <c r="K109" s="928">
        <f>K$47+K$72+K91+K$107</f>
        <v>15.187803975093491</v>
      </c>
      <c r="L109" s="619" t="s">
        <v>285</v>
      </c>
      <c r="M109" s="619"/>
      <c r="N109" s="928" t="e">
        <f>N$47+N$72+N91+N$107</f>
        <v>#N/A</v>
      </c>
      <c r="O109" s="1188" t="s">
        <v>285</v>
      </c>
    </row>
    <row r="110" spans="2:15" ht="15" thickBot="1">
      <c r="C110" s="78"/>
      <c r="D110" s="72" t="str">
        <f>CONCATENATE(IF(Deutsch,'Quick Input'!C31,'Quick Input'!D31)," (per lot)")</f>
        <v>Materialprüfzertifikat (per lot)</v>
      </c>
      <c r="E110" s="73"/>
      <c r="F110" s="75"/>
      <c r="G110" s="611"/>
      <c r="H110" s="74">
        <f>Parametrikber!F$192</f>
        <v>0</v>
      </c>
      <c r="I110" s="619" t="s">
        <v>285</v>
      </c>
      <c r="J110" s="619"/>
      <c r="K110" s="74">
        <f>Parametrikber!I$192</f>
        <v>0</v>
      </c>
      <c r="L110" s="619" t="s">
        <v>285</v>
      </c>
      <c r="M110" s="619"/>
      <c r="N110" s="74" t="e">
        <f>Parametrikber!L$192</f>
        <v>#N/A</v>
      </c>
      <c r="O110" s="1188" t="s">
        <v>285</v>
      </c>
    </row>
    <row r="111" spans="2:15" ht="14.25" customHeight="1" thickBot="1">
      <c r="B111" s="55" t="s">
        <v>127</v>
      </c>
      <c r="C111" s="78"/>
      <c r="D111" s="236" t="str">
        <f>'Quick Input'!I79</f>
        <v>Fertigungsgemeinkosten</v>
      </c>
      <c r="E111" s="73"/>
      <c r="F111" s="75"/>
      <c r="G111" s="611"/>
      <c r="H111" s="119">
        <v>0.1</v>
      </c>
      <c r="I111" s="620"/>
      <c r="J111" s="620"/>
      <c r="K111" s="119">
        <v>0.1</v>
      </c>
      <c r="L111" s="355"/>
      <c r="M111" s="355"/>
      <c r="N111" s="119">
        <v>0.1</v>
      </c>
      <c r="O111" s="1188"/>
    </row>
    <row r="112" spans="2:15" ht="15" thickBot="1">
      <c r="C112" s="78"/>
      <c r="D112" s="236" t="str">
        <f>IF(Deutsch,'Quick Input'!C79,'Quick Input'!D79)</f>
        <v>Fertigungsgemeinkosten</v>
      </c>
      <c r="E112" s="73"/>
      <c r="F112" s="75"/>
      <c r="G112" s="611"/>
      <c r="H112" s="74">
        <f>H$111*H$109</f>
        <v>7.8353300495000227</v>
      </c>
      <c r="I112" s="619" t="s">
        <v>285</v>
      </c>
      <c r="J112" s="619"/>
      <c r="K112" s="74">
        <f>K$111*K$109</f>
        <v>1.5187803975093492</v>
      </c>
      <c r="L112" s="78" t="s">
        <v>285</v>
      </c>
      <c r="M112" s="78"/>
      <c r="N112" s="74" t="e">
        <f>N$111*N$109</f>
        <v>#N/A</v>
      </c>
      <c r="O112" s="1188" t="s">
        <v>285</v>
      </c>
    </row>
    <row r="113" spans="2:15" ht="15" customHeight="1" thickBot="1">
      <c r="C113" s="78"/>
      <c r="D113" s="116" t="str">
        <f>IF(Deutsch,"Fertigungskosten gesamt","manufacturing cost total")</f>
        <v>Fertigungskosten gesamt</v>
      </c>
      <c r="E113" s="73"/>
      <c r="F113" s="75"/>
      <c r="G113" s="611"/>
      <c r="H113" s="113">
        <f>H$109+H$110/H$61+H$112</f>
        <v>86.188630544500256</v>
      </c>
      <c r="I113" s="619" t="s">
        <v>285</v>
      </c>
      <c r="J113" s="619"/>
      <c r="K113" s="113">
        <f>K$109+K$110/K$61+K$112</f>
        <v>16.70658437260284</v>
      </c>
      <c r="L113" s="619" t="s">
        <v>285</v>
      </c>
      <c r="M113" s="619"/>
      <c r="N113" s="113" t="e">
        <f>N$109+N$110/N$61+N$112</f>
        <v>#N/A</v>
      </c>
      <c r="O113" s="1188" t="s">
        <v>285</v>
      </c>
    </row>
    <row r="114" spans="2:15" ht="4.5" customHeight="1" thickBot="1">
      <c r="C114" s="87"/>
      <c r="D114" s="88"/>
      <c r="E114" s="87"/>
      <c r="F114" s="89"/>
      <c r="G114" s="611"/>
      <c r="H114" s="91"/>
      <c r="I114" s="619" t="s">
        <v>285</v>
      </c>
      <c r="J114" s="619"/>
      <c r="K114" s="91"/>
      <c r="L114" s="78" t="s">
        <v>285</v>
      </c>
      <c r="M114" s="78"/>
      <c r="N114" s="91"/>
      <c r="O114" s="1192" t="s">
        <v>285</v>
      </c>
    </row>
    <row r="115" spans="2:15" ht="7.5" customHeight="1" thickBot="1">
      <c r="D115" s="1225" t="str">
        <f>IF(Deutsch,"Gemeinkosten &amp; Gewinn","common cost &amp; profit")</f>
        <v>Gemeinkosten &amp; Gewinn</v>
      </c>
      <c r="E115" s="1226"/>
      <c r="F115" s="1227"/>
      <c r="G115" s="611"/>
      <c r="H115" s="79"/>
      <c r="I115" s="619" t="s">
        <v>285</v>
      </c>
      <c r="J115" s="619"/>
      <c r="K115" s="79"/>
      <c r="L115" s="78" t="s">
        <v>285</v>
      </c>
      <c r="M115" s="78"/>
      <c r="N115" s="79"/>
      <c r="O115" s="1189" t="s">
        <v>285</v>
      </c>
    </row>
    <row r="116" spans="2:15" ht="15" thickBot="1">
      <c r="D116" s="1228"/>
      <c r="E116" s="1229"/>
      <c r="F116" s="1230"/>
      <c r="G116" s="611"/>
      <c r="H116" s="74">
        <f>H$26+H$113</f>
        <v>102.69167469877272</v>
      </c>
      <c r="I116" s="619" t="s">
        <v>285</v>
      </c>
      <c r="J116" s="619"/>
      <c r="K116" s="85">
        <f>K$26+K$113</f>
        <v>29.378745898143581</v>
      </c>
      <c r="L116" s="619" t="s">
        <v>285</v>
      </c>
      <c r="M116" s="619"/>
      <c r="N116" s="85" t="e">
        <f>N$26+N$113</f>
        <v>#N/A</v>
      </c>
      <c r="O116" s="1188" t="s">
        <v>285</v>
      </c>
    </row>
    <row r="117" spans="2:15" ht="15" thickBot="1">
      <c r="B117" s="55" t="s">
        <v>127</v>
      </c>
      <c r="D117" s="72" t="str">
        <f>IF(Deutsch,"Vertriebs- und Verw.-gemeinkostensatz","administration cost rate")</f>
        <v>Vertriebs- und Verw.-gemeinkostensatz</v>
      </c>
      <c r="E117" s="67"/>
      <c r="F117" s="75"/>
      <c r="G117" s="611"/>
      <c r="H117" s="119">
        <v>0.12</v>
      </c>
      <c r="I117" s="620"/>
      <c r="J117" s="620"/>
      <c r="K117" s="119">
        <v>0.12</v>
      </c>
      <c r="L117" s="355"/>
      <c r="M117" s="355"/>
      <c r="N117" s="119">
        <v>0.12</v>
      </c>
      <c r="O117" s="1188"/>
    </row>
    <row r="118" spans="2:15" ht="15" thickBot="1">
      <c r="D118" s="72" t="str">
        <f>IF(Deutsch,"Vertriebs- und Verw.-gemeinkosten","administration costs")</f>
        <v>Vertriebs- und Verw.-gemeinkosten</v>
      </c>
      <c r="E118" s="67"/>
      <c r="F118" s="75"/>
      <c r="G118" s="611"/>
      <c r="H118" s="74">
        <f>H$116*H117</f>
        <v>12.323000963852726</v>
      </c>
      <c r="I118" s="619" t="s">
        <v>285</v>
      </c>
      <c r="J118" s="619"/>
      <c r="K118" s="74">
        <f>K$116*K117</f>
        <v>3.5254495077772297</v>
      </c>
      <c r="L118" s="619" t="s">
        <v>285</v>
      </c>
      <c r="M118" s="619"/>
      <c r="N118" s="74" t="e">
        <f t="shared" ref="N118" si="10">N$116*N117</f>
        <v>#N/A</v>
      </c>
      <c r="O118" s="1188" t="s">
        <v>285</v>
      </c>
    </row>
    <row r="119" spans="2:15" ht="15" thickBot="1">
      <c r="D119" s="72" t="str">
        <f>CONCATENATE(IF(Deutsch,"F&amp;E- Kosten (","design and development cost ("),'Länder-DB'!I35*100,"%)")</f>
        <v>F&amp;E- Kosten (8%)</v>
      </c>
      <c r="E119" s="67"/>
      <c r="F119" s="75"/>
      <c r="G119" s="611"/>
      <c r="H119" s="74">
        <f>H$113*'Länder-DB'!$I$35</f>
        <v>6.8950904435600204</v>
      </c>
      <c r="I119" s="619" t="s">
        <v>285</v>
      </c>
      <c r="J119" s="619"/>
      <c r="K119" s="74">
        <f>K$113*'Länder-DB'!$I$35</f>
        <v>1.3365267498082272</v>
      </c>
      <c r="L119" s="78" t="s">
        <v>285</v>
      </c>
      <c r="M119" s="78"/>
      <c r="N119" s="74" t="e">
        <f>N$113*'Länder-DB'!$I$35</f>
        <v>#N/A</v>
      </c>
      <c r="O119" s="1188" t="s">
        <v>285</v>
      </c>
    </row>
    <row r="120" spans="2:15" ht="15" thickBot="1">
      <c r="D120" s="82" t="str">
        <f>IF(Deutsch,"Gesamtgemeinkosten","administration cost total")</f>
        <v>Gesamtgemeinkosten</v>
      </c>
      <c r="E120" s="67"/>
      <c r="F120" s="75"/>
      <c r="G120" s="611"/>
      <c r="H120" s="1031">
        <f>H$118+H$119</f>
        <v>19.218091407412746</v>
      </c>
      <c r="I120" s="619" t="s">
        <v>285</v>
      </c>
      <c r="J120" s="619"/>
      <c r="K120" s="1031">
        <f>K$118+K$119</f>
        <v>4.8619762575854573</v>
      </c>
      <c r="L120" s="619" t="s">
        <v>285</v>
      </c>
      <c r="M120" s="619"/>
      <c r="N120" s="1031" t="e">
        <f t="shared" ref="N120" si="11">N$118+N$119</f>
        <v>#N/A</v>
      </c>
      <c r="O120" s="1188" t="s">
        <v>285</v>
      </c>
    </row>
    <row r="121" spans="2:15" ht="15" thickBot="1">
      <c r="B121" s="55" t="s">
        <v>127</v>
      </c>
      <c r="D121" s="72" t="str">
        <f>'Quick Input'!I81</f>
        <v>Gewinn auf Material</v>
      </c>
      <c r="E121" s="67"/>
      <c r="F121" s="75"/>
      <c r="G121" s="611"/>
      <c r="H121" s="119">
        <v>0</v>
      </c>
      <c r="I121" s="620"/>
      <c r="J121" s="620"/>
      <c r="K121" s="119">
        <v>0</v>
      </c>
      <c r="L121" s="620"/>
      <c r="M121" s="620"/>
      <c r="N121" s="119">
        <v>0</v>
      </c>
      <c r="O121" s="1188"/>
    </row>
    <row r="122" spans="2:15" ht="15" thickBot="1">
      <c r="B122" s="55" t="s">
        <v>127</v>
      </c>
      <c r="D122" s="72" t="str">
        <f>'Quick Input'!I82</f>
        <v>Gewinn auf Wertschöpfung</v>
      </c>
      <c r="E122" s="67"/>
      <c r="F122" s="75"/>
      <c r="G122" s="611"/>
      <c r="H122" s="119">
        <v>0</v>
      </c>
      <c r="I122" s="620"/>
      <c r="J122" s="620"/>
      <c r="K122" s="119">
        <v>0</v>
      </c>
      <c r="L122" s="620"/>
      <c r="M122" s="620"/>
      <c r="N122" s="119">
        <v>0</v>
      </c>
      <c r="O122" s="1188"/>
    </row>
    <row r="123" spans="2:15" ht="15" thickBot="1">
      <c r="D123" s="82" t="str">
        <f>IF(Deutsch,"Gesamtgewinn","profit total")</f>
        <v>Gesamtgewinn</v>
      </c>
      <c r="E123" s="67"/>
      <c r="F123" s="75"/>
      <c r="G123" s="611"/>
      <c r="H123" s="1030">
        <f>H$121*H$26+H$122*H$109</f>
        <v>0</v>
      </c>
      <c r="I123" s="619" t="s">
        <v>285</v>
      </c>
      <c r="J123" s="619"/>
      <c r="K123" s="1030">
        <f>K$121*K$26+K$122*K$109</f>
        <v>0</v>
      </c>
      <c r="L123" s="619" t="s">
        <v>285</v>
      </c>
      <c r="M123" s="619"/>
      <c r="N123" s="1030" t="e">
        <f>N$121*N$26+N$122*N$109</f>
        <v>#N/A</v>
      </c>
      <c r="O123" s="1188" t="s">
        <v>285</v>
      </c>
    </row>
    <row r="124" spans="2:15" ht="6" customHeight="1" thickBot="1">
      <c r="D124" s="72"/>
      <c r="E124" s="67"/>
      <c r="F124" s="75"/>
      <c r="G124" s="611"/>
      <c r="H124" s="86"/>
      <c r="I124" s="619" t="s">
        <v>285</v>
      </c>
      <c r="J124" s="619"/>
      <c r="K124" s="86"/>
      <c r="L124" s="78" t="s">
        <v>285</v>
      </c>
      <c r="M124" s="78"/>
      <c r="N124" s="86"/>
      <c r="O124" s="1188" t="s">
        <v>285</v>
      </c>
    </row>
    <row r="125" spans="2:15" ht="15" thickBot="1">
      <c r="D125" s="776" t="str">
        <f>IF(Deutsch,"Bauteilpreis gesamt","part cost total")</f>
        <v>Bauteilpreis gesamt</v>
      </c>
      <c r="E125" s="67"/>
      <c r="F125" s="75"/>
      <c r="G125" s="611"/>
      <c r="H125" s="1032">
        <f>H$116+H$120+H$123</f>
        <v>121.90976610618546</v>
      </c>
      <c r="I125" s="619" t="s">
        <v>285</v>
      </c>
      <c r="J125" s="619"/>
      <c r="K125" s="1032">
        <f>K$116+K$120+K$123</f>
        <v>34.240722155729038</v>
      </c>
      <c r="L125" s="619" t="s">
        <v>285</v>
      </c>
      <c r="M125" s="619"/>
      <c r="N125" s="1032" t="e">
        <f>N$116+N$120+N$123</f>
        <v>#N/A</v>
      </c>
      <c r="O125" s="1188" t="s">
        <v>285</v>
      </c>
    </row>
    <row r="126" spans="2:15" ht="6" customHeight="1" thickBot="1">
      <c r="D126" s="82"/>
      <c r="E126" s="67"/>
      <c r="F126" s="75"/>
      <c r="G126" s="611"/>
      <c r="H126" s="92"/>
      <c r="I126" s="619" t="s">
        <v>285</v>
      </c>
      <c r="J126" s="619"/>
      <c r="K126" s="92"/>
      <c r="L126" s="78" t="s">
        <v>285</v>
      </c>
      <c r="M126" s="78"/>
      <c r="N126" s="92"/>
      <c r="O126" s="1192" t="s">
        <v>285</v>
      </c>
    </row>
    <row r="127" spans="2:15" ht="14.25" customHeight="1" thickBot="1">
      <c r="D127" s="1225" t="str">
        <f>IF(Deutsch,"Potenziabschätzung","estimation potential")</f>
        <v>Potenziabschätzung</v>
      </c>
      <c r="E127" s="1226"/>
      <c r="F127" s="1227"/>
      <c r="G127" s="611"/>
      <c r="H127" s="280" t="e">
        <f>IF(H50=Parametrikber!F126,IF(H51=#REF!,TRUE,FALSE),FALSE)</f>
        <v>#REF!</v>
      </c>
      <c r="I127" s="619" t="s">
        <v>285</v>
      </c>
      <c r="J127" s="619"/>
      <c r="K127" s="280" t="e">
        <f>IF(K50=Parametrikber!I126,IF(K51=#REF!,TRUE,FALSE),FALSE)</f>
        <v>#REF!</v>
      </c>
      <c r="L127" s="78" t="s">
        <v>285</v>
      </c>
      <c r="M127" s="357"/>
      <c r="N127" s="280" t="e">
        <f>IF(N50=Parametrikber!L126,IF(N51=#REF!,TRUE,FALSE),FALSE)</f>
        <v>#N/A</v>
      </c>
      <c r="O127" s="1189" t="s">
        <v>285</v>
      </c>
    </row>
    <row r="128" spans="2:15" ht="15" thickBot="1">
      <c r="D128" s="1228"/>
      <c r="E128" s="1229"/>
      <c r="F128" s="1230"/>
      <c r="G128" s="611"/>
      <c r="H128" s="143"/>
      <c r="I128" s="619" t="s">
        <v>285</v>
      </c>
      <c r="J128" s="623"/>
      <c r="K128" s="143"/>
      <c r="L128" s="78" t="s">
        <v>285</v>
      </c>
      <c r="M128" s="144"/>
      <c r="N128" s="143"/>
      <c r="O128" s="1188" t="s">
        <v>285</v>
      </c>
    </row>
    <row r="129" spans="2:15" ht="15" thickBot="1">
      <c r="B129" s="55" t="s">
        <v>127</v>
      </c>
      <c r="D129" s="72" t="str">
        <f>'Quick Input'!I51</f>
        <v>Zielpreis Bauteil</v>
      </c>
      <c r="E129" s="73"/>
      <c r="F129" s="75"/>
      <c r="G129" s="611"/>
      <c r="H129" s="85">
        <f>AVERAGE('Quick Input'!M$52:M$56)</f>
        <v>55</v>
      </c>
      <c r="I129" s="619" t="s">
        <v>285</v>
      </c>
      <c r="J129" s="623"/>
      <c r="K129" s="85">
        <f>AVERAGE('Quick Input'!P52:P56)</f>
        <v>55</v>
      </c>
      <c r="L129" s="78" t="s">
        <v>285</v>
      </c>
      <c r="M129" s="358"/>
      <c r="N129" s="85" t="e">
        <f>AVERAGE('Quick Input'!S52:S56)</f>
        <v>#DIV/0!</v>
      </c>
      <c r="O129" s="1188" t="s">
        <v>285</v>
      </c>
    </row>
    <row r="130" spans="2:15" ht="15" thickBot="1">
      <c r="D130" s="72" t="str">
        <f>IF(Deutsch,"Potenzial pro Bauteil","earning per part")</f>
        <v>Potenzial pro Bauteil</v>
      </c>
      <c r="E130" s="73"/>
      <c r="F130" s="75"/>
      <c r="G130" s="611"/>
      <c r="H130" s="85">
        <f>H$129-H$125</f>
        <v>-66.909766106185458</v>
      </c>
      <c r="I130" s="619" t="s">
        <v>285</v>
      </c>
      <c r="J130" s="619"/>
      <c r="K130" s="85">
        <f>K129-K125</f>
        <v>20.759277844270962</v>
      </c>
      <c r="L130" s="78" t="s">
        <v>285</v>
      </c>
      <c r="M130" s="78"/>
      <c r="N130" s="85" t="e">
        <f>N129-N125</f>
        <v>#DIV/0!</v>
      </c>
      <c r="O130" s="1188" t="s">
        <v>285</v>
      </c>
    </row>
    <row r="131" spans="2:15" ht="15" thickBot="1">
      <c r="D131" s="72" t="str">
        <f>IF(Deutsch,"Potenzial über Lebenszyklus","earnig per live time")</f>
        <v>Potenzial über Lebenszyklus</v>
      </c>
      <c r="E131" s="73"/>
      <c r="F131" s="75"/>
      <c r="G131" s="611"/>
      <c r="H131" s="93">
        <f>IF(H$130&gt;0,H$130*'Quick Input'!M$44,0)</f>
        <v>0</v>
      </c>
      <c r="I131" s="619" t="s">
        <v>285</v>
      </c>
      <c r="J131" s="619"/>
      <c r="K131" s="93">
        <f>IF(K130&gt;0,K130*'Quick Input'!P44,0)</f>
        <v>622778.33532812889</v>
      </c>
      <c r="L131" s="78" t="s">
        <v>285</v>
      </c>
      <c r="M131" s="78"/>
      <c r="N131" s="93" t="e">
        <f>IF(N130&gt;0,N130*'Quick Input'!S44,0)</f>
        <v>#DIV/0!</v>
      </c>
      <c r="O131" s="1188" t="s">
        <v>285</v>
      </c>
    </row>
    <row r="132" spans="2:15" ht="15" thickBot="1">
      <c r="D132" s="72" t="str">
        <f>IF(Deutsch,"Anzahl notwendiger Gieß-WKZ","tool sets")</f>
        <v>Anzahl notwendiger Gieß-WKZ</v>
      </c>
      <c r="E132" s="73"/>
      <c r="F132" s="75"/>
      <c r="G132" s="611"/>
      <c r="H132" s="140" t="str">
        <f>CONCATENATE(Parametrikber!F$260," x ",Parametrikber!F$259)</f>
        <v>2 x Alu</v>
      </c>
      <c r="I132" s="619" t="s">
        <v>285</v>
      </c>
      <c r="J132" s="619"/>
      <c r="K132" s="140" t="str">
        <f>CONCATENATE(Parametrikber!I$260," x ",Parametrikber!I$259)</f>
        <v>2 x Alu</v>
      </c>
      <c r="L132" s="78" t="s">
        <v>285</v>
      </c>
      <c r="M132" s="78"/>
      <c r="N132" s="140" t="e">
        <f>CONCATENATE(Parametrikber!L$260," x ",Parametrikber!L$259)</f>
        <v>#N/A</v>
      </c>
      <c r="O132" s="1188" t="s">
        <v>285</v>
      </c>
    </row>
    <row r="133" spans="2:15" ht="15" thickBot="1">
      <c r="D133" s="72" t="str">
        <f>IF(Deutsch,"Werkzeuginvest geschätzt","tool invest - calculated")</f>
        <v>Werkzeuginvest geschätzt</v>
      </c>
      <c r="E133" s="73"/>
      <c r="F133" s="75"/>
      <c r="G133" s="611"/>
      <c r="H133" s="93">
        <f>Parametrikber!F$264</f>
        <v>10100</v>
      </c>
      <c r="I133" s="619" t="s">
        <v>285</v>
      </c>
      <c r="J133" s="619"/>
      <c r="K133" s="93">
        <f>Parametrikber!I$264</f>
        <v>8800</v>
      </c>
      <c r="L133" s="619" t="s">
        <v>285</v>
      </c>
      <c r="M133" s="619"/>
      <c r="N133" s="93" t="e">
        <f>Parametrikber!L$264</f>
        <v>#DIV/0!</v>
      </c>
      <c r="O133" s="1188" t="s">
        <v>285</v>
      </c>
    </row>
    <row r="134" spans="2:15" ht="15" thickBot="1">
      <c r="D134" s="72" t="str">
        <f>IF(Deutsch,"Kernkasteninvest geschätzt","tool invest - calculated")</f>
        <v>Kernkasteninvest geschätzt</v>
      </c>
      <c r="E134" s="73"/>
      <c r="F134" s="75"/>
      <c r="G134" s="611"/>
      <c r="H134" s="93">
        <f>Parametrikber!F$269</f>
        <v>2300</v>
      </c>
      <c r="I134" s="619" t="s">
        <v>285</v>
      </c>
      <c r="J134" s="619"/>
      <c r="K134" s="93">
        <f>Parametrikber!I$269</f>
        <v>0</v>
      </c>
      <c r="L134" s="619" t="s">
        <v>285</v>
      </c>
      <c r="M134" s="619"/>
      <c r="N134" s="93" t="e">
        <f>Parametrikber!L$269</f>
        <v>#N/A</v>
      </c>
      <c r="O134" s="1188" t="s">
        <v>285</v>
      </c>
    </row>
    <row r="135" spans="2:15" ht="15" thickBot="1">
      <c r="D135" s="775" t="str">
        <f>IF(Deutsch,"Modellkosten Angebot","tool invest - supplier")</f>
        <v>Modellkosten Angebot</v>
      </c>
      <c r="E135" s="94"/>
      <c r="F135" s="89"/>
      <c r="G135" s="615"/>
      <c r="H135" s="359">
        <f>'Quick Input'!M57+'Quick Input'!M58</f>
        <v>10500</v>
      </c>
      <c r="I135" s="624" t="s">
        <v>285</v>
      </c>
      <c r="J135" s="625"/>
      <c r="K135" s="359">
        <f>'Quick Input'!P57+'Quick Input'!P58</f>
        <v>5600</v>
      </c>
      <c r="L135" s="624" t="s">
        <v>285</v>
      </c>
      <c r="M135" s="625"/>
      <c r="N135" s="359">
        <f>'Quick Input'!S57+'Quick Input'!S58</f>
        <v>0</v>
      </c>
      <c r="O135" s="1192" t="s">
        <v>285</v>
      </c>
    </row>
    <row r="136" spans="2:15" ht="9" customHeight="1" thickBot="1">
      <c r="G136" s="271"/>
    </row>
    <row r="137" spans="2:15" ht="11.25" customHeight="1">
      <c r="D137" s="1213" t="str">
        <f>IF(Deutsch,"Empfehlungen / Info"," suggestion, infos")</f>
        <v>Empfehlungen / Info</v>
      </c>
      <c r="E137" s="1214"/>
      <c r="F137" s="1215"/>
      <c r="G137" s="190"/>
    </row>
    <row r="138" spans="2:15" ht="9.75" customHeight="1" thickBot="1">
      <c r="D138" s="1216"/>
      <c r="E138" s="1217"/>
      <c r="F138" s="1218"/>
      <c r="G138" s="190"/>
      <c r="O138" s="87"/>
    </row>
    <row r="139" spans="2:15" ht="26.25" customHeight="1" thickBot="1">
      <c r="B139" s="55" t="s">
        <v>127</v>
      </c>
      <c r="D139" s="588" t="str">
        <f>IF(Deutsch,"Parameter","parameter")</f>
        <v>Parameter</v>
      </c>
      <c r="E139" s="585"/>
      <c r="F139" s="586"/>
      <c r="G139" s="616"/>
      <c r="H139" s="675" t="str">
        <f>VLOOKUP(1,Parametrikber!E$276:$X$292,IF(Deutsch,19,20),FALSE)</f>
        <v>Empfehlung Formverfahren</v>
      </c>
      <c r="I139" s="266" t="s">
        <v>285</v>
      </c>
      <c r="J139" s="587"/>
      <c r="K139" s="675" t="str">
        <f>VLOOKUP(1,Parametrikber!H$276:$X$292,IF(Deutsch,16,17),FALSE)</f>
        <v>Empfehlung Formverfahren</v>
      </c>
      <c r="L139" s="266" t="s">
        <v>285</v>
      </c>
      <c r="M139" s="587"/>
      <c r="N139" s="675" t="e">
        <f>VLOOKUP(1,Parametrikber!K$276:$X$292,IF(Deutsch,13,14),FALSE)</f>
        <v>#N/A</v>
      </c>
      <c r="O139" s="1189" t="s">
        <v>285</v>
      </c>
    </row>
    <row r="140" spans="2:15" ht="15" thickBot="1">
      <c r="D140" s="142"/>
      <c r="E140" s="94"/>
      <c r="F140" s="89"/>
      <c r="G140" s="617"/>
      <c r="H140" s="692" t="str">
        <f>VLOOKUP(2,Parametrikber!E$276:$X$293,2,FALSE)</f>
        <v>automatisch</v>
      </c>
      <c r="I140" s="87" t="s">
        <v>285</v>
      </c>
      <c r="J140" s="87"/>
      <c r="K140" s="676" t="str">
        <f>VLOOKUP(2,Parametrikber!H$276:$X$293,2,FALSE)</f>
        <v>automatisch</v>
      </c>
      <c r="L140" s="87" t="s">
        <v>285</v>
      </c>
      <c r="M140" s="87"/>
      <c r="N140" s="676" t="e">
        <f>VLOOKUP(2,Parametrikber!K$276:$X$293,2,FALSE)</f>
        <v>#N/A</v>
      </c>
      <c r="O140" s="1192" t="s">
        <v>285</v>
      </c>
    </row>
    <row r="141" spans="2:15" ht="25.5" customHeight="1" thickBot="1">
      <c r="D141" s="588" t="str">
        <f>IF(Deutsch,"Parameter","parameter")</f>
        <v>Parameter</v>
      </c>
      <c r="E141" s="585"/>
      <c r="F141" s="586"/>
      <c r="G141" s="616"/>
      <c r="H141" s="675" t="str">
        <f>VLOOKUP(3,Parametrikber!E$276:$X$292,IF(Deutsch,19,20),FALSE)</f>
        <v>Kastenausnutzung (Volumen)</v>
      </c>
      <c r="I141" s="266" t="s">
        <v>285</v>
      </c>
      <c r="J141" s="587"/>
      <c r="K141" s="675" t="str">
        <f>VLOOKUP(3,Parametrikber!H$276:$X$292,IF(Deutsch,16,17),FALSE)</f>
        <v>Kastenausnutzung (Volumen)</v>
      </c>
      <c r="L141" s="266" t="s">
        <v>285</v>
      </c>
      <c r="M141" s="587"/>
      <c r="N141" s="675" t="e">
        <f>VLOOKUP(3,Parametrikber!K$276:$X$292,IF(Deutsch,13,14),FALSE)</f>
        <v>#N/A</v>
      </c>
      <c r="O141" s="1189" t="s">
        <v>285</v>
      </c>
    </row>
    <row r="142" spans="2:15" ht="15" thickBot="1">
      <c r="D142" s="142"/>
      <c r="E142" s="94"/>
      <c r="F142" s="89"/>
      <c r="G142" s="617"/>
      <c r="H142" s="691" t="str">
        <f>VLOOKUP(4,Parametrikber!E$276:$X$293,2,FALSE)</f>
        <v>0%</v>
      </c>
      <c r="I142" s="87" t="s">
        <v>285</v>
      </c>
      <c r="J142" s="87"/>
      <c r="K142" s="691" t="str">
        <f>VLOOKUP(4,Parametrikber!H$276:$X$293,2,FALSE)</f>
        <v>1%</v>
      </c>
      <c r="L142" s="87" t="s">
        <v>285</v>
      </c>
      <c r="M142" s="87"/>
      <c r="N142" s="691" t="e">
        <f>VLOOKUP(4,Parametrikber!K$276:$X$293,2,FALSE)</f>
        <v>#N/A</v>
      </c>
      <c r="O142" s="1192" t="s">
        <v>285</v>
      </c>
    </row>
    <row r="143" spans="2:15" ht="26.25" customHeight="1" thickBot="1">
      <c r="D143" s="588" t="str">
        <f>IF(Deutsch,"Parameter","parameter")</f>
        <v>Parameter</v>
      </c>
      <c r="E143" s="585"/>
      <c r="F143" s="586"/>
      <c r="G143" s="616"/>
      <c r="H143" s="675" t="str">
        <f>VLOOKUP(5,Parametrikber!E$276:$X$292,IF(Deutsch,19,20),FALSE)</f>
        <v>Anzahl Modelle &gt;1</v>
      </c>
      <c r="I143" s="266" t="s">
        <v>285</v>
      </c>
      <c r="J143" s="587"/>
      <c r="K143" s="675" t="str">
        <f>VLOOKUP(5,Parametrikber!H$276:$X$292,IF(Deutsch,16,17),FALSE)</f>
        <v>Anteil Rüstzeit zu Prod.-Zeit</v>
      </c>
      <c r="L143" s="266" t="s">
        <v>285</v>
      </c>
      <c r="M143" s="587"/>
      <c r="N143" s="675" t="e">
        <f>VLOOKUP(5,Parametrikber!K$276:$X$292,IF(Deutsch,13,14),FALSE)</f>
        <v>#N/A</v>
      </c>
      <c r="O143" s="1189" t="s">
        <v>285</v>
      </c>
    </row>
    <row r="144" spans="2:15" ht="15" thickBot="1">
      <c r="D144" s="142"/>
      <c r="E144" s="94"/>
      <c r="F144" s="89"/>
      <c r="G144" s="617"/>
      <c r="H144" s="676" t="str">
        <f>VLOOKUP(6,Parametrikber!E$276:$X$293,2,FALSE)</f>
        <v>2 WKZ aus Alu</v>
      </c>
      <c r="I144" s="87" t="s">
        <v>285</v>
      </c>
      <c r="J144" s="87"/>
      <c r="K144" s="676" t="str">
        <f>VLOOKUP(6,Parametrikber!H$276:$X$293,2,FALSE)</f>
        <v>43,1 %</v>
      </c>
      <c r="L144" s="87" t="s">
        <v>285</v>
      </c>
      <c r="M144" s="87"/>
      <c r="N144" s="676" t="e">
        <f>VLOOKUP(6,Parametrikber!K$276:$X$293,2,FALSE)</f>
        <v>#N/A</v>
      </c>
      <c r="O144" s="1192" t="s">
        <v>285</v>
      </c>
    </row>
    <row r="145" spans="7:7">
      <c r="G145" s="67"/>
    </row>
    <row r="146" spans="7:7">
      <c r="G146" s="67"/>
    </row>
    <row r="147" spans="7:7">
      <c r="G147" s="67"/>
    </row>
    <row r="148" spans="7:7">
      <c r="G148" s="67"/>
    </row>
    <row r="149" spans="7:7">
      <c r="G149" s="67"/>
    </row>
    <row r="150" spans="7:7">
      <c r="G150" s="67"/>
    </row>
    <row r="151" spans="7:7">
      <c r="G151" s="67"/>
    </row>
    <row r="152" spans="7:7">
      <c r="G152" s="67"/>
    </row>
    <row r="153" spans="7:7">
      <c r="G153" s="67"/>
    </row>
    <row r="154" spans="7:7">
      <c r="G154" s="67"/>
    </row>
    <row r="155" spans="7:7">
      <c r="G155" s="67"/>
    </row>
    <row r="156" spans="7:7">
      <c r="G156" s="67"/>
    </row>
    <row r="157" spans="7:7">
      <c r="G157" s="67"/>
    </row>
    <row r="158" spans="7:7">
      <c r="G158" s="67"/>
    </row>
    <row r="159" spans="7:7">
      <c r="G159" s="67"/>
    </row>
    <row r="160" spans="7:7">
      <c r="G160" s="67"/>
    </row>
    <row r="161" spans="7:7">
      <c r="G161" s="67"/>
    </row>
    <row r="162" spans="7:7">
      <c r="G162" s="67"/>
    </row>
    <row r="163" spans="7:7">
      <c r="G163" s="67"/>
    </row>
    <row r="164" spans="7:7">
      <c r="G164" s="67"/>
    </row>
    <row r="165" spans="7:7">
      <c r="G165" s="67"/>
    </row>
    <row r="166" spans="7:7">
      <c r="G166" s="67"/>
    </row>
    <row r="167" spans="7:7">
      <c r="G167" s="67"/>
    </row>
    <row r="168" spans="7:7">
      <c r="G168" s="67"/>
    </row>
    <row r="169" spans="7:7">
      <c r="G169" s="67"/>
    </row>
    <row r="170" spans="7:7">
      <c r="G170" s="67"/>
    </row>
    <row r="171" spans="7:7">
      <c r="G171" s="67"/>
    </row>
    <row r="172" spans="7:7">
      <c r="G172" s="67"/>
    </row>
    <row r="173" spans="7:7">
      <c r="G173" s="67"/>
    </row>
    <row r="174" spans="7:7">
      <c r="G174" s="67"/>
    </row>
    <row r="175" spans="7:7">
      <c r="G175" s="67"/>
    </row>
    <row r="176" spans="7:7">
      <c r="G176" s="67"/>
    </row>
    <row r="177" spans="7:7">
      <c r="G177" s="67"/>
    </row>
    <row r="178" spans="7:7">
      <c r="G178" s="67"/>
    </row>
    <row r="179" spans="7:7">
      <c r="G179" s="67"/>
    </row>
    <row r="180" spans="7:7">
      <c r="G180" s="67"/>
    </row>
    <row r="181" spans="7:7">
      <c r="G181" s="67"/>
    </row>
    <row r="182" spans="7:7">
      <c r="G182" s="67"/>
    </row>
    <row r="183" spans="7:7">
      <c r="G183" s="67"/>
    </row>
    <row r="184" spans="7:7">
      <c r="G184" s="67"/>
    </row>
    <row r="185" spans="7:7">
      <c r="G185" s="67"/>
    </row>
    <row r="186" spans="7:7">
      <c r="G186" s="67"/>
    </row>
    <row r="187" spans="7:7">
      <c r="G187" s="67"/>
    </row>
    <row r="188" spans="7:7">
      <c r="G188" s="67"/>
    </row>
    <row r="189" spans="7:7">
      <c r="G189" s="67"/>
    </row>
    <row r="190" spans="7:7">
      <c r="G190" s="67"/>
    </row>
    <row r="191" spans="7:7">
      <c r="G191" s="67"/>
    </row>
    <row r="192" spans="7:7">
      <c r="G192" s="67"/>
    </row>
    <row r="193" spans="7:7">
      <c r="G193" s="67"/>
    </row>
    <row r="194" spans="7:7">
      <c r="G194" s="67"/>
    </row>
    <row r="195" spans="7:7">
      <c r="G195" s="67"/>
    </row>
    <row r="196" spans="7:7">
      <c r="G196" s="67"/>
    </row>
    <row r="197" spans="7:7">
      <c r="G197" s="67"/>
    </row>
    <row r="198" spans="7:7">
      <c r="G198" s="67"/>
    </row>
    <row r="199" spans="7:7">
      <c r="G199" s="67"/>
    </row>
    <row r="200" spans="7:7">
      <c r="G200" s="67"/>
    </row>
    <row r="201" spans="7:7">
      <c r="G201" s="67"/>
    </row>
    <row r="202" spans="7:7">
      <c r="G202" s="67"/>
    </row>
    <row r="203" spans="7:7">
      <c r="G203" s="67"/>
    </row>
    <row r="204" spans="7:7">
      <c r="G204" s="67"/>
    </row>
    <row r="205" spans="7:7">
      <c r="G205" s="67"/>
    </row>
    <row r="206" spans="7:7">
      <c r="G206" s="67"/>
    </row>
    <row r="207" spans="7:7">
      <c r="G207" s="67"/>
    </row>
    <row r="208" spans="7:7">
      <c r="G208" s="67"/>
    </row>
    <row r="209" spans="7:7">
      <c r="G209" s="67"/>
    </row>
    <row r="210" spans="7:7">
      <c r="G210" s="67"/>
    </row>
    <row r="211" spans="7:7">
      <c r="G211" s="67"/>
    </row>
    <row r="212" spans="7:7">
      <c r="G212" s="67"/>
    </row>
    <row r="213" spans="7:7">
      <c r="G213" s="67"/>
    </row>
    <row r="214" spans="7:7">
      <c r="G214" s="67"/>
    </row>
    <row r="215" spans="7:7">
      <c r="G215" s="67"/>
    </row>
    <row r="216" spans="7:7">
      <c r="G216" s="67"/>
    </row>
    <row r="217" spans="7:7">
      <c r="G217" s="67"/>
    </row>
    <row r="218" spans="7:7">
      <c r="G218" s="67"/>
    </row>
    <row r="219" spans="7:7">
      <c r="G219" s="67"/>
    </row>
    <row r="220" spans="7:7">
      <c r="G220" s="67"/>
    </row>
    <row r="221" spans="7:7">
      <c r="G221" s="67"/>
    </row>
    <row r="222" spans="7:7">
      <c r="G222" s="67"/>
    </row>
    <row r="223" spans="7:7">
      <c r="G223" s="67"/>
    </row>
    <row r="224" spans="7:7">
      <c r="G224" s="67"/>
    </row>
    <row r="225" spans="7:7">
      <c r="G225" s="67"/>
    </row>
    <row r="226" spans="7:7">
      <c r="G226" s="67"/>
    </row>
    <row r="227" spans="7:7">
      <c r="G227" s="67"/>
    </row>
    <row r="228" spans="7:7">
      <c r="G228" s="67"/>
    </row>
    <row r="229" spans="7:7">
      <c r="G229" s="67"/>
    </row>
    <row r="230" spans="7:7">
      <c r="G230" s="67"/>
    </row>
    <row r="231" spans="7:7">
      <c r="G231" s="67"/>
    </row>
    <row r="232" spans="7:7">
      <c r="G232" s="67"/>
    </row>
    <row r="233" spans="7:7">
      <c r="G233" s="67"/>
    </row>
    <row r="234" spans="7:7">
      <c r="G234" s="67"/>
    </row>
    <row r="235" spans="7:7">
      <c r="G235" s="67"/>
    </row>
    <row r="236" spans="7:7">
      <c r="G236" s="67"/>
    </row>
    <row r="237" spans="7:7">
      <c r="G237" s="67"/>
    </row>
    <row r="238" spans="7:7">
      <c r="G238" s="67"/>
    </row>
    <row r="239" spans="7:7">
      <c r="G239" s="67"/>
    </row>
    <row r="240" spans="7:7">
      <c r="G240" s="67"/>
    </row>
    <row r="241" spans="7:7">
      <c r="G241" s="67"/>
    </row>
    <row r="242" spans="7:7">
      <c r="G242" s="67"/>
    </row>
    <row r="243" spans="7:7">
      <c r="G243" s="67"/>
    </row>
    <row r="244" spans="7:7">
      <c r="G244" s="67"/>
    </row>
    <row r="245" spans="7:7">
      <c r="G245" s="67"/>
    </row>
    <row r="246" spans="7:7">
      <c r="G246" s="67"/>
    </row>
    <row r="247" spans="7:7">
      <c r="G247" s="67"/>
    </row>
    <row r="248" spans="7:7">
      <c r="G248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7:F138"/>
    <mergeCell ref="D5:F6"/>
    <mergeCell ref="D127:F128"/>
    <mergeCell ref="D28:F29"/>
    <mergeCell ref="D115:F116"/>
    <mergeCell ref="D9:F11"/>
    <mergeCell ref="D7:F7"/>
    <mergeCell ref="D8:F8"/>
    <mergeCell ref="D48:F48"/>
    <mergeCell ref="D108:F109"/>
    <mergeCell ref="D73:F73"/>
    <mergeCell ref="D92:F92"/>
  </mergeCells>
  <phoneticPr fontId="4" type="noConversion"/>
  <conditionalFormatting sqref="N126 K126 H15 H65 H126 K15 N15 H118 K118 N118 H47">
    <cfRule type="expression" dxfId="140" priority="461" stopIfTrue="1">
      <formula>VALUE(H16="Materialdatenbank")</formula>
    </cfRule>
  </conditionalFormatting>
  <conditionalFormatting sqref="H124 K124 N124 K54 N54 H54">
    <cfRule type="expression" dxfId="139" priority="462" stopIfTrue="1">
      <formula>VALUE(H56="Materialdatenbank")</formula>
    </cfRule>
  </conditionalFormatting>
  <conditionalFormatting sqref="N60 K60">
    <cfRule type="expression" dxfId="138" priority="464" stopIfTrue="1">
      <formula>VALUE(K122="Materialdatenbank")</formula>
    </cfRule>
  </conditionalFormatting>
  <conditionalFormatting sqref="H34">
    <cfRule type="expression" dxfId="137" priority="466" stopIfTrue="1">
      <formula>VALUE(H33="Materialdatenbank")</formula>
    </cfRule>
  </conditionalFormatting>
  <conditionalFormatting sqref="H56 K56 N56">
    <cfRule type="expression" dxfId="136" priority="467" stopIfTrue="1">
      <formula>VALUE(#REF!="Materialdatenbank")</formula>
    </cfRule>
  </conditionalFormatting>
  <conditionalFormatting sqref="H60">
    <cfRule type="expression" dxfId="135" priority="468" stopIfTrue="1">
      <formula>VALUE(H122="Materialdatenbank")</formula>
    </cfRule>
  </conditionalFormatting>
  <conditionalFormatting sqref="K76 N76 H76">
    <cfRule type="expression" dxfId="134" priority="469" stopIfTrue="1">
      <formula>VALUE(H66="Materialdatenbank")</formula>
    </cfRule>
  </conditionalFormatting>
  <conditionalFormatting sqref="H125 H95 H33 N95 K125 N125 H88:H89 H110 K88:K89 K110 N88:N89 N110 K95 H97:H98 K97:K98 N97:N98">
    <cfRule type="expression" dxfId="133" priority="470" stopIfTrue="1">
      <formula>VALUE(#REF!="Materialdatenbank")</formula>
    </cfRule>
  </conditionalFormatting>
  <conditionalFormatting sqref="H128:H131 K128:K131 N128:N131 H133 H57 H25 H14 H68 K14 N14 K68 N68 H9:H12 K9:K12 N9:N12 K25 N25 K57 N57 K135 H135 K133 N133 N135">
    <cfRule type="expression" dxfId="132" priority="471" stopIfTrue="1">
      <formula>VALUE(#REF!="Materialdatenbank")</formula>
    </cfRule>
  </conditionalFormatting>
  <conditionalFormatting sqref="H116 K116 N116">
    <cfRule type="expression" dxfId="131" priority="473" stopIfTrue="1">
      <formula>VALUE(#REF!="Materialdatenbank")</formula>
    </cfRule>
  </conditionalFormatting>
  <conditionalFormatting sqref="H42">
    <cfRule type="expression" dxfId="130" priority="474" stopIfTrue="1">
      <formula>VALUE(#REF!="Materialdatenbank")</formula>
    </cfRule>
  </conditionalFormatting>
  <conditionalFormatting sqref="H37">
    <cfRule type="expression" dxfId="129" priority="475" stopIfTrue="1">
      <formula>VALUE(#REF!="Materialdatenbank")</formula>
    </cfRule>
  </conditionalFormatting>
  <conditionalFormatting sqref="K2:K4 N2:N4 W4 H2:H4">
    <cfRule type="cellIs" dxfId="128" priority="476" operator="equal">
      <formula>FALSE</formula>
    </cfRule>
  </conditionalFormatting>
  <conditionalFormatting sqref="H17">
    <cfRule type="expression" dxfId="127" priority="477" stopIfTrue="1">
      <formula>VALUE(H24="Materialdatenbank")</formula>
    </cfRule>
  </conditionalFormatting>
  <conditionalFormatting sqref="H20">
    <cfRule type="expression" dxfId="126" priority="457" stopIfTrue="1">
      <formula>VALUE(H26="Materialdatenbank")</formula>
    </cfRule>
  </conditionalFormatting>
  <conditionalFormatting sqref="H21">
    <cfRule type="expression" dxfId="125" priority="456" stopIfTrue="1">
      <formula>VALUE(H25="Materialdatenbank")</formula>
    </cfRule>
  </conditionalFormatting>
  <conditionalFormatting sqref="K17">
    <cfRule type="expression" dxfId="124" priority="429" stopIfTrue="1">
      <formula>VALUE(K24="Materialdatenbank")</formula>
    </cfRule>
  </conditionalFormatting>
  <conditionalFormatting sqref="H106 H104 K106 K104 N106 N104">
    <cfRule type="expression" dxfId="123" priority="440" stopIfTrue="1">
      <formula>VALUE(#REF!="Materialdatenbank")</formula>
    </cfRule>
  </conditionalFormatting>
  <conditionalFormatting sqref="H36">
    <cfRule type="expression" dxfId="122" priority="478" stopIfTrue="1">
      <formula>VALUE(#REF!="Materialdatenbank")</formula>
    </cfRule>
  </conditionalFormatting>
  <conditionalFormatting sqref="H40">
    <cfRule type="expression" dxfId="121" priority="484" stopIfTrue="1">
      <formula>VALUE(H34="Materialdatenbank")</formula>
    </cfRule>
  </conditionalFormatting>
  <conditionalFormatting sqref="N17">
    <cfRule type="expression" dxfId="120" priority="428" stopIfTrue="1">
      <formula>VALUE(N24="Materialdatenbank")</formula>
    </cfRule>
  </conditionalFormatting>
  <conditionalFormatting sqref="H39 K39">
    <cfRule type="expression" dxfId="119" priority="413" stopIfTrue="1">
      <formula>VALUE(H47="Materialdatenbank")</formula>
    </cfRule>
  </conditionalFormatting>
  <conditionalFormatting sqref="K40">
    <cfRule type="expression" dxfId="118" priority="419" stopIfTrue="1">
      <formula>VALUE(K34="Materialdatenbank")</formula>
    </cfRule>
  </conditionalFormatting>
  <conditionalFormatting sqref="N40">
    <cfRule type="expression" dxfId="117" priority="411" stopIfTrue="1">
      <formula>VALUE(N34="Materialdatenbank")</formula>
    </cfRule>
  </conditionalFormatting>
  <conditionalFormatting sqref="K42">
    <cfRule type="expression" dxfId="116" priority="369" stopIfTrue="1">
      <formula>VALUE(#REF!="Materialdatenbank")</formula>
    </cfRule>
  </conditionalFormatting>
  <conditionalFormatting sqref="N42">
    <cfRule type="expression" dxfId="115" priority="368" stopIfTrue="1">
      <formula>VALUE(#REF!="Materialdatenbank")</formula>
    </cfRule>
  </conditionalFormatting>
  <conditionalFormatting sqref="K65">
    <cfRule type="expression" dxfId="114" priority="361" stopIfTrue="1">
      <formula>VALUE(K66="Materialdatenbank")</formula>
    </cfRule>
  </conditionalFormatting>
  <conditionalFormatting sqref="N65">
    <cfRule type="expression" dxfId="113" priority="359" stopIfTrue="1">
      <formula>VALUE(N66="Materialdatenbank")</formula>
    </cfRule>
  </conditionalFormatting>
  <conditionalFormatting sqref="K140">
    <cfRule type="expression" dxfId="112" priority="243" stopIfTrue="1">
      <formula>K140=" "</formula>
    </cfRule>
  </conditionalFormatting>
  <conditionalFormatting sqref="K139">
    <cfRule type="expression" dxfId="111" priority="242" stopIfTrue="1">
      <formula>K139=" "</formula>
    </cfRule>
  </conditionalFormatting>
  <conditionalFormatting sqref="N139">
    <cfRule type="expression" dxfId="110" priority="229" stopIfTrue="1">
      <formula>N139=" "</formula>
    </cfRule>
  </conditionalFormatting>
  <conditionalFormatting sqref="K144">
    <cfRule type="expression" dxfId="109" priority="238" stopIfTrue="1">
      <formula>K144=" "</formula>
    </cfRule>
  </conditionalFormatting>
  <conditionalFormatting sqref="N142">
    <cfRule type="expression" dxfId="108" priority="228" stopIfTrue="1">
      <formula>N142=" "</formula>
    </cfRule>
  </conditionalFormatting>
  <conditionalFormatting sqref="H140">
    <cfRule type="expression" dxfId="107" priority="236" stopIfTrue="1">
      <formula>H140=" "</formula>
    </cfRule>
  </conditionalFormatting>
  <conditionalFormatting sqref="H139">
    <cfRule type="expression" dxfId="106" priority="235" stopIfTrue="1">
      <formula>H139=" "</formula>
    </cfRule>
  </conditionalFormatting>
  <conditionalFormatting sqref="H144">
    <cfRule type="expression" dxfId="105" priority="232" stopIfTrue="1">
      <formula>H144=" "</formula>
    </cfRule>
  </conditionalFormatting>
  <conditionalFormatting sqref="N140">
    <cfRule type="expression" dxfId="104" priority="230" stopIfTrue="1">
      <formula>N140=" "</formula>
    </cfRule>
  </conditionalFormatting>
  <conditionalFormatting sqref="N144">
    <cfRule type="expression" dxfId="103" priority="226" stopIfTrue="1">
      <formula>N144=" "</formula>
    </cfRule>
  </conditionalFormatting>
  <conditionalFormatting sqref="H22">
    <cfRule type="expression" dxfId="102" priority="206" stopIfTrue="1">
      <formula>VALUE(H125="Materialdatenbank")</formula>
    </cfRule>
  </conditionalFormatting>
  <conditionalFormatting sqref="K22">
    <cfRule type="expression" dxfId="101" priority="195" stopIfTrue="1">
      <formula>VALUE(K125="Materialdatenbank")</formula>
    </cfRule>
  </conditionalFormatting>
  <conditionalFormatting sqref="N22">
    <cfRule type="expression" dxfId="100" priority="194" stopIfTrue="1">
      <formula>VALUE(N125="Materialdatenbank")</formula>
    </cfRule>
  </conditionalFormatting>
  <conditionalFormatting sqref="H141">
    <cfRule type="expression" dxfId="99" priority="189" stopIfTrue="1">
      <formula>H141=" "</formula>
    </cfRule>
  </conditionalFormatting>
  <conditionalFormatting sqref="H143">
    <cfRule type="expression" dxfId="98" priority="188" stopIfTrue="1">
      <formula>H143=" "</formula>
    </cfRule>
  </conditionalFormatting>
  <conditionalFormatting sqref="K141">
    <cfRule type="expression" dxfId="97" priority="187" stopIfTrue="1">
      <formula>K141=" "</formula>
    </cfRule>
  </conditionalFormatting>
  <conditionalFormatting sqref="K143">
    <cfRule type="expression" dxfId="96" priority="186" stopIfTrue="1">
      <formula>K143=" "</formula>
    </cfRule>
  </conditionalFormatting>
  <conditionalFormatting sqref="N141">
    <cfRule type="expression" dxfId="95" priority="185" stopIfTrue="1">
      <formula>N141=" "</formula>
    </cfRule>
  </conditionalFormatting>
  <conditionalFormatting sqref="N143">
    <cfRule type="expression" dxfId="94" priority="184" stopIfTrue="1">
      <formula>N143=" "</formula>
    </cfRule>
  </conditionalFormatting>
  <conditionalFormatting sqref="H105 K105 N105">
    <cfRule type="expression" dxfId="93" priority="177" stopIfTrue="1">
      <formula>VALUE(#REF!="Materialdatenbank")</formula>
    </cfRule>
  </conditionalFormatting>
  <conditionalFormatting sqref="H142">
    <cfRule type="expression" dxfId="92" priority="169" stopIfTrue="1">
      <formula>H142=" "</formula>
    </cfRule>
  </conditionalFormatting>
  <conditionalFormatting sqref="K142">
    <cfRule type="expression" dxfId="91" priority="167" stopIfTrue="1">
      <formula>K142=" "</formula>
    </cfRule>
  </conditionalFormatting>
  <conditionalFormatting sqref="H100 K100 N100">
    <cfRule type="expression" dxfId="90" priority="161" stopIfTrue="1">
      <formula>VALUE(#REF!="Materialdatenbank")</formula>
    </cfRule>
  </conditionalFormatting>
  <conditionalFormatting sqref="H102 K102 N102">
    <cfRule type="expression" dxfId="89" priority="160" stopIfTrue="1">
      <formula>VALUE(#REF!="Materialdatenbank")</formula>
    </cfRule>
  </conditionalFormatting>
  <conditionalFormatting sqref="K33">
    <cfRule type="expression" dxfId="88" priority="155" stopIfTrue="1">
      <formula>VALUE(#REF!="Materialdatenbank")</formula>
    </cfRule>
  </conditionalFormatting>
  <conditionalFormatting sqref="N33">
    <cfRule type="expression" dxfId="87" priority="153" stopIfTrue="1">
      <formula>VALUE(#REF!="Materialdatenbank")</formula>
    </cfRule>
  </conditionalFormatting>
  <conditionalFormatting sqref="K37 N37">
    <cfRule type="expression" dxfId="86" priority="145" stopIfTrue="1">
      <formula>VALUE(#REF!="Materialdatenbank")</formula>
    </cfRule>
  </conditionalFormatting>
  <conditionalFormatting sqref="K34">
    <cfRule type="expression" dxfId="85" priority="142" stopIfTrue="1">
      <formula>VALUE(K33="Materialdatenbank")</formula>
    </cfRule>
  </conditionalFormatting>
  <conditionalFormatting sqref="N34">
    <cfRule type="expression" dxfId="84" priority="141" stopIfTrue="1">
      <formula>VALUE(N33="Materialdatenbank")</formula>
    </cfRule>
  </conditionalFormatting>
  <conditionalFormatting sqref="H45">
    <cfRule type="expression" dxfId="83" priority="136" stopIfTrue="1">
      <formula>VALUE(#REF!="Materialdatenbank")</formula>
    </cfRule>
  </conditionalFormatting>
  <conditionalFormatting sqref="H43">
    <cfRule type="expression" dxfId="82" priority="137" stopIfTrue="1">
      <formula>VALUE(H37="Materialdatenbank")</formula>
    </cfRule>
  </conditionalFormatting>
  <conditionalFormatting sqref="K43">
    <cfRule type="expression" dxfId="81" priority="115" stopIfTrue="1">
      <formula>VALUE(K37="Materialdatenbank")</formula>
    </cfRule>
  </conditionalFormatting>
  <conditionalFormatting sqref="N43">
    <cfRule type="expression" dxfId="80" priority="114" stopIfTrue="1">
      <formula>VALUE(N37="Materialdatenbank")</formula>
    </cfRule>
  </conditionalFormatting>
  <conditionalFormatting sqref="K21">
    <cfRule type="expression" dxfId="79" priority="100" stopIfTrue="1">
      <formula>VALUE(K25="Materialdatenbank")</formula>
    </cfRule>
  </conditionalFormatting>
  <conditionalFormatting sqref="N21">
    <cfRule type="expression" dxfId="78" priority="99" stopIfTrue="1">
      <formula>VALUE(N25="Materialdatenbank")</formula>
    </cfRule>
  </conditionalFormatting>
  <conditionalFormatting sqref="K109 H109 N109">
    <cfRule type="expression" dxfId="77" priority="87" stopIfTrue="1">
      <formula>VALUE(H112="Materialdatenbank")</formula>
    </cfRule>
  </conditionalFormatting>
  <conditionalFormatting sqref="H26 K26 N26">
    <cfRule type="expression" dxfId="76" priority="486" stopIfTrue="1">
      <formula>VALUE(#REF!="Materialdatenbank")</formula>
    </cfRule>
  </conditionalFormatting>
  <conditionalFormatting sqref="H18 N18 K18">
    <cfRule type="expression" dxfId="75" priority="84" stopIfTrue="1">
      <formula>VALUE(H21="Materialdatenbank")</formula>
    </cfRule>
  </conditionalFormatting>
  <conditionalFormatting sqref="H23">
    <cfRule type="expression" dxfId="74" priority="83" stopIfTrue="1">
      <formula>VALUE(H27="Materialdatenbank")</formula>
    </cfRule>
  </conditionalFormatting>
  <conditionalFormatting sqref="H19">
    <cfRule type="expression" dxfId="73" priority="70" stopIfTrue="1">
      <formula>VALUE(#REF!="Materialdatenbank")</formula>
    </cfRule>
  </conditionalFormatting>
  <conditionalFormatting sqref="K19 N19">
    <cfRule type="expression" dxfId="72" priority="69" stopIfTrue="1">
      <formula>VALUE(#REF!="Materialdatenbank")</formula>
    </cfRule>
  </conditionalFormatting>
  <conditionalFormatting sqref="K20 N20">
    <cfRule type="expression" dxfId="71" priority="68" stopIfTrue="1">
      <formula>VALUE(K26="Materialdatenbank")</formula>
    </cfRule>
  </conditionalFormatting>
  <conditionalFormatting sqref="K23 N23">
    <cfRule type="expression" dxfId="70" priority="67" stopIfTrue="1">
      <formula>VALUE(K27="Materialdatenbank")</formula>
    </cfRule>
  </conditionalFormatting>
  <conditionalFormatting sqref="K45">
    <cfRule type="expression" dxfId="69" priority="66" stopIfTrue="1">
      <formula>VALUE(#REF!="Materialdatenbank")</formula>
    </cfRule>
  </conditionalFormatting>
  <conditionalFormatting sqref="N45">
    <cfRule type="expression" dxfId="68" priority="65" stopIfTrue="1">
      <formula>VALUE(#REF!="Materialdatenbank")</formula>
    </cfRule>
  </conditionalFormatting>
  <conditionalFormatting sqref="K36 N36">
    <cfRule type="expression" dxfId="67" priority="62" stopIfTrue="1">
      <formula>VALUE(#REF!="Materialdatenbank")</formula>
    </cfRule>
  </conditionalFormatting>
  <conditionalFormatting sqref="N39">
    <cfRule type="expression" dxfId="66" priority="61" stopIfTrue="1">
      <formula>VALUE(N47="Materialdatenbank")</formula>
    </cfRule>
  </conditionalFormatting>
  <conditionalFormatting sqref="K91 N91 H91">
    <cfRule type="expression" dxfId="65" priority="493" stopIfTrue="1">
      <formula>VALUE(H65="Materialdatenbank")</formula>
    </cfRule>
  </conditionalFormatting>
  <conditionalFormatting sqref="H64 K64 N64">
    <cfRule type="expression" dxfId="64" priority="505" stopIfTrue="1">
      <formula>VALUE(H53="Materialdatenbank")</formula>
    </cfRule>
  </conditionalFormatting>
  <conditionalFormatting sqref="H86:H87 K86:K87 N86:N87">
    <cfRule type="expression" dxfId="63" priority="507" stopIfTrue="1">
      <formula>VALUE(H63="Materialdatenbank")</formula>
    </cfRule>
  </conditionalFormatting>
  <conditionalFormatting sqref="K66 N66 H66 N69">
    <cfRule type="expression" dxfId="62" priority="55" stopIfTrue="1">
      <formula>VALUE(H126="Materialdatenbank")</formula>
    </cfRule>
  </conditionalFormatting>
  <conditionalFormatting sqref="H119 K119 N119">
    <cfRule type="expression" dxfId="61" priority="509" stopIfTrue="1">
      <formula>VALUE(#REF!="Materialdatenbank")</formula>
    </cfRule>
  </conditionalFormatting>
  <conditionalFormatting sqref="N120">
    <cfRule type="expression" dxfId="60" priority="532" stopIfTrue="1">
      <formula>VALUE(N107="Materialdatenbank")</formula>
    </cfRule>
  </conditionalFormatting>
  <conditionalFormatting sqref="K112 N112 H112">
    <cfRule type="expression" dxfId="59" priority="533" stopIfTrue="1">
      <formula>VALUE(H70="Materialdatenbank")</formula>
    </cfRule>
  </conditionalFormatting>
  <conditionalFormatting sqref="K47">
    <cfRule type="expression" dxfId="58" priority="47" stopIfTrue="1">
      <formula>VALUE(K48="Materialdatenbank")</formula>
    </cfRule>
  </conditionalFormatting>
  <conditionalFormatting sqref="N47">
    <cfRule type="expression" dxfId="57" priority="46" stopIfTrue="1">
      <formula>VALUE(N48="Materialdatenbank")</formula>
    </cfRule>
  </conditionalFormatting>
  <conditionalFormatting sqref="H72">
    <cfRule type="expression" dxfId="56" priority="38" stopIfTrue="1">
      <formula>VALUE(H68="Materialdatenbank")</formula>
    </cfRule>
  </conditionalFormatting>
  <conditionalFormatting sqref="H120">
    <cfRule type="expression" dxfId="55" priority="35" stopIfTrue="1">
      <formula>VALUE(H107="Materialdatenbank")</formula>
    </cfRule>
  </conditionalFormatting>
  <conditionalFormatting sqref="H123">
    <cfRule type="expression" dxfId="54" priority="34" stopIfTrue="1">
      <formula>VALUE(H110="Materialdatenbank")</formula>
    </cfRule>
  </conditionalFormatting>
  <conditionalFormatting sqref="K120">
    <cfRule type="expression" dxfId="53" priority="32" stopIfTrue="1">
      <formula>VALUE(K107="Materialdatenbank")</formula>
    </cfRule>
  </conditionalFormatting>
  <conditionalFormatting sqref="N71 K71 H71">
    <cfRule type="expression" dxfId="52" priority="538" stopIfTrue="1">
      <formula>VALUE(#REF!="Materialdatenbank")</formula>
    </cfRule>
  </conditionalFormatting>
  <conditionalFormatting sqref="H113">
    <cfRule type="expression" dxfId="51" priority="30" stopIfTrue="1">
      <formula>VALUE(H116="Materialdatenbank")</formula>
    </cfRule>
  </conditionalFormatting>
  <conditionalFormatting sqref="K113 N113">
    <cfRule type="expression" dxfId="50" priority="29" stopIfTrue="1">
      <formula>VALUE(K116="Materialdatenbank")</formula>
    </cfRule>
  </conditionalFormatting>
  <conditionalFormatting sqref="H85 K85 N85">
    <cfRule type="expression" dxfId="49" priority="562" stopIfTrue="1">
      <formula>VALUE(H64="Materialdatenbank")</formula>
    </cfRule>
  </conditionalFormatting>
  <conditionalFormatting sqref="H107 K107 N107">
    <cfRule type="expression" dxfId="48" priority="567" stopIfTrue="1">
      <formula>VALUE(H76="Materialdatenbank")</formula>
    </cfRule>
  </conditionalFormatting>
  <conditionalFormatting sqref="H77 N77">
    <cfRule type="expression" dxfId="47" priority="28" stopIfTrue="1">
      <formula>VALUE(H60="Materialdatenbank")</formula>
    </cfRule>
  </conditionalFormatting>
  <conditionalFormatting sqref="K77">
    <cfRule type="expression" dxfId="46" priority="27" stopIfTrue="1">
      <formula>VALUE(K60="Materialdatenbank")</formula>
    </cfRule>
  </conditionalFormatting>
  <conditionalFormatting sqref="H84 N84">
    <cfRule type="expression" dxfId="45" priority="24" stopIfTrue="1">
      <formula>VALUE(H64="Materialdatenbank")</formula>
    </cfRule>
  </conditionalFormatting>
  <conditionalFormatting sqref="K84">
    <cfRule type="expression" dxfId="44" priority="16" stopIfTrue="1">
      <formula>VALUE(K64="Materialdatenbank")</formula>
    </cfRule>
  </conditionalFormatting>
  <conditionalFormatting sqref="H69">
    <cfRule type="expression" dxfId="43" priority="14" stopIfTrue="1">
      <formula>VALUE(H129="Materialdatenbank")</formula>
    </cfRule>
  </conditionalFormatting>
  <conditionalFormatting sqref="K69">
    <cfRule type="expression" dxfId="42" priority="13" stopIfTrue="1">
      <formula>VALUE(K129="Materialdatenbank")</formula>
    </cfRule>
  </conditionalFormatting>
  <conditionalFormatting sqref="K72 N72">
    <cfRule type="expression" dxfId="41" priority="12" stopIfTrue="1">
      <formula>VALUE(K68="Materialdatenbank")</formula>
    </cfRule>
  </conditionalFormatting>
  <conditionalFormatting sqref="K123 N123">
    <cfRule type="expression" dxfId="40" priority="11" stopIfTrue="1">
      <formula>VALUE(K110="Materialdatenbank")</formula>
    </cfRule>
  </conditionalFormatting>
  <conditionalFormatting sqref="H134 K134 N134">
    <cfRule type="expression" dxfId="39" priority="10" stopIfTrue="1">
      <formula>VALUE(#REF!="Materialdatenbank")</formula>
    </cfRule>
  </conditionalFormatting>
  <conditionalFormatting sqref="H79">
    <cfRule type="expression" dxfId="38" priority="9" stopIfTrue="1">
      <formula>VALUE(H62="Materialdatenbank")</formula>
    </cfRule>
  </conditionalFormatting>
  <conditionalFormatting sqref="K79">
    <cfRule type="expression" dxfId="37" priority="8" stopIfTrue="1">
      <formula>VALUE(K62="Materialdatenbank")</formula>
    </cfRule>
  </conditionalFormatting>
  <conditionalFormatting sqref="N79">
    <cfRule type="expression" dxfId="36" priority="7" stopIfTrue="1">
      <formula>VALUE(N62="Materialdatenbank")</formula>
    </cfRule>
  </conditionalFormatting>
  <conditionalFormatting sqref="H81">
    <cfRule type="expression" dxfId="35" priority="6" stopIfTrue="1">
      <formula>VALUE(H64="Materialdatenbank")</formula>
    </cfRule>
  </conditionalFormatting>
  <conditionalFormatting sqref="K81">
    <cfRule type="expression" dxfId="34" priority="5" stopIfTrue="1">
      <formula>VALUE(K64="Materialdatenbank")</formula>
    </cfRule>
  </conditionalFormatting>
  <conditionalFormatting sqref="N81">
    <cfRule type="expression" dxfId="33" priority="4" stopIfTrue="1">
      <formula>VALUE(N64="Materialdatenbank")</formula>
    </cfRule>
  </conditionalFormatting>
  <conditionalFormatting sqref="H94">
    <cfRule type="expression" dxfId="32" priority="3" stopIfTrue="1">
      <formula>VALUE(#REF!="Materialdatenbank")</formula>
    </cfRule>
  </conditionalFormatting>
  <conditionalFormatting sqref="K94">
    <cfRule type="expression" dxfId="31" priority="2" stopIfTrue="1">
      <formula>VALUE(#REF!="Materialdatenbank")</formula>
    </cfRule>
  </conditionalFormatting>
  <dataValidations count="9">
    <dataValidation type="whole" allowBlank="1" showInputMessage="1" showErrorMessage="1" sqref="K50 H50 N50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>
      <formula1>AW_Kühleisen</formula1>
    </dataValidation>
    <dataValidation type="decimal" allowBlank="1" showInputMessage="1" showErrorMessage="1" sqref="K104 N104 H104">
      <formula1>0</formula1>
      <formula2>1</formula2>
    </dataValidation>
    <dataValidation type="decimal" allowBlank="1" showInputMessage="1" showErrorMessage="1" sqref="H105 K105 N105">
      <formula1>0</formula1>
      <formula2>2</formula2>
    </dataValidation>
    <dataValidation type="whole" allowBlank="1" showInputMessage="1" showErrorMessage="1" sqref="H61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1:N101 H95:M97 H103:N105 H102:M102 H108:N108 H106:M106 H107:M107 H126:N126 H109:M125 I94:J94 I100:J100 L100:M100 H99:J99 I98:J98 L94:M94 L99:M99 L98:M98" unlockedFormula="1"/>
    <ignoredError sqref="N90:N93 H129:N135 N139:N144 N7:N81 N83:N86" evalError="1"/>
    <ignoredError sqref="N94:N97 N102 N106:N107 N109:N125 H127:N128 N99:N100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>
          <x14:formula1>
            <xm:f>Parametrikber!F$216:F$219</xm:f>
          </x14:formula1>
          <xm:sqref>H31</xm:sqref>
        </x14:dataValidation>
        <x14:dataValidation type="list" showInputMessage="1" showErrorMessage="1" errorTitle="unmöglich / impossible" error="Auswahl nicht möglich_x000a_rate not possible">
          <x14:formula1>
            <xm:f>Parametrikber!I$216:I$219</xm:f>
          </x14:formula1>
          <xm:sqref>K31</xm:sqref>
        </x14:dataValidation>
        <x14:dataValidation type="list" showInputMessage="1" showErrorMessage="1" errorTitle="unmöglich / impossible" error="Auswahl nicht möglich_x000a_rate not possible">
          <x14:formula1>
            <xm:f>Parametrikber!L$216:L$219</xm:f>
          </x14:formula1>
          <xm:sqref>N31</xm:sqref>
        </x14:dataValidation>
        <x14:dataValidation type="list" allowBlank="1" showInputMessage="1" showErrorMessage="1">
          <x14:formula1>
            <xm:f>'Maschinen-DB'!$B$70:$B$71</xm:f>
          </x14:formula1>
          <xm:sqref>H87 K87 N87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defaultColWidth="11" defaultRowHeight="14.25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/>
    <row r="2" spans="1:11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>
      <c r="A4" s="222"/>
      <c r="B4" s="223"/>
      <c r="C4" s="224"/>
      <c r="D4" s="224"/>
      <c r="E4" s="224"/>
      <c r="F4" s="224"/>
      <c r="G4" s="224"/>
      <c r="H4" s="224"/>
      <c r="I4" s="225"/>
    </row>
    <row r="5" spans="1:11">
      <c r="B5" s="6"/>
      <c r="C5" s="7"/>
      <c r="D5" s="7"/>
      <c r="E5" s="8"/>
      <c r="F5" s="6"/>
      <c r="G5" s="7"/>
      <c r="H5" s="7"/>
      <c r="I5" s="8"/>
    </row>
    <row r="6" spans="1:11">
      <c r="B6" s="9"/>
      <c r="C6" s="288"/>
      <c r="D6" s="288"/>
      <c r="E6" s="388"/>
      <c r="F6" s="389"/>
      <c r="G6" s="288"/>
      <c r="H6" s="288"/>
      <c r="I6" s="11"/>
    </row>
    <row r="7" spans="1:11" ht="1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>
      <c r="B9" s="9"/>
      <c r="C9" s="390"/>
      <c r="D9" s="395"/>
      <c r="E9" s="388"/>
      <c r="F9" s="389"/>
      <c r="G9" s="288"/>
      <c r="H9" s="288"/>
      <c r="I9" s="11"/>
    </row>
    <row r="10" spans="1:11" ht="1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>
      <c r="B11" s="9"/>
      <c r="C11" s="396"/>
      <c r="D11" s="397"/>
      <c r="E11" s="388"/>
      <c r="F11" s="389"/>
      <c r="G11" s="288"/>
      <c r="H11" s="288"/>
      <c r="I11" s="11"/>
    </row>
    <row r="12" spans="1:11" ht="1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>
      <c r="B16" s="6"/>
      <c r="C16" s="402"/>
      <c r="D16" s="402"/>
      <c r="E16" s="403"/>
      <c r="F16" s="402"/>
      <c r="G16" s="402"/>
      <c r="H16" s="402"/>
      <c r="I16" s="8"/>
    </row>
    <row r="17" spans="2:9" ht="1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>
      <c r="B18" s="9"/>
      <c r="C18" s="288"/>
      <c r="D18" s="288"/>
      <c r="E18" s="388"/>
      <c r="F18" s="288"/>
      <c r="G18" s="288"/>
      <c r="H18" s="288"/>
      <c r="I18" s="11"/>
    </row>
    <row r="19" spans="2:9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>
      <c r="B25" s="12"/>
      <c r="C25" s="399"/>
      <c r="D25" s="399"/>
      <c r="E25" s="400"/>
      <c r="F25" s="399"/>
      <c r="G25" s="399"/>
      <c r="H25" s="399"/>
      <c r="I25" s="126"/>
    </row>
    <row r="26" spans="2:9">
      <c r="B26" s="6"/>
      <c r="C26" s="402"/>
      <c r="D26" s="402"/>
      <c r="E26" s="403"/>
      <c r="F26" s="407"/>
      <c r="G26" s="402"/>
      <c r="H26" s="402"/>
      <c r="I26" s="8"/>
    </row>
    <row r="27" spans="2:9" ht="1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>
      <c r="B28" s="9"/>
      <c r="D28" s="288"/>
      <c r="E28" s="388"/>
      <c r="F28" s="389"/>
      <c r="G28" s="288"/>
      <c r="H28" s="288"/>
      <c r="I28" s="11"/>
    </row>
    <row r="29" spans="2:9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>
      <c r="B34" s="12"/>
      <c r="C34" s="399"/>
      <c r="D34" s="399"/>
      <c r="E34" s="400"/>
      <c r="F34" s="401"/>
      <c r="G34" s="399"/>
      <c r="H34" s="399"/>
      <c r="I34" s="126"/>
    </row>
    <row r="35" spans="2:9">
      <c r="B35" s="6"/>
      <c r="C35" s="402"/>
      <c r="D35" s="402"/>
      <c r="E35" s="402"/>
      <c r="F35" s="407"/>
      <c r="G35" s="402"/>
      <c r="H35" s="402"/>
      <c r="I35" s="8"/>
    </row>
    <row r="36" spans="2:9" ht="1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>
      <c r="B37" s="9"/>
      <c r="C37" s="288"/>
      <c r="D37" s="288"/>
      <c r="E37" s="288"/>
      <c r="F37" s="389"/>
      <c r="G37" s="288"/>
      <c r="H37" s="288"/>
      <c r="I37" s="11"/>
    </row>
    <row r="38" spans="2:9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>
      <c r="B42" s="9"/>
      <c r="C42" s="405"/>
      <c r="D42" s="288"/>
      <c r="E42" s="288"/>
      <c r="F42" s="389"/>
      <c r="G42" s="410"/>
      <c r="H42" s="411"/>
      <c r="I42" s="11"/>
    </row>
    <row r="43" spans="2:9" ht="15" thickBot="1">
      <c r="B43" s="12"/>
      <c r="C43" s="399"/>
      <c r="D43" s="399"/>
      <c r="E43" s="399"/>
      <c r="F43" s="389"/>
      <c r="G43" s="410"/>
      <c r="H43" s="411"/>
      <c r="I43" s="11"/>
    </row>
    <row r="44" spans="2:9">
      <c r="B44" s="6"/>
      <c r="C44" s="402"/>
      <c r="D44" s="402"/>
      <c r="E44" s="403"/>
      <c r="F44" s="389"/>
      <c r="G44" s="410"/>
      <c r="H44" s="411"/>
      <c r="I44" s="11"/>
    </row>
    <row r="45" spans="2:9" ht="1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>
      <c r="B46" s="9"/>
      <c r="C46" s="288"/>
      <c r="D46" s="288"/>
      <c r="E46" s="388"/>
      <c r="F46" s="389"/>
      <c r="G46" s="410"/>
      <c r="H46" s="411"/>
      <c r="I46" s="11"/>
    </row>
    <row r="47" spans="2:9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>
      <c r="B50" s="9"/>
      <c r="C50" s="288"/>
      <c r="D50" s="288"/>
      <c r="E50" s="388"/>
      <c r="F50" s="389"/>
      <c r="G50" s="288"/>
      <c r="H50" s="288"/>
      <c r="I50" s="11"/>
    </row>
    <row r="51" spans="1:11" ht="15" thickBot="1">
      <c r="B51" s="12"/>
      <c r="C51" s="13"/>
      <c r="D51" s="13"/>
      <c r="E51" s="126"/>
      <c r="F51" s="12"/>
      <c r="G51" s="13"/>
      <c r="H51" s="13"/>
      <c r="I51" s="126"/>
    </row>
    <row r="52" spans="1:11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>
      <c r="D53" s="40"/>
      <c r="E53" s="26"/>
      <c r="F53" s="26"/>
      <c r="G53" s="26"/>
      <c r="H53" s="26"/>
      <c r="I53" s="26"/>
      <c r="J53" s="26"/>
      <c r="K53" s="40"/>
    </row>
    <row r="54" spans="1:11">
      <c r="D54" s="40"/>
      <c r="E54" s="26"/>
      <c r="F54" s="26"/>
      <c r="G54" s="26"/>
      <c r="H54" s="26"/>
      <c r="I54" s="26"/>
      <c r="J54" s="26"/>
      <c r="K54" s="40"/>
    </row>
    <row r="55" spans="1:11">
      <c r="D55" s="40"/>
      <c r="E55" s="26"/>
      <c r="F55" s="26"/>
      <c r="G55" s="26"/>
      <c r="H55" s="26"/>
      <c r="I55" s="26"/>
      <c r="J55" s="26"/>
      <c r="K55" s="40"/>
    </row>
    <row r="56" spans="1:11">
      <c r="D56" s="40"/>
      <c r="E56" s="26"/>
      <c r="F56" s="26"/>
      <c r="G56" s="26"/>
      <c r="H56" s="26"/>
      <c r="I56" s="26"/>
      <c r="J56" s="26"/>
      <c r="K56" s="40"/>
    </row>
    <row r="57" spans="1:11">
      <c r="D57" s="40"/>
      <c r="E57" s="26"/>
      <c r="F57" s="26"/>
      <c r="G57" s="26"/>
      <c r="H57" s="26"/>
      <c r="I57" s="26"/>
      <c r="J57" s="26"/>
      <c r="K57" s="40"/>
    </row>
    <row r="58" spans="1:11">
      <c r="D58" s="40"/>
      <c r="E58" s="26"/>
      <c r="F58" s="26"/>
      <c r="G58" s="26"/>
      <c r="H58" s="26"/>
      <c r="I58" s="26"/>
      <c r="J58" s="26"/>
      <c r="K58" s="40"/>
    </row>
    <row r="59" spans="1:11">
      <c r="A59" s="26"/>
      <c r="D59" s="40"/>
      <c r="E59" s="26"/>
      <c r="F59" s="26"/>
      <c r="G59" s="26"/>
      <c r="H59" s="26"/>
      <c r="I59" s="26"/>
      <c r="J59" s="26"/>
      <c r="K59" s="40"/>
    </row>
    <row r="60" spans="1:11">
      <c r="A60" s="26"/>
      <c r="D60" s="40"/>
      <c r="E60" s="40"/>
      <c r="F60" s="26"/>
      <c r="G60" s="26"/>
      <c r="H60" s="26"/>
      <c r="I60" s="26"/>
      <c r="J60" s="26"/>
      <c r="K60" s="40"/>
    </row>
    <row r="61" spans="1:1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>
      <c r="A107" t="s">
        <v>224</v>
      </c>
      <c r="B107" s="1"/>
      <c r="C107" t="s">
        <v>225</v>
      </c>
    </row>
    <row r="108" spans="1:10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0"/>
  </sheetPr>
  <dimension ref="A1:L79"/>
  <sheetViews>
    <sheetView zoomScale="75" workbookViewId="0">
      <selection activeCell="P28" sqref="P28"/>
    </sheetView>
  </sheetViews>
  <sheetFormatPr defaultColWidth="11" defaultRowHeight="14.25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/>
    <row r="2" spans="1:12" ht="15" thickBot="1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/>
    <row r="21" spans="1:7" ht="15" thickBot="1">
      <c r="B21" s="35" t="s">
        <v>45</v>
      </c>
      <c r="C21" s="37"/>
      <c r="D21" s="37"/>
      <c r="E21" s="141"/>
    </row>
    <row r="22" spans="1:7" ht="1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/>
    <row r="25" spans="1:7" ht="15" thickBot="1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/>
    <row r="30" spans="1:7" ht="15" thickBot="1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/>
    <row r="35" spans="1:7" ht="15" thickBot="1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/>
    <row r="40" spans="1:7" ht="15" thickBot="1">
      <c r="B40" s="35" t="s">
        <v>293</v>
      </c>
      <c r="C40" s="441">
        <v>1</v>
      </c>
      <c r="D40" s="37" t="s">
        <v>297</v>
      </c>
      <c r="E40" s="141"/>
    </row>
    <row r="41" spans="1:7" ht="1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G41" s="511"/>
    </row>
    <row r="42" spans="1:7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</row>
    <row r="43" spans="1:7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</row>
    <row r="44" spans="1:7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</row>
    <row r="45" spans="1:7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</row>
    <row r="46" spans="1:7" ht="15" thickBot="1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</row>
    <row r="47" spans="1:7" ht="6" customHeight="1" thickBot="1"/>
    <row r="48" spans="1:7" ht="15" thickBot="1">
      <c r="B48" s="35" t="s">
        <v>348</v>
      </c>
      <c r="C48" s="441">
        <v>1</v>
      </c>
      <c r="D48" s="489" t="s">
        <v>373</v>
      </c>
      <c r="E48" s="141"/>
    </row>
    <row r="49" spans="1:7" ht="1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/>
    <row r="53" spans="1:7" ht="15" thickBot="1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/>
    <row r="59" spans="1:7" ht="15" thickBot="1">
      <c r="B59" s="35" t="s">
        <v>450</v>
      </c>
      <c r="C59" s="441">
        <v>1</v>
      </c>
      <c r="D59" s="489" t="s">
        <v>451</v>
      </c>
      <c r="E59" s="37"/>
    </row>
    <row r="60" spans="1:7" ht="1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/>
    <row r="64" spans="1:7" ht="15" thickBot="1">
      <c r="B64" s="35" t="s">
        <v>561</v>
      </c>
      <c r="C64" s="441">
        <v>1</v>
      </c>
      <c r="D64" s="489" t="s">
        <v>562</v>
      </c>
      <c r="E64" s="141"/>
    </row>
    <row r="65" spans="1:7" ht="1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/>
    <row r="70" spans="1:7" ht="15" thickBot="1">
      <c r="B70" s="35" t="s">
        <v>811</v>
      </c>
      <c r="C70" s="441">
        <v>2</v>
      </c>
      <c r="D70" s="489" t="s">
        <v>810</v>
      </c>
      <c r="E70" s="37"/>
      <c r="G70" s="511"/>
    </row>
    <row r="71" spans="1:7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/>
    <row r="75" spans="1:7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>
      <formula1>E54:E57</formula1>
    </dataValidation>
    <dataValidation type="list" showInputMessage="1" showErrorMessage="1" sqref="C6">
      <formula1>$E$7:$E$9</formula1>
    </dataValidation>
    <dataValidation type="list" allowBlank="1" showInputMessage="1" showErrorMessage="1" sqref="C70 C59 C48 C35 C30 C25">
      <formula1>E26:E28</formula1>
    </dataValidation>
    <dataValidation type="list" showInputMessage="1" showErrorMessage="1" sqref="C15">
      <formula1>E16:E19</formula1>
    </dataValidation>
    <dataValidation type="list" allowBlank="1" showInputMessage="1" showErrorMessage="1" sqref="C40">
      <formula1>E41:E46</formula1>
    </dataValidation>
    <dataValidation type="list" allowBlank="1" showInputMessage="1" showErrorMessage="1" sqref="H2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5" tint="0.59999389629810485"/>
  </sheetPr>
  <dimension ref="A1:P55"/>
  <sheetViews>
    <sheetView topLeftCell="A13" zoomScale="115" zoomScaleNormal="115" workbookViewId="0">
      <selection activeCell="I27" sqref="I27"/>
    </sheetView>
  </sheetViews>
  <sheetFormatPr defaultColWidth="11" defaultRowHeight="14.25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>
      <c r="A16" s="265" t="s">
        <v>239</v>
      </c>
      <c r="B16" s="55"/>
      <c r="C16" s="316"/>
      <c r="G16" s="55"/>
    </row>
    <row r="17" spans="1:15" ht="15" thickBot="1">
      <c r="B17" s="783" t="s">
        <v>690</v>
      </c>
      <c r="C17" s="55"/>
      <c r="G17" s="55"/>
    </row>
    <row r="18" spans="1:15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>
      <c r="L52" s="483" t="s">
        <v>696</v>
      </c>
      <c r="M52" s="315"/>
      <c r="N52" s="812">
        <v>42309</v>
      </c>
      <c r="O52" s="816"/>
    </row>
    <row r="53" spans="1:15" ht="15" thickBot="1">
      <c r="L53" s="696" t="s">
        <v>116</v>
      </c>
      <c r="M53" s="824">
        <v>3.08</v>
      </c>
      <c r="N53" s="822">
        <v>1.1000000000000001</v>
      </c>
      <c r="O53" s="821"/>
    </row>
    <row r="54" spans="1:15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>
      <formula1>4</formula1>
      <formula2>15</formula2>
    </dataValidation>
    <dataValidation type="decimal" showErrorMessage="1" errorTitle="not allowed" sqref="M45">
      <formula1>0</formula1>
      <formula2>60</formula2>
    </dataValidation>
    <dataValidation type="decimal" showErrorMessage="1" errorTitle="not allowed" sqref="M43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defaultColWidth="11" defaultRowHeight="14.25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8.75" thickBot="1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>
      <formula1>AW_Materialtyp</formula1>
    </dataValidation>
    <dataValidation type="decimal" showInputMessage="1" showErrorMessage="1" sqref="C4:C37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theme="5" tint="0.59999389629810485"/>
  </sheetPr>
  <dimension ref="A1:S75"/>
  <sheetViews>
    <sheetView topLeftCell="A46" zoomScaleNormal="100" workbookViewId="0">
      <selection activeCell="H71" sqref="H71"/>
    </sheetView>
  </sheetViews>
  <sheetFormatPr defaultColWidth="11" defaultRowHeight="14.25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>
      <c r="B16" s="556" t="s">
        <v>665</v>
      </c>
      <c r="C16" s="511" t="s">
        <v>816</v>
      </c>
    </row>
    <row r="17" spans="2:19" ht="15.75">
      <c r="B17" s="505" t="s">
        <v>458</v>
      </c>
    </row>
    <row r="18" spans="2:19" ht="15" thickBot="1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>
      <c r="B38" s="556" t="s">
        <v>665</v>
      </c>
      <c r="C38" s="511" t="s">
        <v>467</v>
      </c>
    </row>
    <row r="39" spans="2:19">
      <c r="C39" s="511" t="s">
        <v>534</v>
      </c>
    </row>
    <row r="43" spans="2:19" ht="15.75">
      <c r="B43" s="505" t="s">
        <v>847</v>
      </c>
      <c r="H43" s="875"/>
      <c r="I43" s="875"/>
      <c r="J43" s="875"/>
      <c r="M43" s="2"/>
    </row>
    <row r="44" spans="2:19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>
      <c r="C53" t="s">
        <v>798</v>
      </c>
    </row>
    <row r="54" spans="2:15">
      <c r="D54" t="s">
        <v>799</v>
      </c>
      <c r="F54" t="s">
        <v>800</v>
      </c>
    </row>
    <row r="55" spans="2:15">
      <c r="C55" t="s">
        <v>801</v>
      </c>
    </row>
    <row r="56" spans="2:15">
      <c r="D56" s="222" t="s">
        <v>802</v>
      </c>
      <c r="F56" t="s">
        <v>803</v>
      </c>
    </row>
    <row r="57" spans="2:15">
      <c r="B57" s="1161" t="s">
        <v>372</v>
      </c>
      <c r="C57">
        <v>1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164">
        <v>50</v>
      </c>
      <c r="M57" s="1164" t="s">
        <v>793</v>
      </c>
      <c r="N57" s="1165">
        <v>300000</v>
      </c>
      <c r="O57">
        <v>7</v>
      </c>
    </row>
    <row r="58" spans="2:15">
      <c r="B58" s="1161" t="s">
        <v>372</v>
      </c>
      <c r="C58">
        <v>2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164">
        <v>55</v>
      </c>
      <c r="M58" s="1164" t="s">
        <v>793</v>
      </c>
      <c r="N58" s="1165">
        <v>330000</v>
      </c>
      <c r="O58">
        <v>8</v>
      </c>
    </row>
    <row r="59" spans="2:15">
      <c r="B59" s="1161" t="s">
        <v>372</v>
      </c>
      <c r="C59">
        <v>3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164">
        <v>70</v>
      </c>
      <c r="M59" s="1164" t="s">
        <v>793</v>
      </c>
      <c r="N59" s="1165">
        <v>370000</v>
      </c>
      <c r="O59">
        <v>9</v>
      </c>
    </row>
    <row r="61" spans="2:15" ht="15" thickBot="1"/>
    <row r="62" spans="2:15" ht="43.5" thickBot="1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1000</v>
      </c>
      <c r="J62" s="1172" t="s">
        <v>1001</v>
      </c>
      <c r="K62" s="511"/>
    </row>
    <row r="63" spans="2:15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>
      <c r="B64" s="45" t="str">
        <f>[2]Auswahlfelder!D36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>
      <c r="B65" s="45" t="str">
        <f>[2]Auswahlfelder!D37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>
      <c r="B67" s="530" t="s">
        <v>994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>
      <c r="B68" s="1173" t="s">
        <v>995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>
      <c r="B74" s="1177" t="s">
        <v>997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>
      <c r="B75" s="1177" t="s">
        <v>999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defaultColWidth="11" defaultRowHeight="14.25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>
      <c r="A80" s="249"/>
      <c r="B80" s="249"/>
      <c r="C80" s="250"/>
    </row>
    <row r="81" spans="1:3" s="252" customFormat="1">
      <c r="A81" s="249"/>
      <c r="B81" s="249"/>
      <c r="C81" s="250"/>
    </row>
    <row r="82" spans="1:3" s="252" customFormat="1">
      <c r="A82" s="249"/>
      <c r="B82" s="249"/>
      <c r="C82" s="250"/>
    </row>
    <row r="83" spans="1:3" s="252" customFormat="1">
      <c r="A83" s="249"/>
      <c r="B83" s="249"/>
      <c r="C83" s="250"/>
    </row>
    <row r="84" spans="1:3" s="252" customFormat="1">
      <c r="A84" s="249"/>
      <c r="B84" s="249"/>
      <c r="C84" s="250"/>
    </row>
    <row r="85" spans="1:3" s="252" customFormat="1">
      <c r="A85" s="249"/>
      <c r="B85" s="249"/>
      <c r="C85" s="250"/>
    </row>
    <row r="86" spans="1:3" s="252" customFormat="1">
      <c r="A86" s="249"/>
      <c r="B86" s="249"/>
      <c r="C86" s="250"/>
    </row>
    <row r="87" spans="1:3" s="252" customFormat="1">
      <c r="A87" s="249"/>
      <c r="B87" s="249"/>
      <c r="C87" s="250"/>
    </row>
    <row r="88" spans="1:3" s="252" customFormat="1">
      <c r="A88" s="249"/>
      <c r="B88" s="249"/>
      <c r="C88" s="250"/>
    </row>
    <row r="89" spans="1:3" s="252" customFormat="1">
      <c r="A89" s="249"/>
      <c r="B89" s="249"/>
      <c r="C89" s="250"/>
    </row>
    <row r="90" spans="1:3" s="252" customFormat="1">
      <c r="A90" s="249"/>
      <c r="B90" s="249"/>
      <c r="C90" s="250"/>
    </row>
    <row r="91" spans="1:3" s="252" customFormat="1">
      <c r="A91" s="249"/>
      <c r="B91" s="249"/>
      <c r="C91" s="250"/>
    </row>
    <row r="92" spans="1:3" s="252" customFormat="1">
      <c r="A92" s="249"/>
      <c r="B92" s="249"/>
      <c r="C92" s="250"/>
    </row>
    <row r="93" spans="1:3" s="252" customFormat="1">
      <c r="A93" s="249"/>
      <c r="B93" s="249"/>
      <c r="C93" s="250"/>
    </row>
    <row r="94" spans="1:3" s="252" customFormat="1">
      <c r="A94" s="249"/>
      <c r="B94" s="249"/>
      <c r="C94" s="250"/>
    </row>
    <row r="95" spans="1:3" s="252" customFormat="1">
      <c r="A95" s="249"/>
      <c r="B95" s="249"/>
      <c r="C95" s="250"/>
    </row>
    <row r="96" spans="1:3" s="252" customFormat="1">
      <c r="A96" s="249"/>
      <c r="B96" s="249"/>
      <c r="C96" s="250"/>
    </row>
  </sheetData>
  <sheetProtection password="E456" sheet="1" objects="1" scenarios="1"/>
  <sortState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CCCC"/>
  </sheetPr>
  <dimension ref="A1:Y293"/>
  <sheetViews>
    <sheetView workbookViewId="0">
      <pane xSplit="4" ySplit="3" topLeftCell="E137" activePane="bottomRight" state="frozenSplit"/>
      <selection activeCell="L30" sqref="L30"/>
      <selection pane="topRight" activeCell="L30" sqref="L30"/>
      <selection pane="bottomLeft" activeCell="L30" sqref="L30"/>
      <selection pane="bottomRight" activeCell="A146" sqref="A146:XFD146"/>
    </sheetView>
  </sheetViews>
  <sheetFormatPr defaultColWidth="11" defaultRowHeight="14.25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/>
    <row r="2" spans="2:24" ht="5.25" customHeight="1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 t="e">
        <f>VLOOKUP(L19,DB_Länder,10,FALSE)</f>
        <v>#N/A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>
      <c r="B8" s="467">
        <v>43</v>
      </c>
      <c r="C8" s="95" t="s">
        <v>129</v>
      </c>
      <c r="D8" s="98"/>
      <c r="E8" s="574" t="s">
        <v>498</v>
      </c>
      <c r="F8" s="657">
        <f>IFERROR(IF(Refkalkulation!H$111=0,SUM(F$9:F$12),Refkalkulation!H$111),0)</f>
        <v>0.1</v>
      </c>
      <c r="G8" s="7"/>
      <c r="H8" s="7"/>
      <c r="I8" s="657">
        <f>IFERROR(IF(Refkalkulation!K$111=0,SUM(I$9:I$12),Refkalkulation!K$111),0)</f>
        <v>0.1</v>
      </c>
      <c r="J8" s="7"/>
      <c r="K8" s="7"/>
      <c r="L8" s="657">
        <f>IFERROR(IF(Refkalkulation!N$111=0,SUM(L$9:L$12),Refkalkulation!N$111),0)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 t="e">
        <f>VLOOKUP(L19,DB_Länder,11,FALSE)</f>
        <v>#N/A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 t="e">
        <f>MIN(3%,MAX(-1%,-0.1*(L$27-80%)))</f>
        <v>#N/A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IFERROR(IF(Refkalkulation!H$121=0,'Länder-DB'!$I$25*F$14,Refkalkulation!H$121),0)</f>
        <v>0</v>
      </c>
      <c r="G13" s="7"/>
      <c r="H13" s="7"/>
      <c r="I13" s="657">
        <f>IFERROR(IF(Refkalkulation!K$121=0,'Länder-DB'!$I$25*I$14,Refkalkulation!K$121),0)</f>
        <v>0</v>
      </c>
      <c r="J13" s="7"/>
      <c r="K13" s="7"/>
      <c r="L13" s="657">
        <f>IFERROR(IF(Refkalkulation!N$121=0,'Länder-DB'!$I$25*L$14,Refkalkulation!N$121),0)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 t="e">
        <f>1+$D$14*(2-VLOOKUP('Quick Input'!S$49,Auswahlfelder!$D$26:$E$28,2,FALSE))</f>
        <v>#N/A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>
      <c r="B15" s="467">
        <v>32</v>
      </c>
      <c r="C15" s="95" t="s">
        <v>232</v>
      </c>
      <c r="D15" s="98"/>
      <c r="E15" s="574" t="s">
        <v>498</v>
      </c>
      <c r="F15" s="657">
        <f>IFERROR(IF(Refkalkulation!H$122=0,SUM(F$16:F$18),Refkalkulation!H$122),0)</f>
        <v>0.08</v>
      </c>
      <c r="G15" s="7"/>
      <c r="H15" s="7"/>
      <c r="I15" s="657">
        <f>IFERROR(IF(Refkalkulation!K$122=0,SUM(I$16:I$18),Refkalkulation!K$122),0)</f>
        <v>0.09</v>
      </c>
      <c r="J15" s="7"/>
      <c r="K15" s="7"/>
      <c r="L15" s="657">
        <f>IFERROR(IF(Refkalkulation!N$122=0,SUM(L$16:L$18),Refkalkulation!N$122),0)</f>
        <v>0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 t="e">
        <f>VLOOKUP(L19,DB_Länder,12,FALSE)</f>
        <v>#N/A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>
        <f>'Quick Input'!S$45</f>
        <v>0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 t="e">
        <f>VLOOKUP(L$19,DB_Länder,3,FALSE)*(1+IF('Quick Input'!S$46=Auswahlfelder!$D$7,0,IF('Quick Input'!S$46=Auswahlfelder!$D$8,0.5*VLOOKUP(L$19,DB_Länder,14,FALSE),(VLOOKUP(L$19,DB_Länder,14,FALSE)+VLOOKUP(L$19,DB_Länder,15,FALSE))/3)))</f>
        <v>#N/A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 t="e">
        <f>VLOOKUP(L$19,DB_Länder,4,FALSE)*(1+IF('Quick Input'!S$46=Auswahlfelder!$D$7,0,IF('Quick Input'!S$46=Auswahlfelder!$D$8,0.5*VLOOKUP(L$19,DB_Länder,14,FALSE),(VLOOKUP(L$19,DB_Länder,14,FALSE)+VLOOKUP(L$19,DB_Länder,15,FALSE))/3)))</f>
        <v>#N/A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 t="e">
        <f>VLOOKUP(L$19,DB_Länder,5,FALSE)*(1+IF('Quick Input'!S$46=Auswahlfelder!$D$7,0,IF('Quick Input'!S$46=Auswahlfelder!$D$8,0.5*VLOOKUP(L$19,DB_Länder,14,FALSE),(VLOOKUP(L$19,DB_Länder,14,FALSE)+VLOOKUP(L$19,DB_Länder,15,FALSE))/3)))</f>
        <v>#N/A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0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 t="e">
        <f>-VLOOKUP(L$19,DB_Länder,10,FALSE)</f>
        <v>#N/A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 t="e">
        <f>MIN(100%,('Quick Input'!S$50+L$28+L$29)*L$30)</f>
        <v>#N/A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 t="e">
        <f>VLOOKUP(L19,DB_Länder,11,FALSE)*2</f>
        <v>#N/A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>
      <c r="B31" s="467">
        <v>58</v>
      </c>
      <c r="C31" s="95" t="s">
        <v>362</v>
      </c>
      <c r="D31" s="98"/>
      <c r="E31" s="568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 t="e">
        <f>L$32*L$33*L$34</f>
        <v>#DIV/0!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 t="e">
        <f>MAX(0.9,SQRT(MIN(1,L$39+65%)))</f>
        <v>#DIV/0!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>
      <c r="B35" s="467">
        <f>B34</f>
        <v>58</v>
      </c>
      <c r="C35" s="95" t="s">
        <v>137</v>
      </c>
      <c r="D35" s="98"/>
      <c r="E35" s="568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 t="e">
        <f>L$31*(1+L$36)*L$46</f>
        <v>#DIV/0!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 t="e">
        <f>IF(OR(L$39&lt;23%,VLOOKUP(Refkalkulation!N$52,DB_Maschinen,2,FALSE)='Maschinen-DB'!$D$22),0,5.25%+L$46*0.75%)</f>
        <v>#DIV/0!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36</v>
      </c>
      <c r="G37" s="7"/>
      <c r="H37" s="7"/>
      <c r="I37" s="345">
        <f>I$31*'Quick Input'!P$16/10000</f>
        <v>36</v>
      </c>
      <c r="J37" s="7"/>
      <c r="K37" s="7"/>
      <c r="L37" s="345" t="e">
        <f>L$31*'Quick Input'!S$16/10000</f>
        <v>#DIV/0!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 t="e">
        <f>L$37*VLOOKUP('Quick Input'!S$10,DB_Material,5,FALSE)</f>
        <v>#DIV/0!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 t="e">
        <f>'Quick Input'!S$20/(L$32*L$33*'Quick Input'!S$16/10)</f>
        <v>#DIV/0!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7.3060572213343722</v>
      </c>
      <c r="G40" s="7"/>
      <c r="H40" s="7"/>
      <c r="I40" s="345">
        <f>(I$41+I$43)*I$46</f>
        <v>7.3082233762111191</v>
      </c>
      <c r="J40" s="7"/>
      <c r="K40" s="7"/>
      <c r="L40" s="345" t="e">
        <f>(L$41+L$43)*L$46</f>
        <v>#N/A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0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0.46121144426687438</v>
      </c>
      <c r="G42" s="10"/>
      <c r="H42" s="10"/>
      <c r="I42" s="201">
        <f>'Länder-DB'!$M$19+I$44+I$45+I$47</f>
        <v>0.46164467524222386</v>
      </c>
      <c r="J42" s="10"/>
      <c r="K42" s="10"/>
      <c r="L42" s="201" t="e">
        <f>'Länder-DB'!$M$19+L$44+L$45+L$47</f>
        <v>#N/A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 t="e">
        <f>L$41*L$42</f>
        <v>#N/A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0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7.7461444266874346E-2</v>
      </c>
      <c r="G45" s="10"/>
      <c r="H45" s="10"/>
      <c r="I45" s="201">
        <f>MAX(0%,20%*(40%-I$58))</f>
        <v>7.7894675242223807E-2</v>
      </c>
      <c r="J45" s="10"/>
      <c r="K45" s="10"/>
      <c r="L45" s="201" t="e">
        <f>20%*(40%-L$58)</f>
        <v>#N/A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 t="e">
        <f>L$56*IF(L$52,L$33,L$32)+2*L$53+(L$56-1)*(L$53+2.5)</f>
        <v>#N/A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 t="e">
        <f>L$57*IF(L$52,L$32,L$33)+2*L$53+(L$57-1)*(2.5+L$53)</f>
        <v>#N/A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 t="e">
        <f>'Quick Input'!S16/10+2.5*L$53</f>
        <v>#N/A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e">
        <f>OR(AND(L46=2,L54/L55&lt;2.2),AND(L46=3,L54/L55&gt;1.7),AND(L46=4,L46/2.5&gt;L54/L55),FALSE)</f>
        <v>#N/A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 t="e">
        <f>3+0.3*SQRT(L$33)+1.5*(4-VLOOKUP('Quick Input'!S$22,Auswahlfelder!$D$36:$E$38,2,FALSE))</f>
        <v>#N/A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 t="e">
        <f>L32+L53*1.75</f>
        <v>#N/A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 t="e">
        <f>L33+L53*1.75</f>
        <v>#N/A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 t="e">
        <f>IF(AND(L52,OR(L$46=3,L46=2)),L$46,IF(AND(NOT(L52),L$46&lt;4),1,IF(L$54&lt;2.5*L$55,ROUNDDOWN(SQRT(L$46),0),IF(AND(L52,L46&gt;2),1,MIN(L$46,ROUNDUP(1.6*SQRT(L$46),0))))))</f>
        <v>#N/A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 t="e">
        <f>ROUNDUP(L$46/L$56,0)</f>
        <v>#N/A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1.269277866562827E-2</v>
      </c>
      <c r="G58" s="10"/>
      <c r="H58" s="10"/>
      <c r="I58" s="284">
        <f>(I$41*I$46)/2.7/(I$49*I$50*I$51/1000)</f>
        <v>1.0526623788881013E-2</v>
      </c>
      <c r="J58" s="10"/>
      <c r="K58" s="10"/>
      <c r="L58" s="284" t="e">
        <f>(L$41*L$46)/2.7/(L$49*L$50*L$51/1000)</f>
        <v>#N/A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 t="e">
        <f>IFERROR(MAX(L$61,MIN(L$62,IF(L$73,L$72,L$72+1))),L$61)</f>
        <v>#N/A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>
        <f>'Quick Input'!S$22</f>
        <v>0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 t="e">
        <f>VLOOKUP(L$60,'Maschinen-DB'!$B$22:$C$37,2,FALSE)</f>
        <v>#N/A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 t="e">
        <f>VLOOKUP(L$60,'Maschinen-DB'!$B$22:$C$37,2,TRUE)</f>
        <v>#N/A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 t="e">
        <f>VLOOKUP(L$61,DB_Maschinen,5,FALSE)/10</f>
        <v>#N/A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 t="e">
        <f>VLOOKUP(L$62,DB_Maschinen,5,FALSE)/10</f>
        <v>#N/A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 t="e">
        <f>IF(L$65&lt;L$72,L$72,MAX(L$61,MIN(L$62,IF(L$73,L$72,L$72+1))))</f>
        <v>#N/A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e">
        <f>VLOOKUP(L$72,DB_Maschinen,17,FALSE)</f>
        <v>#N/A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 t="e">
        <f>VLOOKUP(L$49*10,'Maschinen-DB'!$G$21:$R$37,12,TRUE)+1</f>
        <v>#N/A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e">
        <f>AND(VLOOKUP(L$72,DB_Maschinen,6,FALSE)&gt;L$50*10,VLOOKUP(L$72,DB_Maschinen,7,FALSE)&gt;L$51)</f>
        <v>#N/A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e">
        <f>VLOOKUP(VLOOKUP(L71,Auswahlfelder!$D$36:$E$38,2,FALSE),Auswahlfelder!$A$36:$B$38,2,FALSE)</f>
        <v>#N/A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 t="e">
        <f>(L$77-L$78)/1000/1.64/L$46</f>
        <v>#N/A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2.6685869023794183E-3</v>
      </c>
      <c r="G76" s="597" t="str">
        <f>TEXT(F$76,"0,0 %")</f>
        <v>0,3 %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 t="e">
        <f>L$78/L$77</f>
        <v>#N/A</v>
      </c>
      <c r="M76" s="597" t="e">
        <f>TEXT(L$76,"0,0 %")</f>
        <v>#N/A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 t="e">
        <f>L$66*L$67*IF(VLOOKUP(L$70,DB_Maschinen,2,FALSE)='Maschinen-DB'!$D$21,MAX(L$51,L$69),IF(L$69&gt;L$51,L$69,L$68))</f>
        <v>#N/A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2705.9471190127301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 t="e">
        <f>L$40*1000/VLOOKUP('Quick Input'!S$10,DB_Material,5,FALSE)</f>
        <v>#N/A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3.3579194504606484E-3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 t="e">
        <f>(1-L$82)*('Länder-DB'!$M$23+4%)*L$80*L$81+L$82*L$84*L$83</f>
        <v>#N/A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 t="e">
        <f>6%+0.5%*(VLOOKUP('Quick Input'!S$21,Auswahlfelder!$D$16:$E$19,2,FALSE)-1)</f>
        <v>#N/A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2.0765473642581932E-2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 t="e">
        <f>IF(VLOOKUP('Quick Input'!S$23,Auswahlfelder!$D$49:$E$51,2,FALSE)=1,0,1.05*Refkalkulation!N$67*Refkalkulation!N$50/(L$77-L$78)*1000)</f>
        <v>#N/A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 t="e">
        <f>$D$83+0.2%-0.15%*VLOOKUP('Quick Input'!S$24,Auswahlfelder!$D$54:$E$57,2,FALSE)</f>
        <v>#N/A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 t="e">
        <f>MIN(L$92*L$91,L$88)</f>
        <v>#DIV/0!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 t="e">
        <f>52/'Quick Input'!S$36*L$85</f>
        <v>#DIV/0!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 t="e">
        <f>'Quick Input'!S$36/L145</f>
        <v>#DIV/0!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0.52083333333333337</v>
      </c>
      <c r="G89" s="10"/>
      <c r="H89" s="10"/>
      <c r="I89" s="206">
        <f>I$87*I$41/1000</f>
        <v>0.52083333333333337</v>
      </c>
      <c r="J89" s="10"/>
      <c r="K89" s="10"/>
      <c r="L89" s="206" t="e">
        <f>L$87*L$41/1000</f>
        <v>#DIV/0!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 t="e">
        <f>L$87*'Quick Input'!S$14*'Quick Input'!S$15*'Quick Input'!S$16/1000000</f>
        <v>#DIV/0!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 t="e">
        <f>ROUNDUP(MIN(520/L$90*L$87,1200/L$89*L$87),0)</f>
        <v>#DIV/0!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 t="e">
        <f>IF(L$91&gt;L$87,1,ROUNDUP(L$87/L$91,0))</f>
        <v>#DIV/0!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 t="e">
        <f>IF(L$92&gt;3,IF(L$86&gt;3,L$92-1,1),IF(L$92&gt;1,IF(L$86&gt;2,2,1),0))</f>
        <v>#DIV/0!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 t="e">
        <f>MAX(Refkalkulation!N$50,MAX(L$85,L$87*2)-L$93*L$91)</f>
        <v>#DIV/0!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 t="e">
        <f>L$95/L$87</f>
        <v>#DIV/0!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 t="e">
        <f>IF(L$96&lt;2.2,2,IF(L$96&gt;6,1,2))</f>
        <v>#DIV/0!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 t="e">
        <f>VLOOKUP('Quick Input'!S$49,Auswahlfelder!$D$26:$E$28,2,FALSE)*0.4</f>
        <v>#N/A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 t="e">
        <f>0.7*VLOOKUP('Quick Input'!S$46,Auswahlfelder!$D$7:$E$9,2,FALSE)-1</f>
        <v>#N/A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 t="e">
        <f>Parametrikber!L$27-12%</f>
        <v>#N/A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67.729972523958125</v>
      </c>
      <c r="G104" s="425"/>
      <c r="H104" s="426"/>
      <c r="I104" s="276">
        <f>I$40/(Refkalkulation!K$59/3600)*1.2</f>
        <v>789.28812463080078</v>
      </c>
      <c r="J104" s="425"/>
      <c r="K104" s="426"/>
      <c r="L104" s="276" t="e">
        <f>L$40/(Refkalkulation!N$59/3600)*1.2</f>
        <v>#N/A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1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 t="e">
        <f>IF(VLOOKUP(L$105,DB_Ofen,7,FALSE)&gt;L$104,L$105,IF(VLOOKUP(L$105+1,DB_Ofen,7,FALSE)&gt;L$104,L$105+1,IF(VLOOKUP(L$105+2,DB_Ofen,7,FALSE)&gt;L$104,L$105+2,MIN(11,L$105+3))))</f>
        <v>#N/A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 t="e">
        <f>(L$107/'Länder-DB'!$I$27+L$107*'Länder-DB'!$I$29)/(L$103*L$146)</f>
        <v>#N/A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50.406745185862235</v>
      </c>
      <c r="J109" s="419"/>
      <c r="K109" s="420"/>
      <c r="L109" s="204" t="e">
        <f>L$110+L$111+L$112</f>
        <v>#N/A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0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0</v>
      </c>
      <c r="J112" s="421"/>
      <c r="K112" s="422"/>
      <c r="L112" s="205" t="e">
        <f>SQRT(VLOOKUP('Quick Input'!S$23,Auswahlfelder!$D$49:$E$51,2,FALSE)-1)*6</f>
        <v>#N/A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0</v>
      </c>
      <c r="J113" s="436"/>
      <c r="K113" s="462"/>
      <c r="L113" s="650" t="e">
        <f>IF(Refkalkulation!N$67=0,ROUND(IF('Quick Input'!S$23=Auswahlfelder!$D$49,0,(L$114*2+L$115+60%*L$37)/5),1),Refkalkulation!N$67)</f>
        <v>#DIV/0!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0.22222222222222221</v>
      </c>
      <c r="G114" s="446"/>
      <c r="H114" s="447"/>
      <c r="I114" s="344">
        <f>IF('Quick Input'!P$23=Auswahlfelder!$D$49,0,12%*'Quick Input'!P$20/1000)</f>
        <v>0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30.548148148148147</v>
      </c>
      <c r="G115" s="446"/>
      <c r="H115" s="447"/>
      <c r="I115" s="344">
        <f>IF(I114=0,0,MAX(0,0.9*I$37-'Quick Input'!P$20/1000))</f>
        <v>0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0.54629629629629628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 t="e">
        <f>('Quick Input'!S$20/1000+Refkalkulation!N$67)/('Quick Input'!S$14*'Quick Input'!S$15*'Quick Input'!S$16/1000000)</f>
        <v>#DIV/0!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4.4174325986312393E-2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 t="e">
        <f>IF('Quick Input'!S$23=Auswahlfelder!$D$49,0,L$118*L$119)</f>
        <v>#N/A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4.4174325986312393E-2</v>
      </c>
      <c r="G118" s="464"/>
      <c r="H118" s="465"/>
      <c r="I118" s="937">
        <f>IF('Quick Input'!P$23=Auswahlfelder!$D50,I$225,('Länder-DB'!$M$47+I120)/I$121)</f>
        <v>0.21115500376222723</v>
      </c>
      <c r="J118" s="464"/>
      <c r="K118" s="465"/>
      <c r="L118" s="937" t="e">
        <f>IF('Quick Input'!S$23=Auswahlfelder!$D50,L$225,('Länder-DB'!$M$47+L120)/L$121)</f>
        <v>#N/A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 t="e">
        <f>1+0.25*(1-VLOOKUP(L$19,DB_Länder,4,FALSE)/'Länder-DB'!$D$2)</f>
        <v>#N/A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 t="e">
        <f>L123*L124*L125</f>
        <v>#N/A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 t="e">
        <f>1/SQRT(VLOOKUP('Quick Input'!S$46,Auswahlfelder!$D$7:$E$9,2,FALSE))</f>
        <v>#N/A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 t="e">
        <f>0.84+0.16*VLOOKUP(L$19,DB_Länder,4,FALSE)/'Länder-DB'!$D$2</f>
        <v>#N/A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 t="e">
        <f>ROUNDUP(L$127/L254,0)</f>
        <v>#N/A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 t="e">
        <f>(L$254*L$128-L$127)/L$127</f>
        <v>#N/A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 t="e">
        <f>IF(L$129&lt;10%,1,0)</f>
        <v>#N/A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 t="e">
        <f>MAX(IF(VLOOKUP('Quick Input'!S$22,Auswahlfelder!$D$36:$E$38,2,FALSE)=1,1,L$128+L$130),MIN(8,ROUNDDOWN(0.35*L66*L67/L31,0)))</f>
        <v>#N/A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 t="e">
        <f>VLOOKUP('Quick Input'!S$22,Auswahlfelder!$D$36:$E$38,2,FALSE)</f>
        <v>#N/A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 t="e">
        <f>ROUND(0.6+0.6/L$99,1)/2</f>
        <v>#N/A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 t="e">
        <f>ROUND((0.8+0.4*(VLOOKUP('Quick Input'!S$22,Auswahlfelder!$D$36:$E$38,2,FALSE)-1))/L$27,0)</f>
        <v>#N/A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3</v>
      </c>
      <c r="J135" s="421"/>
      <c r="K135" s="422"/>
      <c r="L135" s="206" t="e">
        <f>ROUND(2.5+0.5*(L$132-2)+(L$132-1)*0.8/L27+IF(AND('Quick Input'!S$23&gt;1,Parametrikber!L113&gt;0),1)+VLOOKUP('Quick Input'!S$21,Auswahlfelder!$D$16:$E$196,2,FALSE)*0.3,0)</f>
        <v>#N/A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 t="e">
        <f>IF(L$132=3,1,0)</f>
        <v>#N/A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 t="e">
        <f>L$142/L$149+L$152+L$155</f>
        <v>#N/A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 t="e">
        <f>'Länder-DB'!$I$27+VLOOKUP(L$19,DB_Länder,13,FALSE)</f>
        <v>#N/A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 t="e">
        <f>(L$138+L$139)/L$140+L$141</f>
        <v>#N/A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 t="e">
        <f>8*VLOOKUP('Quick Input'!S$46,Auswahlfelder!$D$7:$E$9,2,FALSE)</f>
        <v>#N/A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0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0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 t="e">
        <f>L$143*L$144*L$145</f>
        <v>#N/A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 t="e">
        <f>L$27</f>
        <v>#N/A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 t="e">
        <f>0.9*L$27</f>
        <v>#N/A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 t="e">
        <f>L146*L148</f>
        <v>#N/A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 t="e">
        <f>VLOOKUP(L$19,DB_Länder,7,FALSE)</f>
        <v>#N/A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 t="e">
        <f>L$150*L$151</f>
        <v>#N/A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 t="e">
        <f>VLOOKUP(L$19,DB_Länder,8,FALSE)</f>
        <v>#N/A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 t="e">
        <f>L153*L154*12/L149</f>
        <v>#N/A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 t="e">
        <f>L$157+L$158+L$161+L$208</f>
        <v>#N/A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 t="e">
        <f>18%*VLOOKUP('Quick Input'!S$21,Auswahlfelder!$D$16:$E$19,2,FALSE)</f>
        <v>#N/A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</v>
      </c>
      <c r="G160" s="421"/>
      <c r="H160" s="422"/>
      <c r="I160" s="155">
        <f>MAX(0,(I$40-8))/300</f>
        <v>0</v>
      </c>
      <c r="J160" s="421"/>
      <c r="K160" s="422"/>
      <c r="L160" s="155" t="e">
        <f>MAX(0,(L$40-8))/300</f>
        <v>#N/A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 t="e">
        <f>IF(OR(L$157=0,L$117=0),0,15/L$27*'Quick Input'!S$50)</f>
        <v>#N/A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8</v>
      </c>
      <c r="G163" s="421"/>
      <c r="H163" s="422"/>
      <c r="I163" s="30">
        <f>ROUND(IF(I$40&lt;$D$167,$D$163,SQRT(10*I$40)),0)</f>
        <v>8</v>
      </c>
      <c r="J163" s="421"/>
      <c r="K163" s="422"/>
      <c r="L163" s="30" t="e">
        <f>ROUND(IF(L$40&lt;$D$167,$D$163,SQRT(10*L$40)),0)</f>
        <v>#N/A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0.6454972243679028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0.4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15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 t="e">
        <f>IF(L60=Auswahlfelder!$D$38,0,ROUND(IF(L$40&lt;$D$167,$D$168,SQRT(7*L$40)/L$46),0))</f>
        <v>#N/A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 t="e">
        <f>15%*(VLOOKUP('Quick Input'!S$21,Auswahlfelder!$D$16:$E$19,2,FALSE)-1)</f>
        <v>#N/A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0.34426518632954817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IFERROR(IF(Refkalkulation!H$93=0,ROUND(F$171*(1+F$172+F$173+F$174),1),Refkalkulation!H$93),0)</f>
        <v>400</v>
      </c>
      <c r="G170" s="419"/>
      <c r="H170" s="420"/>
      <c r="I170" s="639">
        <f>IFERROR(IF(Refkalkulation!K$93=0,ROUND(I$171*(1+I$172+I$173+I$174),1),Refkalkulation!K$93),0)</f>
        <v>300</v>
      </c>
      <c r="J170" s="419"/>
      <c r="K170" s="420"/>
      <c r="L170" s="639">
        <f>IFERROR(IF(Refkalkulation!N$93=0,ROUND(L$171*(1+L$172+L$173+L$174),1),Refkalkulation!N$93),0)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 t="e">
        <f>MAX(0,POWER(VLOOKUP('Quick Input'!S$21,Auswahlfelder!$D$16:$E$19,2,FALSE)-2,2)/10)</f>
        <v>#N/A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 t="e">
        <f>-55*VLOOKUP(L$19,DB_Länder,10,FALSE)</f>
        <v>#N/A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0.28867513459481287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>
      <c r="B175" s="17">
        <v>39</v>
      </c>
      <c r="C175" s="95" t="s">
        <v>622</v>
      </c>
      <c r="D175" s="102"/>
      <c r="E175" s="568"/>
      <c r="F175" s="645">
        <f>IFERROR(IF(OR(Refkalkulation!H$97=0,F$247=0),F$247,Refkalkulation!H$97),0)</f>
        <v>0.41742621527777779</v>
      </c>
      <c r="G175" s="436"/>
      <c r="H175" s="420"/>
      <c r="I175" s="645">
        <f>IFERROR(IF(OR(Refkalkulation!K$97=0,I$247=0),I$247,Refkalkulation!K$97),0)</f>
        <v>0.30864583333333334</v>
      </c>
      <c r="J175" s="436"/>
      <c r="K175" s="420"/>
      <c r="L175" s="645">
        <f>IFERROR(IF(OR(Refkalkulation!N$97=0,L$247=0),L$247,Refkalkulation!N$97),0)</f>
        <v>0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>
      <c r="B176" s="17">
        <v>39</v>
      </c>
      <c r="C176" s="95" t="s">
        <v>615</v>
      </c>
      <c r="D176" s="102"/>
      <c r="E176" s="568"/>
      <c r="F176" s="645">
        <f>IFERROR(IF(OR(Refkalkulation!H$100=0,F$250=0),F250,Refkalkulation!H$100),0)</f>
        <v>0.37082465277777776</v>
      </c>
      <c r="G176" s="436"/>
      <c r="H176" s="420"/>
      <c r="I176" s="645">
        <f>IFERROR(IF(OR(Refkalkulation!K$100=0,I$250=0),I250,Refkalkulation!K$100),0)</f>
        <v>0.34611111111111109</v>
      </c>
      <c r="J176" s="436"/>
      <c r="K176" s="420"/>
      <c r="L176" s="645">
        <f>IFERROR(IF(OR(Refkalkulation!N$100=0,L$250=0),L250,Refkalkulation!N$100),0)</f>
        <v>0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>
      <c r="B177" s="17">
        <v>39</v>
      </c>
      <c r="C177" s="95" t="s">
        <v>623</v>
      </c>
      <c r="D177" s="100"/>
      <c r="E177" s="6"/>
      <c r="F177" s="645">
        <f>IFERROR(IF(OR(Refkalkulation!H$102=0,F$178=0),ROUND(F178*(1+F179),2),Refkalkulation!H$102),0)</f>
        <v>1.8357928240740744</v>
      </c>
      <c r="G177" s="436"/>
      <c r="H177" s="420"/>
      <c r="I177" s="645">
        <f>IFERROR(IF(OR(Refkalkulation!K$102=0,I$178=0),ROUND(I178*(1+I179),2),Refkalkulation!K$102),0)</f>
        <v>1.7619212962962969</v>
      </c>
      <c r="J177" s="436"/>
      <c r="K177" s="420"/>
      <c r="L177" s="645">
        <f>IFERROR(IF(OR(Refkalkulation!N$102=0,L$178=0),ROUND(L178*(1+L179),2),Refkalkulation!N$102),0)</f>
        <v>0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 t="e">
        <f>IF('Quick Input'!S30=Auswahlfelder!$D$22,0,'Länder-DB'!$I$43*(0.7+0.3*VLOOKUP(L$19,DB_Länder,5,FALSE)/'Länder-DB'!$E$2))</f>
        <v>#N/A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0.74246212024587477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>
      <c r="B180" s="467">
        <v>13</v>
      </c>
      <c r="C180" s="95" t="s">
        <v>324</v>
      </c>
      <c r="D180" s="100"/>
      <c r="E180" s="568"/>
      <c r="F180" s="943">
        <f>IF(OR(Refkalkulation!H$88=0,F181=1),ROUND(IF(F$181&gt;2,F$182*F$183+F$184/60*F$20/F186/'Quick Input'!M$19+F$185,0),3),Refkalkulation!H$88)</f>
        <v>0</v>
      </c>
      <c r="G180" s="436"/>
      <c r="H180" s="420"/>
      <c r="I180" s="943">
        <f>IF(OR(Refkalkulation!K$88=0,I181=1),ROUND(IF(I$181&gt;2,I$182*I$183+I$184/60*I$20/I186/'Quick Input'!P$19+I$185,0),3),Refkalkulation!K$88)</f>
        <v>0</v>
      </c>
      <c r="J180" s="436"/>
      <c r="K180" s="420"/>
      <c r="L180" s="943" t="e">
        <f>IF(OR(Refkalkulation!N$88=0,L181=1),ROUND(IF(L$181&gt;2,L$182*L$183+L$184/60*L$20/L186/'Quick Input'!S$19+L$185,0),3),Refkalkulation!N$88)</f>
        <v>#N/A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1</v>
      </c>
      <c r="G181" s="421"/>
      <c r="H181" s="422"/>
      <c r="I181" s="30">
        <f>VLOOKUP('Quick Input'!P$32,Auswahlfelder!$D$41:$E$46,2,FALSE)</f>
        <v>1</v>
      </c>
      <c r="J181" s="421"/>
      <c r="K181" s="422"/>
      <c r="L181" s="30" t="e">
        <f>VLOOKUP('Quick Input'!S$32,Auswahlfelder!$D$41:$E$46,2,FALSE)</f>
        <v>#N/A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 t="e">
        <f>(3.7+10/60*L$21)/$D$186</f>
        <v>#N/A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0</v>
      </c>
      <c r="G183" s="446"/>
      <c r="H183" s="447"/>
      <c r="I183" s="445">
        <f>IF(I181&gt;2,0.8+SQRT(I181-1)*($D$183+0.4*SQRT(I41/100)),0)</f>
        <v>0</v>
      </c>
      <c r="J183" s="446"/>
      <c r="K183" s="447"/>
      <c r="L183" s="445" t="e">
        <f>IF(L181&gt;2,0.8+SQRT(L181-1)*($D$183+0.4*SQRT(L41/100)),0)</f>
        <v>#N/A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0</v>
      </c>
      <c r="G184" s="939"/>
      <c r="H184" s="940"/>
      <c r="I184" s="445">
        <f>IF(I181&lt;3,0,$D$184+0.1*I186)</f>
        <v>0</v>
      </c>
      <c r="J184" s="939"/>
      <c r="K184" s="940"/>
      <c r="L184" s="445" t="e">
        <f t="shared" ref="L184" si="2">IF(L181&lt;3,0,$D$184+0.1*L186)</f>
        <v>#N/A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0</v>
      </c>
      <c r="G185" s="446"/>
      <c r="H185" s="447"/>
      <c r="I185" s="463">
        <f>IF(I$181&gt;2,I$151*0.00025*515/0.6,0)</f>
        <v>0</v>
      </c>
      <c r="J185" s="446"/>
      <c r="K185" s="447"/>
      <c r="L185" s="463" t="e">
        <f>IF(L$181&gt;2,L$151*0.00025*515*0.7,0)</f>
        <v>#N/A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70</v>
      </c>
      <c r="G186" s="423"/>
      <c r="H186" s="424"/>
      <c r="I186" s="941">
        <f>ROUNDDOWN(MAX(1,$D$186/'Quick Input'!P$19),0)</f>
        <v>70</v>
      </c>
      <c r="J186" s="423"/>
      <c r="K186" s="424"/>
      <c r="L186" s="941" t="e">
        <f>ROUNDDOWN(MAX(1,$D$186/'Quick Input'!S$19),0)</f>
        <v>#DIV/0!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 t="e">
        <f>ROUND(IF('Quick Input'!S$33=Auswahlfelder!$D$60,0,L$188/60*L$22+L$190+L$191),2)</f>
        <v>#N/A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 t="e">
        <f>$D$188*(1+20%*(VLOOKUP('Quick Input'!S$21,Auswahlfelder!$D$16:$E$19,2,FALSE)-2))</f>
        <v>#N/A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 t="e">
        <f>IF(L187&gt;0,'Länder-DB'!$I$45,0)</f>
        <v>#N/A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Input'!M$33=Auswahlfelder!$D$61),Refkalkulation!H$89,0)</f>
        <v>0</v>
      </c>
      <c r="G190" s="446"/>
      <c r="H190" s="447"/>
      <c r="I190" s="344">
        <f>IF(AND('Quick Input'!P$32&lt;&gt;Auswahlfelder!$D$41,'Quick Input'!P$33=Auswahlfelder!$D$61),Refkalkulation!K$89,0)</f>
        <v>0</v>
      </c>
      <c r="J190" s="446"/>
      <c r="K190" s="447"/>
      <c r="L190" s="344">
        <f>IF(AND('Quick Input'!S$32&lt;&gt;Auswahlfelder!$D$41,'Quick Input'!S$33=Auswahlfelder!$D$61),Refkalkulation!N$89,0)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>
      <c r="B191" s="532">
        <v>34</v>
      </c>
      <c r="C191" s="97" t="s">
        <v>558</v>
      </c>
      <c r="D191" s="102" t="s">
        <v>94</v>
      </c>
      <c r="E191" s="572"/>
      <c r="F191" s="344">
        <f>Refkalkulation!H$93/3600*Refkalkulation!H$95</f>
        <v>3.726188333333333</v>
      </c>
      <c r="G191" s="423"/>
      <c r="H191" s="424"/>
      <c r="I191" s="344">
        <f>Refkalkulation!K$93/3600*Refkalkulation!K$95</f>
        <v>0.83400899999999978</v>
      </c>
      <c r="J191" s="423"/>
      <c r="K191" s="424"/>
      <c r="L191" s="344" t="e">
        <f>Refkalkulation!N$93/3600*Refkalkulation!N$95</f>
        <v>#N/A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 t="e">
        <f>(1+L194)*(VLOOKUP('Quick Input'!S31,Auswahlfelder!$D$31:$E$33,2,FALSE)-1)*40</f>
        <v>#N/A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>
        <f>'Quick Input'!S31</f>
        <v>0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 t="e">
        <f>30*VLOOKUP(L$19,DB_Länder,10,FALSE)</f>
        <v>#N/A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3.4233333333333331E-2</v>
      </c>
      <c r="J195" s="419"/>
      <c r="K195" s="420"/>
      <c r="L195" s="657">
        <f>IFERROR(IF(Refkalkulation!N$70=0,('Länder-DB'!$I$49/1.5+L196+L197+L198+L199)*IF(L187&gt;0,1-'Länder-DB'!$I$47,1),Refkalkulation!N$70),0)</f>
        <v>0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 t="e">
        <f>(VLOOKUP('Quick Input'!S$49,Auswahlfelder!$D$26:$E$28,2,FALSE)-2)*0.25%</f>
        <v>#N/A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 t="e">
        <f>(VLOOKUP('Quick Input'!S$21,Auswahlfelder!$D$16:$E$19,2,FALSE)-2)*0.2%</f>
        <v>#N/A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0</v>
      </c>
      <c r="J198" s="421"/>
      <c r="K198" s="422"/>
      <c r="L198" s="149" t="e">
        <f>(VLOOKUP('Quick Input'!S$23,Auswahlfelder!$D$49:$E$51,2,FALSE)-1)*0.25%</f>
        <v>#N/A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IFERROR(IF(Refkalkulation!H$90=0,F201+F202+F203,Refkalkulation!H$90),0)</f>
        <v>0.02</v>
      </c>
      <c r="G200" s="926"/>
      <c r="H200" s="927"/>
      <c r="I200" s="925">
        <f>IFERROR(IF(Refkalkulation!K$90=0,I201+I202+I203,Refkalkulation!K$90),0)</f>
        <v>0.02</v>
      </c>
      <c r="J200" s="926"/>
      <c r="K200" s="927"/>
      <c r="L200" s="925">
        <f>IFERROR(IF(Refkalkulation!N$90=0,L201+L202+L203,Refkalkulation!N$90),0)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 t="e">
        <f>0.5%+(VLOOKUP('Quick Input'!S$21,Auswahlfelder!$D$16:$E$19,2,FALSE)-2)*0.25%</f>
        <v>#N/A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0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>
      <c r="B204" s="467">
        <v>43</v>
      </c>
      <c r="C204" s="95" t="s">
        <v>842</v>
      </c>
      <c r="D204" s="98"/>
      <c r="E204" s="574" t="s">
        <v>498</v>
      </c>
      <c r="F204" s="657">
        <f>IF(Refkalkulation!H$117=0,'Länder-DB'!$I$33,Refkalkulation!H$117)</f>
        <v>0.12</v>
      </c>
      <c r="G204" s="7"/>
      <c r="H204" s="7"/>
      <c r="I204" s="657">
        <f>IF(Refkalkulation!K$117=0,'Länder-DB'!$I$33,Refkalkulation!K$117)</f>
        <v>0.12</v>
      </c>
      <c r="J204" s="7"/>
      <c r="K204" s="7"/>
      <c r="L204" s="657">
        <f>IF(Refkalkulation!N$117=0,'Länder-DB'!$I$33,Refkalkulation!N$117)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 t="e">
        <f>L$206*L$209/MIN(L$207,L$255/Refkalkulation!N$61)</f>
        <v>#N/A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4" ht="15" thickBot="1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 t="e">
        <f>'Länder-DB'!$M$53*(1+18%*(VLOOKUP('Quick Input'!S$45,DB_Länder,5,FALSE)/'Länder-DB'!$E$2-1))</f>
        <v>#N/A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4" ht="1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 t="e">
        <f t="shared" ref="L210" si="4">L212+L213+L214</f>
        <v>#N/A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4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4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 t="e">
        <f>IF(L$211=Auswahlfelder!$D71,VLOOKUP('Quick Input'!S$45,DB_Länder,9,FALSE),0)</f>
        <v>#N/A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4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4" ht="1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4" ht="15" thickBot="1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4" ht="1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4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4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4" ht="15" thickBot="1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4" ht="1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 t="e">
        <f>L221+L222/60*L21</f>
        <v>#N/A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4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4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4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 t="e">
        <f>ROUND('Länder-DB'!$M$43*(1+L224),1)</f>
        <v>#N/A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4" ht="15" thickBot="1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 t="e">
        <f>0.08*(-6+L23/4%+6%/VLOOKUP('Quick Input'!S$10,'Material-DB'!$A$4:$R$37,18,FALSE))</f>
        <v>#N/A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</row>
    <row r="225" spans="2:24" ht="1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4.4174325986312393E-2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4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Cold Box</v>
      </c>
      <c r="J226" s="446"/>
      <c r="K226" s="447"/>
      <c r="L226" s="445" t="e">
        <f>IF('Quick Input'!S$23=Auswahlfelder!$D$51,Auswahlfelder!$D$54,VLOOKUP('Quick Input'!S$24,Auswahlfelder!$D$54:$E$57,1,FALSE))</f>
        <v>#N/A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4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1</v>
      </c>
      <c r="J227" s="446"/>
      <c r="K227" s="447"/>
      <c r="L227" s="932" t="e">
        <f>VLOOKUP(L226,Auswahlfelder!$D$54:$E$57,2,FALSE)</f>
        <v>#N/A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X227">
        <f>VLOOKUP(10,'Maschinen-DB'!$K$47:$O$51,5,TRUE)</f>
        <v>2</v>
      </c>
    </row>
    <row r="228" spans="2:24">
      <c r="B228" s="1182" t="str">
        <f t="shared" si="7"/>
        <v>?</v>
      </c>
      <c r="C228" s="96" t="s">
        <v>866</v>
      </c>
      <c r="D228" s="844"/>
      <c r="E228" s="569"/>
      <c r="F228" s="932">
        <f>IFERROR(IF(F227=1,VLOOKUP(Refkalkulation!H$67/2,'Maschinen-DB'!$K$47:$O$51,5,TRUE)+1,VLOOKUP(Refkalkulation!H$67/2,'Maschinen-DB'!$K$57:$O$59,5,TRUE)),1)</f>
        <v>1</v>
      </c>
      <c r="G228" s="421"/>
      <c r="H228" s="422"/>
      <c r="I228" s="932">
        <f>IFERROR(VLOOKUP(Refkalkulation!K$67/2,'Maschinen-DB'!$K$47:$O$51,5,TRUE),1)+1</f>
        <v>2</v>
      </c>
      <c r="J228" s="421"/>
      <c r="K228" s="422"/>
      <c r="L228" s="932">
        <f>IFERROR(VLOOKUP(Refkalkulation!N$67/2,'Maschinen-DB'!$K$47:$O$51,5,TRUE),1)+1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</row>
    <row r="229" spans="2:24" ht="15">
      <c r="B229" s="1182" t="str">
        <f t="shared" si="7"/>
        <v>?</v>
      </c>
      <c r="C229" s="96" t="s">
        <v>868</v>
      </c>
      <c r="D229" s="697">
        <v>0.5</v>
      </c>
      <c r="E229" s="569" t="s">
        <v>497</v>
      </c>
      <c r="F229" s="456">
        <f>IF(F227=2,VLOOKUP(F228,'Maschinen-DB'!$C$46:$N$51,7,FALSE),VLOOKUP(F228,'Maschinen-DB'!$C$57:$N$59,7,FALSE))/60+IF(F227=2,$D$229,IF(F227=3,$D$231,IF(F227=4,$D$232,0)))</f>
        <v>0.5</v>
      </c>
      <c r="G229" s="421"/>
      <c r="H229" s="422"/>
      <c r="I229" s="456">
        <f>VLOOKUP(I228,'Maschinen-DB'!$C$46:$N$51,7,FALSE)/60+IF(I227=2,$D$229,IF(I227=3,$D$231,IF(I227=4,$D$232,0)))</f>
        <v>1.1666666666666667</v>
      </c>
      <c r="J229" s="421"/>
      <c r="K229" s="422"/>
      <c r="L229" s="456" t="e">
        <f>VLOOKUP(L228,'Maschinen-DB'!$C$46:$N$51,7,FALSE)/60+IF(L227=2,$D$229,IF(L227=3,$D$231,IF(L227=4,$D$232,0)))</f>
        <v>#N/A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</row>
    <row r="230" spans="2:24" ht="15">
      <c r="B230" s="1182"/>
      <c r="C230" s="96" t="s">
        <v>996</v>
      </c>
      <c r="D230" s="697"/>
      <c r="E230" s="569"/>
      <c r="F230" s="456">
        <f>IF(F227=1,VLOOKUP(F228,'Maschinen-DB'!$C$46:$N$51,12,FALSE),IF(F227=2,VLOOKUP(F228,'Maschinen-DB'!$C$57:$N$59,12,FALSE)))</f>
        <v>300000</v>
      </c>
      <c r="G230" s="421"/>
      <c r="H230" s="422"/>
      <c r="I230" s="456"/>
      <c r="J230" s="421"/>
      <c r="K230" s="422"/>
      <c r="L230" s="456"/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</row>
    <row r="231" spans="2:24" ht="15">
      <c r="B231" s="467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(F230/'Länder-DB'!$I$27+F230*'Länder-DB'!$I$29)/F149</f>
        <v>23.588466183574877</v>
      </c>
      <c r="G231" s="421"/>
      <c r="H231" s="422"/>
      <c r="I231" s="456">
        <f>(VLOOKUP(I228,'Maschinen-DB'!$C$46:$N$51,12,FALSE)/'Länder-DB'!$I$27+VLOOKUP(I228,'Maschinen-DB'!$C$46:$N$51,12,FALSE)*'Länder-DB'!$I$29)/I149</f>
        <v>23.125947238798904</v>
      </c>
      <c r="J231" s="421"/>
      <c r="K231" s="422"/>
      <c r="L231" s="456" t="e">
        <f>(VLOOKUP(L228,'Maschinen-DB'!$C$46:$N$51,12,FALSE)/'Länder-DB'!$I$27+VLOOKUP(L228,'Maschinen-DB'!$C$46:$N$51,12,FALSE)*'Länder-DB'!$I$29)/L149</f>
        <v>#N/A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4" ht="1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53.00919118357487</v>
      </c>
      <c r="G232" s="427"/>
      <c r="H232" s="428"/>
      <c r="I232" s="344">
        <f>I231+I233*I21</f>
        <v>30.581736238798904</v>
      </c>
      <c r="J232" s="427"/>
      <c r="K232" s="428"/>
      <c r="L232" s="344" t="e">
        <f>L231+L233*L21</f>
        <v>#N/A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</row>
    <row r="233" spans="2:24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1</v>
      </c>
      <c r="G233" s="446"/>
      <c r="H233" s="447"/>
      <c r="I233" s="445">
        <f>MAX(1,ROUNDDOWN(MIN(2,I228/2),0))</f>
        <v>1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</row>
    <row r="234" spans="2:24" ht="15" thickBot="1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4" ht="1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26.144585576580216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0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4" ht="1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4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 t="e">
        <f>MAX(0,POWER(VLOOKUP('Quick Input'!S$21,Auswahlfelder!$D$16:$E$19,2,FALSE)-1,2)/15)</f>
        <v>#N/A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4" ht="15" thickBot="1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0.24056261216234406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4" ht="1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42.777777777777786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0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4" ht="1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0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 t="s">
        <v>993</v>
      </c>
    </row>
    <row r="242" spans="2:24" ht="15.75" thickBot="1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6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 t="e">
        <f>MAX(MIN(ROUNDDOWN($D$242/'Quick Input'!S$19,0),Refkalkulation!N$61),1)</f>
        <v>#DIV/0!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15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 t="e">
        <f>MAX(0,POWER(VLOOKUP('Quick Input'!S$21,Auswahlfelder!$D$16:$E$19,2,FALSE)-1,2)/8)</f>
        <v>#N/A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0.33678765702728169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7.39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 t="e">
        <f>IF('Quick Input'!S$28=Auswahlfelder!$D$22,0,ROUND(L248*(1+L$249),2))</f>
        <v>#N/A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 t="e">
        <f>'Länder-DB'!$I$39*(0.2+0.8*VLOOKUP(L$19,DB_Länder,5,FALSE)/'Länder-DB'!$E$2)</f>
        <v>#N/A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0.84852813742385702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12.36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 t="e">
        <f>IF('Quick Input'!S29=Auswahlfelder!$D$22,0,ROUND(L251*(1+L252),2))</f>
        <v>#N/A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 t="e">
        <f>'Länder-DB'!$I$41*(0.4+0.6*VLOOKUP(L$19,DB_Länder,5,FALSE)/'Länder-DB'!$E$2)</f>
        <v>#N/A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1.0606601717798212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0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e">
        <f>CONCATENATE(IF(L247&gt;0,"US ",""),IF(L250&gt;0,"PT ",""),IF(L177&gt;0,IF(Deutsch,"Röntgen ","X-ray "),""),IF(SUM(L175:L177)=0,IF(Deutsch,"ohne Prfg.","no test"),IF(Deutsch,"prüfen","test")))</f>
        <v>#N/A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 t="e">
        <f>ROUNDDOWN(L$46*HLOOKUP(L$259,'Länder-DB'!$M$54:$O$55,2,FALSE)*(1-L$261-L$262-L$263),-1)</f>
        <v>#N/A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 t="e">
        <f>ROUNDDOWN(L$46*'Länder-DB'!$M$55*(1-L$261-L$262-L$263),-1)</f>
        <v>#N/A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 t="e">
        <f>L$46*'Länder-DB'!$N$55*(1-L$261-L$262-L$263)</f>
        <v>#N/A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 t="e">
        <f>L$46*'Länder-DB'!$O$55*(1-L$261-L$262-L$263)</f>
        <v>#N/A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e">
        <f>IF(L$255&gt;MIN(L$258,2*L$257),'Länder-DB'!$O$54,IF(L$255&gt;MIN(L$257,3*L$256),'Länder-DB'!$N$54,'Länder-DB'!$M$54))</f>
        <v>#N/A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 t="e">
        <f>ROUNDUP(L255/L254,0)</f>
        <v>#N/A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 t="e">
        <f>10%*(0.85-L$27)</f>
        <v>#N/A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 t="e">
        <f>1.5%*(VLOOKUP('Quick Input'!S$21,Auswahlfelder!$D$16:$E$19,2,FALSE)-1)</f>
        <v>#N/A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-0.12666666666666665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10100</v>
      </c>
      <c r="G264" s="419"/>
      <c r="H264" s="420"/>
      <c r="I264" s="204">
        <f>ROUND(I266*(1+I267+I268),-2)</f>
        <v>8800</v>
      </c>
      <c r="J264" s="419"/>
      <c r="K264" s="420"/>
      <c r="L264" s="204" t="e">
        <f>ROUND(L266*(1+L267+L268),-2)</f>
        <v>#DIV/0!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424.26406871192853</v>
      </c>
      <c r="G265" s="421"/>
      <c r="H265" s="422"/>
      <c r="I265" s="205">
        <f>SQRT(I$31)*10</f>
        <v>424.26406871192853</v>
      </c>
      <c r="J265" s="421"/>
      <c r="K265" s="422"/>
      <c r="L265" s="205" t="e">
        <f>SQRT(L$31)*10</f>
        <v>#DIV/0!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10062.305898749055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 t="e">
        <f>L$265*SQRT(Refkalkulation!N$50)*0.15*SQRT(HLOOKUP(L$259,'Länder-DB'!$M$54:$O$55,2,FALSE))</f>
        <v>#DIV/0!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 t="e">
        <f>10%*(VLOOKUP('Quick Input'!S$21,Auswahlfelder!$D$16:$E$19,2,FALSE)-2)</f>
        <v>#N/A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 t="e">
        <f>18%*(VLOOKUP(L$19,DB_Länder,5,FALSE)/'Länder-DB'!$E$2-1)</f>
        <v>#N/A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0</v>
      </c>
      <c r="J269" s="436"/>
      <c r="K269" s="420"/>
      <c r="L269" s="161" t="e">
        <f>ROUND(IF('Quick Input'!S23=Auswahlfelder!$D$49,0,350+ROUND(SQRT(L270*1000)*$D$270,0)/L271),-2)</f>
        <v>#N/A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 t="e">
        <f>200+20*Refkalkulation!N$67*SQRT(IF('Quick Input'!S$23=Auswahlfelder!$D$51,0.8,L227*2))</f>
        <v>#N/A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 t="e">
        <f>1+0.25*(1-VLOOKUP(L$19,DB_Länder,4,FALSE)/'Länder-DB'!$D$2)</f>
        <v>#N/A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/>
    <row r="275" spans="5:25" s="55" customFormat="1" ht="15" thickBot="1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 t="e">
        <f>IF(L276,K275+1,K275)</f>
        <v>#N/A</v>
      </c>
      <c r="L276" s="589" t="e">
        <f>L$71&lt;&gt;L$60</f>
        <v>#N/A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 t="e">
        <f>IF(L276,K276+1,K276)</f>
        <v>#N/A</v>
      </c>
      <c r="L277" s="591" t="e">
        <f>L74</f>
        <v>#N/A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 t="e">
        <f>IF(L278,K277+1,K277)</f>
        <v>#N/A</v>
      </c>
      <c r="L278" s="589" t="b">
        <f>IFERROR(L78/L77&lt;3%,FALSE)</f>
        <v>0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>
      <c r="E279" s="124">
        <f>IF(F278,E278+1,E278)</f>
        <v>4</v>
      </c>
      <c r="F279" s="694" t="str">
        <f>IF(F278,TEXT(F$76,"0%")," ")</f>
        <v>0%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 t="e">
        <f>IF(L278,K278+1,K278)</f>
        <v>#N/A</v>
      </c>
      <c r="L279" s="694" t="str">
        <f>IF(L278,TEXT(L$76,"0%")," ")</f>
        <v xml:space="preserve"> 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 t="e">
        <f>IF(L280,K279+1,K279)</f>
        <v>#N/A</v>
      </c>
      <c r="L280" s="589" t="b">
        <f>IFERROR(Refkalkulation!N66/(Refkalkulation!N66+Refkalkulation!N60)&gt;15%,FALSE)</f>
        <v>0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43,1 %</v>
      </c>
      <c r="J281" s="591"/>
      <c r="K281" s="589" t="e">
        <f>IF(L280,K280+1,K280)</f>
        <v>#N/A</v>
      </c>
      <c r="L281" s="693" t="e">
        <f>TEXT(Refkalkulation!N62/(Refkalkulation!N62+Refkalkulation!N59*Refkalkulation!N61/60/Refkalkulation!N50),"0,0 %")</f>
        <v>#N/A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 t="e">
        <f>IF(L282,K281+1,K281)</f>
        <v>#N/A</v>
      </c>
      <c r="L282" s="589" t="b">
        <f>IFERROR(L260&gt;1,FALSE)</f>
        <v>0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 t="e">
        <f>IF(L282,K282+1,K282)</f>
        <v>#N/A</v>
      </c>
      <c r="L283" s="606" t="e">
        <f>CONCATENATE(L260,IF(Deutsch," WKZ aus "," tool from "),L259)</f>
        <v>#N/A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 t="e">
        <f>IF(L284,K283+1,K283)</f>
        <v>#N/A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 t="e">
        <f>IF(L284,K284+1,K284)</f>
        <v>#N/A</v>
      </c>
      <c r="L285" s="693" t="e">
        <f>TEXT(L$129,"0 %")</f>
        <v>#N/A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 t="e">
        <f>IF(L286,K285+1,K285)</f>
        <v>#N/A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 t="e">
        <f>IF(L286,K286+1,K286)</f>
        <v>#N/A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 t="e">
        <f>IF(L288,K287+1,K287)</f>
        <v>#N/A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 t="e">
        <f>IF(L288,K288+1,K288)</f>
        <v>#N/A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 t="e">
        <f>IF(L290,K289+1,K289)</f>
        <v>#N/A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 t="e">
        <f>IF(L290,K290+1,K290)</f>
        <v>#N/A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 t="e">
        <f>IF(L292,K291+1,K291)</f>
        <v>#N/A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 t="e">
        <f>IF(L292,K292+1,K292)</f>
        <v>#N/A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sqref="A1:B2"/>
    </sheetView>
  </sheetViews>
  <sheetFormatPr defaultColWidth="11" defaultRowHeight="14.25"/>
  <cols>
    <col min="1" max="1" width="10.5" bestFit="1" customWidth="1"/>
    <col min="2" max="2" width="18.625" bestFit="1" customWidth="1"/>
    <col min="3" max="3" width="21" bestFit="1" customWidth="1"/>
  </cols>
  <sheetData>
    <row r="1" spans="1:1">
      <c r="A1" s="1204"/>
    </row>
    <row r="2" spans="1:1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"/>
  <sheetViews>
    <sheetView workbookViewId="0">
      <selection activeCell="G5" sqref="G5"/>
    </sheetView>
  </sheetViews>
  <sheetFormatPr defaultColWidth="16.5" defaultRowHeight="12.75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>
      <c r="N7" s="1142"/>
    </row>
    <row r="8" spans="1:14" ht="14.25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>
      <c r="E16" s="1118" t="str">
        <f>CONCATENATE(MID($D$9,1,2),".",MID($D$9,3,2),".",MID($D$9,5,4))</f>
        <v>12.06.20</v>
      </c>
    </row>
    <row r="17" spans="1:14" ht="38.25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Charts!Print_Area</vt:lpstr>
      <vt:lpstr>'Charts (alt)'!Print_Area</vt:lpstr>
      <vt:lpstr>Refkalkulation!Print_Area</vt:lpstr>
      <vt:lpstr>'RFTI Template'!Print_Area</vt:lpstr>
    </vt:vector>
  </TitlesOfParts>
  <Company>SIEMENS / P&amp;P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Daniel Specht</cp:lastModifiedBy>
  <cp:lastPrinted>2019-02-01T10:38:36Z</cp:lastPrinted>
  <dcterms:created xsi:type="dcterms:W3CDTF">2011-07-19T14:09:27Z</dcterms:created>
  <dcterms:modified xsi:type="dcterms:W3CDTF">2021-10-22T14:07:08Z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
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310BE228-903F-4B69-9CA8-4D0124465E72}" xr6:coauthVersionLast="47" xr6:coauthVersionMax="47" xr10:uidLastSave="{00000000-0000-0000-0000-000000000000}"/>
  <bookViews>
    <workbookView xWindow="-120" yWindow="-120" windowWidth="29040" windowHeight="15840" tabRatio="955" activeTab="2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Refkalkulation!$A$1:$X$134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Refkalkulation!$A$1:$X$134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7" i="7" l="1"/>
  <c r="K87" i="7"/>
  <c r="H87" i="7"/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4" i="7"/>
  <c r="L49" i="31" s="1"/>
  <c r="P58" i="3"/>
  <c r="K134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4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2" i="7"/>
  <c r="K102" i="7"/>
  <c r="H102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S45" i="3" l="1"/>
  <c r="N7" i="7" s="1"/>
  <c r="P45" i="3"/>
  <c r="K7" i="7" s="1"/>
  <c r="D87" i="7"/>
  <c r="D79" i="7"/>
  <c r="D80" i="7"/>
  <c r="D81" i="7"/>
  <c r="D100" i="7"/>
  <c r="D95" i="7"/>
  <c r="D99" i="7"/>
  <c r="D98" i="7"/>
  <c r="D97" i="7"/>
  <c r="D83" i="7"/>
  <c r="D82" i="7"/>
  <c r="D102" i="7"/>
  <c r="D103" i="7"/>
  <c r="D93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3" i="7"/>
  <c r="D134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4" i="7"/>
  <c r="D77" i="7"/>
  <c r="D76" i="7"/>
  <c r="D107" i="7"/>
  <c r="D90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6" i="7"/>
  <c r="D112" i="7"/>
  <c r="C38" i="31" s="1"/>
  <c r="D117" i="7"/>
  <c r="D18" i="7"/>
  <c r="D86" i="7"/>
  <c r="D46" i="7"/>
  <c r="D88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1" i="7"/>
  <c r="C42" i="31" s="1"/>
  <c r="D106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N88" i="7" s="1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2" i="7"/>
  <c r="D129" i="7"/>
  <c r="D119" i="7"/>
  <c r="D114" i="7"/>
  <c r="D63" i="7"/>
  <c r="D55" i="7"/>
  <c r="D52" i="7"/>
  <c r="D35" i="7"/>
  <c r="D28" i="7"/>
  <c r="D5" i="7"/>
  <c r="D140" i="7"/>
  <c r="D132" i="7"/>
  <c r="D126" i="7"/>
  <c r="D105" i="7"/>
  <c r="D85" i="7"/>
  <c r="D64" i="7"/>
  <c r="D51" i="7"/>
  <c r="D38" i="7"/>
  <c r="D34" i="7"/>
  <c r="D26" i="7"/>
  <c r="C35" i="30" s="1"/>
  <c r="D138" i="7"/>
  <c r="D131" i="7"/>
  <c r="D124" i="7"/>
  <c r="D118" i="7"/>
  <c r="D111" i="7"/>
  <c r="C43" i="31" s="1"/>
  <c r="D109" i="7"/>
  <c r="D66" i="7"/>
  <c r="D62" i="7"/>
  <c r="D59" i="7"/>
  <c r="D54" i="7"/>
  <c r="D49" i="7"/>
  <c r="D41" i="7"/>
  <c r="D37" i="7"/>
  <c r="D17" i="7"/>
  <c r="D136" i="7"/>
  <c r="D130" i="7"/>
  <c r="D122" i="7"/>
  <c r="D94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D101" i="7"/>
  <c r="I74" i="3"/>
  <c r="C69" i="24" s="1"/>
  <c r="I76" i="3"/>
  <c r="C71" i="24" s="1"/>
  <c r="D96" i="7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0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89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28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4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28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2" i="7"/>
  <c r="D14" i="7"/>
  <c r="D24" i="7"/>
  <c r="C55" i="24"/>
  <c r="D13" i="7"/>
  <c r="C7" i="24"/>
  <c r="C58" i="24"/>
  <c r="D50" i="7"/>
  <c r="D58" i="7"/>
  <c r="C60" i="24"/>
  <c r="D121" i="7"/>
  <c r="C77" i="24"/>
  <c r="C5" i="24"/>
  <c r="C61" i="24"/>
  <c r="D61" i="7"/>
  <c r="C14" i="31" s="1"/>
  <c r="C76" i="24"/>
  <c r="D120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K88" i="7" l="1"/>
  <c r="P71" i="3"/>
  <c r="O71" i="3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28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99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3" i="7" s="1"/>
  <c r="K99" i="7" l="1"/>
  <c r="P75" i="3" s="1"/>
  <c r="O75" i="3" s="1"/>
  <c r="K93" i="7"/>
  <c r="H88" i="7"/>
  <c r="M71" i="3"/>
  <c r="L71" i="3" s="1"/>
  <c r="H93" i="7"/>
  <c r="H83" i="7"/>
  <c r="K83" i="7"/>
  <c r="K96" i="7"/>
  <c r="P74" i="3" s="1"/>
  <c r="O74" i="3" s="1"/>
  <c r="N96" i="7"/>
  <c r="N93" i="7"/>
  <c r="H101" i="7"/>
  <c r="M76" i="3" s="1"/>
  <c r="L76" i="3" s="1"/>
  <c r="M75" i="3"/>
  <c r="L75" i="3" s="1"/>
  <c r="N101" i="7"/>
  <c r="R76" i="3" s="1"/>
  <c r="K101" i="7"/>
  <c r="P76" i="3" s="1"/>
  <c r="O76" i="3" s="1"/>
  <c r="R74" i="3"/>
  <c r="N99" i="7"/>
  <c r="R75" i="3" s="1"/>
  <c r="H96" i="7"/>
  <c r="M74" i="3" s="1"/>
  <c r="L74" i="3" s="1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3" i="7" s="1"/>
  <c r="F194" i="15"/>
  <c r="F151" i="15"/>
  <c r="F185" i="15" s="1"/>
  <c r="F125" i="15"/>
  <c r="F122" i="15" s="1"/>
  <c r="H85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4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H81" i="7" l="1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09" i="7" s="1"/>
  <c r="I271" i="15"/>
  <c r="I269" i="15" s="1"/>
  <c r="K133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5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3" i="7" s="1"/>
  <c r="L154" i="15"/>
  <c r="L17" i="15"/>
  <c r="L15" i="15" s="1"/>
  <c r="L125" i="15"/>
  <c r="L122" i="15" s="1"/>
  <c r="N85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28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4" i="7" l="1"/>
  <c r="N81" i="7"/>
  <c r="N79" i="7"/>
  <c r="K81" i="7"/>
  <c r="K79" i="7"/>
  <c r="E36" i="30"/>
  <c r="E34" i="31"/>
  <c r="I36" i="30"/>
  <c r="I34" i="31"/>
  <c r="F261" i="15"/>
  <c r="F256" i="15" s="1"/>
  <c r="L175" i="15"/>
  <c r="L253" i="15" s="1"/>
  <c r="N91" i="7" s="1"/>
  <c r="K16" i="30" s="1"/>
  <c r="I175" i="15"/>
  <c r="I253" i="15" s="1"/>
  <c r="K91" i="7" s="1"/>
  <c r="G16" i="30" s="1"/>
  <c r="F253" i="15"/>
  <c r="H91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09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4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4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4" i="7"/>
  <c r="F257" i="15"/>
  <c r="K84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5" i="7"/>
  <c r="H106" i="7" s="1"/>
  <c r="E42" i="31" s="1"/>
  <c r="F189" i="15"/>
  <c r="F276" i="15"/>
  <c r="K109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2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05" i="7"/>
  <c r="N106" i="7" s="1"/>
  <c r="M42" i="31" s="1"/>
  <c r="K105" i="7"/>
  <c r="K106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26" i="7" s="1"/>
  <c r="L77" i="15"/>
  <c r="I43" i="15"/>
  <c r="I40" i="15" s="1"/>
  <c r="I111" i="15" s="1"/>
  <c r="K17" i="7"/>
  <c r="I59" i="15"/>
  <c r="I70" i="15"/>
  <c r="H51" i="7"/>
  <c r="H126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2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1" i="7" s="1"/>
  <c r="N59" i="7"/>
  <c r="N60" i="7" s="1"/>
  <c r="I109" i="15"/>
  <c r="K62" i="7" s="1"/>
  <c r="K65" i="7" s="1"/>
  <c r="K66" i="7" s="1"/>
  <c r="I78" i="15"/>
  <c r="I264" i="15"/>
  <c r="K132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26" i="7" s="1"/>
  <c r="I160" i="15"/>
  <c r="I158" i="15" s="1"/>
  <c r="I156" i="15" s="1"/>
  <c r="U278" i="15"/>
  <c r="O278" i="15"/>
  <c r="N276" i="15"/>
  <c r="T276" i="15"/>
  <c r="H19" i="7" l="1"/>
  <c r="H20" i="7" s="1"/>
  <c r="H86" i="7"/>
  <c r="H90" i="7" s="1"/>
  <c r="H131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6" i="7"/>
  <c r="N90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1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6" i="7"/>
  <c r="K90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38" i="7"/>
  <c r="N139" i="7"/>
  <c r="N141" i="7"/>
  <c r="N140" i="7"/>
  <c r="R279" i="15"/>
  <c r="N143" i="7"/>
  <c r="N142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0" i="7"/>
  <c r="K139" i="7"/>
  <c r="K143" i="7"/>
  <c r="K138" i="7"/>
  <c r="K142" i="7"/>
  <c r="K141" i="7"/>
  <c r="E285" i="15"/>
  <c r="E286" i="15" s="1"/>
  <c r="E287" i="15" s="1"/>
  <c r="E288" i="15" s="1"/>
  <c r="E289" i="15" s="1"/>
  <c r="E290" i="15" s="1"/>
  <c r="E291" i="15" s="1"/>
  <c r="E292" i="15" s="1"/>
  <c r="E293" i="15" s="1"/>
  <c r="H141" i="7" s="1"/>
  <c r="I41" i="30" l="1"/>
  <c r="I39" i="31"/>
  <c r="E39" i="30"/>
  <c r="E37" i="31"/>
  <c r="D33" i="31" s="1"/>
  <c r="I39" i="30"/>
  <c r="I37" i="31"/>
  <c r="H33" i="31" s="1"/>
  <c r="H108" i="7"/>
  <c r="H111" i="7" s="1"/>
  <c r="E43" i="31" s="1"/>
  <c r="D38" i="31" s="1"/>
  <c r="D57" i="31" s="1"/>
  <c r="E41" i="30"/>
  <c r="N108" i="7"/>
  <c r="N111" i="7" s="1"/>
  <c r="M43" i="31" s="1"/>
  <c r="L38" i="31" s="1"/>
  <c r="M41" i="30"/>
  <c r="H26" i="7"/>
  <c r="D35" i="30" s="1"/>
  <c r="K26" i="7"/>
  <c r="H35" i="30" s="1"/>
  <c r="K108" i="7"/>
  <c r="H139" i="7"/>
  <c r="H138" i="7"/>
  <c r="H140" i="7"/>
  <c r="H143" i="7"/>
  <c r="H142" i="7"/>
  <c r="C57" i="31" l="1"/>
  <c r="D58" i="31" s="1"/>
  <c r="E58" i="31" s="1"/>
  <c r="C63" i="31"/>
  <c r="D64" i="31" s="1"/>
  <c r="K122" i="7"/>
  <c r="H122" i="7"/>
  <c r="N112" i="7"/>
  <c r="D68" i="31" s="1"/>
  <c r="H112" i="7"/>
  <c r="K111" i="7"/>
  <c r="I43" i="31" s="1"/>
  <c r="H38" i="31" s="1"/>
  <c r="D47" i="30" l="1"/>
  <c r="D45" i="31"/>
  <c r="H47" i="30"/>
  <c r="H45" i="31"/>
  <c r="N118" i="7"/>
  <c r="L40" i="30"/>
  <c r="M45" i="30"/>
  <c r="E45" i="30"/>
  <c r="D40" i="30"/>
  <c r="K112" i="7"/>
  <c r="H115" i="7"/>
  <c r="H117" i="7" s="1"/>
  <c r="H118" i="7"/>
  <c r="W4" i="7"/>
  <c r="F63" i="31" l="1"/>
  <c r="F57" i="31"/>
  <c r="D63" i="31"/>
  <c r="E64" i="31" s="1"/>
  <c r="K115" i="7"/>
  <c r="K117" i="7" s="1"/>
  <c r="I45" i="30"/>
  <c r="H40" i="30"/>
  <c r="H119" i="7"/>
  <c r="D44" i="31" s="1"/>
  <c r="K118" i="7"/>
  <c r="E57" i="31" l="1"/>
  <c r="F58" i="31" s="1"/>
  <c r="D46" i="31"/>
  <c r="E47" i="31" s="1"/>
  <c r="K119" i="7"/>
  <c r="H124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4" i="7"/>
  <c r="K2" i="7" s="1"/>
  <c r="K3" i="7" s="1"/>
  <c r="K4" i="7" s="1"/>
  <c r="H129" i="7"/>
  <c r="H130" i="7" s="1"/>
  <c r="E46" i="30"/>
  <c r="E47" i="30"/>
  <c r="I46" i="30" l="1"/>
  <c r="E63" i="31"/>
  <c r="F64" i="31" s="1"/>
  <c r="H46" i="31"/>
  <c r="I47" i="31" s="1"/>
  <c r="K129" i="7"/>
  <c r="K130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15" i="7"/>
  <c r="N122" i="7"/>
  <c r="L35" i="30"/>
  <c r="L47" i="30" l="1"/>
  <c r="L45" i="31"/>
  <c r="N117" i="7"/>
  <c r="N119" i="7" s="1"/>
  <c r="L44" i="31" l="1"/>
  <c r="L46" i="31" s="1"/>
  <c r="L46" i="30"/>
  <c r="N124" i="7"/>
  <c r="F68" i="31"/>
  <c r="L48" i="30" l="1"/>
  <c r="M47" i="30" s="1"/>
  <c r="M47" i="31"/>
  <c r="G68" i="31"/>
  <c r="H68" i="31" s="1"/>
  <c r="M45" i="31"/>
  <c r="N2" i="7"/>
  <c r="N3" i="7" s="1"/>
  <c r="N4" i="7" s="1"/>
  <c r="N129" i="7"/>
  <c r="N130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<sst xmlns="http://schemas.openxmlformats.org/spreadsheetml/2006/main" count="3254" uniqueCount="1002">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</sst>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3" fillId="34" borderId="0" xfId="0" applyFont="1" applyFill="1"/>
    <xf numFmtId="0" fontId="0" fillId="34" borderId="0" xfId="0" applyFill="1"/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74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16.91587721227534</c:v>
                </c:pt>
                <c:pt idx="5">
                  <c:v>107.51141017345506</c:v>
                </c:pt>
                <c:pt idx="11">
                  <c:v>23.532187300164054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73" dataDxfId="172">
  <autoFilter ref="A2:I5" xr:uid="{00000000-0009-0000-0100-000001000000}"/>
  <tableColumns count="9">
    <tableColumn id="1" xr3:uid="{00000000-0010-0000-0000-000001000000}" uniqueName="1" name="Contract" queryTableFieldId="1" dataDxfId="171"/>
    <tableColumn id="2" xr3:uid="{00000000-0010-0000-0000-000002000000}" uniqueName="2" name="Bid (US$ / Tonne)" queryTableFieldId="2" dataDxfId="170"/>
    <tableColumn id="3" xr3:uid="{00000000-0010-0000-0000-000003000000}" uniqueName="3" name="Offer (US$ / Tonne)*" queryTableFieldId="3" dataDxfId="169"/>
    <tableColumn id="11" xr3:uid="{00000000-0010-0000-0000-00000B000000}" uniqueName="11" name="Spalte2" queryTableFieldId="11" dataDxfId="168"/>
    <tableColumn id="6" xr3:uid="{00000000-0010-0000-0000-000006000000}" uniqueName="6" name="Exchange [$/€]" queryTableFieldId="6" dataDxfId="167">
      <calculatedColumnFormula>MID($B$9,1,6)</calculatedColumnFormula>
    </tableColumn>
    <tableColumn id="13" xr3:uid="{00000000-0010-0000-0000-00000D000000}" uniqueName="13" name="Abbrand" queryTableFieldId="4" dataDxfId="166"/>
    <tableColumn id="12" xr3:uid="{00000000-0010-0000-0000-00000C000000}" uniqueName="12" name="Premium_x000a_[€/t]" queryTableFieldId="5" dataDxfId="165"/>
    <tableColumn id="8" xr3:uid="{00000000-0010-0000-0000-000008000000}" uniqueName="8" name="Alu-Alloy_x000a_3-months [$/kg]" queryTableFieldId="8" dataDxfId="164">
      <calculatedColumnFormula>(C3/100+G3*E3)/1000*(1+F3)</calculatedColumnFormula>
    </tableColumn>
    <tableColumn id="9" xr3:uid="{00000000-0010-0000-0000-000009000000}" uniqueName="9" name="Alu-Alloy_x000a_3-months [€/kg]" queryTableFieldId="9" dataDxfId="163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62"/>
    <tableColumn id="2" xr3:uid="{00000000-0010-0000-0100-000002000000}" uniqueName="2" name="Kurs" queryTableFieldId="2" dataDxfId="161"/>
    <tableColumn id="3" xr3:uid="{00000000-0010-0000-0100-000003000000}" uniqueName="3" name="Diff. %" queryTableFieldId="3" dataDxfId="160"/>
    <tableColumn id="4" xr3:uid="{00000000-0010-0000-0100-000004000000}" uniqueName="4" name="Datum" queryTableFieldId="4"/>
    <tableColumn id="5" xr3:uid="{00000000-0010-0000-0100-000005000000}" uniqueName="5" name="Zeit" queryTableFieldId="5" dataDxfId="159"/>
    <tableColumn id="6" xr3:uid="{00000000-0010-0000-0100-000006000000}" uniqueName="6" name="Eröffnung" queryTableFieldId="6" dataDxfId="158"/>
    <tableColumn id="7" xr3:uid="{00000000-0010-0000-0100-000007000000}" uniqueName="7" name="T.-Hoch" queryTableFieldId="7" dataDxfId="157"/>
    <tableColumn id="8" xr3:uid="{00000000-0010-0000-0100-000008000000}" uniqueName="8" name="T.-Tief" queryTableFieldId="8" dataDxfId="1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55" dataCellStyle="Standard 4"/>
    <tableColumn id="2" xr3:uid="{00000000-0010-0000-0200-000002000000}" uniqueName="2" name="Bid (US$ / Tonne)" queryTableFieldId="2" dataDxfId="154" dataCellStyle="Standard 4"/>
    <tableColumn id="3" xr3:uid="{00000000-0010-0000-0200-000003000000}" uniqueName="3" name="Offer (US$ / Tonne)*" queryTableFieldId="3" dataDxfId="153" dataCellStyle="Standard 4"/>
    <tableColumn id="4" xr3:uid="{00000000-0010-0000-0200-000004000000}" uniqueName="4" name="Spalte2" queryTableFieldId="4" dataDxfId="152" dataCellStyle="Standard 4"/>
    <tableColumn id="5" xr3:uid="{00000000-0010-0000-0200-000005000000}" uniqueName="5" name="Exchange [$/€]" queryTableFieldId="5" dataDxfId="151" dataCellStyle="Standard 4">
      <calculatedColumnFormula>MID($B$9,1,6)</calculatedColumnFormula>
    </tableColumn>
    <tableColumn id="6" xr3:uid="{00000000-0010-0000-0200-000006000000}" uniqueName="6" name="Abbrand" queryTableFieldId="6" dataDxfId="150" dataCellStyle="Prozent 3"/>
    <tableColumn id="7" xr3:uid="{00000000-0010-0000-0200-000007000000}" uniqueName="7" name="Premium_x000a_[€/t]" queryTableFieldId="7" dataDxfId="149" dataCellStyle="Standard 4"/>
    <tableColumn id="8" xr3:uid="{00000000-0010-0000-0200-000008000000}" uniqueName="8" name="Alu-Alloy_x000a_3-months [$/kg]" queryTableFieldId="8" dataDxfId="148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47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44502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16.91587721227534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0.80121127178508822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1.1066461727656765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Refkalkulation!D112</f>
        <v>Fertigungskosten gesamt</v>
      </c>
      <c r="D38" s="1094">
        <f>SUM(E39:E43)</f>
        <v>107.51141017345506</v>
      </c>
      <c r="E38" s="1102"/>
      <c r="F38" s="999"/>
      <c r="G38" s="1093" t="str">
        <f t="shared" si="0"/>
        <v>Fertigungskosten gesamt</v>
      </c>
      <c r="H38" s="1094">
        <f>SUM(I39:I43)</f>
        <v>19.663012549730173</v>
      </c>
      <c r="I38" s="1102"/>
      <c r="J38" s="999"/>
      <c r="K38" s="1093" t="str">
        <f t="shared" si="1"/>
        <v>Fertigungskosten gesamt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Refkalkulation!H90</f>
        <v>41.693562908275922</v>
      </c>
      <c r="F41" s="1003"/>
      <c r="G41" s="1103" t="str">
        <f t="shared" si="0"/>
        <v xml:space="preserve">               Nachbehandlung</v>
      </c>
      <c r="H41" s="1106"/>
      <c r="I41" s="1105">
        <f>Refkalkulation!K90</f>
        <v>3.534532815168459</v>
      </c>
      <c r="J41" s="1003"/>
      <c r="K41" s="1103" t="str">
        <f t="shared" si="1"/>
        <v xml:space="preserve">               Nachbehandlung</v>
      </c>
      <c r="L41" s="1106"/>
      <c r="M41" s="1105">
        <f>Refkalkulation!N90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",Refkalkulation!D91)</f>
        <v xml:space="preserve">               Prüfen</v>
      </c>
      <c r="D42" s="1106"/>
      <c r="E42" s="1105">
        <f>Refkalkulation!H106+Refkalkulation!H109/Refkalkulation!H61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Refkalkulation!K106+Refkalkulation!K109/Refkalkulation!K61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Refkalkulation!N106+Refkalkulation!N109/Refkalkulation!N61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",Refkalkulation!D111)</f>
        <v xml:space="preserve">               Fertigungsgemeinkosten</v>
      </c>
      <c r="D43" s="1106"/>
      <c r="E43" s="1105">
        <f>Refkalkulation!H111</f>
        <v>9.7737645612231887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Refkalkulation!K111</f>
        <v>1.7875465954300158</v>
      </c>
      <c r="J43" s="1003"/>
      <c r="K43" s="1103" t="str">
        <f t="shared" si="1"/>
        <v xml:space="preserve">               Fertigungsgemeinkosten</v>
      </c>
      <c r="L43" s="1106"/>
      <c r="M43" s="1105">
        <f>Refkalkulation!N111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Refkalkulation!D119</f>
        <v>Gesamtgemeinkosten</v>
      </c>
      <c r="D44" s="1108">
        <f>Refkalkulation!H119</f>
        <v>23.532187300164054</v>
      </c>
      <c r="E44" s="1109">
        <f>D44/D46</f>
        <v>0.15904481514361221</v>
      </c>
      <c r="F44" s="1003"/>
      <c r="G44" s="1107" t="str">
        <f t="shared" si="0"/>
        <v>Gesamtgemeinkosten</v>
      </c>
      <c r="H44" s="1108">
        <f>Refkalkulation!K119</f>
        <v>5.4532618930109233</v>
      </c>
      <c r="I44" s="1109">
        <f>H44/H46</f>
        <v>0.14431033604005686</v>
      </c>
      <c r="J44" s="958"/>
      <c r="K44" s="1107" t="str">
        <f t="shared" si="1"/>
        <v>Gesamtgemeinkosten</v>
      </c>
      <c r="L44" s="1108">
        <f>Refkalkulation!N119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Refkalkulation!D122</f>
        <v>Gesamtgewinn</v>
      </c>
      <c r="D45" s="1108">
        <f>Refkalkulation!H122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Refkalkulation!K122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Refkalkulation!N122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Refkalkulation!D124</f>
        <v>Bauteilpreis gesamt</v>
      </c>
      <c r="D46" s="1112">
        <f>SUM(D33:D45)</f>
        <v>147.95947468589446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Refkalkulation!D128</f>
        <v>Zielpreis Bauteil</v>
      </c>
      <c r="D47" s="1114">
        <f>Refkalkulation!H128</f>
        <v>55</v>
      </c>
      <c r="E47" s="1115">
        <f>(D47-D46)*D13</f>
        <v>-464797.37342947233</v>
      </c>
      <c r="F47" s="1075"/>
      <c r="G47" s="1117" t="str">
        <f>C47</f>
        <v>Zielpreis Bauteil</v>
      </c>
      <c r="H47" s="1114">
        <f>Refkalkulation!K128</f>
        <v>55</v>
      </c>
      <c r="I47" s="1115">
        <f>(H47-H46)*H13</f>
        <v>86057.82015859081</v>
      </c>
      <c r="J47" s="1075"/>
      <c r="K47" s="1117" t="str">
        <f>C47</f>
        <v>Zielpreis Bauteil</v>
      </c>
      <c r="L47" s="1114">
        <f>Refkalkulation!N128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Refkalkulation!H132+Refkalkulation!H133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Refkalkulation!K132+Refkalkulation!K133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Refkalkulation!N132+Refkalkulation!N133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Refkalkulation!D134</f>
        <v>Modellkosten Angebot</v>
      </c>
      <c r="D49" s="1114">
        <f>Refkalkulation!H134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Refkalkulation!K134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Refkalkulation!N134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16.91587721227534</v>
      </c>
      <c r="D57" s="1082">
        <f>D38</f>
        <v>107.51141017345506</v>
      </c>
      <c r="E57" s="1082">
        <f>D44</f>
        <v>23.532187300164054</v>
      </c>
      <c r="F57" s="1082">
        <f>D45</f>
        <v>0</v>
      </c>
      <c r="G57" s="1082">
        <f>D46</f>
        <v>147.95947468589446</v>
      </c>
      <c r="H57" s="1082">
        <f>I57-G57</f>
        <v>-92.959474685894463</v>
      </c>
      <c r="I57" s="1082">
        <f>D47</f>
        <v>55</v>
      </c>
    </row>
    <row r="58" spans="1:15" ht="0.2" customHeight="1" x14ac:dyDescent="0.2">
      <c r="C58" s="1082"/>
      <c r="D58" s="1082">
        <f>C57</f>
        <v>16.91587721227534</v>
      </c>
      <c r="E58" s="1082">
        <f>D57+D58</f>
        <v>124.42728738573041</v>
      </c>
      <c r="F58" s="1082">
        <f>E57+E58</f>
        <v>147.95947468589446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44502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Refkalkulation!H91</f>
        <v>US PT Röntgen prüfen</v>
      </c>
      <c r="D16" s="958"/>
      <c r="E16" s="957"/>
      <c r="F16" s="958"/>
      <c r="G16" s="955" t="str">
        <f>Refkalkulation!K91</f>
        <v>US PT Röntgen prüfen</v>
      </c>
      <c r="H16" s="958"/>
      <c r="I16" s="957"/>
      <c r="J16" s="958"/>
      <c r="K16" s="955" t="str">
        <f>Refkalkulation!N91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16.91587721227534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0.80121127178508822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1.1066461727656765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Refkalkulation!H112</f>
        <v>107.51141017345506</v>
      </c>
      <c r="E40" s="998"/>
      <c r="F40" s="999"/>
      <c r="G40" s="996" t="str">
        <f t="shared" si="0"/>
        <v>Fertigungskosten</v>
      </c>
      <c r="H40" s="997">
        <f>Refkalkulation!K112</f>
        <v>19.663012549730173</v>
      </c>
      <c r="I40" s="998"/>
      <c r="J40" s="999"/>
      <c r="K40" s="996" t="str">
        <f t="shared" si="1"/>
        <v>Fertigungskosten</v>
      </c>
      <c r="L40" s="997">
        <f>Refkalkulation!N112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Refkalkulation!H90</f>
        <v>41.693562908275922</v>
      </c>
      <c r="F43" s="1003"/>
      <c r="G43" s="1000" t="str">
        <f t="shared" si="0"/>
        <v xml:space="preserve">               Nachbehandlung</v>
      </c>
      <c r="H43" s="1004"/>
      <c r="I43" s="1002">
        <f>Refkalkulation!K90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Refkalkulation!N90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Refkalkulation!H106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Refkalkulation!K106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Refkalkulation!N106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Refkalkulation!H112-Refkalkulation!H108</f>
        <v>9.7737645612231887</v>
      </c>
      <c r="F45" s="1003"/>
      <c r="G45" s="1000" t="str">
        <f t="shared" si="0"/>
        <v xml:space="preserve">               Fertigungsnebenkosten</v>
      </c>
      <c r="H45" s="1004"/>
      <c r="I45" s="1002">
        <f>Refkalkulation!K112-Refkalkulation!K108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Refkalkulation!N112-Refkalkulation!N108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Refkalkulation!D119</f>
        <v>Gesamtgemeinkosten</v>
      </c>
      <c r="D46" s="1006">
        <f>Refkalkulation!H119</f>
        <v>23.532187300164054</v>
      </c>
      <c r="E46" s="1007">
        <f>D46/D48</f>
        <v>0.15904481514361221</v>
      </c>
      <c r="F46" s="1003"/>
      <c r="G46" s="1005" t="str">
        <f t="shared" si="0"/>
        <v>Gesamtgemeinkosten</v>
      </c>
      <c r="H46" s="1006">
        <f>Refkalkulation!K119</f>
        <v>5.4532618930109233</v>
      </c>
      <c r="I46" s="1007">
        <f>H46/H48</f>
        <v>0.14431033604005686</v>
      </c>
      <c r="J46" s="958"/>
      <c r="K46" s="1005" t="str">
        <f t="shared" si="1"/>
        <v>Gesamtgemeinkosten</v>
      </c>
      <c r="L46" s="1006">
        <f>Refkalkulation!N119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Refkalkulation!D122</f>
        <v>Gesamtgewinn</v>
      </c>
      <c r="D47" s="1009">
        <f>Refkalkulation!H122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Refkalkulation!K122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Refkalkulation!N122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Refkalkulation!D124</f>
        <v>Bauteilpreis gesamt</v>
      </c>
      <c r="D48" s="1012">
        <f>SUM(D35:D47)</f>
        <v>147.95947468589446</v>
      </c>
      <c r="E48" s="1013"/>
      <c r="F48" s="1014"/>
      <c r="G48" s="1011" t="str">
        <f t="shared" si="0"/>
        <v>Bauteilpreis gesamt</v>
      </c>
      <c r="H48" s="1012">
        <f>SUM(H35:H47)</f>
        <v>37.788435968281838</v>
      </c>
      <c r="I48" s="1013"/>
      <c r="J48" s="1014"/>
      <c r="K48" s="1011" t="str">
        <f t="shared" si="1"/>
        <v>Bauteilpreis gesamt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tabSelected="1"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L32" sqref="L32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44502</v>
      </c>
      <c r="H4" s="125"/>
      <c r="I4" s="255" t="str">
        <f>IF(Deutsch,C4,D4)</f>
        <v>Datum</v>
      </c>
      <c r="J4" s="257" t="s">
        <v>230</v>
      </c>
      <c r="K4" s="34">
        <f ca="1">TODAY()</f>
        <v>44502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 t="shared" ref="I28:I34" si="4"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si="4"/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Refkalkulation!H$87</f>
        <v>0.7</v>
      </c>
      <c r="N71" s="122"/>
      <c r="O71" s="924">
        <f>P$71</f>
        <v>0.4</v>
      </c>
      <c r="P71" s="122">
        <f>Refkalkulation!K$87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Refkalkulation!H$89</f>
        <v>0.02</v>
      </c>
      <c r="N72" s="273"/>
      <c r="O72" s="135">
        <f>P$72</f>
        <v>0.02</v>
      </c>
      <c r="P72" s="233">
        <f>Refkalkulation!K$89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Refkalkulation!H$92</f>
        <v>400</v>
      </c>
      <c r="N73" s="273"/>
      <c r="O73" s="187">
        <f>P$73</f>
        <v>300</v>
      </c>
      <c r="P73" s="272">
        <f>Refkalkulation!K$92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Refkalkulation!H$96</f>
        <v>0.41742621527777779</v>
      </c>
      <c r="N74" s="273"/>
      <c r="O74" s="924">
        <f>P$74</f>
        <v>0.30864583333333334</v>
      </c>
      <c r="P74" s="272">
        <f>Refkalkulation!K$96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Refkalkulation!H$99</f>
        <v>0.37082465277777776</v>
      </c>
      <c r="N75" s="273"/>
      <c r="O75" s="924">
        <f>P$75</f>
        <v>0.34611111111111109</v>
      </c>
      <c r="P75" s="233">
        <f>Refkalkulation!K$99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Refkalkulation!H$101</f>
        <v>1.8357928240740744</v>
      </c>
      <c r="N76" s="273"/>
      <c r="O76" s="924">
        <f>P$76</f>
        <v>1.7619212962962969</v>
      </c>
      <c r="P76" s="233">
        <f>Refkalkulation!K$101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Refkalkulation!H$104</f>
        <v>0.5</v>
      </c>
      <c r="N77" s="273"/>
      <c r="O77" s="762">
        <f>P$77</f>
        <v>0.5</v>
      </c>
      <c r="P77" s="233">
        <f>Refkalkulation!K$104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Refkalkulation!H$103</f>
        <v>0</v>
      </c>
      <c r="N78" s="122"/>
      <c r="O78" s="135">
        <f>P$78</f>
        <v>0</v>
      </c>
      <c r="P78" s="122">
        <f>Refkalkulation!K$103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Refkalkulation!H$110</f>
        <v>0.1</v>
      </c>
      <c r="N79" s="273"/>
      <c r="O79" s="135">
        <f>P$79</f>
        <v>0.1</v>
      </c>
      <c r="P79" s="233">
        <f>Refkalkulation!K$110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Refkalkulation!H$116</f>
        <v>0.12</v>
      </c>
      <c r="N80" s="273"/>
      <c r="O80" s="135">
        <f>P$80</f>
        <v>0.12</v>
      </c>
      <c r="P80" s="233">
        <f>Refkalkulation!K$116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Refkalkulation!H$120</f>
        <v>0</v>
      </c>
      <c r="N81" s="273"/>
      <c r="O81" s="135">
        <f>P$81</f>
        <v>0</v>
      </c>
      <c r="P81" s="233">
        <f>Refkalkulation!K$120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Refkalkulation!H$121</f>
        <v>0</v>
      </c>
      <c r="N82" s="273"/>
      <c r="O82" s="135">
        <f>P$82</f>
        <v>0</v>
      </c>
      <c r="P82" s="233">
        <f>Refkalkulation!K$121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46" priority="65" stopIfTrue="1">
      <formula>VALUE(L12="Materialdatenbank")</formula>
    </cfRule>
  </conditionalFormatting>
  <conditionalFormatting sqref="O36 R36 L36">
    <cfRule type="cellIs" dxfId="145" priority="66" stopIfTrue="1" operator="notBetween">
      <formula>$E$36</formula>
      <formula>$F$36</formula>
    </cfRule>
  </conditionalFormatting>
  <conditionalFormatting sqref="L11 L20 O20 R20 O11 R11">
    <cfRule type="expression" dxfId="144" priority="70" stopIfTrue="1">
      <formula>K$11=0</formula>
    </cfRule>
  </conditionalFormatting>
  <conditionalFormatting sqref="L44">
    <cfRule type="cellIs" dxfId="143" priority="71" stopIfTrue="1" operator="lessThan">
      <formula>$E44</formula>
    </cfRule>
  </conditionalFormatting>
  <conditionalFormatting sqref="R37:R43 O37:O43 L37:L43">
    <cfRule type="cellIs" dxfId="142" priority="72" stopIfTrue="1" operator="greaterThan">
      <formula>M$36</formula>
    </cfRule>
  </conditionalFormatting>
  <conditionalFormatting sqref="O8:O9 R8:R9 L9">
    <cfRule type="cellIs" dxfId="141" priority="73" operator="equal">
      <formula>"?"</formula>
    </cfRule>
  </conditionalFormatting>
  <conditionalFormatting sqref="X4:X5">
    <cfRule type="cellIs" dxfId="140" priority="74" operator="equal">
      <formula>FALSE</formula>
    </cfRule>
  </conditionalFormatting>
  <conditionalFormatting sqref="L13 O13 R13">
    <cfRule type="cellIs" dxfId="139" priority="431" operator="notBetween">
      <formula>$E13</formula>
      <formula>$F13</formula>
    </cfRule>
  </conditionalFormatting>
  <conditionalFormatting sqref="L28">
    <cfRule type="expression" dxfId="138" priority="60" stopIfTrue="1">
      <formula>VALUE(#REF!="Materialdatenbank")</formula>
    </cfRule>
  </conditionalFormatting>
  <conditionalFormatting sqref="L29">
    <cfRule type="expression" dxfId="137" priority="59" stopIfTrue="1">
      <formula>VALUE(#REF!="Materialdatenbank")</formula>
    </cfRule>
  </conditionalFormatting>
  <conditionalFormatting sqref="L30">
    <cfRule type="expression" dxfId="136" priority="58" stopIfTrue="1">
      <formula>VALUE(#REF!="Materialdatenbank")</formula>
    </cfRule>
  </conditionalFormatting>
  <conditionalFormatting sqref="O28">
    <cfRule type="expression" dxfId="135" priority="57" stopIfTrue="1">
      <formula>VALUE(#REF!="Materialdatenbank")</formula>
    </cfRule>
  </conditionalFormatting>
  <conditionalFormatting sqref="O29">
    <cfRule type="expression" dxfId="134" priority="56" stopIfTrue="1">
      <formula>VALUE(#REF!="Materialdatenbank")</formula>
    </cfRule>
  </conditionalFormatting>
  <conditionalFormatting sqref="O30">
    <cfRule type="expression" dxfId="133" priority="55" stopIfTrue="1">
      <formula>VALUE(#REF!="Materialdatenbank")</formula>
    </cfRule>
  </conditionalFormatting>
  <conditionalFormatting sqref="R28">
    <cfRule type="expression" dxfId="132" priority="42" stopIfTrue="1">
      <formula>VALUE(#REF!="Materialdatenbank")</formula>
    </cfRule>
  </conditionalFormatting>
  <conditionalFormatting sqref="R29">
    <cfRule type="expression" dxfId="131" priority="41" stopIfTrue="1">
      <formula>VALUE(#REF!="Materialdatenbank")</formula>
    </cfRule>
  </conditionalFormatting>
  <conditionalFormatting sqref="R30">
    <cfRule type="expression" dxfId="130" priority="40" stopIfTrue="1">
      <formula>VALUE(#REF!="Materialdatenbank")</formula>
    </cfRule>
  </conditionalFormatting>
  <conditionalFormatting sqref="L25">
    <cfRule type="expression" dxfId="129" priority="23" stopIfTrue="1">
      <formula>VALUE(#REF!="Materialdatenbank")</formula>
    </cfRule>
  </conditionalFormatting>
  <conditionalFormatting sqref="O25">
    <cfRule type="expression" dxfId="128" priority="22" stopIfTrue="1">
      <formula>VALUE(#REF!="Materialdatenbank")</formula>
    </cfRule>
  </conditionalFormatting>
  <conditionalFormatting sqref="R25">
    <cfRule type="expression" dxfId="127" priority="21" stopIfTrue="1">
      <formula>VALUE(#REF!="Materialdatenbank")</formula>
    </cfRule>
  </conditionalFormatting>
  <conditionalFormatting sqref="L26">
    <cfRule type="expression" dxfId="126" priority="17" stopIfTrue="1">
      <formula>VALUE(#REF!="Materialdatenbank")</formula>
    </cfRule>
  </conditionalFormatting>
  <conditionalFormatting sqref="O26">
    <cfRule type="expression" dxfId="125" priority="16" stopIfTrue="1">
      <formula>VALUE(#REF!="Materialdatenbank")</formula>
    </cfRule>
  </conditionalFormatting>
  <conditionalFormatting sqref="R26">
    <cfRule type="expression" dxfId="124" priority="15" stopIfTrue="1">
      <formula>VALUE(#REF!="Materialdatenbank")</formula>
    </cfRule>
  </conditionalFormatting>
  <conditionalFormatting sqref="L27">
    <cfRule type="expression" dxfId="123" priority="11" stopIfTrue="1">
      <formula>VALUE(#REF!="Materialdatenbank")</formula>
    </cfRule>
  </conditionalFormatting>
  <conditionalFormatting sqref="O27">
    <cfRule type="expression" dxfId="122" priority="10" stopIfTrue="1">
      <formula>VALUE(#REF!="Materialdatenbank")</formula>
    </cfRule>
  </conditionalFormatting>
  <conditionalFormatting sqref="R27">
    <cfRule type="expression" dxfId="121" priority="9" stopIfTrue="1">
      <formula>VALUE(#REF!="Materialdatenbank")</formula>
    </cfRule>
  </conditionalFormatting>
  <conditionalFormatting sqref="L8">
    <cfRule type="cellIs" dxfId="120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47"/>
  <sheetViews>
    <sheetView zoomScaleNormal="100" workbookViewId="0">
      <pane xSplit="6" ySplit="8" topLeftCell="G68" activePane="bottomRight" state="frozenSplit"/>
      <selection activeCell="L30" sqref="L30"/>
      <selection pane="topRight" activeCell="L30" sqref="L30"/>
      <selection pane="bottomLeft" activeCell="L30" sqref="L30"/>
      <selection pane="bottomRight" activeCell="H85" sqref="H85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OR(ISERROR(H124),H5="?",H5=0,H12=0,H16=0,H24=0)</f>
        <v>0</v>
      </c>
      <c r="I2" s="67"/>
      <c r="J2" s="67"/>
      <c r="K2" s="376" t="b">
        <f>OR(ISERROR(K124),K5="?",K5=0,K12=0,K16=0,K24=0)</f>
        <v>0</v>
      </c>
      <c r="L2" s="67"/>
      <c r="M2" s="67"/>
      <c r="N2" s="376" t="b">
        <f>OR(ISERROR(N124),N5="?",N5=0,N12=0,N16=0,N24=0)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1" t="str">
        <f>IF(Deutsch,"Artikel (Nr.  /  Bezeichnung)","part (no. / name)")</f>
        <v>Artikel (Nr.  /  Bezeichnung)</v>
      </c>
      <c r="E5" s="1222"/>
      <c r="F5" s="1223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4"/>
      <c r="E6" s="1225"/>
      <c r="F6" s="1226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1" t="str">
        <f>'Quick Input'!$I$45</f>
        <v>Produktionsregion</v>
      </c>
      <c r="E7" s="1242"/>
      <c r="F7" s="1243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4" t="str">
        <f>'Quick Input'!$I$4</f>
        <v>Datum</v>
      </c>
      <c r="E8" s="1245"/>
      <c r="F8" s="1246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38" t="str">
        <f>IF(Deutsch,"Materialien","materials")</f>
        <v>Materialien</v>
      </c>
      <c r="E9" s="1239"/>
      <c r="F9" s="1240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38"/>
      <c r="E10" s="1239"/>
      <c r="F10" s="1240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0"/>
      <c r="E11" s="1231"/>
      <c r="F11" s="1232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0.80121127178508822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10.802474634272942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1.1066461727656765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16.91587721227534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7" t="str">
        <f>IF(Deutsch,"Prozess Schmelzen","melting process")</f>
        <v>Prozess Schmelzen</v>
      </c>
      <c r="E28" s="1233"/>
      <c r="F28" s="1234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5"/>
      <c r="E29" s="1236"/>
      <c r="F29" s="1237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H$70+H$89</f>
        <v>0.02</v>
      </c>
      <c r="I46" s="620"/>
      <c r="J46" s="620"/>
      <c r="K46" s="918">
        <f>K$70+K$89</f>
        <v>0.02</v>
      </c>
      <c r="L46" s="620"/>
      <c r="M46" s="620"/>
      <c r="N46" s="918">
        <f>N$70+N$89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5" t="str">
        <f>IF(Deutsch,"Prozess Formen","sand forming process")</f>
        <v>Prozess Formen</v>
      </c>
      <c r="E48" s="1236"/>
      <c r="F48" s="1237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7" t="str">
        <f>IF(Deutsch,"Nachbehandlung","after care")</f>
        <v>Nachbehandlung</v>
      </c>
      <c r="E73" s="1248"/>
      <c r="F73" s="1249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Prozesszeit Strahlen (sec)</v>
      </c>
      <c r="E78" s="1207"/>
      <c r="F78" s="1205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6" t="str">
        <f>IF(Deutsch,"Strahlkosten (€/Stk.)","blasting costs (€/Stk.)")</f>
        <v>Strahlkosten (€/Stk.)</v>
      </c>
      <c r="E79" s="1207"/>
      <c r="F79" s="1205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0.31211936805031831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1188"/>
    </row>
    <row r="80" spans="2:15" ht="15" thickBot="1" x14ac:dyDescent="0.25">
      <c r="C80" s="78"/>
      <c r="D80" s="1206" t="str">
        <f>IF(Deutsch,"Prozesszeit Gleitschleifen (sec)","process time Slide grinding (sec)")</f>
        <v>Prozesszeit Gleitschleifen (sec)</v>
      </c>
      <c r="E80" s="1207"/>
      <c r="F80" s="1205"/>
      <c r="G80" s="611"/>
      <c r="H80" s="140">
        <f>Parametrikber!F240/Parametrikber!F242*60</f>
        <v>1320</v>
      </c>
      <c r="I80" s="619"/>
      <c r="J80" s="619"/>
      <c r="K80" s="140">
        <f>Parametrikber!I240/Parametrikber!I242*60</f>
        <v>220</v>
      </c>
      <c r="L80" s="619"/>
      <c r="M80" s="619"/>
      <c r="N80" s="140">
        <f>Parametrikber!L240/Parametrikber!L242*60</f>
        <v>220</v>
      </c>
      <c r="O80" s="1188"/>
    </row>
    <row r="81" spans="2:23" ht="15" thickBot="1" x14ac:dyDescent="0.25">
      <c r="C81" s="78"/>
      <c r="D81" s="1206" t="str">
        <f>IF(Deutsch,"Kosten Gleitschleifen (€/Stk.)","costs Slide grinding (€/Stk.)")</f>
        <v>Kosten Gleitschleifen (€/Stk.)</v>
      </c>
      <c r="E81" s="1207"/>
      <c r="F81" s="1205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11.387095041666667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1188"/>
    </row>
    <row r="82" spans="2:23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8" t="s">
        <v>285</v>
      </c>
    </row>
    <row r="83" spans="2:23" ht="15" thickBot="1" x14ac:dyDescent="0.25">
      <c r="C83" s="78"/>
      <c r="D83" s="1206" t="str">
        <f>IF(Deutsch,"Kosten Feinputzen (€)"," costs fine grinding (€)")</f>
        <v>Kosten Feinputzen (€)</v>
      </c>
      <c r="E83" s="1207"/>
      <c r="F83" s="1205"/>
      <c r="G83" s="611"/>
      <c r="H83" s="1200">
        <f>'Maschinen-DB'!E75*(1+'Maschinen-DB'!F75)/'Länder-DB'!I27/Parametrikber!F146/3600*H82+'Maschinen-DB'!G75/3600*H82*VLOOKUP(H$7,DB_Länder,7,FALSE)
+'Maschinen-DB'!H75*VLOOKUP(H$7,DB_Länder,8,FALSE)*12/Parametrikber!F146/3600*H82</f>
        <v>0</v>
      </c>
      <c r="I83" s="619"/>
      <c r="J83" s="619"/>
      <c r="K83" s="1200">
        <f>'Maschinen-DB'!E75*(1+'Maschinen-DB'!F75)/'Länder-DB'!I27/Parametrikber!I146/3600*K82+'Maschinen-DB'!G75/3600*K82*VLOOKUP(K$7,DB_Länder,7,FALSE)
+'Maschinen-DB'!H75*VLOOKUP(K$7,DB_Länder,8,FALSE)*12/Parametrikber!I146/3600*K82</f>
        <v>0</v>
      </c>
      <c r="L83" s="619"/>
      <c r="M83" s="619"/>
      <c r="N83" s="1200">
        <f>'Maschinen-DB'!E75*(1+'Maschinen-DB'!F75)/'Länder-DB'!I27/Parametrikber!L146/3600*N82+'Maschinen-DB'!G75/3600*N82*VLOOKUP(N$7,DB_Länder,7,FALSE)
+'Maschinen-DB'!H75*VLOOKUP(N$7,DB_Länder,8,FALSE)*12/Parametrikber!L146/3600*N82</f>
        <v>0</v>
      </c>
      <c r="O83" s="1188"/>
    </row>
    <row r="84" spans="2:23" ht="15" thickBot="1" x14ac:dyDescent="0.25">
      <c r="C84" s="78"/>
      <c r="D84" s="82" t="str">
        <f>IF(Deutsch,"Oberflächenkosten (€/Stk.)","surfaces cost (€/pc.)")</f>
        <v>Oberflächenkosten (€/Stk.)</v>
      </c>
      <c r="E84" s="73"/>
      <c r="F84" s="75"/>
      <c r="G84" s="611"/>
      <c r="H84" s="85">
        <f>H$79+H$81+H83+(H$82/3600*H$76)</f>
        <v>11.699214409716985</v>
      </c>
      <c r="I84" s="619" t="s">
        <v>285</v>
      </c>
      <c r="J84" s="619"/>
      <c r="K84" s="85">
        <f>K$79+K$81+(K$82/3600*K$76)</f>
        <v>0.7913542703450227</v>
      </c>
      <c r="L84" s="619" t="s">
        <v>285</v>
      </c>
      <c r="M84" s="619"/>
      <c r="N84" s="85">
        <f>N$79+N$81+(N$82/3600*N$76)</f>
        <v>2.1313405851167224</v>
      </c>
      <c r="O84" s="1188" t="s">
        <v>285</v>
      </c>
      <c r="T84" s="1211"/>
    </row>
    <row r="85" spans="2:23" ht="15" thickBot="1" x14ac:dyDescent="0.25">
      <c r="C85" s="78"/>
      <c r="D85" s="72" t="str">
        <f>IF(Deutsch,"Sandaufbereitung (€/t)","sand regeneration (€/to)")</f>
        <v>Sandaufbereitung (€/t)</v>
      </c>
      <c r="E85" s="73"/>
      <c r="F85" s="75"/>
      <c r="G85" s="611"/>
      <c r="H85" s="74">
        <f>Parametrikber!F$122</f>
        <v>1.4142135623730949</v>
      </c>
      <c r="I85" s="619" t="s">
        <v>285</v>
      </c>
      <c r="J85" s="619"/>
      <c r="K85" s="74">
        <f>Parametrikber!I$122</f>
        <v>1.2477080261564104</v>
      </c>
      <c r="L85" s="78" t="s">
        <v>285</v>
      </c>
      <c r="M85" s="78"/>
      <c r="N85" s="74">
        <f>Parametrikber!L$122</f>
        <v>1.4142135623730949</v>
      </c>
      <c r="O85" s="1188" t="s">
        <v>285</v>
      </c>
      <c r="W85" s="689"/>
    </row>
    <row r="86" spans="2:23" ht="15" thickBot="1" x14ac:dyDescent="0.25">
      <c r="C86" s="78"/>
      <c r="D86" s="82" t="str">
        <f>IF(Deutsch,"Sandaufbereitung (€/Stk.)","sand regeneration (€/pc.)")</f>
        <v>Sandaufbereitung (€/Stk.)</v>
      </c>
      <c r="E86" s="73"/>
      <c r="F86" s="75"/>
      <c r="G86" s="611"/>
      <c r="H86" s="85">
        <f>H$85*Parametrikber!F$75/1000</f>
        <v>0.85595765722019768</v>
      </c>
      <c r="I86" s="619" t="s">
        <v>285</v>
      </c>
      <c r="J86" s="619"/>
      <c r="K86" s="85">
        <f>K$85*Parametrikber!I$75/1000</f>
        <v>0.21705497982013336</v>
      </c>
      <c r="L86" s="78" t="s">
        <v>285</v>
      </c>
      <c r="M86" s="78"/>
      <c r="N86" s="85">
        <f>N$85*Parametrikber!L$75/1000</f>
        <v>0.2460207755398143</v>
      </c>
      <c r="O86" s="1188" t="s">
        <v>285</v>
      </c>
    </row>
    <row r="87" spans="2:23" ht="15" thickBot="1" x14ac:dyDescent="0.25">
      <c r="C87" s="78"/>
      <c r="D87" s="1206" t="str">
        <f>CONCATENATE(IF(Deutsch,'Quick Input'!C71,'Quick Input'!D71)," (€/kg)")</f>
        <v>Wärmebehandlung (€/kg)</v>
      </c>
      <c r="E87" s="1208"/>
      <c r="F87" s="1209"/>
      <c r="G87" s="611"/>
      <c r="H87" s="74">
        <f>VLOOKUP('Quick Input'!L32,Auswahlfelder!B41:F46,5,FALSE)</f>
        <v>0.7</v>
      </c>
      <c r="I87" s="620"/>
      <c r="J87" s="620"/>
      <c r="K87" s="74">
        <f>VLOOKUP('Quick Input'!O32,Auswahlfelder!B41:F46,5,FALSE)</f>
        <v>0.4</v>
      </c>
      <c r="L87" s="355"/>
      <c r="M87" s="355"/>
      <c r="N87" s="74">
        <f>VLOOKUP('Quick Input'!R32,Auswahlfelder!B41:F46,5,FALSE)</f>
        <v>0.5</v>
      </c>
      <c r="O87" s="1188"/>
    </row>
    <row r="88" spans="2:23" ht="15" thickBot="1" x14ac:dyDescent="0.25">
      <c r="C88" s="78"/>
      <c r="D88" s="82" t="str">
        <f>IF(Deutsch,"Wärmebehandlung (€/Stk.)","heat treatment (€/pc.")</f>
        <v>Wärmebehandlung (€/Stk.)</v>
      </c>
      <c r="E88" s="73"/>
      <c r="F88" s="75"/>
      <c r="G88" s="611"/>
      <c r="H88" s="85">
        <f>H$87*H$14</f>
        <v>3.5</v>
      </c>
      <c r="I88" s="619"/>
      <c r="J88" s="619"/>
      <c r="K88" s="85">
        <f>K$87*K$14</f>
        <v>2</v>
      </c>
      <c r="L88" s="78"/>
      <c r="M88" s="78"/>
      <c r="N88" s="85">
        <f>N$87*N$14</f>
        <v>2.5</v>
      </c>
      <c r="O88" s="1188"/>
    </row>
    <row r="89" spans="2:23" ht="15" thickBot="1" x14ac:dyDescent="0.25">
      <c r="B89" s="55" t="s">
        <v>127</v>
      </c>
      <c r="C89" s="78"/>
      <c r="D89" s="236" t="str">
        <f>'Quick Input'!I72</f>
        <v>Fertigungsausschuss 2</v>
      </c>
      <c r="E89" s="73"/>
      <c r="F89" s="75"/>
      <c r="G89" s="611"/>
      <c r="H89" s="119">
        <v>0.02</v>
      </c>
      <c r="I89" s="620"/>
      <c r="J89" s="620"/>
      <c r="K89" s="119">
        <v>0.02</v>
      </c>
      <c r="L89" s="355"/>
      <c r="M89" s="355"/>
      <c r="N89" s="119">
        <v>0.02</v>
      </c>
      <c r="O89" s="1188"/>
    </row>
    <row r="90" spans="2:23" ht="15" thickBot="1" x14ac:dyDescent="0.25">
      <c r="C90" s="78"/>
      <c r="D90" s="116" t="str">
        <f>IF(Deutsch,"Prozesskosten pro Stück","process cost per part")</f>
        <v>Prozesskosten pro Stück</v>
      </c>
      <c r="E90" s="73"/>
      <c r="F90" s="75"/>
      <c r="G90" s="855"/>
      <c r="H90" s="853">
        <f>(1+H89)*(H77+H84+H$86+H$88)</f>
        <v>41.693562908275922</v>
      </c>
      <c r="I90" s="625" t="s">
        <v>285</v>
      </c>
      <c r="J90" s="625"/>
      <c r="K90" s="853">
        <f>(1+K89)*(K77+K84+K$86+K$88)</f>
        <v>3.534532815168459</v>
      </c>
      <c r="L90" s="625" t="s">
        <v>285</v>
      </c>
      <c r="M90" s="625"/>
      <c r="N90" s="853">
        <f>(1+N89)*(N77+N84+N$86+N$88)</f>
        <v>7.0846825378696678</v>
      </c>
      <c r="O90" s="1192" t="s">
        <v>285</v>
      </c>
    </row>
    <row r="91" spans="2:23" ht="28.5" customHeight="1" thickBot="1" x14ac:dyDescent="0.25">
      <c r="C91" s="78"/>
      <c r="D91" s="1247" t="str">
        <f>IF(Deutsch,"Prüfen","testing")</f>
        <v>Prüfen</v>
      </c>
      <c r="E91" s="1248"/>
      <c r="F91" s="1249"/>
      <c r="G91" s="611"/>
      <c r="H91" s="912" t="str">
        <f>Parametrikber!F$253</f>
        <v>US PT Röntgen prüfen</v>
      </c>
      <c r="I91" s="913" t="s">
        <v>285</v>
      </c>
      <c r="J91" s="913"/>
      <c r="K91" s="912" t="str">
        <f>Parametrikber!I$253</f>
        <v>US PT Röntgen prüfen</v>
      </c>
      <c r="L91" s="913" t="s">
        <v>285</v>
      </c>
      <c r="M91" s="913"/>
      <c r="N91" s="912" t="str">
        <f>Parametrikber!L$253</f>
        <v>US PT Röntgen prüfen</v>
      </c>
      <c r="O91" s="1189" t="s">
        <v>285</v>
      </c>
      <c r="T91" s="1210"/>
    </row>
    <row r="92" spans="2:23" ht="15" thickBot="1" x14ac:dyDescent="0.25">
      <c r="B92" s="55" t="s">
        <v>127</v>
      </c>
      <c r="C92" s="78"/>
      <c r="D92" s="72" t="str">
        <f>'Quick Input'!I73</f>
        <v>VT Prüfzeit/Teil (sec)</v>
      </c>
      <c r="E92" s="73"/>
      <c r="F92" s="75"/>
      <c r="G92" s="611"/>
      <c r="H92" s="121">
        <v>400</v>
      </c>
      <c r="I92" s="620"/>
      <c r="J92" s="620"/>
      <c r="K92" s="121">
        <v>300</v>
      </c>
      <c r="L92" s="355"/>
      <c r="M92" s="355"/>
      <c r="N92" s="121">
        <v>300</v>
      </c>
      <c r="O92" s="1188"/>
    </row>
    <row r="93" spans="2:23" ht="15" thickBot="1" x14ac:dyDescent="0.25">
      <c r="C93" s="78"/>
      <c r="D93" s="1206" t="str">
        <f>IF(Deutsch,"VT Prüfung","vt proportion (%)")</f>
        <v>VT Prüfung</v>
      </c>
      <c r="E93" s="1207"/>
      <c r="F93" s="1205"/>
      <c r="G93" s="611"/>
      <c r="H93" s="1199">
        <f>'Maschinen-DB'!E74*(1+'Maschinen-DB'!F74)/'Länder-DB'!I27/Parametrikber!F146/3600*H92+'Maschinen-DB'!G74/3600*H92*VLOOKUP(H$7,DB_Länder,7,FALSE) + 'Maschinen-DB'!H74*VLOOKUP(H$7,DB_Länder,8,FALSE)*12/Parametrikber!F146/3600*H92</f>
        <v>0.13463541666666667</v>
      </c>
      <c r="I93" s="620"/>
      <c r="J93" s="620"/>
      <c r="K93" s="1199">
        <f>'Maschinen-DB'!E74*(1+'Maschinen-DB'!F74)/'Länder-DB'!I27/Parametrikber!I146/3600*K92+'Maschinen-DB'!G74/3600*K92*VLOOKUP(K$7,DB_Länder,7,FALSE) + 'Maschinen-DB'!H74*VLOOKUP(K$7,DB_Länder,8,FALSE)*12/Parametrikber!I146/3600*K92</f>
        <v>9.0338541666666675E-2</v>
      </c>
      <c r="L93" s="355"/>
      <c r="M93" s="355"/>
      <c r="N93" s="1198">
        <f>'Maschinen-DB'!E74*(1+'Maschinen-DB'!F74)/'Länder-DB'!I27/Parametrikber!L146/3600*N92+'Maschinen-DB'!G74/3600*N92*VLOOKUP(N$7,DB_Länder,7,FALSE)
+ 'Maschinen-DB'!H74*VLOOKUP(N$7,DB_Länder,8,FALSE)*12/Parametrikber!L146/3600*N92</f>
        <v>0.10097656250000002</v>
      </c>
      <c r="O93" s="1188"/>
      <c r="T93" s="1211"/>
    </row>
    <row r="94" spans="2:23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611"/>
      <c r="H94" s="74">
        <f>Parametrikber!F$22</f>
        <v>33.535694999999997</v>
      </c>
      <c r="I94" s="619" t="s">
        <v>285</v>
      </c>
      <c r="J94" s="619"/>
      <c r="K94" s="74">
        <f>Parametrikber!I$22</f>
        <v>10.008107999999998</v>
      </c>
      <c r="L94" s="78" t="s">
        <v>285</v>
      </c>
      <c r="M94" s="78"/>
      <c r="N94" s="74">
        <f>Parametrikber!L$22</f>
        <v>33.535694999999997</v>
      </c>
      <c r="O94" s="1188" t="s">
        <v>285</v>
      </c>
    </row>
    <row r="95" spans="2:23" ht="15" thickBot="1" x14ac:dyDescent="0.25">
      <c r="C95" s="78"/>
      <c r="D95" s="1206" t="str">
        <f>IF(Deutsch,"Ultraschall Prüfzeit (sec)","ultrasonic testing time (sec)")</f>
        <v>Ultraschall Prüfzeit (sec)</v>
      </c>
      <c r="E95" s="1205"/>
      <c r="F95" s="1205"/>
      <c r="G95" s="611"/>
      <c r="H95" s="121">
        <v>500</v>
      </c>
      <c r="I95" s="619"/>
      <c r="J95" s="619"/>
      <c r="K95" s="121">
        <v>400</v>
      </c>
      <c r="L95" s="78"/>
      <c r="M95" s="78"/>
      <c r="N95" s="121">
        <v>400</v>
      </c>
      <c r="O95" s="1188"/>
    </row>
    <row r="96" spans="2:23" ht="15" thickBot="1" x14ac:dyDescent="0.25">
      <c r="C96" s="78"/>
      <c r="D96" s="1206" t="str">
        <f>IF(Deutsch,'Quick Input'!C28,'Quick Input'!D28)</f>
        <v>Ultraschall Prüfung</v>
      </c>
      <c r="E96" s="1205"/>
      <c r="F96" s="1205"/>
      <c r="G96" s="611"/>
      <c r="H96" s="1199">
        <f>IF('Quick Input'!L28="ja",'Maschinen-DB'!E66*(1+'Maschinen-DB'!F66)/'Länder-DB'!I27/Parametrikber!F146/3600*H95+'Maschinen-DB'!G66/3600*H95*VLOOKUP(H$7,DB_Länder,7,FALSE) + 'Maschinen-DB'!H66*VLOOKUP(H$7,DB_Länder,8,FALSE)*12/Parametrikber!F146/3600*H95,0)</f>
        <v>0.41742621527777779</v>
      </c>
      <c r="I96" s="620"/>
      <c r="J96" s="620"/>
      <c r="K96" s="1199">
        <f>IF('Quick Input'!O28="ja",'Maschinen-DB'!E66*(1+'Maschinen-DB'!F66)/'Länder-DB'!I27/Parametrikber!I146/3600*K95+'Maschinen-DB'!G66/3600*K95*VLOOKUP(K$7,DB_Länder,7,FALSE) + 'Maschinen-DB'!H66*VLOOKUP(K$7,DB_Länder,8,FALSE)*12/Parametrikber!I146/3600*K95,0)</f>
        <v>0.30864583333333334</v>
      </c>
      <c r="L96" s="355"/>
      <c r="M96" s="355"/>
      <c r="N96" s="1199">
        <f>IF('Quick Input'!R28="ja",'Maschinen-DB'!E66*(1+'Maschinen-DB'!F66)/'Länder-DB'!I27/Parametrikber!L146/3600*N95+'Maschinen-DB'!G66/3600*N95*VLOOKUP(N$7,DB_Länder,7,FALSE) + 'Maschinen-DB'!H66*VLOOKUP(N$7,DB_Länder,8,FALSE)*12/Parametrikber!L146/3600*N95,0)</f>
        <v>0.33394097222222224</v>
      </c>
      <c r="O96" s="1188"/>
    </row>
    <row r="97" spans="2:15" ht="15" thickBot="1" x14ac:dyDescent="0.25">
      <c r="C97" s="78"/>
      <c r="D97" s="1206" t="str">
        <f>IF(Deutsch,"Farbeindring (Anlage)","PT (system)")</f>
        <v>Farbeindring (Anlage)</v>
      </c>
      <c r="E97" s="1205"/>
      <c r="F97" s="1205"/>
      <c r="G97" s="611"/>
      <c r="H97" s="342" t="s">
        <v>993</v>
      </c>
      <c r="I97" s="620"/>
      <c r="J97" s="620"/>
      <c r="K97" s="342" t="s">
        <v>993</v>
      </c>
      <c r="L97" s="355"/>
      <c r="M97" s="355"/>
      <c r="N97" s="342" t="s">
        <v>993</v>
      </c>
      <c r="O97" s="1188"/>
    </row>
    <row r="98" spans="2:15" ht="15" thickBot="1" x14ac:dyDescent="0.25">
      <c r="C98" s="78"/>
      <c r="D98" s="1206" t="str">
        <f>IF(Deutsch,"Farbeindring Prüfzeit (sec)","PT testing time (sec)")</f>
        <v>Farbeindring Prüfzeit (sec)</v>
      </c>
      <c r="E98" s="1205"/>
      <c r="F98" s="1205"/>
      <c r="G98" s="611"/>
      <c r="H98" s="121">
        <v>600</v>
      </c>
      <c r="I98" s="620"/>
      <c r="J98" s="620"/>
      <c r="K98" s="121">
        <v>600</v>
      </c>
      <c r="L98" s="355"/>
      <c r="M98" s="355"/>
      <c r="N98" s="121">
        <v>400</v>
      </c>
      <c r="O98" s="1188"/>
    </row>
    <row r="99" spans="2:15" ht="15" thickBot="1" x14ac:dyDescent="0.25">
      <c r="C99" s="78"/>
      <c r="D99" s="1206" t="str">
        <f>IF(Deutsch,'Quick Input'!C29,'Quick Input'!D29)</f>
        <v>Farbeindring Prüfung</v>
      </c>
      <c r="E99" s="1205"/>
      <c r="F99" s="1205"/>
      <c r="G99" s="611"/>
      <c r="H99" s="1199">
        <f>IF('Quick Input'!L29="ja",VLOOKUP(Refkalkulation!H97,'Maschinen-DB'!B67:H69,4,FALSE)*(1+VLOOKUP(Refkalkulation!H97,'Maschinen-DB'!B67:H69,5,FALSE))/'Länder-DB'!I27/Parametrikber!F146/3600*H98+VLOOKUP(Refkalkulation!H97,'Maschinen-DB'!B67:H69,6,FALSE)/3600*H98*VLOOKUP(H$7,DB_Länder,7,FALSE) + VLOOKUP(Refkalkulation!H97,'Maschinen-DB'!B67:H69,7,FALSE)*VLOOKUP(H$7,DB_Länder,8,FALSE)*12/Parametrikber!F146/3600*H98,0)</f>
        <v>0.37082465277777776</v>
      </c>
      <c r="I99" s="620"/>
      <c r="J99" s="620"/>
      <c r="K99" s="1199">
        <f>IF('Quick Input'!O29="ja",VLOOKUP(Refkalkulation!K97,'Maschinen-DB'!B67:K69,4,FALSE)*(1+VLOOKUP(Refkalkulation!K97,'Maschinen-DB'!B67:K69,5,FALSE))/'Länder-DB'!I27/Parametrikber!I146/3600*K98+VLOOKUP(Refkalkulation!K97,'Maschinen-DB'!B67:K69,6,FALSE)/3600*K98*VLOOKUP(K$7,DB_Länder,7,FALSE) + VLOOKUP(Refkalkulation!K97,'Maschinen-DB'!B67:K69,7,FALSE)*VLOOKUP(K$7,DB_Länder,8,FALSE)*12/Parametrikber!I146/3600*K98,0)</f>
        <v>0.34611111111111109</v>
      </c>
      <c r="L99" s="355"/>
      <c r="M99" s="355"/>
      <c r="N99" s="1199">
        <f>IF('Quick Input'!R29="ja",VLOOKUP(Refkalkulation!N97,'Maschinen-DB'!B67:N69,4,FALSE)*(1+VLOOKUP(Refkalkulation!N97,'Maschinen-DB'!B67:N69,5,FALSE))/'Länder-DB'!I27/Parametrikber!L146/3600*N98+VLOOKUP(Refkalkulation!N97,'Maschinen-DB'!B67:N69,6,FALSE)/3600*N98*VLOOKUP(N$7,DB_Länder,7,FALSE) + VLOOKUP(Refkalkulation!N97,'Maschinen-DB'!B67:N69,7,FALSE)*VLOOKUP(N$7,DB_Länder,8,FALSE)*12/Parametrikber!L146/3600*N98,0)</f>
        <v>0.24721643518518516</v>
      </c>
      <c r="O99" s="1188"/>
    </row>
    <row r="100" spans="2:15" ht="15" thickBot="1" x14ac:dyDescent="0.25">
      <c r="C100" s="78"/>
      <c r="D100" s="1206" t="str">
        <f>IF(Deutsch,"Röntgen Prüfzeit (sec)","X-ray testing time (sec)")</f>
        <v>Röntgen Prüfzeit (sec)</v>
      </c>
      <c r="E100" s="1205"/>
      <c r="F100" s="1205"/>
      <c r="G100" s="611"/>
      <c r="H100" s="121">
        <v>1000</v>
      </c>
      <c r="I100" s="620"/>
      <c r="J100" s="620"/>
      <c r="K100" s="121">
        <v>1000</v>
      </c>
      <c r="L100" s="355"/>
      <c r="M100" s="355"/>
      <c r="N100" s="121">
        <v>600</v>
      </c>
      <c r="O100" s="1188"/>
    </row>
    <row r="101" spans="2:15" ht="15" thickBot="1" x14ac:dyDescent="0.25">
      <c r="C101" s="78"/>
      <c r="D101" s="1206" t="str">
        <f>IF(Deutsch,'Quick Input'!C30,'Quick Input'!D30)</f>
        <v>Röntgen Prüfung</v>
      </c>
      <c r="E101" s="1205"/>
      <c r="F101" s="1205"/>
      <c r="G101" s="611"/>
      <c r="H101" s="1199">
        <f>IF('Quick Input'!L30="ja",'Maschinen-DB'!E63*(1+'Maschinen-DB'!F63)/'Länder-DB'!I27/Parametrikber!F146/3600*H100+'Maschinen-DB'!G63/3600*H100*VLOOKUP(H$7,DB_Länder,7,FALSE) + 'Maschinen-DB'!H63*VLOOKUP(H$7,DB_Länder,8,FALSE)*12/Parametrikber!F146/3600*H100,0)</f>
        <v>1.8357928240740744</v>
      </c>
      <c r="I101" s="620"/>
      <c r="J101" s="620"/>
      <c r="K101" s="1199">
        <f>IF('Quick Input'!O30="ja",'Maschinen-DB'!E63*(1+'Maschinen-DB'!F63)/'Länder-DB'!I27/Parametrikber!F146/3600*K100+'Maschinen-DB'!G63/3600*K100*VLOOKUP(K$7,DB_Länder,7,FALSE) + 'Maschinen-DB'!H63*VLOOKUP(K$7,DB_Länder,8,FALSE)*12/Parametrikber!F146/3600*K100,0)</f>
        <v>1.7619212962962969</v>
      </c>
      <c r="L101" s="355"/>
      <c r="M101" s="355"/>
      <c r="N101" s="1199">
        <f>IF('Quick Input'!R30="ja",'Maschinen-DB'!E63*(1+'Maschinen-DB'!F63)/'Länder-DB'!I27/Parametrikber!F146/3600*N100+'Maschinen-DB'!G63/3600*N100*VLOOKUP(N$7,DB_Länder,7,FALSE) + 'Maschinen-DB'!H63*VLOOKUP(N$7,DB_Länder,8,FALSE)*12/Parametrikber!F146/3600*N100,0)</f>
        <v>1.1014756944444448</v>
      </c>
      <c r="O101" s="1188"/>
    </row>
    <row r="102" spans="2:15" ht="15" thickBot="1" x14ac:dyDescent="0.25">
      <c r="C102" s="78"/>
      <c r="D102" s="72" t="str">
        <f>IF(Deutsch,Auswahlfelder!$B$59,Auswahlfelder!$D$59)</f>
        <v>Reparaturschweißen</v>
      </c>
      <c r="E102" s="73"/>
      <c r="F102" s="75"/>
      <c r="G102" s="611"/>
      <c r="H102" s="80" t="str">
        <f>'Quick Input'!L$33</f>
        <v>ohne</v>
      </c>
      <c r="I102" s="619"/>
      <c r="J102" s="619"/>
      <c r="K102" s="80" t="str">
        <f>'Quick Input'!O$33</f>
        <v>ohne</v>
      </c>
      <c r="L102" s="78"/>
      <c r="M102" s="78"/>
      <c r="N102" s="80" t="str">
        <f>'Quick Input'!R$33</f>
        <v>ohne</v>
      </c>
      <c r="O102" s="1188"/>
    </row>
    <row r="103" spans="2:15" ht="15" thickBot="1" x14ac:dyDescent="0.25">
      <c r="C103" s="78"/>
      <c r="D103" s="72" t="str">
        <f>IF(Deutsch,"Reparaturanteil (%)","repair proportion (%)")</f>
        <v>Reparaturanteil (%)</v>
      </c>
      <c r="E103" s="73"/>
      <c r="F103" s="75"/>
      <c r="G103" s="611"/>
      <c r="H103" s="534">
        <v>0</v>
      </c>
      <c r="I103" s="620"/>
      <c r="J103" s="620"/>
      <c r="K103" s="534">
        <v>0</v>
      </c>
      <c r="L103" s="355"/>
      <c r="M103" s="355"/>
      <c r="N103" s="534">
        <v>0</v>
      </c>
      <c r="O103" s="1188"/>
    </row>
    <row r="104" spans="2:15" ht="15" thickBot="1" x14ac:dyDescent="0.25">
      <c r="C104" s="78"/>
      <c r="D104" s="72" t="str">
        <f>'Quick Input'!$I$77</f>
        <v>Anteil Nachprüfung</v>
      </c>
      <c r="E104" s="73"/>
      <c r="F104" s="75"/>
      <c r="G104" s="611"/>
      <c r="H104" s="688">
        <v>0.5</v>
      </c>
      <c r="I104" s="620"/>
      <c r="J104" s="620"/>
      <c r="K104" s="688">
        <v>0.5</v>
      </c>
      <c r="L104" s="355"/>
      <c r="M104" s="355"/>
      <c r="N104" s="688">
        <v>0.5</v>
      </c>
      <c r="O104" s="1188"/>
    </row>
    <row r="105" spans="2:15" ht="15" thickBot="1" x14ac:dyDescent="0.25">
      <c r="C105" s="78"/>
      <c r="D105" s="72" t="str">
        <f>IF(Deutsch,"Kosten je Reparatur (€)","cost per repair (€)")</f>
        <v>Kosten je Reparatur (€)</v>
      </c>
      <c r="E105" s="73"/>
      <c r="F105" s="75"/>
      <c r="G105" s="611"/>
      <c r="H105" s="85">
        <f>IF('Quick Input'!M$33=Auswahlfelder!$D$60,0,Parametrikber!F$187)</f>
        <v>0</v>
      </c>
      <c r="I105" s="619"/>
      <c r="J105" s="619"/>
      <c r="K105" s="85">
        <f>IF('Quick Input'!P$33=Auswahlfelder!$D$60,0,Parametrikber!I$187)</f>
        <v>0</v>
      </c>
      <c r="L105" s="78"/>
      <c r="M105" s="78"/>
      <c r="N105" s="85">
        <f>IF('Quick Input'!S$33=Auswahlfelder!$D$60,0,Parametrikber!L$187)</f>
        <v>0</v>
      </c>
      <c r="O105" s="1188"/>
    </row>
    <row r="106" spans="2:15" ht="15" thickBot="1" x14ac:dyDescent="0.25">
      <c r="C106" s="78"/>
      <c r="D106" s="116" t="str">
        <f>IF(Deutsch,"Prüfkosten pro Stück","testing cost per part")</f>
        <v>Prüfkosten pro Stück</v>
      </c>
      <c r="E106" s="73"/>
      <c r="F106" s="75"/>
      <c r="G106" s="855"/>
      <c r="H106" s="853">
        <f>H$92/3600*H$94+(H$96+H$99+H$101)*(1+H$104*H$103)+H$103*H$105</f>
        <v>6.3502320254629634</v>
      </c>
      <c r="I106" s="625" t="s">
        <v>285</v>
      </c>
      <c r="J106" s="625"/>
      <c r="K106" s="853">
        <f>K$92/3600*K$94+(K$96+K$99+K$101)*(1+K$104*K$103)+K$103*K$105</f>
        <v>3.2506872407407412</v>
      </c>
      <c r="L106" s="625" t="s">
        <v>285</v>
      </c>
      <c r="M106" s="625"/>
      <c r="N106" s="853">
        <f>N$92/3600*N$94+(N$96+N$99+N$101)*(1+N$104*N$103)+N$103*N$105</f>
        <v>4.4772743518518521</v>
      </c>
      <c r="O106" s="1192" t="s">
        <v>285</v>
      </c>
    </row>
    <row r="107" spans="2:15" ht="11.25" customHeight="1" thickBot="1" x14ac:dyDescent="0.25">
      <c r="C107" s="78"/>
      <c r="D107" s="1227" t="str">
        <f>IF(Deutsch,"Fertigungsnebenkosten","production cost")</f>
        <v>Fertigungsnebenkosten</v>
      </c>
      <c r="E107" s="1228"/>
      <c r="F107" s="1229"/>
      <c r="G107" s="611"/>
      <c r="H107" s="79"/>
      <c r="I107" s="619" t="s">
        <v>285</v>
      </c>
      <c r="J107" s="619"/>
      <c r="K107" s="79"/>
      <c r="L107" s="78" t="s">
        <v>285</v>
      </c>
      <c r="M107" s="78"/>
      <c r="N107" s="79"/>
      <c r="O107" s="1189" t="s">
        <v>285</v>
      </c>
    </row>
    <row r="108" spans="2:15" ht="14.25" customHeight="1" thickBot="1" x14ac:dyDescent="0.25">
      <c r="C108" s="78"/>
      <c r="D108" s="1230"/>
      <c r="E108" s="1231"/>
      <c r="F108" s="1232"/>
      <c r="G108" s="611"/>
      <c r="H108" s="928">
        <f>H$47+H$72+H90+H$106</f>
        <v>97.737645612231873</v>
      </c>
      <c r="I108" s="619" t="s">
        <v>285</v>
      </c>
      <c r="J108" s="619"/>
      <c r="K108" s="928">
        <f>K$47+K$72+K90+K$106</f>
        <v>17.875465954300157</v>
      </c>
      <c r="L108" s="619" t="s">
        <v>285</v>
      </c>
      <c r="M108" s="619"/>
      <c r="N108" s="928">
        <f>N$47+N$72+N90+N$106</f>
        <v>27.574640465551376</v>
      </c>
      <c r="O108" s="1188" t="s">
        <v>285</v>
      </c>
    </row>
    <row r="109" spans="2:15" ht="15" thickBot="1" x14ac:dyDescent="0.25">
      <c r="C109" s="78"/>
      <c r="D109" s="72" t="str">
        <f>CONCATENATE(IF(Deutsch,'Quick Input'!C31,'Quick Input'!D31)," (per lot)")</f>
        <v>Materialprüfzertifikat (per lot)</v>
      </c>
      <c r="E109" s="73"/>
      <c r="F109" s="75"/>
      <c r="G109" s="611"/>
      <c r="H109" s="74">
        <f>Parametrikber!F$192</f>
        <v>0</v>
      </c>
      <c r="I109" s="619" t="s">
        <v>285</v>
      </c>
      <c r="J109" s="619"/>
      <c r="K109" s="74">
        <f>Parametrikber!I$192</f>
        <v>0</v>
      </c>
      <c r="L109" s="619" t="s">
        <v>285</v>
      </c>
      <c r="M109" s="619"/>
      <c r="N109" s="74">
        <f>Parametrikber!L$192</f>
        <v>0</v>
      </c>
      <c r="O109" s="1188" t="s">
        <v>285</v>
      </c>
    </row>
    <row r="110" spans="2:15" ht="14.25" customHeight="1" thickBot="1" x14ac:dyDescent="0.25">
      <c r="B110" s="55" t="s">
        <v>127</v>
      </c>
      <c r="C110" s="78"/>
      <c r="D110" s="236" t="str">
        <f>'Quick Input'!I79</f>
        <v>Fertigungsgemeinkosten</v>
      </c>
      <c r="E110" s="73"/>
      <c r="F110" s="75"/>
      <c r="G110" s="611"/>
      <c r="H110" s="119">
        <v>0.1</v>
      </c>
      <c r="I110" s="620"/>
      <c r="J110" s="620"/>
      <c r="K110" s="119">
        <v>0.1</v>
      </c>
      <c r="L110" s="355"/>
      <c r="M110" s="355"/>
      <c r="N110" s="119">
        <v>0.1</v>
      </c>
      <c r="O110" s="1188"/>
    </row>
    <row r="111" spans="2:15" ht="15" thickBot="1" x14ac:dyDescent="0.25">
      <c r="C111" s="78"/>
      <c r="D111" s="236" t="str">
        <f>IF(Deutsch,'Quick Input'!C79,'Quick Input'!D79)</f>
        <v>Fertigungsgemeinkosten</v>
      </c>
      <c r="E111" s="73"/>
      <c r="F111" s="75"/>
      <c r="G111" s="611"/>
      <c r="H111" s="74">
        <f>H$110*H$108</f>
        <v>9.7737645612231887</v>
      </c>
      <c r="I111" s="619" t="s">
        <v>285</v>
      </c>
      <c r="J111" s="619"/>
      <c r="K111" s="74">
        <f>K$110*K$108</f>
        <v>1.7875465954300158</v>
      </c>
      <c r="L111" s="78" t="s">
        <v>285</v>
      </c>
      <c r="M111" s="78"/>
      <c r="N111" s="74">
        <f>N$110*N$108</f>
        <v>2.7574640465551377</v>
      </c>
      <c r="O111" s="1188" t="s">
        <v>285</v>
      </c>
    </row>
    <row r="112" spans="2:15" ht="15" customHeight="1" thickBot="1" x14ac:dyDescent="0.25">
      <c r="C112" s="78"/>
      <c r="D112" s="116" t="str">
        <f>IF(Deutsch,"Fertigungskosten gesamt","manufacturing cost total")</f>
        <v>Fertigungskosten gesamt</v>
      </c>
      <c r="E112" s="73"/>
      <c r="F112" s="75"/>
      <c r="G112" s="611"/>
      <c r="H112" s="113">
        <f>H$108+H$109/H$61+H$111</f>
        <v>107.51141017345506</v>
      </c>
      <c r="I112" s="619" t="s">
        <v>285</v>
      </c>
      <c r="J112" s="619"/>
      <c r="K112" s="113">
        <f>K$108+K$109/K$61+K$111</f>
        <v>19.663012549730173</v>
      </c>
      <c r="L112" s="619" t="s">
        <v>285</v>
      </c>
      <c r="M112" s="619"/>
      <c r="N112" s="113">
        <f>N$108+N$109/N$61+N$111</f>
        <v>30.332104512106515</v>
      </c>
      <c r="O112" s="1188" t="s">
        <v>285</v>
      </c>
    </row>
    <row r="113" spans="2:15" ht="4.5" customHeight="1" thickBot="1" x14ac:dyDescent="0.25">
      <c r="C113" s="87"/>
      <c r="D113" s="88"/>
      <c r="E113" s="87"/>
      <c r="F113" s="89"/>
      <c r="G113" s="611"/>
      <c r="H113" s="91"/>
      <c r="I113" s="619" t="s">
        <v>285</v>
      </c>
      <c r="J113" s="619"/>
      <c r="K113" s="91"/>
      <c r="L113" s="78" t="s">
        <v>285</v>
      </c>
      <c r="M113" s="78"/>
      <c r="N113" s="91"/>
      <c r="O113" s="1192" t="s">
        <v>285</v>
      </c>
    </row>
    <row r="114" spans="2:15" ht="7.5" customHeight="1" thickBot="1" x14ac:dyDescent="0.25">
      <c r="D114" s="1227" t="str">
        <f>IF(Deutsch,"Gemeinkosten &amp; Gewinn","common cost &amp; profit")</f>
        <v>Gemeinkosten &amp; Gewinn</v>
      </c>
      <c r="E114" s="1228"/>
      <c r="F114" s="1229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5" thickBot="1" x14ac:dyDescent="0.25">
      <c r="D115" s="1230"/>
      <c r="E115" s="1231"/>
      <c r="F115" s="1232"/>
      <c r="G115" s="611"/>
      <c r="H115" s="74">
        <f>H$26+H$112</f>
        <v>124.42728738573041</v>
      </c>
      <c r="I115" s="619" t="s">
        <v>285</v>
      </c>
      <c r="J115" s="619"/>
      <c r="K115" s="85">
        <f>K$26+K$112</f>
        <v>32.335174075270913</v>
      </c>
      <c r="L115" s="619" t="s">
        <v>285</v>
      </c>
      <c r="M115" s="619"/>
      <c r="N115" s="85">
        <f>N$26+N$112</f>
        <v>43.004266037647255</v>
      </c>
      <c r="O115" s="1188" t="s">
        <v>285</v>
      </c>
    </row>
    <row r="116" spans="2:15" ht="15" thickBot="1" x14ac:dyDescent="0.25">
      <c r="B116" s="55" t="s">
        <v>127</v>
      </c>
      <c r="D116" s="72" t="str">
        <f>IF(Deutsch,"Vertriebs- und Verw.-gemeinkostensatz","administration cost rate")</f>
        <v>Vertriebs- und Verw.-gemeinkostensatz</v>
      </c>
      <c r="E116" s="67"/>
      <c r="F116" s="75"/>
      <c r="G116" s="611"/>
      <c r="H116" s="119">
        <v>0.12</v>
      </c>
      <c r="I116" s="620"/>
      <c r="J116" s="620"/>
      <c r="K116" s="119">
        <v>0.12</v>
      </c>
      <c r="L116" s="355"/>
      <c r="M116" s="355"/>
      <c r="N116" s="119">
        <v>0.12</v>
      </c>
      <c r="O116" s="1188"/>
    </row>
    <row r="117" spans="2:15" ht="15" thickBot="1" x14ac:dyDescent="0.25">
      <c r="D117" s="72" t="str">
        <f>IF(Deutsch,"Vertriebs- und Verw.-gemeinkosten","administration costs")</f>
        <v>Vertriebs- und Verw.-gemeinkosten</v>
      </c>
      <c r="E117" s="67"/>
      <c r="F117" s="75"/>
      <c r="G117" s="611"/>
      <c r="H117" s="74">
        <f>H$115*H116</f>
        <v>14.931274486287649</v>
      </c>
      <c r="I117" s="619" t="s">
        <v>285</v>
      </c>
      <c r="J117" s="619"/>
      <c r="K117" s="74">
        <f>K$115*K116</f>
        <v>3.8802208890325094</v>
      </c>
      <c r="L117" s="619" t="s">
        <v>285</v>
      </c>
      <c r="M117" s="619"/>
      <c r="N117" s="74">
        <f t="shared" ref="N117" si="9">N$115*N116</f>
        <v>5.16051192451767</v>
      </c>
      <c r="O117" s="1188" t="s">
        <v>285</v>
      </c>
    </row>
    <row r="118" spans="2:15" ht="15" thickBot="1" x14ac:dyDescent="0.25">
      <c r="D118" s="72" t="str">
        <f>CONCATENATE(IF(Deutsch,"F&amp;E- Kosten (","design and development cost ("),'Länder-DB'!I35*100,"%)")</f>
        <v>F&amp;E- Kosten (8%)</v>
      </c>
      <c r="E118" s="67"/>
      <c r="F118" s="75"/>
      <c r="G118" s="611"/>
      <c r="H118" s="74">
        <f>H$112*'Länder-DB'!$I$35</f>
        <v>8.6009128138764055</v>
      </c>
      <c r="I118" s="619" t="s">
        <v>285</v>
      </c>
      <c r="J118" s="619"/>
      <c r="K118" s="74">
        <f>K$112*'Länder-DB'!$I$35</f>
        <v>1.573041003978414</v>
      </c>
      <c r="L118" s="78" t="s">
        <v>285</v>
      </c>
      <c r="M118" s="78"/>
      <c r="N118" s="74">
        <f>N$112*'Länder-DB'!$I$35</f>
        <v>2.4265683609685214</v>
      </c>
      <c r="O118" s="1188" t="s">
        <v>285</v>
      </c>
    </row>
    <row r="119" spans="2:15" ht="15" thickBot="1" x14ac:dyDescent="0.25">
      <c r="D119" s="82" t="str">
        <f>IF(Deutsch,"Gesamtgemeinkosten","administration cost total")</f>
        <v>Gesamtgemeinkosten</v>
      </c>
      <c r="E119" s="67"/>
      <c r="F119" s="75"/>
      <c r="G119" s="611"/>
      <c r="H119" s="1031">
        <f>H$117+H$118</f>
        <v>23.532187300164054</v>
      </c>
      <c r="I119" s="619" t="s">
        <v>285</v>
      </c>
      <c r="J119" s="619"/>
      <c r="K119" s="1031">
        <f>K$117+K$118</f>
        <v>5.4532618930109233</v>
      </c>
      <c r="L119" s="619" t="s">
        <v>285</v>
      </c>
      <c r="M119" s="619"/>
      <c r="N119" s="1031">
        <f t="shared" ref="N119" si="10">N$117+N$118</f>
        <v>7.5870802854861914</v>
      </c>
      <c r="O119" s="1188" t="s">
        <v>285</v>
      </c>
    </row>
    <row r="120" spans="2:15" ht="15" thickBot="1" x14ac:dyDescent="0.25">
      <c r="B120" s="55" t="s">
        <v>127</v>
      </c>
      <c r="D120" s="72" t="str">
        <f>'Quick Input'!I81</f>
        <v>Gewinn auf Material</v>
      </c>
      <c r="E120" s="67"/>
      <c r="F120" s="75"/>
      <c r="G120" s="611"/>
      <c r="H120" s="119">
        <v>0</v>
      </c>
      <c r="I120" s="620"/>
      <c r="J120" s="620"/>
      <c r="K120" s="119">
        <v>0</v>
      </c>
      <c r="L120" s="620"/>
      <c r="M120" s="620"/>
      <c r="N120" s="119">
        <v>0</v>
      </c>
      <c r="O120" s="1188"/>
    </row>
    <row r="121" spans="2:15" ht="15" thickBot="1" x14ac:dyDescent="0.25">
      <c r="B121" s="55" t="s">
        <v>127</v>
      </c>
      <c r="D121" s="72" t="str">
        <f>'Quick Input'!I82</f>
        <v>Gewinn auf Wertschöpfung</v>
      </c>
      <c r="E121" s="67"/>
      <c r="F121" s="75"/>
      <c r="G121" s="611"/>
      <c r="H121" s="119">
        <v>0</v>
      </c>
      <c r="I121" s="620"/>
      <c r="J121" s="620"/>
      <c r="K121" s="119">
        <v>0</v>
      </c>
      <c r="L121" s="620"/>
      <c r="M121" s="620"/>
      <c r="N121" s="119">
        <v>0</v>
      </c>
      <c r="O121" s="1188"/>
    </row>
    <row r="122" spans="2:15" ht="15" thickBot="1" x14ac:dyDescent="0.25">
      <c r="D122" s="82" t="str">
        <f>IF(Deutsch,"Gesamtgewinn","profit total")</f>
        <v>Gesamtgewinn</v>
      </c>
      <c r="E122" s="67"/>
      <c r="F122" s="75"/>
      <c r="G122" s="611"/>
      <c r="H122" s="1030">
        <f>H$120*H$26+H$121*H$108</f>
        <v>0</v>
      </c>
      <c r="I122" s="619" t="s">
        <v>285</v>
      </c>
      <c r="J122" s="619"/>
      <c r="K122" s="1030">
        <f>K$120*K$26+K$121*K$108</f>
        <v>0</v>
      </c>
      <c r="L122" s="619" t="s">
        <v>285</v>
      </c>
      <c r="M122" s="619"/>
      <c r="N122" s="1030">
        <f>N$120*N$26+N$121*N$108</f>
        <v>0</v>
      </c>
      <c r="O122" s="1188" t="s">
        <v>285</v>
      </c>
    </row>
    <row r="123" spans="2:15" ht="6" customHeight="1" thickBot="1" x14ac:dyDescent="0.25">
      <c r="D123" s="72"/>
      <c r="E123" s="67"/>
      <c r="F123" s="75"/>
      <c r="G123" s="611"/>
      <c r="H123" s="86"/>
      <c r="I123" s="619" t="s">
        <v>285</v>
      </c>
      <c r="J123" s="619"/>
      <c r="K123" s="86"/>
      <c r="L123" s="78" t="s">
        <v>285</v>
      </c>
      <c r="M123" s="78"/>
      <c r="N123" s="86"/>
      <c r="O123" s="1188" t="s">
        <v>285</v>
      </c>
    </row>
    <row r="124" spans="2:15" ht="15" thickBot="1" x14ac:dyDescent="0.25">
      <c r="D124" s="776" t="str">
        <f>IF(Deutsch,"Bauteilpreis gesamt","part cost total")</f>
        <v>Bauteilpreis gesamt</v>
      </c>
      <c r="E124" s="67"/>
      <c r="F124" s="75"/>
      <c r="G124" s="611"/>
      <c r="H124" s="1032">
        <f>H$115+H$119+H$122</f>
        <v>147.95947468589446</v>
      </c>
      <c r="I124" s="619" t="s">
        <v>285</v>
      </c>
      <c r="J124" s="619"/>
      <c r="K124" s="1032">
        <f>K$115+K$119+K$122</f>
        <v>37.788435968281838</v>
      </c>
      <c r="L124" s="619" t="s">
        <v>285</v>
      </c>
      <c r="M124" s="619"/>
      <c r="N124" s="1032">
        <f>N$115+N$119+N$122</f>
        <v>50.59134632313345</v>
      </c>
      <c r="O124" s="1188" t="s">
        <v>285</v>
      </c>
    </row>
    <row r="125" spans="2:15" ht="6" customHeight="1" thickBot="1" x14ac:dyDescent="0.25">
      <c r="D125" s="82"/>
      <c r="E125" s="67"/>
      <c r="F125" s="75"/>
      <c r="G125" s="611"/>
      <c r="H125" s="92"/>
      <c r="I125" s="619" t="s">
        <v>285</v>
      </c>
      <c r="J125" s="619"/>
      <c r="K125" s="92"/>
      <c r="L125" s="78" t="s">
        <v>285</v>
      </c>
      <c r="M125" s="78"/>
      <c r="N125" s="92"/>
      <c r="O125" s="1192" t="s">
        <v>285</v>
      </c>
    </row>
    <row r="126" spans="2:15" ht="14.25" customHeight="1" thickBot="1" x14ac:dyDescent="0.25">
      <c r="D126" s="1227" t="str">
        <f>IF(Deutsch,"Potenziabschätzung","estimation potential")</f>
        <v>Potenziabschätzung</v>
      </c>
      <c r="E126" s="1228"/>
      <c r="F126" s="1229"/>
      <c r="G126" s="611"/>
      <c r="H126" s="280" t="e">
        <f>IF(H50=Parametrikber!F126,IF(H51=#REF!,TRUE,FALSE),FALSE)</f>
        <v>#REF!</v>
      </c>
      <c r="I126" s="619" t="s">
        <v>285</v>
      </c>
      <c r="J126" s="619"/>
      <c r="K126" s="280" t="e">
        <f>IF(K50=Parametrikber!I126,IF(K51=#REF!,TRUE,FALSE),FALSE)</f>
        <v>#REF!</v>
      </c>
      <c r="L126" s="78" t="s">
        <v>285</v>
      </c>
      <c r="M126" s="357"/>
      <c r="N126" s="280" t="e">
        <f>IF(N50=Parametrikber!L126,IF(N51=#REF!,TRUE,FALSE),FALSE)</f>
        <v>#REF!</v>
      </c>
      <c r="O126" s="1189" t="s">
        <v>285</v>
      </c>
    </row>
    <row r="127" spans="2:15" ht="15" thickBot="1" x14ac:dyDescent="0.25">
      <c r="D127" s="1230"/>
      <c r="E127" s="1231"/>
      <c r="F127" s="1232"/>
      <c r="G127" s="611"/>
      <c r="H127" s="143"/>
      <c r="I127" s="619" t="s">
        <v>285</v>
      </c>
      <c r="J127" s="623"/>
      <c r="K127" s="143"/>
      <c r="L127" s="78" t="s">
        <v>285</v>
      </c>
      <c r="M127" s="144"/>
      <c r="N127" s="143"/>
      <c r="O127" s="1188" t="s">
        <v>285</v>
      </c>
    </row>
    <row r="128" spans="2:15" ht="15" thickBot="1" x14ac:dyDescent="0.25">
      <c r="B128" s="55" t="s">
        <v>127</v>
      </c>
      <c r="D128" s="72" t="str">
        <f>'Quick Input'!I51</f>
        <v>Zielpreis Bauteil</v>
      </c>
      <c r="E128" s="73"/>
      <c r="F128" s="75"/>
      <c r="G128" s="611"/>
      <c r="H128" s="85">
        <f>AVERAGE('Quick Input'!M$52:M$56)</f>
        <v>55</v>
      </c>
      <c r="I128" s="619" t="s">
        <v>285</v>
      </c>
      <c r="J128" s="623"/>
      <c r="K128" s="85">
        <f>AVERAGE('Quick Input'!P52:P56)</f>
        <v>55</v>
      </c>
      <c r="L128" s="78" t="s">
        <v>285</v>
      </c>
      <c r="M128" s="358"/>
      <c r="N128" s="85">
        <f>AVERAGE('Quick Input'!S52:S56)</f>
        <v>55</v>
      </c>
      <c r="O128" s="1188" t="s">
        <v>285</v>
      </c>
    </row>
    <row r="129" spans="2:15" ht="15" thickBot="1" x14ac:dyDescent="0.25">
      <c r="D129" s="72" t="str">
        <f>IF(Deutsch,"Potenzial pro Bauteil","earning per part")</f>
        <v>Potenzial pro Bauteil</v>
      </c>
      <c r="E129" s="73"/>
      <c r="F129" s="75"/>
      <c r="G129" s="611"/>
      <c r="H129" s="85">
        <f>H$128-H$124</f>
        <v>-92.959474685894463</v>
      </c>
      <c r="I129" s="619" t="s">
        <v>285</v>
      </c>
      <c r="J129" s="619"/>
      <c r="K129" s="85">
        <f>K128-K124</f>
        <v>17.211564031718162</v>
      </c>
      <c r="L129" s="78" t="s">
        <v>285</v>
      </c>
      <c r="M129" s="78"/>
      <c r="N129" s="85">
        <f>N128-N124</f>
        <v>4.4086536768665496</v>
      </c>
      <c r="O129" s="1188" t="s">
        <v>285</v>
      </c>
    </row>
    <row r="130" spans="2:15" ht="15" thickBot="1" x14ac:dyDescent="0.25">
      <c r="D130" s="72" t="str">
        <f>IF(Deutsch,"Potenzial über Lebenszyklus","earnig per live time")</f>
        <v>Potenzial über Lebenszyklus</v>
      </c>
      <c r="E130" s="73"/>
      <c r="F130" s="75"/>
      <c r="G130" s="611"/>
      <c r="H130" s="93">
        <f>IF(H$129&gt;0,H$129*'Quick Input'!M$44,0)</f>
        <v>0</v>
      </c>
      <c r="I130" s="619" t="s">
        <v>285</v>
      </c>
      <c r="J130" s="619"/>
      <c r="K130" s="93">
        <f>IF(K129&gt;0,K129*'Quick Input'!P44,0)</f>
        <v>516346.92095154483</v>
      </c>
      <c r="L130" s="78" t="s">
        <v>285</v>
      </c>
      <c r="M130" s="78"/>
      <c r="N130" s="93">
        <f>IF(N129&gt;0,N129*'Quick Input'!S44,0)</f>
        <v>132259.6103059965</v>
      </c>
      <c r="O130" s="1188" t="s">
        <v>285</v>
      </c>
    </row>
    <row r="131" spans="2:15" ht="15" thickBot="1" x14ac:dyDescent="0.25">
      <c r="D131" s="72" t="str">
        <f>IF(Deutsch,"Anzahl notwendiger Gieß-WKZ","tool sets")</f>
        <v>Anzahl notwendiger Gieß-WKZ</v>
      </c>
      <c r="E131" s="73"/>
      <c r="F131" s="75"/>
      <c r="G131" s="611"/>
      <c r="H131" s="140" t="str">
        <f>CONCATENATE(Parametrikber!F$260," x ",Parametrikber!F$259)</f>
        <v>2 x Alu</v>
      </c>
      <c r="I131" s="619" t="s">
        <v>285</v>
      </c>
      <c r="J131" s="619"/>
      <c r="K131" s="140" t="str">
        <f>CONCATENATE(Parametrikber!I$260," x ",Parametrikber!I$259)</f>
        <v>2 x Alu</v>
      </c>
      <c r="L131" s="78" t="s">
        <v>285</v>
      </c>
      <c r="M131" s="78"/>
      <c r="N131" s="140" t="str">
        <f>CONCATENATE(Parametrikber!L$260," x ",Parametrikber!L$259)</f>
        <v>2 x Alu</v>
      </c>
      <c r="O131" s="1188" t="s">
        <v>285</v>
      </c>
    </row>
    <row r="132" spans="2:15" ht="15" thickBot="1" x14ac:dyDescent="0.25">
      <c r="D132" s="72" t="str">
        <f>IF(Deutsch,"Werkzeuginvest geschätzt","tool invest - calculated")</f>
        <v>Werkzeuginvest geschätzt</v>
      </c>
      <c r="E132" s="73"/>
      <c r="F132" s="75"/>
      <c r="G132" s="611"/>
      <c r="H132" s="93">
        <f>Parametrikber!F$264</f>
        <v>10600</v>
      </c>
      <c r="I132" s="619" t="s">
        <v>285</v>
      </c>
      <c r="J132" s="619"/>
      <c r="K132" s="93">
        <f>Parametrikber!I$264</f>
        <v>8800</v>
      </c>
      <c r="L132" s="619" t="s">
        <v>285</v>
      </c>
      <c r="M132" s="619"/>
      <c r="N132" s="93">
        <f>Parametrikber!L$264</f>
        <v>10100</v>
      </c>
      <c r="O132" s="1188" t="s">
        <v>285</v>
      </c>
    </row>
    <row r="133" spans="2:15" ht="15" thickBot="1" x14ac:dyDescent="0.25">
      <c r="D133" s="72" t="str">
        <f>IF(Deutsch,"Kernkasteninvest geschätzt","tool invest - calculated")</f>
        <v>Kernkasteninvest geschätzt</v>
      </c>
      <c r="E133" s="73"/>
      <c r="F133" s="75"/>
      <c r="G133" s="611"/>
      <c r="H133" s="93">
        <f>Parametrikber!F$269</f>
        <v>2300</v>
      </c>
      <c r="I133" s="619" t="s">
        <v>285</v>
      </c>
      <c r="J133" s="619"/>
      <c r="K133" s="93">
        <f>Parametrikber!I$269</f>
        <v>1100</v>
      </c>
      <c r="L133" s="619" t="s">
        <v>285</v>
      </c>
      <c r="M133" s="619"/>
      <c r="N133" s="93">
        <f>Parametrikber!L$269</f>
        <v>0</v>
      </c>
      <c r="O133" s="1188" t="s">
        <v>285</v>
      </c>
    </row>
    <row r="134" spans="2:15" ht="15" thickBot="1" x14ac:dyDescent="0.25">
      <c r="D134" s="775" t="str">
        <f>IF(Deutsch,"Modellkosten Angebot","tool invest - supplier")</f>
        <v>Modellkosten Angebot</v>
      </c>
      <c r="E134" s="94"/>
      <c r="F134" s="89"/>
      <c r="G134" s="615"/>
      <c r="H134" s="359">
        <f>'Quick Input'!M57+'Quick Input'!M58</f>
        <v>10500</v>
      </c>
      <c r="I134" s="624" t="s">
        <v>285</v>
      </c>
      <c r="J134" s="625"/>
      <c r="K134" s="359">
        <f>'Quick Input'!P57+'Quick Input'!P58</f>
        <v>6000</v>
      </c>
      <c r="L134" s="624" t="s">
        <v>285</v>
      </c>
      <c r="M134" s="625"/>
      <c r="N134" s="359">
        <f>'Quick Input'!S57+'Quick Input'!S58</f>
        <v>7500</v>
      </c>
      <c r="O134" s="1192" t="s">
        <v>285</v>
      </c>
    </row>
    <row r="135" spans="2:15" ht="9" customHeight="1" thickBot="1" x14ac:dyDescent="0.25">
      <c r="G135" s="271"/>
    </row>
    <row r="136" spans="2:15" ht="11.25" customHeight="1" x14ac:dyDescent="0.2">
      <c r="D136" s="1215" t="str">
        <f>IF(Deutsch,"Empfehlungen / Info"," suggestion, infos")</f>
        <v>Empfehlungen / Info</v>
      </c>
      <c r="E136" s="1216"/>
      <c r="F136" s="1217"/>
      <c r="G136" s="190"/>
    </row>
    <row r="137" spans="2:15" ht="9.75" customHeight="1" thickBot="1" x14ac:dyDescent="0.25">
      <c r="D137" s="1218"/>
      <c r="E137" s="1219"/>
      <c r="F137" s="1220"/>
      <c r="G137" s="190"/>
      <c r="O137" s="87"/>
    </row>
    <row r="138" spans="2:15" ht="26.25" customHeight="1" thickBot="1" x14ac:dyDescent="0.25">
      <c r="B138" s="55" t="s">
        <v>127</v>
      </c>
      <c r="D138" s="588" t="str">
        <f>IF(Deutsch,"Parameter","parameter")</f>
        <v>Parameter</v>
      </c>
      <c r="E138" s="585"/>
      <c r="F138" s="586"/>
      <c r="G138" s="616"/>
      <c r="H138" s="675" t="str">
        <f>VLOOKUP(1,Parametrikber!E$276:$X$292,IF(Deutsch,19,20),FALSE)</f>
        <v>Empfehlung Formverfahren</v>
      </c>
      <c r="I138" s="266" t="s">
        <v>285</v>
      </c>
      <c r="J138" s="587"/>
      <c r="K138" s="675" t="str">
        <f>VLOOKUP(1,Parametrikber!H$276:$X$292,IF(Deutsch,16,17),FALSE)</f>
        <v>Empfehlung Formverfahren</v>
      </c>
      <c r="L138" s="266" t="s">
        <v>285</v>
      </c>
      <c r="M138" s="587"/>
      <c r="N138" s="675" t="str">
        <f>VLOOKUP(1,Parametrikber!K$276:$X$292,IF(Deutsch,13,14),FALSE)</f>
        <v>Empfehlung Formverfahren</v>
      </c>
      <c r="O138" s="1189" t="s">
        <v>285</v>
      </c>
    </row>
    <row r="139" spans="2:15" ht="15" thickBot="1" x14ac:dyDescent="0.25">
      <c r="D139" s="142"/>
      <c r="E139" s="94"/>
      <c r="F139" s="89"/>
      <c r="G139" s="617"/>
      <c r="H139" s="692" t="str">
        <f>VLOOKUP(2,Parametrikber!E$276:$X$293,2,FALSE)</f>
        <v>automatisch</v>
      </c>
      <c r="I139" s="87" t="s">
        <v>285</v>
      </c>
      <c r="J139" s="87"/>
      <c r="K139" s="676" t="str">
        <f>VLOOKUP(2,Parametrikber!H$276:$X$293,2,FALSE)</f>
        <v>automatisch</v>
      </c>
      <c r="L139" s="87" t="s">
        <v>285</v>
      </c>
      <c r="M139" s="87"/>
      <c r="N139" s="676" t="str">
        <f>VLOOKUP(2,Parametrikber!K$276:$X$293,2,FALSE)</f>
        <v>automatisch</v>
      </c>
      <c r="O139" s="1192" t="s">
        <v>285</v>
      </c>
    </row>
    <row r="140" spans="2:15" ht="25.5" customHeight="1" thickBot="1" x14ac:dyDescent="0.25">
      <c r="D140" s="588" t="str">
        <f>IF(Deutsch,"Parameter","parameter")</f>
        <v>Parameter</v>
      </c>
      <c r="E140" s="585"/>
      <c r="F140" s="586"/>
      <c r="G140" s="616"/>
      <c r="H140" s="675" t="str">
        <f>VLOOKUP(3,Parametrikber!E$276:$X$292,IF(Deutsch,19,20),FALSE)</f>
        <v>Kastenausnutzung (Volumen)</v>
      </c>
      <c r="I140" s="266" t="s">
        <v>285</v>
      </c>
      <c r="J140" s="587"/>
      <c r="K140" s="675" t="str">
        <f>VLOOKUP(3,Parametrikber!H$276:$X$292,IF(Deutsch,16,17),FALSE)</f>
        <v>Kastenausnutzung (Volumen)</v>
      </c>
      <c r="L140" s="266" t="s">
        <v>285</v>
      </c>
      <c r="M140" s="587"/>
      <c r="N140" s="675" t="str">
        <f>VLOOKUP(3,Parametrikber!K$276:$X$292,IF(Deutsch,13,14),FALSE)</f>
        <v>Kastenausnutzung (Volumen)</v>
      </c>
      <c r="O140" s="1189" t="s">
        <v>285</v>
      </c>
    </row>
    <row r="141" spans="2:15" ht="15" thickBot="1" x14ac:dyDescent="0.25">
      <c r="D141" s="142"/>
      <c r="E141" s="94"/>
      <c r="F141" s="89"/>
      <c r="G141" s="617"/>
      <c r="H141" s="691" t="str">
        <f>VLOOKUP(4,Parametrikber!E$276:$X$293,2,FALSE)</f>
        <v>2%</v>
      </c>
      <c r="I141" s="87" t="s">
        <v>285</v>
      </c>
      <c r="J141" s="87"/>
      <c r="K141" s="691" t="str">
        <f>VLOOKUP(4,Parametrikber!H$276:$X$293,2,FALSE)</f>
        <v>1%</v>
      </c>
      <c r="L141" s="87" t="s">
        <v>285</v>
      </c>
      <c r="M141" s="87"/>
      <c r="N141" s="691" t="str">
        <f>VLOOKUP(4,Parametrikber!K$276:$X$293,2,FALSE)</f>
        <v>1%</v>
      </c>
      <c r="O141" s="1192" t="s">
        <v>285</v>
      </c>
    </row>
    <row r="142" spans="2:15" ht="26.25" customHeight="1" thickBot="1" x14ac:dyDescent="0.25">
      <c r="D142" s="588" t="str">
        <f>IF(Deutsch,"Parameter","parameter")</f>
        <v>Parameter</v>
      </c>
      <c r="E142" s="585"/>
      <c r="F142" s="586"/>
      <c r="G142" s="616"/>
      <c r="H142" s="675" t="str">
        <f>VLOOKUP(5,Parametrikber!E$276:$X$292,IF(Deutsch,19,20),FALSE)</f>
        <v>Anzahl Modelle &gt;1</v>
      </c>
      <c r="I142" s="266" t="s">
        <v>285</v>
      </c>
      <c r="J142" s="587"/>
      <c r="K142" s="675" t="str">
        <f>VLOOKUP(5,Parametrikber!H$276:$X$292,IF(Deutsch,16,17),FALSE)</f>
        <v>Anteil Rüstzeit zu Prod.-Zeit</v>
      </c>
      <c r="L142" s="266" t="s">
        <v>285</v>
      </c>
      <c r="M142" s="587"/>
      <c r="N142" s="675" t="str">
        <f>VLOOKUP(5,Parametrikber!K$276:$X$292,IF(Deutsch,13,14),FALSE)</f>
        <v>Anteil Rüstzeit zu Prod.-Zeit</v>
      </c>
      <c r="O142" s="1189" t="s">
        <v>285</v>
      </c>
    </row>
    <row r="143" spans="2:15" ht="15" thickBot="1" x14ac:dyDescent="0.25">
      <c r="D143" s="142"/>
      <c r="E143" s="94"/>
      <c r="F143" s="89"/>
      <c r="G143" s="617"/>
      <c r="H143" s="676" t="str">
        <f>VLOOKUP(6,Parametrikber!E$276:$X$293,2,FALSE)</f>
        <v>2 WKZ aus Alu</v>
      </c>
      <c r="I143" s="87" t="s">
        <v>285</v>
      </c>
      <c r="J143" s="87"/>
      <c r="K143" s="676" t="str">
        <f>VLOOKUP(6,Parametrikber!H$276:$X$293,2,FALSE)</f>
        <v>45,8 %</v>
      </c>
      <c r="L143" s="87" t="s">
        <v>285</v>
      </c>
      <c r="M143" s="87"/>
      <c r="N143" s="676" t="str">
        <f>VLOOKUP(6,Parametrikber!K$276:$X$293,2,FALSE)</f>
        <v>43,1 %</v>
      </c>
      <c r="O143" s="1192" t="s">
        <v>285</v>
      </c>
    </row>
    <row r="144" spans="2:15" x14ac:dyDescent="0.2">
      <c r="G144" s="67"/>
    </row>
    <row r="145" spans="7:7" x14ac:dyDescent="0.2">
      <c r="G145" s="67"/>
    </row>
    <row r="146" spans="7:7" x14ac:dyDescent="0.2">
      <c r="G146" s="67"/>
    </row>
    <row r="147" spans="7:7" x14ac:dyDescent="0.2">
      <c r="G147" s="67"/>
    </row>
    <row r="148" spans="7:7" x14ac:dyDescent="0.2">
      <c r="G148" s="67"/>
    </row>
    <row r="149" spans="7:7" x14ac:dyDescent="0.2">
      <c r="G149" s="67"/>
    </row>
    <row r="150" spans="7:7" x14ac:dyDescent="0.2">
      <c r="G150" s="67"/>
    </row>
    <row r="151" spans="7:7" x14ac:dyDescent="0.2">
      <c r="G151" s="67"/>
    </row>
    <row r="152" spans="7:7" x14ac:dyDescent="0.2">
      <c r="G152" s="67"/>
    </row>
    <row r="153" spans="7:7" x14ac:dyDescent="0.2">
      <c r="G153" s="67"/>
    </row>
    <row r="154" spans="7:7" x14ac:dyDescent="0.2">
      <c r="G154" s="67"/>
    </row>
    <row r="155" spans="7:7" x14ac:dyDescent="0.2">
      <c r="G155" s="67"/>
    </row>
    <row r="156" spans="7:7" x14ac:dyDescent="0.2">
      <c r="G156" s="67"/>
    </row>
    <row r="157" spans="7:7" x14ac:dyDescent="0.2">
      <c r="G157" s="67"/>
    </row>
    <row r="158" spans="7:7" x14ac:dyDescent="0.2">
      <c r="G158" s="67"/>
    </row>
    <row r="159" spans="7:7" x14ac:dyDescent="0.2">
      <c r="G159" s="67"/>
    </row>
    <row r="160" spans="7:7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6:F137"/>
    <mergeCell ref="D5:F6"/>
    <mergeCell ref="D126:F127"/>
    <mergeCell ref="D28:F29"/>
    <mergeCell ref="D114:F115"/>
    <mergeCell ref="D9:F11"/>
    <mergeCell ref="D7:F7"/>
    <mergeCell ref="D8:F8"/>
    <mergeCell ref="D48:F48"/>
    <mergeCell ref="D107:F108"/>
    <mergeCell ref="D73:F73"/>
    <mergeCell ref="D91:F91"/>
  </mergeCells>
  <phoneticPr fontId="4" type="noConversion"/>
  <conditionalFormatting sqref="N125 K125 H15 H65 H125 K15 N15 H117 K117 N117 H47">
    <cfRule type="expression" dxfId="115" priority="463" stopIfTrue="1">
      <formula>VALUE(H16="Materialdatenbank")</formula>
    </cfRule>
  </conditionalFormatting>
  <conditionalFormatting sqref="H123 K123 N123 K54 N54 H54">
    <cfRule type="expression" dxfId="114" priority="464" stopIfTrue="1">
      <formula>VALUE(H56="Materialdatenbank")</formula>
    </cfRule>
  </conditionalFormatting>
  <conditionalFormatting sqref="N60 K60">
    <cfRule type="expression" dxfId="113" priority="466" stopIfTrue="1">
      <formula>VALUE(K121="Materialdatenbank")</formula>
    </cfRule>
  </conditionalFormatting>
  <conditionalFormatting sqref="H34">
    <cfRule type="expression" dxfId="112" priority="468" stopIfTrue="1">
      <formula>VALUE(H33="Materialdatenbank")</formula>
    </cfRule>
  </conditionalFormatting>
  <conditionalFormatting sqref="H56 K56 N56">
    <cfRule type="expression" dxfId="111" priority="469" stopIfTrue="1">
      <formula>VALUE(#REF!="Materialdatenbank")</formula>
    </cfRule>
  </conditionalFormatting>
  <conditionalFormatting sqref="H60">
    <cfRule type="expression" dxfId="110" priority="470" stopIfTrue="1">
      <formula>VALUE(H121="Materialdatenbank")</formula>
    </cfRule>
  </conditionalFormatting>
  <conditionalFormatting sqref="K76 N76 H76">
    <cfRule type="expression" dxfId="109" priority="471" stopIfTrue="1">
      <formula>VALUE(H66="Materialdatenbank")</formula>
    </cfRule>
  </conditionalFormatting>
  <conditionalFormatting sqref="H124 H94 H33 N94 K124 N124 H88 H109 K88 K109 N87:N88 N109 K94 H96:H97 K96:K97 N96:N97">
    <cfRule type="expression" dxfId="108" priority="472" stopIfTrue="1">
      <formula>VALUE(#REF!="Materialdatenbank")</formula>
    </cfRule>
  </conditionalFormatting>
  <conditionalFormatting sqref="H127:H130 K127:K130 N127:N130 H132 H57 H25 H14 H68 K14 N14 K68 N68 H9:H12 K9:K12 N9:N12 K25 N25 K57 N57 K134 H134 K132 N132 N134">
    <cfRule type="expression" dxfId="107" priority="473" stopIfTrue="1">
      <formula>VALUE(#REF!="Materialdatenbank")</formula>
    </cfRule>
  </conditionalFormatting>
  <conditionalFormatting sqref="H115 K115 N115">
    <cfRule type="expression" dxfId="106" priority="475" stopIfTrue="1">
      <formula>VALUE(#REF!="Materialdatenbank")</formula>
    </cfRule>
  </conditionalFormatting>
  <conditionalFormatting sqref="H42">
    <cfRule type="expression" dxfId="105" priority="476" stopIfTrue="1">
      <formula>VALUE(#REF!="Materialdatenbank")</formula>
    </cfRule>
  </conditionalFormatting>
  <conditionalFormatting sqref="H37">
    <cfRule type="expression" dxfId="104" priority="477" stopIfTrue="1">
      <formula>VALUE(#REF!="Materialdatenbank")</formula>
    </cfRule>
  </conditionalFormatting>
  <conditionalFormatting sqref="K2:K4 N2:N4 W4 H2:H4">
    <cfRule type="cellIs" dxfId="103" priority="478" operator="equal">
      <formula>FALSE</formula>
    </cfRule>
  </conditionalFormatting>
  <conditionalFormatting sqref="H17">
    <cfRule type="expression" dxfId="102" priority="479" stopIfTrue="1">
      <formula>VALUE(H24="Materialdatenbank")</formula>
    </cfRule>
  </conditionalFormatting>
  <conditionalFormatting sqref="H20">
    <cfRule type="expression" dxfId="101" priority="459" stopIfTrue="1">
      <formula>VALUE(H26="Materialdatenbank")</formula>
    </cfRule>
  </conditionalFormatting>
  <conditionalFormatting sqref="H21">
    <cfRule type="expression" dxfId="100" priority="458" stopIfTrue="1">
      <formula>VALUE(H25="Materialdatenbank")</formula>
    </cfRule>
  </conditionalFormatting>
  <conditionalFormatting sqref="K17">
    <cfRule type="expression" dxfId="99" priority="431" stopIfTrue="1">
      <formula>VALUE(K24="Materialdatenbank")</formula>
    </cfRule>
  </conditionalFormatting>
  <conditionalFormatting sqref="H105 H103 K105 K103 N105 N103">
    <cfRule type="expression" dxfId="98" priority="442" stopIfTrue="1">
      <formula>VALUE(#REF!="Materialdatenbank")</formula>
    </cfRule>
  </conditionalFormatting>
  <conditionalFormatting sqref="H36">
    <cfRule type="expression" dxfId="97" priority="480" stopIfTrue="1">
      <formula>VALUE(#REF!="Materialdatenbank")</formula>
    </cfRule>
  </conditionalFormatting>
  <conditionalFormatting sqref="H40">
    <cfRule type="expression" dxfId="96" priority="486" stopIfTrue="1">
      <formula>VALUE(H34="Materialdatenbank")</formula>
    </cfRule>
  </conditionalFormatting>
  <conditionalFormatting sqref="N17">
    <cfRule type="expression" dxfId="95" priority="430" stopIfTrue="1">
      <formula>VALUE(N24="Materialdatenbank")</formula>
    </cfRule>
  </conditionalFormatting>
  <conditionalFormatting sqref="H39 K39">
    <cfRule type="expression" dxfId="94" priority="415" stopIfTrue="1">
      <formula>VALUE(H47="Materialdatenbank")</formula>
    </cfRule>
  </conditionalFormatting>
  <conditionalFormatting sqref="K40">
    <cfRule type="expression" dxfId="93" priority="421" stopIfTrue="1">
      <formula>VALUE(K34="Materialdatenbank")</formula>
    </cfRule>
  </conditionalFormatting>
  <conditionalFormatting sqref="N40">
    <cfRule type="expression" dxfId="92" priority="413" stopIfTrue="1">
      <formula>VALUE(N34="Materialdatenbank")</formula>
    </cfRule>
  </conditionalFormatting>
  <conditionalFormatting sqref="K42">
    <cfRule type="expression" dxfId="91" priority="371" stopIfTrue="1">
      <formula>VALUE(#REF!="Materialdatenbank")</formula>
    </cfRule>
  </conditionalFormatting>
  <conditionalFormatting sqref="N42">
    <cfRule type="expression" dxfId="90" priority="370" stopIfTrue="1">
      <formula>VALUE(#REF!="Materialdatenbank")</formula>
    </cfRule>
  </conditionalFormatting>
  <conditionalFormatting sqref="K65">
    <cfRule type="expression" dxfId="89" priority="363" stopIfTrue="1">
      <formula>VALUE(K66="Materialdatenbank")</formula>
    </cfRule>
  </conditionalFormatting>
  <conditionalFormatting sqref="N65">
    <cfRule type="expression" dxfId="88" priority="361" stopIfTrue="1">
      <formula>VALUE(N66="Materialdatenbank")</formula>
    </cfRule>
  </conditionalFormatting>
  <conditionalFormatting sqref="K139">
    <cfRule type="expression" dxfId="87" priority="245" stopIfTrue="1">
      <formula>K139=" "</formula>
    </cfRule>
  </conditionalFormatting>
  <conditionalFormatting sqref="K138">
    <cfRule type="expression" dxfId="86" priority="244" stopIfTrue="1">
      <formula>K138=" "</formula>
    </cfRule>
  </conditionalFormatting>
  <conditionalFormatting sqref="N138">
    <cfRule type="expression" dxfId="85" priority="231" stopIfTrue="1">
      <formula>N138=" "</formula>
    </cfRule>
  </conditionalFormatting>
  <conditionalFormatting sqref="K143">
    <cfRule type="expression" dxfId="84" priority="240" stopIfTrue="1">
      <formula>K143=" "</formula>
    </cfRule>
  </conditionalFormatting>
  <conditionalFormatting sqref="N141">
    <cfRule type="expression" dxfId="83" priority="230" stopIfTrue="1">
      <formula>N141=" "</formula>
    </cfRule>
  </conditionalFormatting>
  <conditionalFormatting sqref="H139">
    <cfRule type="expression" dxfId="82" priority="238" stopIfTrue="1">
      <formula>H139=" "</formula>
    </cfRule>
  </conditionalFormatting>
  <conditionalFormatting sqref="H138">
    <cfRule type="expression" dxfId="81" priority="237" stopIfTrue="1">
      <formula>H138=" "</formula>
    </cfRule>
  </conditionalFormatting>
  <conditionalFormatting sqref="H143">
    <cfRule type="expression" dxfId="80" priority="234" stopIfTrue="1">
      <formula>H143=" "</formula>
    </cfRule>
  </conditionalFormatting>
  <conditionalFormatting sqref="N139">
    <cfRule type="expression" dxfId="79" priority="232" stopIfTrue="1">
      <formula>N139=" "</formula>
    </cfRule>
  </conditionalFormatting>
  <conditionalFormatting sqref="N143">
    <cfRule type="expression" dxfId="78" priority="228" stopIfTrue="1">
      <formula>N143=" "</formula>
    </cfRule>
  </conditionalFormatting>
  <conditionalFormatting sqref="H22">
    <cfRule type="expression" dxfId="77" priority="208" stopIfTrue="1">
      <formula>VALUE(H124="Materialdatenbank")</formula>
    </cfRule>
  </conditionalFormatting>
  <conditionalFormatting sqref="K22">
    <cfRule type="expression" dxfId="76" priority="197" stopIfTrue="1">
      <formula>VALUE(K124="Materialdatenbank")</formula>
    </cfRule>
  </conditionalFormatting>
  <conditionalFormatting sqref="N22">
    <cfRule type="expression" dxfId="75" priority="196" stopIfTrue="1">
      <formula>VALUE(N124="Materialdatenbank")</formula>
    </cfRule>
  </conditionalFormatting>
  <conditionalFormatting sqref="H140">
    <cfRule type="expression" dxfId="74" priority="191" stopIfTrue="1">
      <formula>H140=" "</formula>
    </cfRule>
  </conditionalFormatting>
  <conditionalFormatting sqref="H142">
    <cfRule type="expression" dxfId="73" priority="190" stopIfTrue="1">
      <formula>H142=" "</formula>
    </cfRule>
  </conditionalFormatting>
  <conditionalFormatting sqref="K140">
    <cfRule type="expression" dxfId="72" priority="189" stopIfTrue="1">
      <formula>K140=" "</formula>
    </cfRule>
  </conditionalFormatting>
  <conditionalFormatting sqref="K142">
    <cfRule type="expression" dxfId="71" priority="188" stopIfTrue="1">
      <formula>K142=" "</formula>
    </cfRule>
  </conditionalFormatting>
  <conditionalFormatting sqref="N140">
    <cfRule type="expression" dxfId="70" priority="187" stopIfTrue="1">
      <formula>N140=" "</formula>
    </cfRule>
  </conditionalFormatting>
  <conditionalFormatting sqref="N142">
    <cfRule type="expression" dxfId="69" priority="186" stopIfTrue="1">
      <formula>N142=" "</formula>
    </cfRule>
  </conditionalFormatting>
  <conditionalFormatting sqref="H104 K104 N104">
    <cfRule type="expression" dxfId="68" priority="179" stopIfTrue="1">
      <formula>VALUE(#REF!="Materialdatenbank")</formula>
    </cfRule>
  </conditionalFormatting>
  <conditionalFormatting sqref="H141">
    <cfRule type="expression" dxfId="67" priority="171" stopIfTrue="1">
      <formula>H141=" "</formula>
    </cfRule>
  </conditionalFormatting>
  <conditionalFormatting sqref="K141">
    <cfRule type="expression" dxfId="66" priority="169" stopIfTrue="1">
      <formula>K141=" "</formula>
    </cfRule>
  </conditionalFormatting>
  <conditionalFormatting sqref="H99 K99 N99">
    <cfRule type="expression" dxfId="65" priority="163" stopIfTrue="1">
      <formula>VALUE(#REF!="Materialdatenbank")</formula>
    </cfRule>
  </conditionalFormatting>
  <conditionalFormatting sqref="H101 K101 N101">
    <cfRule type="expression" dxfId="64" priority="162" stopIfTrue="1">
      <formula>VALUE(#REF!="Materialdatenbank")</formula>
    </cfRule>
  </conditionalFormatting>
  <conditionalFormatting sqref="K33">
    <cfRule type="expression" dxfId="63" priority="157" stopIfTrue="1">
      <formula>VALUE(#REF!="Materialdatenbank")</formula>
    </cfRule>
  </conditionalFormatting>
  <conditionalFormatting sqref="N33">
    <cfRule type="expression" dxfId="62" priority="155" stopIfTrue="1">
      <formula>VALUE(#REF!="Materialdatenbank")</formula>
    </cfRule>
  </conditionalFormatting>
  <conditionalFormatting sqref="K37 N37">
    <cfRule type="expression" dxfId="61" priority="147" stopIfTrue="1">
      <formula>VALUE(#REF!="Materialdatenbank")</formula>
    </cfRule>
  </conditionalFormatting>
  <conditionalFormatting sqref="K34">
    <cfRule type="expression" dxfId="60" priority="144" stopIfTrue="1">
      <formula>VALUE(K33="Materialdatenbank")</formula>
    </cfRule>
  </conditionalFormatting>
  <conditionalFormatting sqref="N34">
    <cfRule type="expression" dxfId="59" priority="143" stopIfTrue="1">
      <formula>VALUE(N33="Materialdatenbank")</formula>
    </cfRule>
  </conditionalFormatting>
  <conditionalFormatting sqref="H45">
    <cfRule type="expression" dxfId="58" priority="138" stopIfTrue="1">
      <formula>VALUE(#REF!="Materialdatenbank")</formula>
    </cfRule>
  </conditionalFormatting>
  <conditionalFormatting sqref="H43">
    <cfRule type="expression" dxfId="57" priority="139" stopIfTrue="1">
      <formula>VALUE(H37="Materialdatenbank")</formula>
    </cfRule>
  </conditionalFormatting>
  <conditionalFormatting sqref="K43">
    <cfRule type="expression" dxfId="56" priority="117" stopIfTrue="1">
      <formula>VALUE(K37="Materialdatenbank")</formula>
    </cfRule>
  </conditionalFormatting>
  <conditionalFormatting sqref="N43">
    <cfRule type="expression" dxfId="55" priority="116" stopIfTrue="1">
      <formula>VALUE(N37="Materialdatenbank")</formula>
    </cfRule>
  </conditionalFormatting>
  <conditionalFormatting sqref="K21">
    <cfRule type="expression" dxfId="54" priority="102" stopIfTrue="1">
      <formula>VALUE(K25="Materialdatenbank")</formula>
    </cfRule>
  </conditionalFormatting>
  <conditionalFormatting sqref="N21">
    <cfRule type="expression" dxfId="53" priority="101" stopIfTrue="1">
      <formula>VALUE(N25="Materialdatenbank")</formula>
    </cfRule>
  </conditionalFormatting>
  <conditionalFormatting sqref="K108 H108 N108">
    <cfRule type="expression" dxfId="52" priority="89" stopIfTrue="1">
      <formula>VALUE(H111="Materialdatenbank")</formula>
    </cfRule>
  </conditionalFormatting>
  <conditionalFormatting sqref="H26 K26 N26">
    <cfRule type="expression" dxfId="51" priority="488" stopIfTrue="1">
      <formula>VALUE(#REF!="Materialdatenbank")</formula>
    </cfRule>
  </conditionalFormatting>
  <conditionalFormatting sqref="H18 N18 K18">
    <cfRule type="expression" dxfId="50" priority="86" stopIfTrue="1">
      <formula>VALUE(H21="Materialdatenbank")</formula>
    </cfRule>
  </conditionalFormatting>
  <conditionalFormatting sqref="H23">
    <cfRule type="expression" dxfId="49" priority="85" stopIfTrue="1">
      <formula>VALUE(H27="Materialdatenbank")</formula>
    </cfRule>
  </conditionalFormatting>
  <conditionalFormatting sqref="H19">
    <cfRule type="expression" dxfId="48" priority="72" stopIfTrue="1">
      <formula>VALUE(#REF!="Materialdatenbank")</formula>
    </cfRule>
  </conditionalFormatting>
  <conditionalFormatting sqref="K19 N19">
    <cfRule type="expression" dxfId="47" priority="71" stopIfTrue="1">
      <formula>VALUE(#REF!="Materialdatenbank")</formula>
    </cfRule>
  </conditionalFormatting>
  <conditionalFormatting sqref="K20 N20">
    <cfRule type="expression" dxfId="46" priority="70" stopIfTrue="1">
      <formula>VALUE(K26="Materialdatenbank")</formula>
    </cfRule>
  </conditionalFormatting>
  <conditionalFormatting sqref="K23 N23">
    <cfRule type="expression" dxfId="45" priority="69" stopIfTrue="1">
      <formula>VALUE(K27="Materialdatenbank")</formula>
    </cfRule>
  </conditionalFormatting>
  <conditionalFormatting sqref="K45">
    <cfRule type="expression" dxfId="44" priority="68" stopIfTrue="1">
      <formula>VALUE(#REF!="Materialdatenbank")</formula>
    </cfRule>
  </conditionalFormatting>
  <conditionalFormatting sqref="N45">
    <cfRule type="expression" dxfId="43" priority="67" stopIfTrue="1">
      <formula>VALUE(#REF!="Materialdatenbank")</formula>
    </cfRule>
  </conditionalFormatting>
  <conditionalFormatting sqref="K36 N36">
    <cfRule type="expression" dxfId="42" priority="64" stopIfTrue="1">
      <formula>VALUE(#REF!="Materialdatenbank")</formula>
    </cfRule>
  </conditionalFormatting>
  <conditionalFormatting sqref="N39">
    <cfRule type="expression" dxfId="41" priority="63" stopIfTrue="1">
      <formula>VALUE(N47="Materialdatenbank")</formula>
    </cfRule>
  </conditionalFormatting>
  <conditionalFormatting sqref="K90 N90 H90">
    <cfRule type="expression" dxfId="40" priority="495" stopIfTrue="1">
      <formula>VALUE(H65="Materialdatenbank")</formula>
    </cfRule>
  </conditionalFormatting>
  <conditionalFormatting sqref="H64 K64 N64">
    <cfRule type="expression" dxfId="39" priority="507" stopIfTrue="1">
      <formula>VALUE(H53="Materialdatenbank")</formula>
    </cfRule>
  </conditionalFormatting>
  <conditionalFormatting sqref="H86 K86 N86">
    <cfRule type="expression" dxfId="38" priority="509" stopIfTrue="1">
      <formula>VALUE(H63="Materialdatenbank")</formula>
    </cfRule>
  </conditionalFormatting>
  <conditionalFormatting sqref="K66 N66 H66 N69">
    <cfRule type="expression" dxfId="37" priority="57" stopIfTrue="1">
      <formula>VALUE(H125="Materialdatenbank")</formula>
    </cfRule>
  </conditionalFormatting>
  <conditionalFormatting sqref="H118 K118 N118">
    <cfRule type="expression" dxfId="36" priority="511" stopIfTrue="1">
      <formula>VALUE(#REF!="Materialdatenbank")</formula>
    </cfRule>
  </conditionalFormatting>
  <conditionalFormatting sqref="N119">
    <cfRule type="expression" dxfId="35" priority="534" stopIfTrue="1">
      <formula>VALUE(N106="Materialdatenbank")</formula>
    </cfRule>
  </conditionalFormatting>
  <conditionalFormatting sqref="K111 N111 H111">
    <cfRule type="expression" dxfId="34" priority="535" stopIfTrue="1">
      <formula>VALUE(H70="Materialdatenbank")</formula>
    </cfRule>
  </conditionalFormatting>
  <conditionalFormatting sqref="K47">
    <cfRule type="expression" dxfId="33" priority="49" stopIfTrue="1">
      <formula>VALUE(K48="Materialdatenbank")</formula>
    </cfRule>
  </conditionalFormatting>
  <conditionalFormatting sqref="N47">
    <cfRule type="expression" dxfId="32" priority="48" stopIfTrue="1">
      <formula>VALUE(N48="Materialdatenbank")</formula>
    </cfRule>
  </conditionalFormatting>
  <conditionalFormatting sqref="H72">
    <cfRule type="expression" dxfId="31" priority="40" stopIfTrue="1">
      <formula>VALUE(H68="Materialdatenbank")</formula>
    </cfRule>
  </conditionalFormatting>
  <conditionalFormatting sqref="H119">
    <cfRule type="expression" dxfId="30" priority="37" stopIfTrue="1">
      <formula>VALUE(H106="Materialdatenbank")</formula>
    </cfRule>
  </conditionalFormatting>
  <conditionalFormatting sqref="H122">
    <cfRule type="expression" dxfId="29" priority="36" stopIfTrue="1">
      <formula>VALUE(H109="Materialdatenbank")</formula>
    </cfRule>
  </conditionalFormatting>
  <conditionalFormatting sqref="K119">
    <cfRule type="expression" dxfId="28" priority="34" stopIfTrue="1">
      <formula>VALUE(K106="Materialdatenbank")</formula>
    </cfRule>
  </conditionalFormatting>
  <conditionalFormatting sqref="N71 K71 H71">
    <cfRule type="expression" dxfId="27" priority="540" stopIfTrue="1">
      <formula>VALUE(#REF!="Materialdatenbank")</formula>
    </cfRule>
  </conditionalFormatting>
  <conditionalFormatting sqref="H112">
    <cfRule type="expression" dxfId="26" priority="32" stopIfTrue="1">
      <formula>VALUE(H115="Materialdatenbank")</formula>
    </cfRule>
  </conditionalFormatting>
  <conditionalFormatting sqref="K112 N112">
    <cfRule type="expression" dxfId="25" priority="31" stopIfTrue="1">
      <formula>VALUE(K115="Materialdatenbank")</formula>
    </cfRule>
  </conditionalFormatting>
  <conditionalFormatting sqref="H85 K85 N85">
    <cfRule type="expression" dxfId="24" priority="564" stopIfTrue="1">
      <formula>VALUE(H64="Materialdatenbank")</formula>
    </cfRule>
  </conditionalFormatting>
  <conditionalFormatting sqref="H106 K106 N106">
    <cfRule type="expression" dxfId="23" priority="569" stopIfTrue="1">
      <formula>VALUE(H76="Materialdatenbank")</formula>
    </cfRule>
  </conditionalFormatting>
  <conditionalFormatting sqref="H77 N77">
    <cfRule type="expression" dxfId="22" priority="30" stopIfTrue="1">
      <formula>VALUE(H60="Materialdatenbank")</formula>
    </cfRule>
  </conditionalFormatting>
  <conditionalFormatting sqref="K77">
    <cfRule type="expression" dxfId="21" priority="29" stopIfTrue="1">
      <formula>VALUE(K60="Materialdatenbank")</formula>
    </cfRule>
  </conditionalFormatting>
  <conditionalFormatting sqref="H84 N84">
    <cfRule type="expression" dxfId="20" priority="26" stopIfTrue="1">
      <formula>VALUE(H64="Materialdatenbank")</formula>
    </cfRule>
  </conditionalFormatting>
  <conditionalFormatting sqref="K84">
    <cfRule type="expression" dxfId="19" priority="18" stopIfTrue="1">
      <formula>VALUE(K64="Materialdatenbank")</formula>
    </cfRule>
  </conditionalFormatting>
  <conditionalFormatting sqref="H69">
    <cfRule type="expression" dxfId="18" priority="16" stopIfTrue="1">
      <formula>VALUE(H128="Materialdatenbank")</formula>
    </cfRule>
  </conditionalFormatting>
  <conditionalFormatting sqref="K69">
    <cfRule type="expression" dxfId="17" priority="15" stopIfTrue="1">
      <formula>VALUE(K128="Materialdatenbank")</formula>
    </cfRule>
  </conditionalFormatting>
  <conditionalFormatting sqref="K72 N72">
    <cfRule type="expression" dxfId="16" priority="14" stopIfTrue="1">
      <formula>VALUE(K68="Materialdatenbank")</formula>
    </cfRule>
  </conditionalFormatting>
  <conditionalFormatting sqref="K122 N122">
    <cfRule type="expression" dxfId="15" priority="13" stopIfTrue="1">
      <formula>VALUE(K109="Materialdatenbank")</formula>
    </cfRule>
  </conditionalFormatting>
  <conditionalFormatting sqref="H133 K133 N133">
    <cfRule type="expression" dxfId="14" priority="12" stopIfTrue="1">
      <formula>VALUE(#REF!="Materialdatenbank")</formula>
    </cfRule>
  </conditionalFormatting>
  <conditionalFormatting sqref="H79">
    <cfRule type="expression" dxfId="13" priority="11" stopIfTrue="1">
      <formula>VALUE(H62="Materialdatenbank")</formula>
    </cfRule>
  </conditionalFormatting>
  <conditionalFormatting sqref="K79">
    <cfRule type="expression" dxfId="12" priority="10" stopIfTrue="1">
      <formula>VALUE(K62="Materialdatenbank")</formula>
    </cfRule>
  </conditionalFormatting>
  <conditionalFormatting sqref="N79">
    <cfRule type="expression" dxfId="11" priority="9" stopIfTrue="1">
      <formula>VALUE(N62="Materialdatenbank")</formula>
    </cfRule>
  </conditionalFormatting>
  <conditionalFormatting sqref="H81">
    <cfRule type="expression" dxfId="10" priority="8" stopIfTrue="1">
      <formula>VALUE(H64="Materialdatenbank")</formula>
    </cfRule>
  </conditionalFormatting>
  <conditionalFormatting sqref="K81">
    <cfRule type="expression" dxfId="9" priority="7" stopIfTrue="1">
      <formula>VALUE(K64="Materialdatenbank")</formula>
    </cfRule>
  </conditionalFormatting>
  <conditionalFormatting sqref="N81">
    <cfRule type="expression" dxfId="8" priority="6" stopIfTrue="1">
      <formula>VALUE(N64="Materialdatenbank")</formula>
    </cfRule>
  </conditionalFormatting>
  <conditionalFormatting sqref="H93">
    <cfRule type="expression" dxfId="7" priority="5" stopIfTrue="1">
      <formula>VALUE(#REF!="Materialdatenbank")</formula>
    </cfRule>
  </conditionalFormatting>
  <conditionalFormatting sqref="K93">
    <cfRule type="expression" dxfId="6" priority="4" stopIfTrue="1">
      <formula>VALUE(#REF!="Materialdatenbank")</formula>
    </cfRule>
  </conditionalFormatting>
  <conditionalFormatting sqref="H87">
    <cfRule type="expression" dxfId="1" priority="2" stopIfTrue="1">
      <formula>VALUE(H64="Materialdatenbank")</formula>
    </cfRule>
  </conditionalFormatting>
  <conditionalFormatting sqref="K87">
    <cfRule type="expression" dxfId="0" priority="1" stopIfTrue="1">
      <formula>VALUE(K64="Materialdatenbank")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03 N103 H103" xr:uid="{00000000-0002-0000-0300-000005000000}">
      <formula1>0</formula1>
      <formula2>1</formula2>
    </dataValidation>
    <dataValidation type="decimal" allowBlank="1" showInputMessage="1" showErrorMessage="1" sqref="H104 K104 N104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0:N100 H94:M96 H102:N104 H101:M101 H107:N107 H105:M105 H106:M106 H125:N125 H108:M124 I93:J93 I99:J99 L99:M99 H98:J98 I97:J97 L93:M93 L98:M98 L97:M97" unlockedFormula="1"/>
    <ignoredError sqref="N89:N92 H128:N134 N138:N143 N8:N16 N83:N86 N20:N81" evalError="1"/>
    <ignoredError sqref="N93:N96 N101 N105:N106 N108:N124 H126:N127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N97 H97 K97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K31 N31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5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50" t="s">
        <v>1001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51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51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51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51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51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51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4" priority="3">
      <formula>#REF!</formula>
    </cfRule>
  </conditionalFormatting>
  <conditionalFormatting sqref="E2:H14">
    <cfRule type="expression" dxfId="3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IFERROR(IF(Refkalkulation!H$110=0,SUM(F$9:F$12),Refkalkulation!H$110),0)</f>
        <v>0.1</v>
      </c>
      <c r="G8" s="7"/>
      <c r="H8" s="7"/>
      <c r="I8" s="657">
        <f>IFERROR(IF(Refkalkulation!K$110=0,SUM(I$9:I$12),Refkalkulation!K$110),0)</f>
        <v>0.1</v>
      </c>
      <c r="J8" s="7"/>
      <c r="K8" s="7"/>
      <c r="L8" s="657">
        <f>IFERROR(IF(Refkalkulation!N$110=0,SUM(L$9:L$12),Refkalkulation!N$110),0)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IFERROR(IF(Refkalkulation!H$120=0,'Länder-DB'!$I$25*F$14,Refkalkulation!H$120),0)</f>
        <v>0</v>
      </c>
      <c r="G13" s="7"/>
      <c r="H13" s="7"/>
      <c r="I13" s="657">
        <f>IFERROR(IF(Refkalkulation!K$120=0,'Länder-DB'!$I$25*I$14,Refkalkulation!K$120),0)</f>
        <v>0</v>
      </c>
      <c r="J13" s="7"/>
      <c r="K13" s="7"/>
      <c r="L13" s="657">
        <f>IFERROR(IF(Refkalkulation!N$120=0,'Länder-DB'!$I$25*L$14,Refkalkulation!N$120),0)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IFERROR(IF(Refkalkulation!H$121=0,SUM(F$16:F$18),Refkalkulation!H$121),0)</f>
        <v>0.08</v>
      </c>
      <c r="G15" s="7"/>
      <c r="H15" s="7"/>
      <c r="I15" s="657">
        <f>IFERROR(IF(Refkalkulation!K$121=0,SUM(I$16:I$18),Refkalkulation!K$121),0)</f>
        <v>0.09</v>
      </c>
      <c r="J15" s="7"/>
      <c r="K15" s="7"/>
      <c r="L15" s="657">
        <f>IFERROR(IF(Refkalkulation!N$121=0,SUM(L$16:L$18),Refkalkulation!N$121),0)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IFERROR(IF(Refkalkulation!H$92=0,ROUND(F$171*(1+F$172+F$173+F$174),1),Refkalkulation!H$92),0)</f>
        <v>400</v>
      </c>
      <c r="G170" s="419"/>
      <c r="H170" s="420"/>
      <c r="I170" s="639">
        <f>IFERROR(IF(Refkalkulation!K$92=0,ROUND(I$171*(1+I$172+I$173+I$174),1),Refkalkulation!K$92),0)</f>
        <v>300</v>
      </c>
      <c r="J170" s="419"/>
      <c r="K170" s="420"/>
      <c r="L170" s="639">
        <f>IFERROR(IF(Refkalkulation!N$92=0,ROUND(L$171*(1+L$172+L$173+L$174),1),Refkalkulation!N$92),0)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IFERROR(IF(OR(Refkalkulation!H$96=0,F$247=0),F$247,Refkalkulation!H$96),0)</f>
        <v>0.41742621527777779</v>
      </c>
      <c r="G175" s="436"/>
      <c r="H175" s="420"/>
      <c r="I175" s="645">
        <f>IFERROR(IF(OR(Refkalkulation!K$96=0,I$247=0),I$247,Refkalkulation!K$96),0)</f>
        <v>0.30864583333333334</v>
      </c>
      <c r="J175" s="436"/>
      <c r="K175" s="420"/>
      <c r="L175" s="645">
        <f>IFERROR(IF(OR(Refkalkulation!N$96=0,L$247=0),L$247,Refkalkulation!N$96),0)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IFERROR(IF(OR(Refkalkulation!H$99=0,F$250=0),F250,Refkalkulation!H$99),0)</f>
        <v>0.37082465277777776</v>
      </c>
      <c r="G176" s="436"/>
      <c r="H176" s="420"/>
      <c r="I176" s="645">
        <f>IFERROR(IF(OR(Refkalkulation!K$99=0,I$250=0),I250,Refkalkulation!K$99),0)</f>
        <v>0.34611111111111109</v>
      </c>
      <c r="J176" s="436"/>
      <c r="K176" s="420"/>
      <c r="L176" s="645">
        <f>IFERROR(IF(OR(Refkalkulation!N$99=0,L$250=0),L250,Refkalkulation!N$99),0)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IFERROR(IF(OR(Refkalkulation!H$101=0,F$178=0),ROUND(F178*(1+F179),2),Refkalkulation!H$101),0)</f>
        <v>1.8357928240740744</v>
      </c>
      <c r="G177" s="436"/>
      <c r="H177" s="420"/>
      <c r="I177" s="645">
        <f>IFERROR(IF(OR(Refkalkulation!K$101=0,I$178=0),ROUND(I178*(1+I179),2),Refkalkulation!K$101),0)</f>
        <v>1.7619212962962969</v>
      </c>
      <c r="J177" s="436"/>
      <c r="K177" s="420"/>
      <c r="L177" s="645">
        <f>IFERROR(IF(OR(Refkalkulation!N$101=0,L$178=0),ROUND(L178*(1+L179),2),Refkalkulation!N$101),0)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IF(OR(Refkalkulation!H$87=0,F181=1),ROUND(IF(F$181&gt;2,F$182*F$183+F$184/60*F$20/F186/'Quick Input'!M$19+F$185,0),3),Refkalkulation!H$87)</f>
        <v>0.7</v>
      </c>
      <c r="G180" s="436"/>
      <c r="H180" s="420"/>
      <c r="I180" s="943">
        <f>IF(OR(Refkalkulation!K$87=0,I181=1),ROUND(IF(I$181&gt;2,I$182*I$183+I$184/60*I$20/I186/'Quick Input'!P$19+I$185,0),3),Refkalkulation!K$87)</f>
        <v>0.4</v>
      </c>
      <c r="J180" s="436"/>
      <c r="K180" s="420"/>
      <c r="L180" s="943">
        <f>IF(OR(Refkalkulation!N$87=0,L181=1),ROUND(IF(L$181&gt;2,L$182*L$183+L$184/60*L$20/L186/'Quick Input'!S$19+L$185,0),3),Refkalkulation!N$87)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Input'!M$33=Auswahlfelder!$D$61),Refkalkulation!H$88,0)</f>
        <v>0</v>
      </c>
      <c r="G190" s="446"/>
      <c r="H190" s="447"/>
      <c r="I190" s="344">
        <f>IF(AND('Quick Input'!P$32&lt;&gt;Auswahlfelder!$D$41,'Quick Input'!P$33=Auswahlfelder!$D$61),Refkalkulation!K$88,0)</f>
        <v>0</v>
      </c>
      <c r="J190" s="446"/>
      <c r="K190" s="447"/>
      <c r="L190" s="344">
        <f>IF(AND('Quick Input'!S$32&lt;&gt;Auswahlfelder!$D$41,'Quick Input'!S$33=Auswahlfelder!$D$61),Refkalkulation!N$88,0)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Refkalkulation!H$92/3600*Refkalkulation!H$94</f>
        <v>3.726188333333333</v>
      </c>
      <c r="G191" s="423"/>
      <c r="H191" s="424"/>
      <c r="I191" s="344">
        <f>Refkalkulation!K$92/3600*Refkalkulation!K$94</f>
        <v>0.83400899999999978</v>
      </c>
      <c r="J191" s="423"/>
      <c r="K191" s="424"/>
      <c r="L191" s="344">
        <f>Refkalkulation!N$92/3600*Refkalkulation!N$94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IFERROR(IF(Refkalkulation!H$89=0,F201+F202+F203,Refkalkulation!H$89),0)</f>
        <v>0.02</v>
      </c>
      <c r="G200" s="926"/>
      <c r="H200" s="927"/>
      <c r="I200" s="925">
        <f>IFERROR(IF(Refkalkulation!K$89=0,I201+I202+I203,Refkalkulation!K$89),0)</f>
        <v>0.02</v>
      </c>
      <c r="J200" s="926"/>
      <c r="K200" s="927"/>
      <c r="L200" s="925">
        <f>IFERROR(IF(Refkalkulation!N$89=0,L201+L202+L203,Refkalkulation!N$89),0)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IF(Refkalkulation!H$116=0,'Länder-DB'!$I$33,Refkalkulation!H$116)</f>
        <v>0.12</v>
      </c>
      <c r="G204" s="7"/>
      <c r="H204" s="7"/>
      <c r="I204" s="657">
        <f>IF(Refkalkulation!K$116=0,'Länder-DB'!$I$33,Refkalkulation!K$116)</f>
        <v>0.12</v>
      </c>
      <c r="J204" s="7"/>
      <c r="K204" s="7"/>
      <c r="L204" s="657">
        <f>IF(Refkalkulation!N$116=0,'Länder-DB'!$I$33,Refkalkulation!N$116)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DBABD01E-5FC4-4F1D-931B-FB226471F2FF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2021-11-02T15:00:08Z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
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6825877B-4FE0-4A06-A379-DB773E9E8485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7" i="7" l="1"/>
  <c r="D96" i="7"/>
  <c r="H84" i="7"/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86" i="7" l="1"/>
  <c r="D82" i="7"/>
  <c r="D79" i="7"/>
  <c r="D85" i="7"/>
  <c r="D108" i="7"/>
  <c r="D107" i="7"/>
  <c r="D101" i="7"/>
  <c r="D105" i="7"/>
  <c r="D99" i="7"/>
  <c r="D104" i="7"/>
  <c r="D100" i="7"/>
  <c r="D103" i="7"/>
  <c r="I28" i="3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1" i="7" s="1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C23" i="24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1" i="7"/>
  <c r="L239" i="15"/>
  <c r="N81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4" i="7" s="1"/>
  <c r="N85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4" i="7" s="1"/>
  <c r="K85" i="7" s="1"/>
  <c r="F246" i="15"/>
  <c r="F243" i="15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5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105" i="7" s="1"/>
  <c r="H104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N86" i="7" l="1"/>
  <c r="N105" i="7"/>
  <c r="N104" i="7" s="1"/>
  <c r="P71" i="3"/>
  <c r="O71" i="3" s="1"/>
  <c r="K105" i="7"/>
  <c r="K97" i="7"/>
  <c r="K96" i="7" s="1"/>
  <c r="H91" i="7"/>
  <c r="M71" i="3"/>
  <c r="L71" i="3" s="1"/>
  <c r="H97" i="7"/>
  <c r="H96" i="7" s="1"/>
  <c r="H86" i="7"/>
  <c r="H85" i="7" s="1"/>
  <c r="K86" i="7"/>
  <c r="K101" i="7"/>
  <c r="N101" i="7"/>
  <c r="N100" i="7" s="1"/>
  <c r="N97" i="7"/>
  <c r="N96" i="7" s="1"/>
  <c r="H108" i="7"/>
  <c r="M75" i="3"/>
  <c r="L75" i="3" s="1"/>
  <c r="N108" i="7"/>
  <c r="K108" i="7"/>
  <c r="R74" i="3"/>
  <c r="R75" i="3"/>
  <c r="H101" i="7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R76" i="3" l="1"/>
  <c r="N107" i="7"/>
  <c r="M76" i="3"/>
  <c r="L76" i="3" s="1"/>
  <c r="H107" i="7"/>
  <c r="P76" i="3"/>
  <c r="O76" i="3" s="1"/>
  <c r="K107" i="7"/>
  <c r="P75" i="3"/>
  <c r="O75" i="3" s="1"/>
  <c r="K104" i="7"/>
  <c r="M74" i="3"/>
  <c r="L74" i="3" s="1"/>
  <c r="H100" i="7"/>
  <c r="P74" i="3"/>
  <c r="O74" i="3" s="1"/>
  <c r="K100" i="7"/>
  <c r="H83" i="7"/>
  <c r="H82" i="7" s="1"/>
  <c r="H80" i="7"/>
  <c r="H79" i="7" s="1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H87" i="7" l="1"/>
  <c r="N83" i="7"/>
  <c r="N82" i="7" s="1"/>
  <c r="N80" i="7"/>
  <c r="N79" i="7" s="1"/>
  <c r="K83" i="7"/>
  <c r="K82" i="7" s="1"/>
  <c r="K80" i="7"/>
  <c r="K79" i="7" s="1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<sst xmlns="http://schemas.openxmlformats.org/spreadsheetml/2006/main" count="3254" uniqueCount="1002">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</sst>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90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16.91587721227534</c:v>
                </c:pt>
                <c:pt idx="5">
                  <c:v>107.51141017345506</c:v>
                </c:pt>
                <c:pt idx="11">
                  <c:v>23.532187300164054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19.663012549730173</c:v>
                </c:pt>
                <c:pt idx="11">
                  <c:v>5.4532618930109233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30.332104512106515</c:v>
                </c:pt>
                <c:pt idx="11">
                  <c:v>7.5870802854861914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9" dataDxfId="188">
  <autoFilter ref="A2:I5" xr:uid="{00000000-0009-0000-0100-000001000000}"/>
  <tableColumns count="9">
    <tableColumn id="1" xr3:uid="{00000000-0010-0000-0000-000001000000}" uniqueName="1" name="Contract" queryTableFieldId="1" dataDxfId="187"/>
    <tableColumn id="2" xr3:uid="{00000000-0010-0000-0000-000002000000}" uniqueName="2" name="Bid (US$ / Tonne)" queryTableFieldId="2" dataDxfId="186"/>
    <tableColumn id="3" xr3:uid="{00000000-0010-0000-0000-000003000000}" uniqueName="3" name="Offer (US$ / Tonne)*" queryTableFieldId="3" dataDxfId="185"/>
    <tableColumn id="11" xr3:uid="{00000000-0010-0000-0000-00000B000000}" uniqueName="11" name="Spalte2" queryTableFieldId="11" dataDxfId="184"/>
    <tableColumn id="6" xr3:uid="{00000000-0010-0000-0000-000006000000}" uniqueName="6" name="Exchange [$/€]" queryTableFieldId="6" dataDxfId="183">
      <calculatedColumnFormula>MID($B$9,1,6)</calculatedColumnFormula>
    </tableColumn>
    <tableColumn id="13" xr3:uid="{00000000-0010-0000-0000-00000D000000}" uniqueName="13" name="Abbrand" queryTableFieldId="4" dataDxfId="182"/>
    <tableColumn id="12" xr3:uid="{00000000-0010-0000-0000-00000C000000}" uniqueName="12" name="Premium_x000a_[€/t]" queryTableFieldId="5" dataDxfId="181"/>
    <tableColumn id="8" xr3:uid="{00000000-0010-0000-0000-000008000000}" uniqueName="8" name="Alu-Alloy_x000a_3-months [$/kg]" queryTableFieldId="8" dataDxfId="180">
      <calculatedColumnFormula>(C3/100+G3*E3)/1000*(1+F3)</calculatedColumnFormula>
    </tableColumn>
    <tableColumn id="9" xr3:uid="{00000000-0010-0000-0000-000009000000}" uniqueName="9" name="Alu-Alloy_x000a_3-months [€/kg]" queryTableFieldId="9" dataDxfId="179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8"/>
    <tableColumn id="2" xr3:uid="{00000000-0010-0000-0100-000002000000}" uniqueName="2" name="Kurs" queryTableFieldId="2" dataDxfId="177"/>
    <tableColumn id="3" xr3:uid="{00000000-0010-0000-0100-000003000000}" uniqueName="3" name="Diff. %" queryTableFieldId="3" dataDxfId="176"/>
    <tableColumn id="4" xr3:uid="{00000000-0010-0000-0100-000004000000}" uniqueName="4" name="Datum" queryTableFieldId="4"/>
    <tableColumn id="5" xr3:uid="{00000000-0010-0000-0100-000005000000}" uniqueName="5" name="Zeit" queryTableFieldId="5" dataDxfId="175"/>
    <tableColumn id="6" xr3:uid="{00000000-0010-0000-0100-000006000000}" uniqueName="6" name="Eröffnung" queryTableFieldId="6" dataDxfId="174"/>
    <tableColumn id="7" xr3:uid="{00000000-0010-0000-0100-000007000000}" uniqueName="7" name="T.-Hoch" queryTableFieldId="7" dataDxfId="173"/>
    <tableColumn id="8" xr3:uid="{00000000-0010-0000-0100-000008000000}" uniqueName="8" name="T.-Tief" queryTableFieldId="8" dataDxfId="17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71" dataCellStyle="Standard 4"/>
    <tableColumn id="2" xr3:uid="{00000000-0010-0000-0200-000002000000}" uniqueName="2" name="Bid (US$ / Tonne)" queryTableFieldId="2" dataDxfId="170" dataCellStyle="Standard 4"/>
    <tableColumn id="3" xr3:uid="{00000000-0010-0000-0200-000003000000}" uniqueName="3" name="Offer (US$ / Tonne)*" queryTableFieldId="3" dataDxfId="169" dataCellStyle="Standard 4"/>
    <tableColumn id="4" xr3:uid="{00000000-0010-0000-0200-000004000000}" uniqueName="4" name="Spalte2" queryTableFieldId="4" dataDxfId="168" dataCellStyle="Standard 4"/>
    <tableColumn id="5" xr3:uid="{00000000-0010-0000-0200-000005000000}" uniqueName="5" name="Exchange [$/€]" queryTableFieldId="5" dataDxfId="167" dataCellStyle="Standard 4">
      <calculatedColumnFormula>MID($B$9,1,6)</calculatedColumnFormula>
    </tableColumn>
    <tableColumn id="6" xr3:uid="{00000000-0010-0000-0200-000006000000}" uniqueName="6" name="Abbrand" queryTableFieldId="6" dataDxfId="166" dataCellStyle="Prozent 3"/>
    <tableColumn id="7" xr3:uid="{00000000-0010-0000-0200-000007000000}" uniqueName="7" name="Premium_x000a_[€/t]" queryTableFieldId="7" dataDxfId="165" dataCellStyle="Standard 4"/>
    <tableColumn id="8" xr3:uid="{00000000-0010-0000-0200-000008000000}" uniqueName="8" name="Alu-Alloy_x000a_3-months [$/kg]" queryTableFieldId="8" dataDxfId="164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63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44511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16.91587721227534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10.001263362487853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0.80121127178508822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1.1066461727656765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Refkalkulation!D119</f>
        <v>Fertigungskosten gesamt</v>
      </c>
      <c r="D38" s="1094">
        <f>SUM(E39:E43)</f>
        <v>107.51141017345506</v>
      </c>
      <c r="E38" s="1102"/>
      <c r="F38" s="999"/>
      <c r="G38" s="1093" t="str">
        <f t="shared" si="0"/>
        <v>Fertigungskosten gesamt</v>
      </c>
      <c r="H38" s="1094">
        <f>SUM(I39:I43)</f>
        <v>19.663012549730173</v>
      </c>
      <c r="I38" s="1102"/>
      <c r="J38" s="999"/>
      <c r="K38" s="1093" t="str">
        <f t="shared" si="1"/>
        <v>Fertigungskosten gesamt</v>
      </c>
      <c r="L38" s="1094">
        <f>SUM(M39:M43)</f>
        <v>30.332104512106515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Refkalkulation!H93</f>
        <v>41.693562908275922</v>
      </c>
      <c r="F41" s="1003"/>
      <c r="G41" s="1103" t="str">
        <f t="shared" si="0"/>
        <v xml:space="preserve">               Nachbehandlung</v>
      </c>
      <c r="H41" s="1106"/>
      <c r="I41" s="1105">
        <f>Refkalkulation!K93</f>
        <v>3.534532815168459</v>
      </c>
      <c r="J41" s="1003"/>
      <c r="K41" s="1103" t="str">
        <f t="shared" si="1"/>
        <v xml:space="preserve">               Nachbehandlung</v>
      </c>
      <c r="L41" s="1106"/>
      <c r="M41" s="1105">
        <f>Refkalkulation!N93</f>
        <v>7.0846825378696678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",Refkalkulation!D94)</f>
        <v xml:space="preserve">               Prüfen</v>
      </c>
      <c r="D42" s="1106"/>
      <c r="E42" s="1105">
        <f>Refkalkulation!H113+Refkalkulation!H116/Refkalkulation!H61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Refkalkulation!K113+Refkalkulation!K116/Refkalkulation!K61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Refkalkulation!N113+Refkalkulation!N116/Refkalkulation!N61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",Refkalkulation!D118)</f>
        <v xml:space="preserve">               Fertigungsgemeinkosten</v>
      </c>
      <c r="D43" s="1106"/>
      <c r="E43" s="1105">
        <f>Refkalkulation!H118</f>
        <v>9.7737645612231887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Refkalkulation!K118</f>
        <v>1.7875465954300158</v>
      </c>
      <c r="J43" s="1003"/>
      <c r="K43" s="1103" t="str">
        <f t="shared" si="1"/>
        <v xml:space="preserve">               Fertigungsgemeinkosten</v>
      </c>
      <c r="L43" s="1106"/>
      <c r="M43" s="1105">
        <f>Refkalkulation!N118</f>
        <v>2.7574640465551377</v>
      </c>
      <c r="N43" s="1003"/>
      <c r="O43" s="957"/>
    </row>
    <row r="44" spans="1:16" x14ac:dyDescent="0.2">
      <c r="A44" s="955"/>
      <c r="B44" s="958"/>
      <c r="C44" s="1107" t="str">
        <f>Refkalkulation!D126</f>
        <v>Gesamtgemeinkosten</v>
      </c>
      <c r="D44" s="1108">
        <f>Refkalkulation!H126</f>
        <v>23.532187300164054</v>
      </c>
      <c r="E44" s="1109">
        <f>D44/D46</f>
        <v>0.15904481514361221</v>
      </c>
      <c r="F44" s="1003"/>
      <c r="G44" s="1107" t="str">
        <f t="shared" si="0"/>
        <v>Gesamtgemeinkosten</v>
      </c>
      <c r="H44" s="1108">
        <f>Refkalkulation!K126</f>
        <v>5.4532618930109233</v>
      </c>
      <c r="I44" s="1109">
        <f>H44/H46</f>
        <v>0.14431033604005686</v>
      </c>
      <c r="J44" s="958"/>
      <c r="K44" s="1107" t="str">
        <f t="shared" si="1"/>
        <v>Gesamtgemeinkosten</v>
      </c>
      <c r="L44" s="1108">
        <f>Refkalkulation!N126</f>
        <v>7.5870802854861914</v>
      </c>
      <c r="M44" s="1109">
        <f>L44/L46</f>
        <v>0.14996794584248721</v>
      </c>
      <c r="N44" s="958"/>
      <c r="O44" s="957"/>
    </row>
    <row r="45" spans="1:16" ht="18" customHeight="1" x14ac:dyDescent="0.25">
      <c r="A45" s="955"/>
      <c r="B45" s="958"/>
      <c r="C45" s="1110" t="str">
        <f>Refkalkulation!D129</f>
        <v>Gesamtgewinn</v>
      </c>
      <c r="D45" s="1108">
        <f>Refkalkulation!H129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Refkalkulation!K129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Refkalkulation!N129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Refkalkulation!D131</f>
        <v>Bauteilpreis gesamt</v>
      </c>
      <c r="D46" s="1112">
        <f>SUM(D33:D45)</f>
        <v>147.95947468589446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37.788435968281838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50.59134632313345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Refkalkulation!D135</f>
        <v>Zielpreis Bauteil</v>
      </c>
      <c r="D47" s="1114">
        <f>Refkalkulation!H135</f>
        <v>55</v>
      </c>
      <c r="E47" s="1115">
        <f>(D47-D46)*D13</f>
        <v>-464797.37342947233</v>
      </c>
      <c r="F47" s="1075"/>
      <c r="G47" s="1117" t="str">
        <f>C47</f>
        <v>Zielpreis Bauteil</v>
      </c>
      <c r="H47" s="1114">
        <f>Refkalkulation!K135</f>
        <v>55</v>
      </c>
      <c r="I47" s="1115">
        <f>(H47-H46)*H13</f>
        <v>86057.82015859081</v>
      </c>
      <c r="J47" s="1075"/>
      <c r="K47" s="1117" t="str">
        <f>C47</f>
        <v>Zielpreis Bauteil</v>
      </c>
      <c r="L47" s="1114">
        <f>Refkalkulation!N135</f>
        <v>55</v>
      </c>
      <c r="M47" s="1115">
        <f>(L47-L46)*L13</f>
        <v>22043.268384332747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Refkalkulation!H139+Refkalkulation!H140</f>
        <v>12900</v>
      </c>
      <c r="E48" s="1113" t="s">
        <v>918</v>
      </c>
      <c r="F48" s="1075"/>
      <c r="G48" s="1116" t="str">
        <f>C48</f>
        <v>Modellkosten geschätzt</v>
      </c>
      <c r="H48" s="1112">
        <f>Refkalkulation!K139+Refkalkulation!K140</f>
        <v>9900</v>
      </c>
      <c r="I48" s="1113" t="s">
        <v>918</v>
      </c>
      <c r="J48" s="1075"/>
      <c r="K48" s="1116" t="str">
        <f>C48</f>
        <v>Modellkosten geschätzt</v>
      </c>
      <c r="L48" s="1112">
        <f>Refkalkulation!N139+Refkalkulation!N140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Refkalkulation!D141</f>
        <v>Modellkosten Angebot</v>
      </c>
      <c r="D49" s="1114">
        <f>Refkalkulation!H141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Refkalkulation!K141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Refkalkulation!N141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16.91587721227534</v>
      </c>
      <c r="D57" s="1082">
        <f>D38</f>
        <v>107.51141017345506</v>
      </c>
      <c r="E57" s="1082">
        <f>D44</f>
        <v>23.532187300164054</v>
      </c>
      <c r="F57" s="1082">
        <f>D45</f>
        <v>0</v>
      </c>
      <c r="G57" s="1082">
        <f>D46</f>
        <v>147.95947468589446</v>
      </c>
      <c r="H57" s="1082">
        <f>I57-G57</f>
        <v>-92.959474685894463</v>
      </c>
      <c r="I57" s="1082">
        <f>D47</f>
        <v>55</v>
      </c>
    </row>
    <row r="58" spans="1:15" ht="0.2" customHeight="1" x14ac:dyDescent="0.2">
      <c r="C58" s="1082"/>
      <c r="D58" s="1082">
        <f>C57</f>
        <v>16.91587721227534</v>
      </c>
      <c r="E58" s="1082">
        <f>D57+D58</f>
        <v>124.42728738573041</v>
      </c>
      <c r="F58" s="1082">
        <f>E57+E58</f>
        <v>147.95947468589446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19.663012549730173</v>
      </c>
      <c r="E63" s="1082">
        <f>H44</f>
        <v>5.4532618930109233</v>
      </c>
      <c r="F63" s="1082">
        <f>H45</f>
        <v>0</v>
      </c>
      <c r="G63" s="1082">
        <f>H46</f>
        <v>37.788435968281838</v>
      </c>
      <c r="H63" s="1082">
        <f>I63-G63</f>
        <v>17.211564031718162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32.335174075270913</v>
      </c>
      <c r="F64" s="1082">
        <f>E63+E64</f>
        <v>37.788435968281838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30.332104512106515</v>
      </c>
      <c r="E68" s="1082">
        <f>L44</f>
        <v>7.5870802854861914</v>
      </c>
      <c r="F68" s="1082">
        <f>L45</f>
        <v>0</v>
      </c>
      <c r="G68" s="1082">
        <f>L46</f>
        <v>50.59134632313345</v>
      </c>
      <c r="H68" s="1082">
        <f>I68-G68</f>
        <v>4.4086536768665496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43.004266037647255</v>
      </c>
      <c r="F69" s="1082">
        <f>E68+E69</f>
        <v>50.59134632313345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44511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Refkalkulation!H94</f>
        <v>US PT Röntgen prüfen</v>
      </c>
      <c r="D16" s="958"/>
      <c r="E16" s="957"/>
      <c r="F16" s="958"/>
      <c r="G16" s="955" t="str">
        <f>Refkalkulation!K94</f>
        <v>US PT Röntgen prüfen</v>
      </c>
      <c r="H16" s="958"/>
      <c r="I16" s="957"/>
      <c r="J16" s="958"/>
      <c r="K16" s="955" t="str">
        <f>Refkalkulation!N94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16.91587721227534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10.001263362487853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0.80121127178508822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1.1066461727656765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Refkalkulation!H119</f>
        <v>107.51141017345506</v>
      </c>
      <c r="E40" s="998"/>
      <c r="F40" s="999"/>
      <c r="G40" s="996" t="str">
        <f t="shared" si="0"/>
        <v>Fertigungskosten</v>
      </c>
      <c r="H40" s="997">
        <f>Refkalkulation!K119</f>
        <v>19.663012549730173</v>
      </c>
      <c r="I40" s="998"/>
      <c r="J40" s="999"/>
      <c r="K40" s="996" t="str">
        <f t="shared" si="1"/>
        <v>Fertigungskosten</v>
      </c>
      <c r="L40" s="997">
        <f>Refkalkulation!N119</f>
        <v>30.332104512106515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Refkalkulation!H93</f>
        <v>41.693562908275922</v>
      </c>
      <c r="F43" s="1003"/>
      <c r="G43" s="1000" t="str">
        <f t="shared" si="0"/>
        <v xml:space="preserve">               Nachbehandlung</v>
      </c>
      <c r="H43" s="1004"/>
      <c r="I43" s="1002">
        <f>Refkalkulation!K93</f>
        <v>3.534532815168459</v>
      </c>
      <c r="J43" s="1003"/>
      <c r="K43" s="1000" t="str">
        <f t="shared" si="1"/>
        <v xml:space="preserve">               Nachbehandlung</v>
      </c>
      <c r="L43" s="1004"/>
      <c r="M43" s="1002">
        <f>Refkalkulation!N93</f>
        <v>7.0846825378696678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Refkalkulation!H113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Refkalkulation!K113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Refkalkulation!N113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Refkalkulation!H119-Refkalkulation!H115</f>
        <v>9.7737645612231887</v>
      </c>
      <c r="F45" s="1003"/>
      <c r="G45" s="1000" t="str">
        <f t="shared" si="0"/>
        <v xml:space="preserve">               Fertigungsnebenkosten</v>
      </c>
      <c r="H45" s="1004"/>
      <c r="I45" s="1002">
        <f>Refkalkulation!K119-Refkalkulation!K115</f>
        <v>1.7875465954300154</v>
      </c>
      <c r="J45" s="1003"/>
      <c r="K45" s="1000" t="str">
        <f t="shared" si="1"/>
        <v xml:space="preserve">               Fertigungsnebenkosten</v>
      </c>
      <c r="L45" s="1004"/>
      <c r="M45" s="1002">
        <f>Refkalkulation!N119-Refkalkulation!N115</f>
        <v>2.757464046555139</v>
      </c>
      <c r="N45" s="1003"/>
      <c r="O45" s="957"/>
    </row>
    <row r="46" spans="1:15" ht="15" x14ac:dyDescent="0.25">
      <c r="A46" s="955"/>
      <c r="B46" s="958"/>
      <c r="C46" s="1005" t="str">
        <f>Refkalkulation!D126</f>
        <v>Gesamtgemeinkosten</v>
      </c>
      <c r="D46" s="1006">
        <f>Refkalkulation!H126</f>
        <v>23.532187300164054</v>
      </c>
      <c r="E46" s="1007">
        <f>D46/D48</f>
        <v>0.15904481514361221</v>
      </c>
      <c r="F46" s="1003"/>
      <c r="G46" s="1005" t="str">
        <f t="shared" si="0"/>
        <v>Gesamtgemeinkosten</v>
      </c>
      <c r="H46" s="1006">
        <f>Refkalkulation!K126</f>
        <v>5.4532618930109233</v>
      </c>
      <c r="I46" s="1007">
        <f>H46/H48</f>
        <v>0.14431033604005686</v>
      </c>
      <c r="J46" s="958"/>
      <c r="K46" s="1005" t="str">
        <f t="shared" si="1"/>
        <v>Gesamtgemeinkosten</v>
      </c>
      <c r="L46" s="1006">
        <f>Refkalkulation!N126</f>
        <v>7.5870802854861914</v>
      </c>
      <c r="M46" s="1007">
        <f>L46/L48</f>
        <v>0.14996794584248721</v>
      </c>
      <c r="N46" s="958"/>
      <c r="O46" s="957"/>
    </row>
    <row r="47" spans="1:15" ht="18" customHeight="1" x14ac:dyDescent="0.25">
      <c r="A47" s="955"/>
      <c r="B47" s="958"/>
      <c r="C47" s="1008" t="str">
        <f>Refkalkulation!D129</f>
        <v>Gesamtgewinn</v>
      </c>
      <c r="D47" s="1009">
        <f>Refkalkulation!H129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Refkalkulation!K129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Refkalkulation!N129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Refkalkulation!D131</f>
        <v>Bauteilpreis gesamt</v>
      </c>
      <c r="D48" s="1012">
        <f>SUM(D35:D47)</f>
        <v>147.95947468589446</v>
      </c>
      <c r="E48" s="1013"/>
      <c r="F48" s="1014"/>
      <c r="G48" s="1011" t="str">
        <f t="shared" si="0"/>
        <v>Bauteilpreis gesamt</v>
      </c>
      <c r="H48" s="1012">
        <f>SUM(H35:H47)</f>
        <v>37.788435968281838</v>
      </c>
      <c r="I48" s="1013"/>
      <c r="J48" s="1014"/>
      <c r="K48" s="1011" t="str">
        <f t="shared" si="1"/>
        <v>Bauteilpreis gesamt</v>
      </c>
      <c r="L48" s="1012">
        <f>SUM(L35:L47)</f>
        <v>50.59134632313345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2" sqref="L2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44511</v>
      </c>
      <c r="H4" s="125"/>
      <c r="I4" s="255" t="str">
        <f>IF(Deutsch,C4,D4)</f>
        <v>Datum</v>
      </c>
      <c r="J4" s="257" t="s">
        <v>230</v>
      </c>
      <c r="K4" s="34">
        <f ca="1">TODAY()</f>
        <v>44511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ref="I30:I34" si="4">IF($G$2,C30,D30)</f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0.7</v>
      </c>
      <c r="M71" s="122">
        <f>Refkalkulation!H$90</f>
        <v>0.7</v>
      </c>
      <c r="N71" s="122"/>
      <c r="O71" s="924">
        <f>P$71</f>
        <v>0.4</v>
      </c>
      <c r="P71" s="122">
        <f>Refkalkulation!K$90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Refkalkulation!H$92</f>
        <v>0.02</v>
      </c>
      <c r="N72" s="273"/>
      <c r="O72" s="135">
        <f>P$72</f>
        <v>0.02</v>
      </c>
      <c r="P72" s="233">
        <f>Refkalkulation!K$92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Refkalkulation!H$95</f>
        <v>400</v>
      </c>
      <c r="N73" s="273"/>
      <c r="O73" s="187">
        <f>P$73</f>
        <v>300</v>
      </c>
      <c r="P73" s="272">
        <f>Refkalkulation!K$95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Refkalkulation!H$101</f>
        <v>0.41742621527777779</v>
      </c>
      <c r="N74" s="273"/>
      <c r="O74" s="924">
        <f>P$74</f>
        <v>0.30864583333333334</v>
      </c>
      <c r="P74" s="272">
        <f>Refkalkulation!K$101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Refkalkulation!H$105</f>
        <v>0.37082465277777776</v>
      </c>
      <c r="N75" s="273"/>
      <c r="O75" s="924">
        <f>P$75</f>
        <v>0.34611111111111109</v>
      </c>
      <c r="P75" s="233">
        <f>Refkalkulation!K$105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Refkalkulation!H$108</f>
        <v>1.8357928240740744</v>
      </c>
      <c r="N76" s="273"/>
      <c r="O76" s="924">
        <f>P$76</f>
        <v>1.7619212962962969</v>
      </c>
      <c r="P76" s="233">
        <f>Refkalkulation!K$108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Refkalkulation!H$111</f>
        <v>0.5</v>
      </c>
      <c r="N77" s="273"/>
      <c r="O77" s="762">
        <f>P$77</f>
        <v>0.5</v>
      </c>
      <c r="P77" s="233">
        <f>Refkalkulation!K$111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Refkalkulation!H$110</f>
        <v>0</v>
      </c>
      <c r="N78" s="122"/>
      <c r="O78" s="135">
        <f>P$78</f>
        <v>0</v>
      </c>
      <c r="P78" s="122">
        <f>Refkalkulation!K$110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Refkalkulation!H$117</f>
        <v>0.1</v>
      </c>
      <c r="N79" s="273"/>
      <c r="O79" s="135">
        <f>P$79</f>
        <v>0.1</v>
      </c>
      <c r="P79" s="233">
        <f>Refkalkulation!K$117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Refkalkulation!H$123</f>
        <v>0.12</v>
      </c>
      <c r="N80" s="273"/>
      <c r="O80" s="135">
        <f>P$80</f>
        <v>0.12</v>
      </c>
      <c r="P80" s="233">
        <f>Refkalkulation!K$123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Refkalkulation!H$127</f>
        <v>0</v>
      </c>
      <c r="N81" s="273"/>
      <c r="O81" s="135">
        <f>P$81</f>
        <v>0</v>
      </c>
      <c r="P81" s="233">
        <f>Refkalkulation!K$127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Refkalkulation!H$128</f>
        <v>0</v>
      </c>
      <c r="N82" s="273"/>
      <c r="O82" s="135">
        <f>P$82</f>
        <v>0</v>
      </c>
      <c r="P82" s="233">
        <f>Refkalkulation!K$128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1" priority="65" stopIfTrue="1">
      <formula>VALUE(L12="Materialdatenbank")</formula>
    </cfRule>
  </conditionalFormatting>
  <conditionalFormatting sqref="O36 R36 L36">
    <cfRule type="cellIs" dxfId="160" priority="66" stopIfTrue="1" operator="notBetween">
      <formula>$E$36</formula>
      <formula>$F$36</formula>
    </cfRule>
  </conditionalFormatting>
  <conditionalFormatting sqref="L11 L20 O20 R20 O11 R11">
    <cfRule type="expression" dxfId="159" priority="70" stopIfTrue="1">
      <formula>K$11=0</formula>
    </cfRule>
  </conditionalFormatting>
  <conditionalFormatting sqref="L44">
    <cfRule type="cellIs" dxfId="158" priority="71" stopIfTrue="1" operator="lessThan">
      <formula>$E44</formula>
    </cfRule>
  </conditionalFormatting>
  <conditionalFormatting sqref="R37:R43 O37:O43 L37:L43">
    <cfRule type="cellIs" dxfId="157" priority="72" stopIfTrue="1" operator="greaterThan">
      <formula>M$36</formula>
    </cfRule>
  </conditionalFormatting>
  <conditionalFormatting sqref="O8:O9 R8:R9 L9">
    <cfRule type="cellIs" dxfId="156" priority="73" operator="equal">
      <formula>"?"</formula>
    </cfRule>
  </conditionalFormatting>
  <conditionalFormatting sqref="X4:X5">
    <cfRule type="cellIs" dxfId="155" priority="74" operator="equal">
      <formula>FALSE</formula>
    </cfRule>
  </conditionalFormatting>
  <conditionalFormatting sqref="L13 O13 R13">
    <cfRule type="cellIs" dxfId="154" priority="431" operator="notBetween">
      <formula>$E13</formula>
      <formula>$F13</formula>
    </cfRule>
  </conditionalFormatting>
  <conditionalFormatting sqref="L28">
    <cfRule type="expression" dxfId="153" priority="60" stopIfTrue="1">
      <formula>VALUE(#REF!="Materialdatenbank")</formula>
    </cfRule>
  </conditionalFormatting>
  <conditionalFormatting sqref="L29">
    <cfRule type="expression" dxfId="152" priority="59" stopIfTrue="1">
      <formula>VALUE(#REF!="Materialdatenbank")</formula>
    </cfRule>
  </conditionalFormatting>
  <conditionalFormatting sqref="L30">
    <cfRule type="expression" dxfId="151" priority="58" stopIfTrue="1">
      <formula>VALUE(#REF!="Materialdatenbank")</formula>
    </cfRule>
  </conditionalFormatting>
  <conditionalFormatting sqref="O28">
    <cfRule type="expression" dxfId="150" priority="57" stopIfTrue="1">
      <formula>VALUE(#REF!="Materialdatenbank")</formula>
    </cfRule>
  </conditionalFormatting>
  <conditionalFormatting sqref="O29">
    <cfRule type="expression" dxfId="149" priority="56" stopIfTrue="1">
      <formula>VALUE(#REF!="Materialdatenbank")</formula>
    </cfRule>
  </conditionalFormatting>
  <conditionalFormatting sqref="O30">
    <cfRule type="expression" dxfId="148" priority="55" stopIfTrue="1">
      <formula>VALUE(#REF!="Materialdatenbank")</formula>
    </cfRule>
  </conditionalFormatting>
  <conditionalFormatting sqref="R28">
    <cfRule type="expression" dxfId="147" priority="42" stopIfTrue="1">
      <formula>VALUE(#REF!="Materialdatenbank")</formula>
    </cfRule>
  </conditionalFormatting>
  <conditionalFormatting sqref="R29">
    <cfRule type="expression" dxfId="146" priority="41" stopIfTrue="1">
      <formula>VALUE(#REF!="Materialdatenbank")</formula>
    </cfRule>
  </conditionalFormatting>
  <conditionalFormatting sqref="R30">
    <cfRule type="expression" dxfId="145" priority="40" stopIfTrue="1">
      <formula>VALUE(#REF!="Materialdatenbank")</formula>
    </cfRule>
  </conditionalFormatting>
  <conditionalFormatting sqref="L25">
    <cfRule type="expression" dxfId="144" priority="23" stopIfTrue="1">
      <formula>VALUE(#REF!="Materialdatenbank")</formula>
    </cfRule>
  </conditionalFormatting>
  <conditionalFormatting sqref="O25">
    <cfRule type="expression" dxfId="143" priority="22" stopIfTrue="1">
      <formula>VALUE(#REF!="Materialdatenbank")</formula>
    </cfRule>
  </conditionalFormatting>
  <conditionalFormatting sqref="R25">
    <cfRule type="expression" dxfId="142" priority="21" stopIfTrue="1">
      <formula>VALUE(#REF!="Materialdatenbank")</formula>
    </cfRule>
  </conditionalFormatting>
  <conditionalFormatting sqref="L26">
    <cfRule type="expression" dxfId="141" priority="17" stopIfTrue="1">
      <formula>VALUE(#REF!="Materialdatenbank")</formula>
    </cfRule>
  </conditionalFormatting>
  <conditionalFormatting sqref="O26">
    <cfRule type="expression" dxfId="140" priority="16" stopIfTrue="1">
      <formula>VALUE(#REF!="Materialdatenbank")</formula>
    </cfRule>
  </conditionalFormatting>
  <conditionalFormatting sqref="R26">
    <cfRule type="expression" dxfId="139" priority="15" stopIfTrue="1">
      <formula>VALUE(#REF!="Materialdatenbank")</formula>
    </cfRule>
  </conditionalFormatting>
  <conditionalFormatting sqref="L27">
    <cfRule type="expression" dxfId="138" priority="11" stopIfTrue="1">
      <formula>VALUE(#REF!="Materialdatenbank")</formula>
    </cfRule>
  </conditionalFormatting>
  <conditionalFormatting sqref="O27">
    <cfRule type="expression" dxfId="137" priority="10" stopIfTrue="1">
      <formula>VALUE(#REF!="Materialdatenbank")</formula>
    </cfRule>
  </conditionalFormatting>
  <conditionalFormatting sqref="R27">
    <cfRule type="expression" dxfId="136" priority="9" stopIfTrue="1">
      <formula>VALUE(#REF!="Materialdatenbank")</formula>
    </cfRule>
  </conditionalFormatting>
  <conditionalFormatting sqref="L8">
    <cfRule type="cellIs" dxfId="135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tabSelected="1" zoomScaleNormal="100" workbookViewId="0">
      <pane xSplit="6" ySplit="8" topLeftCell="G80" activePane="bottomRight" state="frozenSplit"/>
      <selection activeCell="L30" sqref="L30"/>
      <selection pane="topRight" activeCell="L30" sqref="L30"/>
      <selection pane="bottomLeft" activeCell="L30" sqref="L30"/>
      <selection pane="bottomRight" activeCell="D98" sqref="D98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0</v>
      </c>
      <c r="I2" s="67"/>
      <c r="J2" s="67"/>
      <c r="K2" s="376" t="b">
        <f>OR(ISERROR(K131),K5="?",K5=0,K12=0,K16=0,K24=0)</f>
        <v>0</v>
      </c>
      <c r="L2" s="67"/>
      <c r="M2" s="67"/>
      <c r="N2" s="376" t="b">
        <f>OR(ISERROR(N131),N5="?",N5=0,N12=0,N16=0,N24=0)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3" t="str">
        <f>IF(Deutsch,"Artikel (Nr.  /  Bezeichnung)","part (no. / name)")</f>
        <v>Artikel (Nr.  /  Bezeichnung)</v>
      </c>
      <c r="E5" s="1224"/>
      <c r="F5" s="1225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6"/>
      <c r="E6" s="1227"/>
      <c r="F6" s="1228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3" t="str">
        <f>'Quick Input'!$I$45</f>
        <v>Produktionsregion</v>
      </c>
      <c r="E7" s="1244"/>
      <c r="F7" s="1245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6" t="str">
        <f>'Quick Input'!$I$4</f>
        <v>Datum</v>
      </c>
      <c r="E8" s="1247"/>
      <c r="F8" s="1248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Materialien</v>
      </c>
      <c r="E9" s="1241"/>
      <c r="F9" s="1242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v>5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10.001263362487853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0.80121127178508822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10.802474634272942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1.1066461727656765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16.91587721227534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Prozess Schmelzen</v>
      </c>
      <c r="E28" s="1235"/>
      <c r="F28" s="1236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H$70+H$92</f>
        <v>0.02</v>
      </c>
      <c r="I46" s="620"/>
      <c r="J46" s="620"/>
      <c r="K46" s="918">
        <f>K$70+K$92</f>
        <v>0.02</v>
      </c>
      <c r="L46" s="620"/>
      <c r="M46" s="620"/>
      <c r="N46" s="918">
        <f>N$70+N$92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7" t="str">
        <f>IF(Deutsch,"Prozess Formen","sand forming process")</f>
        <v>Prozess Formen</v>
      </c>
      <c r="E48" s="1238"/>
      <c r="F48" s="1239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9" t="str">
        <f>IF(Deutsch,"Nachbehandlung","after care")</f>
        <v>Nachbehandlung</v>
      </c>
      <c r="E73" s="1250"/>
      <c r="F73" s="1251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6" t="str">
        <f>IF(Deutsch,"Prozesszeit Strahlen (sec)","process time sand blasting (sec)")</f>
        <v>Prozesszeit Strahlen (sec)</v>
      </c>
      <c r="E78" s="1207"/>
      <c r="F78" s="1205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6" t="str">
        <f>IF(Deutsch,"Strahlkosten (€/Std.)","blasting costs (€/h)")</f>
        <v>Strahlkosten (€/Std.)</v>
      </c>
      <c r="E79" s="1207"/>
      <c r="F79" s="1205"/>
      <c r="G79" s="611"/>
      <c r="H79" s="74">
        <f>H80/H78*3600</f>
        <v>32.157354374999997</v>
      </c>
      <c r="I79" s="619"/>
      <c r="J79" s="619"/>
      <c r="K79" s="74">
        <f>K80/K78*3600</f>
        <v>12.232374875</v>
      </c>
      <c r="L79" s="619"/>
      <c r="M79" s="619"/>
      <c r="N79" s="74">
        <f>N80/N78*3600</f>
        <v>32.157354374999997</v>
      </c>
      <c r="O79" s="1188"/>
    </row>
    <row r="80" spans="2:15" ht="15" thickBot="1" x14ac:dyDescent="0.25">
      <c r="C80" s="78"/>
      <c r="D80" s="1206" t="str">
        <f>IF(Deutsch,"Strahlkosten (€/Stk.)","blasting costs (€/Stk.)")</f>
        <v>Strahlkosten (€/Stk.)</v>
      </c>
      <c r="E80" s="1207"/>
      <c r="F80" s="1205"/>
      <c r="G80" s="611"/>
      <c r="H80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0.31211936805031831</v>
      </c>
      <c r="I80" s="619"/>
      <c r="J80" s="619"/>
      <c r="K80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80" s="619"/>
      <c r="M80" s="619"/>
      <c r="N80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80" s="1188"/>
    </row>
    <row r="81" spans="2:23" ht="15" thickBot="1" x14ac:dyDescent="0.25">
      <c r="C81" s="78"/>
      <c r="D81" s="1206" t="str">
        <f>IF(Deutsch,"Prozesszeit Gleitschleifen (sec)","process time Slide grinding (sec)")</f>
        <v>Prozesszeit Gleitschleifen (sec)</v>
      </c>
      <c r="E81" s="1207"/>
      <c r="F81" s="1205"/>
      <c r="G81" s="611"/>
      <c r="H81" s="140">
        <f>Parametrikber!F240/Parametrikber!F242*60</f>
        <v>1320</v>
      </c>
      <c r="I81" s="619"/>
      <c r="J81" s="619"/>
      <c r="K81" s="140">
        <f>Parametrikber!I240/Parametrikber!I242*60</f>
        <v>220</v>
      </c>
      <c r="L81" s="619"/>
      <c r="M81" s="619"/>
      <c r="N81" s="140">
        <f>Parametrikber!L240/Parametrikber!L242*60</f>
        <v>220</v>
      </c>
      <c r="O81" s="1188"/>
    </row>
    <row r="82" spans="2:23" ht="15" thickBot="1" x14ac:dyDescent="0.25">
      <c r="C82" s="78"/>
      <c r="D82" s="1206" t="str">
        <f>IF(Deutsch,"Kosten Gleitschleifen (€/Std.)","costs Slide grinding (€/h)")</f>
        <v>Kosten Gleitschleifen (€/Std.)</v>
      </c>
      <c r="E82" s="1207"/>
      <c r="F82" s="1205"/>
      <c r="G82" s="611"/>
      <c r="H82" s="74">
        <f>H83/H81*3600</f>
        <v>31.055713750000002</v>
      </c>
      <c r="I82" s="619"/>
      <c r="J82" s="619"/>
      <c r="K82" s="74">
        <f>K83/K81*3600</f>
        <v>11.49604675</v>
      </c>
      <c r="L82" s="619"/>
      <c r="M82" s="619"/>
      <c r="N82" s="74">
        <f>N83/N81*3600</f>
        <v>31.055713750000006</v>
      </c>
      <c r="O82" s="1188"/>
    </row>
    <row r="83" spans="2:23" ht="15" thickBot="1" x14ac:dyDescent="0.25">
      <c r="C83" s="78"/>
      <c r="D83" s="1206" t="str">
        <f>IF(Deutsch,"Kosten Gleitschleifen (€/Stk.)","costs Slide grinding (€/Stk.)")</f>
        <v>Kosten Gleitschleifen (€/Stk.)</v>
      </c>
      <c r="E83" s="1207"/>
      <c r="F83" s="1205"/>
      <c r="G83" s="611"/>
      <c r="H83" s="85">
        <f>IF('Quick Input'!L26="ja",(H$81/3600*H$76)+'Maschinen-DB'!E73*(1+'Maschinen-DB'!F73)/'Länder-DB'!I27/Parametrikber!F146/3600*H81+'Maschinen-DB'!G73/3600*H81*VLOOKUP(H$7,DB_Länder,7,FALSE) + 'Maschinen-DB'!H73*VLOOKUP(H$7,DB_Länder,8,FALSE)*12/Parametrikber!F146/3600*H81,0)</f>
        <v>11.387095041666667</v>
      </c>
      <c r="I83" s="683"/>
      <c r="J83" s="683"/>
      <c r="K83" s="85">
        <f>IF('Quick Input'!L26="ja",(K$81/3600*K$76)+'Maschinen-DB'!E73*(1+'Maschinen-DB'!F73)/'Länder-DB'!I27/Parametrikber!I146/3600*K81+'Maschinen-DB'!G73/3600*K81*VLOOKUP(K$7,DB_Länder,7,FALSE) + 'Maschinen-DB'!H73*VLOOKUP(K$7,DB_Länder,8,FALSE)*12/Parametrikber!F146/3600*K81,0)</f>
        <v>0.70253619027777769</v>
      </c>
      <c r="L83" s="683"/>
      <c r="M83" s="683"/>
      <c r="N83" s="85">
        <f>IF('Quick Input'!R26="ja",(N$81/3600*N$76)+'Maschinen-DB'!E73*(1+'Maschinen-DB'!F73)/'Länder-DB'!I27/Parametrikber!F146/3600*N81+'Maschinen-DB'!G73/3600*N81*VLOOKUP(N$7,DB_Länder,7,FALSE) + 'Maschinen-DB'!H73*VLOOKUP(N$7,DB_Länder,8,FALSE)*12/Parametrikber!F146/3600*N81,0)</f>
        <v>1.8978491736111114</v>
      </c>
      <c r="O83" s="1188"/>
    </row>
    <row r="84" spans="2:23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f>Parametrikber!I$243</f>
        <v>0</v>
      </c>
      <c r="L84" s="619" t="s">
        <v>285</v>
      </c>
      <c r="M84" s="619"/>
      <c r="N84" s="140">
        <f>Parametrikber!L$243</f>
        <v>0</v>
      </c>
      <c r="O84" s="1188" t="s">
        <v>285</v>
      </c>
    </row>
    <row r="85" spans="2:23" ht="15" thickBot="1" x14ac:dyDescent="0.25">
      <c r="C85" s="78"/>
      <c r="D85" s="1206" t="str">
        <f>IF(Deutsch,"Kosten Feinputzen (€/Std.)"," costs fine grinding (€/h)")</f>
        <v>Kosten Feinputzen (€/Std.)</v>
      </c>
      <c r="E85" s="1207"/>
      <c r="F85" s="1205"/>
      <c r="G85" s="611"/>
      <c r="H85" s="1200">
        <f>IF(H84&gt;0,H86/H84*3600,0)</f>
        <v>0</v>
      </c>
      <c r="I85" s="619"/>
      <c r="J85" s="619"/>
      <c r="K85" s="1200">
        <f>IF(K84&gt;0,K86/K84*3600,0)</f>
        <v>0</v>
      </c>
      <c r="L85" s="619"/>
      <c r="M85" s="619"/>
      <c r="N85" s="1200">
        <f>IF(N84&gt;0,N86/N84*3600,0)</f>
        <v>0</v>
      </c>
      <c r="O85" s="1188"/>
    </row>
    <row r="86" spans="2:23" ht="15" thickBot="1" x14ac:dyDescent="0.25">
      <c r="C86" s="78"/>
      <c r="D86" s="1206" t="str">
        <f>IF(Deutsch,"Kosten Feinputzen (€/Stk.)"," costs fine grinding (€/pc.)")</f>
        <v>Kosten Feinputzen (€/Stk.)</v>
      </c>
      <c r="E86" s="1207"/>
      <c r="F86" s="1205"/>
      <c r="G86" s="611"/>
      <c r="H86" s="1200">
        <f>'Maschinen-DB'!E75*(1+'Maschinen-DB'!F75)/'Länder-DB'!I27/Parametrikber!F146/3600*H84+'Maschinen-DB'!G75/3600*H84*VLOOKUP(H$7,DB_Länder,7,FALSE)
+'Maschinen-DB'!H75*VLOOKUP(H$7,DB_Länder,8,FALSE)*12/Parametrikber!F146/3600*H84</f>
        <v>0</v>
      </c>
      <c r="I86" s="619"/>
      <c r="J86" s="619"/>
      <c r="K86" s="1200">
        <f>'Maschinen-DB'!E75*(1+'Maschinen-DB'!F75)/'Länder-DB'!I27/Parametrikber!I146/3600*K84+'Maschinen-DB'!G75/3600*K84*VLOOKUP(K$7,DB_Länder,7,FALSE)
+'Maschinen-DB'!H75*VLOOKUP(K$7,DB_Länder,8,FALSE)*12/Parametrikber!I146/3600*K84</f>
        <v>0</v>
      </c>
      <c r="L86" s="619"/>
      <c r="M86" s="619"/>
      <c r="N86" s="1200">
        <f>'Maschinen-DB'!E75*(1+'Maschinen-DB'!F75)/'Länder-DB'!I27/Parametrikber!L146/3600*N84+'Maschinen-DB'!G75/3600*N84*VLOOKUP(N$7,DB_Länder,7,FALSE)
+'Maschinen-DB'!H75*VLOOKUP(N$7,DB_Länder,8,FALSE)*12/Parametrikber!L146/3600*N84</f>
        <v>0</v>
      </c>
      <c r="O86" s="1188"/>
    </row>
    <row r="87" spans="2:23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611"/>
      <c r="H87" s="85">
        <f>H$80+H$83+H86+(H$84/3600*H$76)</f>
        <v>11.699214409716985</v>
      </c>
      <c r="I87" s="619" t="s">
        <v>285</v>
      </c>
      <c r="J87" s="619"/>
      <c r="K87" s="85">
        <f>K$80+K$83+(K$84/3600*K$76)</f>
        <v>0.7913542703450227</v>
      </c>
      <c r="L87" s="619" t="s">
        <v>285</v>
      </c>
      <c r="M87" s="619"/>
      <c r="N87" s="85">
        <f>N$80+N$83+(N$84/3600*N$76)</f>
        <v>2.1313405851167224</v>
      </c>
      <c r="O87" s="1188" t="s">
        <v>285</v>
      </c>
      <c r="T87" s="1211"/>
    </row>
    <row r="88" spans="2:23" ht="15" thickBot="1" x14ac:dyDescent="0.25">
      <c r="C88" s="78"/>
      <c r="D88" s="72" t="str">
        <f>IF(Deutsch,"Sandaufbereitung (€/t)","sand regeneration (€/to)")</f>
        <v>Sandaufbereitung (€/t)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1.2477080261564104</v>
      </c>
      <c r="L88" s="78" t="s">
        <v>285</v>
      </c>
      <c r="M88" s="78"/>
      <c r="N88" s="74">
        <f>Parametrikber!L$122</f>
        <v>1.4142135623730949</v>
      </c>
      <c r="O88" s="1188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Sandaufbereitung (€/Stk.)</v>
      </c>
      <c r="E89" s="73"/>
      <c r="F89" s="75"/>
      <c r="G89" s="611"/>
      <c r="H89" s="85">
        <f>H$88*Parametrikber!F$75/1000</f>
        <v>0.85595765722019768</v>
      </c>
      <c r="I89" s="619" t="s">
        <v>285</v>
      </c>
      <c r="J89" s="619"/>
      <c r="K89" s="85">
        <f>K$88*Parametrikber!I$75/1000</f>
        <v>0.21705497982013336</v>
      </c>
      <c r="L89" s="78" t="s">
        <v>285</v>
      </c>
      <c r="M89" s="78"/>
      <c r="N89" s="85">
        <f>N$88*Parametrikber!L$75/1000</f>
        <v>0.2460207755398143</v>
      </c>
      <c r="O89" s="1188" t="s">
        <v>285</v>
      </c>
    </row>
    <row r="90" spans="2:23" ht="15" thickBot="1" x14ac:dyDescent="0.25">
      <c r="C90" s="78"/>
      <c r="D90" s="1206" t="str">
        <f>CONCATENATE(IF(Deutsch,'Quick Input'!C71,'Quick Input'!D71)," (€/kg)")</f>
        <v>Wärmebehandlung (€/kg)</v>
      </c>
      <c r="E90" s="1208"/>
      <c r="F90" s="1209"/>
      <c r="G90" s="611"/>
      <c r="H90" s="74">
        <f>VLOOKUP('Quick Input'!L32,Auswahlfelder!B41:F46,5,FALSE)</f>
        <v>0.7</v>
      </c>
      <c r="I90" s="620"/>
      <c r="J90" s="620"/>
      <c r="K90" s="74">
        <f>VLOOKUP('Quick Input'!O32,Auswahlfelder!B41:F46,5,FALSE)</f>
        <v>0.4</v>
      </c>
      <c r="L90" s="355"/>
      <c r="M90" s="355"/>
      <c r="N90" s="74">
        <f>VLOOKUP('Quick Input'!R32,Auswahlfelder!B41:F46,5,FALSE)</f>
        <v>0.5</v>
      </c>
      <c r="O90" s="1188"/>
    </row>
    <row r="91" spans="2:23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611"/>
      <c r="H91" s="85">
        <f>H$90*H$14</f>
        <v>3.5</v>
      </c>
      <c r="I91" s="619"/>
      <c r="J91" s="619"/>
      <c r="K91" s="85">
        <f>K$90*K$14</f>
        <v>2</v>
      </c>
      <c r="L91" s="78"/>
      <c r="M91" s="78"/>
      <c r="N91" s="85">
        <f>N$90*N$14</f>
        <v>2.5</v>
      </c>
      <c r="O91" s="1188"/>
    </row>
    <row r="92" spans="2:23" ht="15" thickBot="1" x14ac:dyDescent="0.25">
      <c r="B92" s="55" t="s">
        <v>127</v>
      </c>
      <c r="C92" s="78"/>
      <c r="D92" s="236" t="str">
        <f>'Quick Input'!I72</f>
        <v>Fertigungsausschuss 2</v>
      </c>
      <c r="E92" s="73"/>
      <c r="F92" s="75"/>
      <c r="G92" s="611"/>
      <c r="H92" s="119">
        <v>0.02</v>
      </c>
      <c r="I92" s="620"/>
      <c r="J92" s="620"/>
      <c r="K92" s="119">
        <v>0.02</v>
      </c>
      <c r="L92" s="355"/>
      <c r="M92" s="355"/>
      <c r="N92" s="119">
        <v>0.02</v>
      </c>
      <c r="O92" s="1188"/>
    </row>
    <row r="93" spans="2:23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855"/>
      <c r="H93" s="853">
        <f>(1+H92)*(H77+H87+H$89+H$91)</f>
        <v>41.693562908275922</v>
      </c>
      <c r="I93" s="625" t="s">
        <v>285</v>
      </c>
      <c r="J93" s="625"/>
      <c r="K93" s="853">
        <f>(1+K92)*(K77+K87+K$89+K$91)</f>
        <v>3.534532815168459</v>
      </c>
      <c r="L93" s="625" t="s">
        <v>285</v>
      </c>
      <c r="M93" s="625"/>
      <c r="N93" s="853">
        <f>(1+N92)*(N77+N87+N$89+N$91)</f>
        <v>7.0846825378696678</v>
      </c>
      <c r="O93" s="1192" t="s">
        <v>285</v>
      </c>
    </row>
    <row r="94" spans="2:23" ht="28.5" customHeight="1" thickBot="1" x14ac:dyDescent="0.25">
      <c r="C94" s="78"/>
      <c r="D94" s="1249" t="str">
        <f>IF(Deutsch,"Prüfen","testing")</f>
        <v>Prüfen</v>
      </c>
      <c r="E94" s="1250"/>
      <c r="F94" s="1251"/>
      <c r="G94" s="611"/>
      <c r="H94" s="912" t="str">
        <f>Parametrikber!F$253</f>
        <v>US PT Röntgen prüfen</v>
      </c>
      <c r="I94" s="913" t="s">
        <v>285</v>
      </c>
      <c r="J94" s="913"/>
      <c r="K94" s="912" t="str">
        <f>Parametrikber!I$253</f>
        <v>US PT Röntgen prüfen</v>
      </c>
      <c r="L94" s="913" t="s">
        <v>285</v>
      </c>
      <c r="M94" s="913"/>
      <c r="N94" s="912" t="str">
        <f>Parametrikber!L$253</f>
        <v>US PT Röntgen prüfen</v>
      </c>
      <c r="O94" s="1189" t="s">
        <v>285</v>
      </c>
      <c r="T94" s="1210"/>
    </row>
    <row r="95" spans="2:23" ht="15" thickBot="1" x14ac:dyDescent="0.25">
      <c r="B95" s="55" t="s">
        <v>127</v>
      </c>
      <c r="C95" s="78"/>
      <c r="D95" s="72" t="str">
        <f>'Quick Input'!I73</f>
        <v>VT Prüfzeit/Teil (sec)</v>
      </c>
      <c r="E95" s="73"/>
      <c r="F95" s="75"/>
      <c r="G95" s="611"/>
      <c r="H95" s="121">
        <v>400</v>
      </c>
      <c r="I95" s="620"/>
      <c r="J95" s="620"/>
      <c r="K95" s="121">
        <v>300</v>
      </c>
      <c r="L95" s="355"/>
      <c r="M95" s="355"/>
      <c r="N95" s="121">
        <v>300</v>
      </c>
      <c r="O95" s="1188"/>
    </row>
    <row r="96" spans="2:23" ht="15" thickBot="1" x14ac:dyDescent="0.25">
      <c r="C96" s="78"/>
      <c r="D96" s="1206" t="str">
        <f>IF(Deutsch,"VT Prüfung (€/Std.)","vt testing (€/h)")</f>
        <v>VT Prüfung (€/Std.)</v>
      </c>
      <c r="E96" s="1205"/>
      <c r="F96" s="1205"/>
      <c r="G96" s="611"/>
      <c r="H96" s="1199">
        <f>H97/H95*3600</f>
        <v>1.21171875</v>
      </c>
      <c r="I96" s="619"/>
      <c r="J96" s="619"/>
      <c r="K96" s="1199">
        <f>K97/K95*3600</f>
        <v>1.0840625000000002</v>
      </c>
      <c r="L96" s="619"/>
      <c r="M96" s="619"/>
      <c r="N96" s="1199">
        <f>N97/N95*3600</f>
        <v>1.2117187500000002</v>
      </c>
      <c r="O96" s="1188"/>
    </row>
    <row r="97" spans="3:20" ht="15" thickBot="1" x14ac:dyDescent="0.25">
      <c r="C97" s="78"/>
      <c r="D97" s="1206" t="str">
        <f>IF(Deutsch,"VT Prüfung (€/Stk.)","vt testing (€/pc.)")</f>
        <v>VT Prüfung (€/Stk.)</v>
      </c>
      <c r="E97" s="1207"/>
      <c r="F97" s="1205"/>
      <c r="G97" s="611"/>
      <c r="H97" s="1199">
        <f>'Maschinen-DB'!E74*(1+'Maschinen-DB'!F74)/'Länder-DB'!I27/Parametrikber!F146/3600*H95+'Maschinen-DB'!G74/3600*H95*VLOOKUP(H$7,DB_Länder,7,FALSE) + 'Maschinen-DB'!H74*VLOOKUP(H$7,DB_Länder,8,FALSE)*12/Parametrikber!F146/3600*H95</f>
        <v>0.13463541666666667</v>
      </c>
      <c r="I97" s="620"/>
      <c r="J97" s="620"/>
      <c r="K97" s="1199">
        <f>'Maschinen-DB'!E74*(1+'Maschinen-DB'!F74)/'Länder-DB'!I27/Parametrikber!I146/3600*K95+'Maschinen-DB'!G74/3600*K95*VLOOKUP(K$7,DB_Länder,7,FALSE) + 'Maschinen-DB'!H74*VLOOKUP(K$7,DB_Länder,8,FALSE)*12/Parametrikber!I146/3600*K95</f>
        <v>9.0338541666666675E-2</v>
      </c>
      <c r="L97" s="355"/>
      <c r="M97" s="355"/>
      <c r="N97" s="1198">
        <f>'Maschinen-DB'!E74*(1+'Maschinen-DB'!F74)/'Länder-DB'!I27/Parametrikber!L146/3600*N95+'Maschinen-DB'!G74/3600*N95*VLOOKUP(N$7,DB_Länder,7,FALSE)
+ 'Maschinen-DB'!H74*VLOOKUP(N$7,DB_Länder,8,FALSE)*12/Parametrikber!L146/3600*N95</f>
        <v>0.10097656250000002</v>
      </c>
      <c r="O97" s="1188"/>
      <c r="T97" s="1211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10.008107999999998</v>
      </c>
      <c r="L98" s="78" t="s">
        <v>285</v>
      </c>
      <c r="M98" s="78"/>
      <c r="N98" s="74">
        <f>Parametrikber!L$22</f>
        <v>33.535694999999997</v>
      </c>
      <c r="O98" s="1188" t="s">
        <v>285</v>
      </c>
    </row>
    <row r="99" spans="3:20" ht="15" thickBot="1" x14ac:dyDescent="0.25">
      <c r="C99" s="78"/>
      <c r="D99" s="1206" t="str">
        <f>IF(Deutsch,"Ultraschall Prüfzeit (sec)","ultrasonic testing time (sec)")</f>
        <v>Ultraschall Prüfzeit (sec)</v>
      </c>
      <c r="E99" s="1205"/>
      <c r="F99" s="1205"/>
      <c r="G99" s="611"/>
      <c r="H99" s="121">
        <v>500</v>
      </c>
      <c r="I99" s="619"/>
      <c r="J99" s="619"/>
      <c r="K99" s="121">
        <v>400</v>
      </c>
      <c r="L99" s="78"/>
      <c r="M99" s="78"/>
      <c r="N99" s="121">
        <v>400</v>
      </c>
      <c r="O99" s="1188"/>
    </row>
    <row r="100" spans="3:20" ht="15" thickBot="1" x14ac:dyDescent="0.25">
      <c r="C100" s="78"/>
      <c r="D100" s="1206" t="str">
        <f>IF(Deutsch,"Ultraschall Prüfung (€/Std.)","ultrasonic testing (€/h)")</f>
        <v>Ultraschall Prüfung (€/Std.)</v>
      </c>
      <c r="E100" s="1205"/>
      <c r="F100" s="1205"/>
      <c r="G100" s="611"/>
      <c r="H100" s="1199">
        <f>H101/H99*3600</f>
        <v>3.0054687499999999</v>
      </c>
      <c r="I100" s="619"/>
      <c r="J100" s="619"/>
      <c r="K100" s="1199">
        <f>K101/K99*3600</f>
        <v>2.7778125</v>
      </c>
      <c r="L100" s="619"/>
      <c r="M100" s="619"/>
      <c r="N100" s="1199">
        <f>N101/N99*3600</f>
        <v>3.0054687499999999</v>
      </c>
      <c r="O100" s="1188"/>
    </row>
    <row r="101" spans="3:20" ht="15" thickBot="1" x14ac:dyDescent="0.25">
      <c r="C101" s="78"/>
      <c r="D101" s="1206" t="str">
        <f>IF(Deutsch,"Ultraschall Prüfung (€/Stk.)","ultrasonic testing (€/pc.)")</f>
        <v>Ultraschall Prüfung (€/Stk.)</v>
      </c>
      <c r="E101" s="1205"/>
      <c r="F101" s="1205"/>
      <c r="G101" s="611"/>
      <c r="H101" s="1199">
        <f>IF('Quick Input'!L28="ja",'Maschinen-DB'!E66*(1+'Maschinen-DB'!F66)/'Länder-DB'!I27/Parametrikber!F146/3600*H99+'Maschinen-DB'!G66/3600*H99*VLOOKUP(H$7,DB_Länder,7,FALSE) + 'Maschinen-DB'!H66*VLOOKUP(H$7,DB_Länder,8,FALSE)*12/Parametrikber!F146/3600*H99,0)</f>
        <v>0.41742621527777779</v>
      </c>
      <c r="I101" s="620"/>
      <c r="J101" s="620"/>
      <c r="K101" s="1199">
        <f>IF('Quick Input'!O28="ja",'Maschinen-DB'!E66*(1+'Maschinen-DB'!F66)/'Länder-DB'!I27/Parametrikber!I146/3600*K99+'Maschinen-DB'!G66/3600*K99*VLOOKUP(K$7,DB_Länder,7,FALSE) + 'Maschinen-DB'!H66*VLOOKUP(K$7,DB_Länder,8,FALSE)*12/Parametrikber!I146/3600*K99,0)</f>
        <v>0.30864583333333334</v>
      </c>
      <c r="L101" s="355"/>
      <c r="M101" s="355"/>
      <c r="N101" s="1199">
        <f>IF('Quick Input'!R28="ja",'Maschinen-DB'!E66*(1+'Maschinen-DB'!F66)/'Länder-DB'!I27/Parametrikber!L146/3600*N99+'Maschinen-DB'!G66/3600*N99*VLOOKUP(N$7,DB_Länder,7,FALSE) + 'Maschinen-DB'!H66*VLOOKUP(N$7,DB_Länder,8,FALSE)*12/Parametrikber!L146/3600*N99,0)</f>
        <v>0.33394097222222224</v>
      </c>
      <c r="O101" s="1188"/>
    </row>
    <row r="102" spans="3:20" ht="15" thickBot="1" x14ac:dyDescent="0.25">
      <c r="C102" s="78"/>
      <c r="D102" s="1206" t="str">
        <f>IF(Deutsch,"Farbeindring (Anlage)","PT (system)")</f>
        <v>Farbeindring (Anlage)</v>
      </c>
      <c r="E102" s="1205"/>
      <c r="F102" s="1205"/>
      <c r="G102" s="611"/>
      <c r="H102" s="342" t="s">
        <v>993</v>
      </c>
      <c r="I102" s="620"/>
      <c r="J102" s="620"/>
      <c r="K102" s="342" t="s">
        <v>993</v>
      </c>
      <c r="L102" s="355"/>
      <c r="M102" s="355"/>
      <c r="N102" s="342" t="s">
        <v>993</v>
      </c>
      <c r="O102" s="1188"/>
    </row>
    <row r="103" spans="3:20" ht="15" thickBot="1" x14ac:dyDescent="0.25">
      <c r="C103" s="78"/>
      <c r="D103" s="1206" t="str">
        <f>IF(Deutsch,"Farbeindring Prüfzeit (sec)","PT testing time (sec)")</f>
        <v>Farbeindring Prüfzeit (sec)</v>
      </c>
      <c r="E103" s="1205"/>
      <c r="F103" s="1205"/>
      <c r="G103" s="611"/>
      <c r="H103" s="121">
        <v>600</v>
      </c>
      <c r="I103" s="620"/>
      <c r="J103" s="620"/>
      <c r="K103" s="121">
        <v>600</v>
      </c>
      <c r="L103" s="355"/>
      <c r="M103" s="355"/>
      <c r="N103" s="121">
        <v>400</v>
      </c>
      <c r="O103" s="1188"/>
    </row>
    <row r="104" spans="3:20" ht="15" thickBot="1" x14ac:dyDescent="0.25">
      <c r="C104" s="78"/>
      <c r="D104" s="1206" t="str">
        <f>IF(Deutsch,"Farbeindring Prüfung (€/Std.)","PT testing (€/h)")</f>
        <v>Farbeindring Prüfung (€/Std.)</v>
      </c>
      <c r="E104" s="1205"/>
      <c r="F104" s="1205"/>
      <c r="G104" s="611"/>
      <c r="H104" s="1199">
        <f>H105/H103*3600</f>
        <v>2.2249479166666664</v>
      </c>
      <c r="I104" s="620"/>
      <c r="J104" s="620"/>
      <c r="K104" s="1199">
        <f>K105/K103*3600</f>
        <v>2.0766666666666667</v>
      </c>
      <c r="L104" s="355"/>
      <c r="M104" s="355"/>
      <c r="N104" s="1199">
        <f>N105/N103*3600</f>
        <v>2.2249479166666664</v>
      </c>
      <c r="O104" s="1188"/>
    </row>
    <row r="105" spans="3:20" ht="15" thickBot="1" x14ac:dyDescent="0.25">
      <c r="C105" s="78"/>
      <c r="D105" s="1206" t="str">
        <f>IF(Deutsch,"Farbeindring Prüfung (€/Stk.)","PT testing (€/pc.)")</f>
        <v>Farbeindring Prüfung (€/Stk.)</v>
      </c>
      <c r="E105" s="1205"/>
      <c r="F105" s="1205"/>
      <c r="G105" s="611"/>
      <c r="H105" s="1199">
        <f>IF('Quick Input'!L29="ja",VLOOKUP(Refkalkulation!H102,'Maschinen-DB'!B67:H69,4,FALSE)*(1+VLOOKUP(Refkalkulation!H102,'Maschinen-DB'!B67:H69,5,FALSE))/'Länder-DB'!I27/Parametrikber!F146/3600*H103+VLOOKUP(Refkalkulation!H102,'Maschinen-DB'!B67:H69,6,FALSE)/3600*H103*VLOOKUP(H$7,DB_Länder,7,FALSE) + VLOOKUP(Refkalkulation!H102,'Maschinen-DB'!B67:H69,7,FALSE)*VLOOKUP(H$7,DB_Länder,8,FALSE)*12/Parametrikber!F146/3600*H103,0)</f>
        <v>0.37082465277777776</v>
      </c>
      <c r="I105" s="620"/>
      <c r="J105" s="620"/>
      <c r="K105" s="1199">
        <f>IF('Quick Input'!O29="ja",VLOOKUP(Refkalkulation!K102,'Maschinen-DB'!B67:K69,4,FALSE)*(1+VLOOKUP(Refkalkulation!K102,'Maschinen-DB'!B67:K69,5,FALSE))/'Länder-DB'!I27/Parametrikber!I146/3600*K103+VLOOKUP(Refkalkulation!K102,'Maschinen-DB'!B67:K69,6,FALSE)/3600*K103*VLOOKUP(K$7,DB_Länder,7,FALSE) + VLOOKUP(Refkalkulation!K102,'Maschinen-DB'!B67:K69,7,FALSE)*VLOOKUP(K$7,DB_Länder,8,FALSE)*12/Parametrikber!I146/3600*K103,0)</f>
        <v>0.34611111111111109</v>
      </c>
      <c r="L105" s="355"/>
      <c r="M105" s="355"/>
      <c r="N105" s="1199">
        <f>IF('Quick Input'!R29="ja",VLOOKUP(Refkalkulation!N102,'Maschinen-DB'!B67:N69,4,FALSE)*(1+VLOOKUP(Refkalkulation!N102,'Maschinen-DB'!B67:N69,5,FALSE))/'Länder-DB'!I27/Parametrikber!L146/3600*N103+VLOOKUP(Refkalkulation!N102,'Maschinen-DB'!B67:N69,6,FALSE)/3600*N103*VLOOKUP(N$7,DB_Länder,7,FALSE) + VLOOKUP(Refkalkulation!N102,'Maschinen-DB'!B67:N69,7,FALSE)*VLOOKUP(N$7,DB_Länder,8,FALSE)*12/Parametrikber!L146/3600*N103,0)</f>
        <v>0.24721643518518516</v>
      </c>
      <c r="O105" s="1188"/>
    </row>
    <row r="106" spans="3:20" ht="15" thickBot="1" x14ac:dyDescent="0.25">
      <c r="C106" s="78"/>
      <c r="D106" s="1206" t="str">
        <f>IF(Deutsch,"Röntgen Prüfzeit (sec)","X-ray testing time (sec)")</f>
        <v>Röntgen Prüfzeit (sec)</v>
      </c>
      <c r="E106" s="1205"/>
      <c r="F106" s="1205"/>
      <c r="G106" s="611"/>
      <c r="H106" s="121">
        <v>1000</v>
      </c>
      <c r="I106" s="620"/>
      <c r="J106" s="620"/>
      <c r="K106" s="121">
        <v>1000</v>
      </c>
      <c r="L106" s="355"/>
      <c r="M106" s="355"/>
      <c r="N106" s="121">
        <v>600</v>
      </c>
      <c r="O106" s="1188"/>
    </row>
    <row r="107" spans="3:20" ht="15" thickBot="1" x14ac:dyDescent="0.25">
      <c r="C107" s="78"/>
      <c r="D107" s="1206" t="str">
        <f>IF(Deutsch,"Röntgen Prüfung (€/Std.)","X-ray testing (€/h)")</f>
        <v>Röntgen Prüfung (€/Std.)</v>
      </c>
      <c r="E107" s="1205"/>
      <c r="F107" s="1205"/>
      <c r="G107" s="611"/>
      <c r="H107" s="1199">
        <f>H108/H106*3600</f>
        <v>6.6088541666666671</v>
      </c>
      <c r="I107" s="620"/>
      <c r="J107" s="620"/>
      <c r="K107" s="1199">
        <f>K108/K106*3600</f>
        <v>6.3429166666666683</v>
      </c>
      <c r="L107" s="355"/>
      <c r="M107" s="355"/>
      <c r="N107" s="1199">
        <f>N108/N106*3600</f>
        <v>6.6088541666666689</v>
      </c>
      <c r="O107" s="1188"/>
    </row>
    <row r="108" spans="3:20" ht="15" thickBot="1" x14ac:dyDescent="0.25">
      <c r="C108" s="78"/>
      <c r="D108" s="1206" t="str">
        <f>IF(Deutsch,"Röntgen Prüfung (€/Stk.)","X-ray testing (€/pc.)")</f>
        <v>Röntgen Prüfung (€/Stk.)</v>
      </c>
      <c r="E108" s="1205"/>
      <c r="F108" s="1205"/>
      <c r="G108" s="611"/>
      <c r="H108" s="1199">
        <f>IF('Quick Input'!L30="ja",'Maschinen-DB'!E63*(1+'Maschinen-DB'!F63)/'Länder-DB'!I27/Parametrikber!F146/3600*H106+'Maschinen-DB'!G63/3600*H106*VLOOKUP(H$7,DB_Länder,7,FALSE) + 'Maschinen-DB'!H63*VLOOKUP(H$7,DB_Länder,8,FALSE)*12/Parametrikber!F146/3600*H106,0)</f>
        <v>1.8357928240740744</v>
      </c>
      <c r="I108" s="620"/>
      <c r="J108" s="620"/>
      <c r="K108" s="1199">
        <f>IF('Quick Input'!O30="ja",'Maschinen-DB'!E63*(1+'Maschinen-DB'!F63)/'Länder-DB'!I27/Parametrikber!F146/3600*K106+'Maschinen-DB'!G63/3600*K106*VLOOKUP(K$7,DB_Länder,7,FALSE) + 'Maschinen-DB'!H63*VLOOKUP(K$7,DB_Länder,8,FALSE)*12/Parametrikber!F146/3600*K106,0)</f>
        <v>1.7619212962962969</v>
      </c>
      <c r="L108" s="355"/>
      <c r="M108" s="355"/>
      <c r="N108" s="1199">
        <f>IF('Quick Input'!R30="ja",'Maschinen-DB'!E63*(1+'Maschinen-DB'!F63)/'Länder-DB'!I27/Parametrikber!F146/3600*N106+'Maschinen-DB'!G63/3600*N106*VLOOKUP(N$7,DB_Länder,7,FALSE) + 'Maschinen-DB'!H63*VLOOKUP(N$7,DB_Länder,8,FALSE)*12/Parametrikber!F146/3600*N106,0)</f>
        <v>1.1014756944444448</v>
      </c>
      <c r="O108" s="1188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611"/>
      <c r="H109" s="80" t="str">
        <f>'Quick Input'!L$33</f>
        <v>ohne</v>
      </c>
      <c r="I109" s="619"/>
      <c r="J109" s="619"/>
      <c r="K109" s="80" t="str">
        <f>'Quick Input'!O$33</f>
        <v>ohne</v>
      </c>
      <c r="L109" s="78"/>
      <c r="M109" s="78"/>
      <c r="N109" s="80" t="str">
        <f>'Quick Input'!R$33</f>
        <v>ohne</v>
      </c>
      <c r="O109" s="1188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8"/>
    </row>
    <row r="111" spans="3:20" ht="15" thickBot="1" x14ac:dyDescent="0.25">
      <c r="C111" s="78"/>
      <c r="D111" s="72" t="str">
        <f>'Quick Input'!$I$77</f>
        <v>Anteil Nachprüfung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8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611"/>
      <c r="H112" s="85">
        <f>IF('Quick Input'!M$33=Auswahlfelder!$D$60,0,Parametrikber!F$187)</f>
        <v>0</v>
      </c>
      <c r="I112" s="619"/>
      <c r="J112" s="619"/>
      <c r="K112" s="85">
        <f>IF('Quick Input'!P$33=Auswahlfelder!$D$60,0,Parametrikber!I$187)</f>
        <v>0</v>
      </c>
      <c r="L112" s="78"/>
      <c r="M112" s="78"/>
      <c r="N112" s="85">
        <f>IF('Quick Input'!S$33=Auswahlfelder!$D$60,0,Parametrikber!L$187)</f>
        <v>0</v>
      </c>
      <c r="O112" s="1188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855"/>
      <c r="H113" s="853">
        <f>H$95/3600*H$98+(H$101+H$105+H$108)*(1+H$111*H$110)+H$110*H$112</f>
        <v>6.3502320254629634</v>
      </c>
      <c r="I113" s="625" t="s">
        <v>285</v>
      </c>
      <c r="J113" s="625"/>
      <c r="K113" s="853">
        <f>K$95/3600*K$98+(K$101+K$105+K$108)*(1+K$111*K$110)+K$110*K$112</f>
        <v>3.2506872407407412</v>
      </c>
      <c r="L113" s="625" t="s">
        <v>285</v>
      </c>
      <c r="M113" s="625"/>
      <c r="N113" s="853">
        <f>N$95/3600*N$98+(N$101+N$105+N$108)*(1+N$111*N$110)+N$110*N$112</f>
        <v>4.4772743518518521</v>
      </c>
      <c r="O113" s="1192" t="s">
        <v>285</v>
      </c>
    </row>
    <row r="114" spans="2:15" ht="11.25" customHeight="1" thickBot="1" x14ac:dyDescent="0.25">
      <c r="C114" s="78"/>
      <c r="D114" s="1229" t="str">
        <f>IF(Deutsch,"Fertigungsnebenkosten","production cost")</f>
        <v>Fertigungsnebenkosten</v>
      </c>
      <c r="E114" s="1230"/>
      <c r="F114" s="1231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4.25" customHeight="1" thickBot="1" x14ac:dyDescent="0.25">
      <c r="C115" s="78"/>
      <c r="D115" s="1232"/>
      <c r="E115" s="1233"/>
      <c r="F115" s="1234"/>
      <c r="G115" s="611"/>
      <c r="H115" s="928">
        <f>H$47+H$72+H93+H$113</f>
        <v>97.737645612231873</v>
      </c>
      <c r="I115" s="619" t="s">
        <v>285</v>
      </c>
      <c r="J115" s="619"/>
      <c r="K115" s="928">
        <f>K$47+K$72+K93+K$113</f>
        <v>17.875465954300157</v>
      </c>
      <c r="L115" s="619" t="s">
        <v>285</v>
      </c>
      <c r="M115" s="619"/>
      <c r="N115" s="928">
        <f>N$47+N$72+N93+N$113</f>
        <v>27.574640465551376</v>
      </c>
      <c r="O115" s="1188" t="s">
        <v>285</v>
      </c>
    </row>
    <row r="116" spans="2:15" ht="15" thickBot="1" x14ac:dyDescent="0.25">
      <c r="C116" s="78"/>
      <c r="D116" s="72" t="str">
        <f>CONCATENATE(IF(Deutsch,'Quick Input'!C31,'Quick Input'!D31)," (per lot)")</f>
        <v>Materialprüfzertifikat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8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Input'!I79</f>
        <v>Fertigungsgemeinkosten</v>
      </c>
      <c r="E117" s="73"/>
      <c r="F117" s="75"/>
      <c r="G117" s="611"/>
      <c r="H117" s="119">
        <v>0.1</v>
      </c>
      <c r="I117" s="620"/>
      <c r="J117" s="620"/>
      <c r="K117" s="119">
        <v>0.1</v>
      </c>
      <c r="L117" s="355"/>
      <c r="M117" s="355"/>
      <c r="N117" s="119">
        <v>0.1</v>
      </c>
      <c r="O117" s="1188"/>
    </row>
    <row r="118" spans="2:15" ht="15" thickBot="1" x14ac:dyDescent="0.25">
      <c r="C118" s="78"/>
      <c r="D118" s="236" t="str">
        <f>IF(Deutsch,'Quick Input'!C79,'Quick Input'!D79)</f>
        <v>Fertigungsgemeinkosten</v>
      </c>
      <c r="E118" s="73"/>
      <c r="F118" s="75"/>
      <c r="G118" s="611"/>
      <c r="H118" s="74">
        <f>H$117*H$115</f>
        <v>9.7737645612231887</v>
      </c>
      <c r="I118" s="619" t="s">
        <v>285</v>
      </c>
      <c r="J118" s="619"/>
      <c r="K118" s="74">
        <f>K$117*K$115</f>
        <v>1.7875465954300158</v>
      </c>
      <c r="L118" s="78" t="s">
        <v>285</v>
      </c>
      <c r="M118" s="78"/>
      <c r="N118" s="74">
        <f>N$117*N$115</f>
        <v>2.7574640465551377</v>
      </c>
      <c r="O118" s="1188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611"/>
      <c r="H119" s="113">
        <f>H$115+H$116/H$61+H$118</f>
        <v>107.51141017345506</v>
      </c>
      <c r="I119" s="619" t="s">
        <v>285</v>
      </c>
      <c r="J119" s="619"/>
      <c r="K119" s="113">
        <f>K$115+K$116/K$61+K$118</f>
        <v>19.663012549730173</v>
      </c>
      <c r="L119" s="619" t="s">
        <v>285</v>
      </c>
      <c r="M119" s="619"/>
      <c r="N119" s="113">
        <f>N$115+N$116/N$61+N$118</f>
        <v>30.332104512106515</v>
      </c>
      <c r="O119" s="1188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92" t="s">
        <v>285</v>
      </c>
    </row>
    <row r="121" spans="2:15" ht="7.5" customHeight="1" thickBot="1" x14ac:dyDescent="0.25">
      <c r="D121" s="1229" t="str">
        <f>IF(Deutsch,"Gemeinkosten &amp; Gewinn","common cost &amp; profit")</f>
        <v>Gemeinkosten &amp; Gewinn</v>
      </c>
      <c r="E121" s="1230"/>
      <c r="F121" s="1231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9" t="s">
        <v>285</v>
      </c>
    </row>
    <row r="122" spans="2:15" ht="15" thickBot="1" x14ac:dyDescent="0.25">
      <c r="D122" s="1232"/>
      <c r="E122" s="1233"/>
      <c r="F122" s="1234"/>
      <c r="G122" s="611"/>
      <c r="H122" s="74">
        <f>H$26+H$119</f>
        <v>124.42728738573041</v>
      </c>
      <c r="I122" s="619" t="s">
        <v>285</v>
      </c>
      <c r="J122" s="619"/>
      <c r="K122" s="85">
        <f>K$26+K$119</f>
        <v>32.335174075270913</v>
      </c>
      <c r="L122" s="619" t="s">
        <v>285</v>
      </c>
      <c r="M122" s="619"/>
      <c r="N122" s="85">
        <f>N$26+N$119</f>
        <v>43.004266037647255</v>
      </c>
      <c r="O122" s="1188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8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611"/>
      <c r="H124" s="74">
        <f>H$122*H123</f>
        <v>14.931274486287649</v>
      </c>
      <c r="I124" s="619" t="s">
        <v>285</v>
      </c>
      <c r="J124" s="619"/>
      <c r="K124" s="74">
        <f>K$122*K123</f>
        <v>3.8802208890325094</v>
      </c>
      <c r="L124" s="619" t="s">
        <v>285</v>
      </c>
      <c r="M124" s="619"/>
      <c r="N124" s="74">
        <f t="shared" ref="N124" si="9">N$122*N123</f>
        <v>5.16051192451767</v>
      </c>
      <c r="O124" s="1188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611"/>
      <c r="H125" s="74">
        <f>H$119*'Länder-DB'!$I$35</f>
        <v>8.6009128138764055</v>
      </c>
      <c r="I125" s="619" t="s">
        <v>285</v>
      </c>
      <c r="J125" s="619"/>
      <c r="K125" s="74">
        <f>K$119*'Länder-DB'!$I$35</f>
        <v>1.573041003978414</v>
      </c>
      <c r="L125" s="78" t="s">
        <v>285</v>
      </c>
      <c r="M125" s="78"/>
      <c r="N125" s="74">
        <f>N$119*'Länder-DB'!$I$35</f>
        <v>2.4265683609685214</v>
      </c>
      <c r="O125" s="1188" t="s">
        <v>285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611"/>
      <c r="H126" s="1031">
        <f>H$124+H$125</f>
        <v>23.532187300164054</v>
      </c>
      <c r="I126" s="619" t="s">
        <v>285</v>
      </c>
      <c r="J126" s="619"/>
      <c r="K126" s="1031">
        <f>K$124+K$125</f>
        <v>5.4532618930109233</v>
      </c>
      <c r="L126" s="619" t="s">
        <v>285</v>
      </c>
      <c r="M126" s="619"/>
      <c r="N126" s="1031">
        <f t="shared" ref="N126" si="10">N$124+N$125</f>
        <v>7.5870802854861914</v>
      </c>
      <c r="O126" s="1188" t="s">
        <v>285</v>
      </c>
    </row>
    <row r="127" spans="2:15" ht="15" thickBot="1" x14ac:dyDescent="0.25">
      <c r="B127" s="55" t="s">
        <v>127</v>
      </c>
      <c r="D127" s="72" t="str">
        <f>'Quick Input'!I81</f>
        <v>Gewinn auf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8"/>
    </row>
    <row r="128" spans="2:15" ht="15" thickBot="1" x14ac:dyDescent="0.25">
      <c r="B128" s="55" t="s">
        <v>127</v>
      </c>
      <c r="D128" s="72" t="str">
        <f>'Quick Input'!I82</f>
        <v>Gewinn auf Wertschöpfung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8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611"/>
      <c r="H129" s="1030">
        <f>H$127*H$26+H$128*H$115</f>
        <v>0</v>
      </c>
      <c r="I129" s="619" t="s">
        <v>285</v>
      </c>
      <c r="J129" s="619"/>
      <c r="K129" s="1030">
        <f>K$127*K$26+K$128*K$115</f>
        <v>0</v>
      </c>
      <c r="L129" s="619" t="s">
        <v>285</v>
      </c>
      <c r="M129" s="619"/>
      <c r="N129" s="1030">
        <f>N$127*N$26+N$128*N$115</f>
        <v>0</v>
      </c>
      <c r="O129" s="1188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8" t="s">
        <v>285</v>
      </c>
    </row>
    <row r="131" spans="2:15" ht="15" thickBot="1" x14ac:dyDescent="0.25">
      <c r="D131" s="776" t="str">
        <f>IF(Deutsch,"Bauteilpreis gesamt","part cost total")</f>
        <v>Bauteilpreis gesamt</v>
      </c>
      <c r="E131" s="67"/>
      <c r="F131" s="75"/>
      <c r="G131" s="611"/>
      <c r="H131" s="1032">
        <f>H$122+H$126+H$129</f>
        <v>147.95947468589446</v>
      </c>
      <c r="I131" s="619" t="s">
        <v>285</v>
      </c>
      <c r="J131" s="619"/>
      <c r="K131" s="1032">
        <f>K$122+K$126+K$129</f>
        <v>37.788435968281838</v>
      </c>
      <c r="L131" s="619" t="s">
        <v>285</v>
      </c>
      <c r="M131" s="619"/>
      <c r="N131" s="1032">
        <f>N$122+N$126+N$129</f>
        <v>50.59134632313345</v>
      </c>
      <c r="O131" s="1188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92" t="s">
        <v>285</v>
      </c>
    </row>
    <row r="133" spans="2:15" ht="14.25" customHeight="1" thickBot="1" x14ac:dyDescent="0.25">
      <c r="D133" s="1229" t="str">
        <f>IF(Deutsch,"Potenziabschätzung","estimation potential")</f>
        <v>Potenziabschätzung</v>
      </c>
      <c r="E133" s="1230"/>
      <c r="F133" s="1231"/>
      <c r="G133" s="611"/>
      <c r="H133" s="280" t="e">
        <f>IF(H50=Parametrikber!F126,IF(H51=#REF!,TRUE,FALSE),FALSE)</f>
        <v>#REF!</v>
      </c>
      <c r="I133" s="619" t="s">
        <v>285</v>
      </c>
      <c r="J133" s="619"/>
      <c r="K133" s="280" t="e">
        <f>IF(K50=Parametrikber!I126,IF(K51=#REF!,TRUE,FALSE),FALSE)</f>
        <v>#REF!</v>
      </c>
      <c r="L133" s="78" t="s">
        <v>285</v>
      </c>
      <c r="M133" s="357"/>
      <c r="N133" s="280" t="e">
        <f>IF(N50=Parametrikber!L126,IF(N51=#REF!,TRUE,FALSE),FALSE)</f>
        <v>#REF!</v>
      </c>
      <c r="O133" s="1189" t="s">
        <v>285</v>
      </c>
    </row>
    <row r="134" spans="2:15" ht="15" thickBot="1" x14ac:dyDescent="0.25">
      <c r="D134" s="1232"/>
      <c r="E134" s="1233"/>
      <c r="F134" s="1234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8" t="s">
        <v>285</v>
      </c>
    </row>
    <row r="135" spans="2:15" ht="15" thickBot="1" x14ac:dyDescent="0.25">
      <c r="B135" s="55" t="s">
        <v>127</v>
      </c>
      <c r="D135" s="72" t="str">
        <f>'Quick Input'!I51</f>
        <v>Zielpreis Bauteil</v>
      </c>
      <c r="E135" s="73"/>
      <c r="F135" s="75"/>
      <c r="G135" s="611"/>
      <c r="H135" s="85">
        <f>AVERAGE('Quick Input'!M$52:M$56)</f>
        <v>55</v>
      </c>
      <c r="I135" s="619" t="s">
        <v>285</v>
      </c>
      <c r="J135" s="623"/>
      <c r="K135" s="85">
        <f>AVERAGE('Quick Input'!P52:P56)</f>
        <v>55</v>
      </c>
      <c r="L135" s="78" t="s">
        <v>285</v>
      </c>
      <c r="M135" s="358"/>
      <c r="N135" s="85">
        <f>AVERAGE('Quick Input'!S52:S56)</f>
        <v>55</v>
      </c>
      <c r="O135" s="1188" t="s">
        <v>285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611"/>
      <c r="H136" s="85">
        <f>H$135-H$131</f>
        <v>-92.959474685894463</v>
      </c>
      <c r="I136" s="619" t="s">
        <v>285</v>
      </c>
      <c r="J136" s="619"/>
      <c r="K136" s="85">
        <f>K135-K131</f>
        <v>17.211564031718162</v>
      </c>
      <c r="L136" s="78" t="s">
        <v>285</v>
      </c>
      <c r="M136" s="78"/>
      <c r="N136" s="85">
        <f>N135-N131</f>
        <v>4.4086536768665496</v>
      </c>
      <c r="O136" s="1188" t="s">
        <v>285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611"/>
      <c r="H137" s="93">
        <f>IF(H$136&gt;0,H$136*'Quick Input'!M$44,0)</f>
        <v>0</v>
      </c>
      <c r="I137" s="619" t="s">
        <v>285</v>
      </c>
      <c r="J137" s="619"/>
      <c r="K137" s="93">
        <f>IF(K136&gt;0,K136*'Quick Input'!P44,0)</f>
        <v>516346.92095154483</v>
      </c>
      <c r="L137" s="78" t="s">
        <v>285</v>
      </c>
      <c r="M137" s="78"/>
      <c r="N137" s="93">
        <f>IF(N136&gt;0,N136*'Quick Input'!S44,0)</f>
        <v>132259.6103059965</v>
      </c>
      <c r="O137" s="1188" t="s">
        <v>285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611"/>
      <c r="H138" s="140" t="str">
        <f>CONCATENATE(Parametrikber!F$260," x ",Parametrikber!F$259)</f>
        <v>2 x Alu</v>
      </c>
      <c r="I138" s="619" t="s">
        <v>285</v>
      </c>
      <c r="J138" s="619"/>
      <c r="K138" s="140" t="str">
        <f>CONCATENATE(Parametrikber!I$260," x ",Parametrikber!I$259)</f>
        <v>2 x Alu</v>
      </c>
      <c r="L138" s="78" t="s">
        <v>285</v>
      </c>
      <c r="M138" s="78"/>
      <c r="N138" s="140" t="str">
        <f>CONCATENATE(Parametrikber!L$260," x ",Parametrikber!L$259)</f>
        <v>2 x Alu</v>
      </c>
      <c r="O138" s="1188" t="s">
        <v>285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611"/>
      <c r="H139" s="93">
        <f>Parametrikber!F$264</f>
        <v>10600</v>
      </c>
      <c r="I139" s="619" t="s">
        <v>285</v>
      </c>
      <c r="J139" s="619"/>
      <c r="K139" s="93">
        <f>Parametrikber!I$264</f>
        <v>8800</v>
      </c>
      <c r="L139" s="619" t="s">
        <v>285</v>
      </c>
      <c r="M139" s="619"/>
      <c r="N139" s="93">
        <f>Parametrikber!L$264</f>
        <v>10100</v>
      </c>
      <c r="O139" s="1188" t="s">
        <v>285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611"/>
      <c r="H140" s="93">
        <f>Parametrikber!F$269</f>
        <v>2300</v>
      </c>
      <c r="I140" s="619" t="s">
        <v>285</v>
      </c>
      <c r="J140" s="619"/>
      <c r="K140" s="93">
        <f>Parametrikber!I$269</f>
        <v>1100</v>
      </c>
      <c r="L140" s="619" t="s">
        <v>285</v>
      </c>
      <c r="M140" s="619"/>
      <c r="N140" s="93">
        <f>Parametrikber!L$269</f>
        <v>0</v>
      </c>
      <c r="O140" s="1188" t="s">
        <v>285</v>
      </c>
    </row>
    <row r="141" spans="2:15" ht="15" thickBot="1" x14ac:dyDescent="0.25">
      <c r="D141" s="775" t="str">
        <f>IF(Deutsch,"Modellkosten Angebot","tool invest - supplier")</f>
        <v>Modellkosten Angebot</v>
      </c>
      <c r="E141" s="94"/>
      <c r="F141" s="89"/>
      <c r="G141" s="615"/>
      <c r="H141" s="359">
        <f>'Quick Input'!M57+'Quick Input'!M58</f>
        <v>10500</v>
      </c>
      <c r="I141" s="624" t="s">
        <v>285</v>
      </c>
      <c r="J141" s="625"/>
      <c r="K141" s="359">
        <f>'Quick Input'!P57+'Quick Input'!P58</f>
        <v>6000</v>
      </c>
      <c r="L141" s="624" t="s">
        <v>285</v>
      </c>
      <c r="M141" s="625"/>
      <c r="N141" s="359">
        <f>'Quick Input'!S57+'Quick Input'!S58</f>
        <v>7500</v>
      </c>
      <c r="O141" s="1192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17" t="str">
        <f>IF(Deutsch,"Empfehlungen / Info"," suggestion, infos")</f>
        <v>Empfehlungen / Info</v>
      </c>
      <c r="E143" s="1218"/>
      <c r="F143" s="1219"/>
      <c r="G143" s="190"/>
    </row>
    <row r="144" spans="2:15" ht="9.75" customHeight="1" thickBot="1" x14ac:dyDescent="0.25">
      <c r="D144" s="1220"/>
      <c r="E144" s="1221"/>
      <c r="F144" s="1222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>Empfehlung Formverfahren</v>
      </c>
      <c r="I145" s="266" t="s">
        <v>285</v>
      </c>
      <c r="J145" s="587"/>
      <c r="K145" s="675" t="str">
        <f>VLOOKUP(1,Parametrikber!H$276:$X$292,IF(Deutsch,16,17),FALSE)</f>
        <v>Empfehlung Formverfahren</v>
      </c>
      <c r="L145" s="266" t="s">
        <v>285</v>
      </c>
      <c r="M145" s="587"/>
      <c r="N145" s="675" t="str">
        <f>VLOOKUP(1,Parametrikber!K$276:$X$292,IF(Deutsch,13,14),FALSE)</f>
        <v>Empfehlung Formverfahren</v>
      </c>
      <c r="O145" s="1189" t="s">
        <v>285</v>
      </c>
    </row>
    <row r="146" spans="2:15" ht="15" thickBot="1" x14ac:dyDescent="0.25">
      <c r="D146" s="142"/>
      <c r="E146" s="94"/>
      <c r="F146" s="89"/>
      <c r="G146" s="617"/>
      <c r="H146" s="692" t="str">
        <f>VLOOKUP(2,Parametrikber!E$276:$X$293,2,FALSE)</f>
        <v>automatisch</v>
      </c>
      <c r="I146" s="87" t="s">
        <v>285</v>
      </c>
      <c r="J146" s="87"/>
      <c r="K146" s="676" t="str">
        <f>VLOOKUP(2,Parametrikber!H$276:$X$293,2,FALSE)</f>
        <v>automatisch</v>
      </c>
      <c r="L146" s="87" t="s">
        <v>285</v>
      </c>
      <c r="M146" s="87"/>
      <c r="N146" s="676" t="str">
        <f>VLOOKUP(2,Parametrikber!K$276:$X$293,2,FALSE)</f>
        <v>automatisch</v>
      </c>
      <c r="O146" s="1192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>Kastenausnutzung (Volumen)</v>
      </c>
      <c r="I147" s="266" t="s">
        <v>285</v>
      </c>
      <c r="J147" s="587"/>
      <c r="K147" s="675" t="str">
        <f>VLOOKUP(3,Parametrikber!H$276:$X$292,IF(Deutsch,16,17),FALSE)</f>
        <v>Kastenausnutzung (Volumen)</v>
      </c>
      <c r="L147" s="266" t="s">
        <v>285</v>
      </c>
      <c r="M147" s="587"/>
      <c r="N147" s="675" t="str">
        <f>VLOOKUP(3,Parametrikber!K$276:$X$292,IF(Deutsch,13,14),FALSE)</f>
        <v>Kastenausnutzung (Volumen)</v>
      </c>
      <c r="O147" s="1189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>2%</v>
      </c>
      <c r="I148" s="87" t="s">
        <v>285</v>
      </c>
      <c r="J148" s="87"/>
      <c r="K148" s="691" t="str">
        <f>VLOOKUP(4,Parametrikber!H$276:$X$293,2,FALSE)</f>
        <v>1%</v>
      </c>
      <c r="L148" s="87" t="s">
        <v>285</v>
      </c>
      <c r="M148" s="87"/>
      <c r="N148" s="691" t="str">
        <f>VLOOKUP(4,Parametrikber!K$276:$X$293,2,FALSE)</f>
        <v>1%</v>
      </c>
      <c r="O148" s="1192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>Anzahl Modelle &gt;1</v>
      </c>
      <c r="I149" s="266" t="s">
        <v>285</v>
      </c>
      <c r="J149" s="587"/>
      <c r="K149" s="675" t="str">
        <f>VLOOKUP(5,Parametrikber!H$276:$X$292,IF(Deutsch,16,17),FALSE)</f>
        <v>Anteil Rüstzeit zu Prod.-Zeit</v>
      </c>
      <c r="L149" s="266" t="s">
        <v>285</v>
      </c>
      <c r="M149" s="587"/>
      <c r="N149" s="675" t="str">
        <f>VLOOKUP(5,Parametrikber!K$276:$X$292,IF(Deutsch,13,14),FALSE)</f>
        <v>Anteil Rüstzeit zu Prod.-Zeit</v>
      </c>
      <c r="O149" s="1189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>2 WKZ aus Alu</v>
      </c>
      <c r="I150" s="87" t="s">
        <v>285</v>
      </c>
      <c r="J150" s="87"/>
      <c r="K150" s="676" t="str">
        <f>VLOOKUP(6,Parametrikber!H$276:$X$293,2,FALSE)</f>
        <v>45,8 %</v>
      </c>
      <c r="L150" s="87" t="s">
        <v>285</v>
      </c>
      <c r="M150" s="87"/>
      <c r="N150" s="676" t="str">
        <f>VLOOKUP(6,Parametrikber!K$276:$X$293,2,FALSE)</f>
        <v>43,1 %</v>
      </c>
      <c r="O150" s="1192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30" priority="485" stopIfTrue="1">
      <formula>VALUE(H16="Materialdatenbank")</formula>
    </cfRule>
  </conditionalFormatting>
  <conditionalFormatting sqref="H130 K130 N130 K54 N54 H54">
    <cfRule type="expression" dxfId="129" priority="486" stopIfTrue="1">
      <formula>VALUE(H56="Materialdatenbank")</formula>
    </cfRule>
  </conditionalFormatting>
  <conditionalFormatting sqref="N60 K60">
    <cfRule type="expression" dxfId="128" priority="488" stopIfTrue="1">
      <formula>VALUE(K128="Materialdatenbank")</formula>
    </cfRule>
  </conditionalFormatting>
  <conditionalFormatting sqref="H34">
    <cfRule type="expression" dxfId="127" priority="490" stopIfTrue="1">
      <formula>VALUE(H33="Materialdatenbank")</formula>
    </cfRule>
  </conditionalFormatting>
  <conditionalFormatting sqref="H56 K56 N56">
    <cfRule type="expression" dxfId="126" priority="491" stopIfTrue="1">
      <formula>VALUE(#REF!="Materialdatenbank")</formula>
    </cfRule>
  </conditionalFormatting>
  <conditionalFormatting sqref="H60">
    <cfRule type="expression" dxfId="125" priority="492" stopIfTrue="1">
      <formula>VALUE(H128="Materialdatenbank")</formula>
    </cfRule>
  </conditionalFormatting>
  <conditionalFormatting sqref="K76 N76 H76">
    <cfRule type="expression" dxfId="124" priority="493" stopIfTrue="1">
      <formula>VALUE(H66="Materialdatenbank")</formula>
    </cfRule>
  </conditionalFormatting>
  <conditionalFormatting sqref="H131 H98 H33 N98 K131 N131 H91 H116 K91 K116 N90:N91 N116 K98 H101:H102 K101:K102 N101:N102">
    <cfRule type="expression" dxfId="123" priority="494" stopIfTrue="1">
      <formula>VALUE(#REF!="Materialdatenbank")</formula>
    </cfRule>
  </conditionalFormatting>
  <conditionalFormatting sqref="H134:H137 K134:K137 N134:N137 H139 H57 H25 H14 H68 K14 N14 K68 N68 H9:H12 K9:K12 N9:N12 K25 N25 K57 N57 K141 H141 K139 N139 N141">
    <cfRule type="expression" dxfId="122" priority="495" stopIfTrue="1">
      <formula>VALUE(#REF!="Materialdatenbank")</formula>
    </cfRule>
  </conditionalFormatting>
  <conditionalFormatting sqref="H122 K122 N122">
    <cfRule type="expression" dxfId="121" priority="497" stopIfTrue="1">
      <formula>VALUE(#REF!="Materialdatenbank")</formula>
    </cfRule>
  </conditionalFormatting>
  <conditionalFormatting sqref="H42">
    <cfRule type="expression" dxfId="120" priority="498" stopIfTrue="1">
      <formula>VALUE(#REF!="Materialdatenbank")</formula>
    </cfRule>
  </conditionalFormatting>
  <conditionalFormatting sqref="H37">
    <cfRule type="expression" dxfId="119" priority="499" stopIfTrue="1">
      <formula>VALUE(#REF!="Materialdatenbank")</formula>
    </cfRule>
  </conditionalFormatting>
  <conditionalFormatting sqref="K2:K4 N2:N4 W4 H2:H4">
    <cfRule type="cellIs" dxfId="118" priority="500" operator="equal">
      <formula>FALSE</formula>
    </cfRule>
  </conditionalFormatting>
  <conditionalFormatting sqref="H17">
    <cfRule type="expression" dxfId="117" priority="501" stopIfTrue="1">
      <formula>VALUE(H24="Materialdatenbank")</formula>
    </cfRule>
  </conditionalFormatting>
  <conditionalFormatting sqref="H20">
    <cfRule type="expression" dxfId="116" priority="481" stopIfTrue="1">
      <formula>VALUE(H26="Materialdatenbank")</formula>
    </cfRule>
  </conditionalFormatting>
  <conditionalFormatting sqref="H21">
    <cfRule type="expression" dxfId="115" priority="480" stopIfTrue="1">
      <formula>VALUE(H25="Materialdatenbank")</formula>
    </cfRule>
  </conditionalFormatting>
  <conditionalFormatting sqref="K17">
    <cfRule type="expression" dxfId="114" priority="453" stopIfTrue="1">
      <formula>VALUE(K24="Materialdatenbank")</formula>
    </cfRule>
  </conditionalFormatting>
  <conditionalFormatting sqref="H112 H110 K112 K110 N112 N110">
    <cfRule type="expression" dxfId="113" priority="464" stopIfTrue="1">
      <formula>VALUE(#REF!="Materialdatenbank")</formula>
    </cfRule>
  </conditionalFormatting>
  <conditionalFormatting sqref="H36">
    <cfRule type="expression" dxfId="112" priority="502" stopIfTrue="1">
      <formula>VALUE(#REF!="Materialdatenbank")</formula>
    </cfRule>
  </conditionalFormatting>
  <conditionalFormatting sqref="H40">
    <cfRule type="expression" dxfId="111" priority="508" stopIfTrue="1">
      <formula>VALUE(H34="Materialdatenbank")</formula>
    </cfRule>
  </conditionalFormatting>
  <conditionalFormatting sqref="N17">
    <cfRule type="expression" dxfId="110" priority="452" stopIfTrue="1">
      <formula>VALUE(N24="Materialdatenbank")</formula>
    </cfRule>
  </conditionalFormatting>
  <conditionalFormatting sqref="H39 K39">
    <cfRule type="expression" dxfId="109" priority="437" stopIfTrue="1">
      <formula>VALUE(H47="Materialdatenbank")</formula>
    </cfRule>
  </conditionalFormatting>
  <conditionalFormatting sqref="K40">
    <cfRule type="expression" dxfId="108" priority="443" stopIfTrue="1">
      <formula>VALUE(K34="Materialdatenbank")</formula>
    </cfRule>
  </conditionalFormatting>
  <conditionalFormatting sqref="N40">
    <cfRule type="expression" dxfId="107" priority="435" stopIfTrue="1">
      <formula>VALUE(N34="Materialdatenbank")</formula>
    </cfRule>
  </conditionalFormatting>
  <conditionalFormatting sqref="K42">
    <cfRule type="expression" dxfId="106" priority="393" stopIfTrue="1">
      <formula>VALUE(#REF!="Materialdatenbank")</formula>
    </cfRule>
  </conditionalFormatting>
  <conditionalFormatting sqref="N42">
    <cfRule type="expression" dxfId="105" priority="392" stopIfTrue="1">
      <formula>VALUE(#REF!="Materialdatenbank")</formula>
    </cfRule>
  </conditionalFormatting>
  <conditionalFormatting sqref="K65">
    <cfRule type="expression" dxfId="104" priority="385" stopIfTrue="1">
      <formula>VALUE(K66="Materialdatenbank")</formula>
    </cfRule>
  </conditionalFormatting>
  <conditionalFormatting sqref="N65">
    <cfRule type="expression" dxfId="103" priority="383" stopIfTrue="1">
      <formula>VALUE(N66="Materialdatenbank")</formula>
    </cfRule>
  </conditionalFormatting>
  <conditionalFormatting sqref="K146">
    <cfRule type="expression" dxfId="102" priority="267" stopIfTrue="1">
      <formula>K146=" "</formula>
    </cfRule>
  </conditionalFormatting>
  <conditionalFormatting sqref="K145">
    <cfRule type="expression" dxfId="101" priority="266" stopIfTrue="1">
      <formula>K145=" "</formula>
    </cfRule>
  </conditionalFormatting>
  <conditionalFormatting sqref="N145">
    <cfRule type="expression" dxfId="100" priority="253" stopIfTrue="1">
      <formula>N145=" "</formula>
    </cfRule>
  </conditionalFormatting>
  <conditionalFormatting sqref="K150">
    <cfRule type="expression" dxfId="99" priority="262" stopIfTrue="1">
      <formula>K150=" "</formula>
    </cfRule>
  </conditionalFormatting>
  <conditionalFormatting sqref="N148">
    <cfRule type="expression" dxfId="98" priority="252" stopIfTrue="1">
      <formula>N148=" "</formula>
    </cfRule>
  </conditionalFormatting>
  <conditionalFormatting sqref="H146">
    <cfRule type="expression" dxfId="97" priority="260" stopIfTrue="1">
      <formula>H146=" "</formula>
    </cfRule>
  </conditionalFormatting>
  <conditionalFormatting sqref="H145">
    <cfRule type="expression" dxfId="96" priority="259" stopIfTrue="1">
      <formula>H145=" "</formula>
    </cfRule>
  </conditionalFormatting>
  <conditionalFormatting sqref="H150">
    <cfRule type="expression" dxfId="95" priority="256" stopIfTrue="1">
      <formula>H150=" "</formula>
    </cfRule>
  </conditionalFormatting>
  <conditionalFormatting sqref="N146">
    <cfRule type="expression" dxfId="94" priority="254" stopIfTrue="1">
      <formula>N146=" "</formula>
    </cfRule>
  </conditionalFormatting>
  <conditionalFormatting sqref="N150">
    <cfRule type="expression" dxfId="93" priority="250" stopIfTrue="1">
      <formula>N150=" "</formula>
    </cfRule>
  </conditionalFormatting>
  <conditionalFormatting sqref="H22">
    <cfRule type="expression" dxfId="92" priority="230" stopIfTrue="1">
      <formula>VALUE(H131="Materialdatenbank")</formula>
    </cfRule>
  </conditionalFormatting>
  <conditionalFormatting sqref="K22">
    <cfRule type="expression" dxfId="91" priority="219" stopIfTrue="1">
      <formula>VALUE(K131="Materialdatenbank")</formula>
    </cfRule>
  </conditionalFormatting>
  <conditionalFormatting sqref="N22">
    <cfRule type="expression" dxfId="90" priority="218" stopIfTrue="1">
      <formula>VALUE(N131="Materialdatenbank")</formula>
    </cfRule>
  </conditionalFormatting>
  <conditionalFormatting sqref="H147">
    <cfRule type="expression" dxfId="89" priority="213" stopIfTrue="1">
      <formula>H147=" "</formula>
    </cfRule>
  </conditionalFormatting>
  <conditionalFormatting sqref="H149">
    <cfRule type="expression" dxfId="88" priority="212" stopIfTrue="1">
      <formula>H149=" "</formula>
    </cfRule>
  </conditionalFormatting>
  <conditionalFormatting sqref="K147">
    <cfRule type="expression" dxfId="87" priority="211" stopIfTrue="1">
      <formula>K147=" "</formula>
    </cfRule>
  </conditionalFormatting>
  <conditionalFormatting sqref="K149">
    <cfRule type="expression" dxfId="86" priority="210" stopIfTrue="1">
      <formula>K149=" "</formula>
    </cfRule>
  </conditionalFormatting>
  <conditionalFormatting sqref="N147">
    <cfRule type="expression" dxfId="85" priority="209" stopIfTrue="1">
      <formula>N147=" "</formula>
    </cfRule>
  </conditionalFormatting>
  <conditionalFormatting sqref="N149">
    <cfRule type="expression" dxfId="84" priority="208" stopIfTrue="1">
      <formula>N149=" "</formula>
    </cfRule>
  </conditionalFormatting>
  <conditionalFormatting sqref="H111 K111 N111">
    <cfRule type="expression" dxfId="83" priority="201" stopIfTrue="1">
      <formula>VALUE(#REF!="Materialdatenbank")</formula>
    </cfRule>
  </conditionalFormatting>
  <conditionalFormatting sqref="H148">
    <cfRule type="expression" dxfId="82" priority="193" stopIfTrue="1">
      <formula>H148=" "</formula>
    </cfRule>
  </conditionalFormatting>
  <conditionalFormatting sqref="K148">
    <cfRule type="expression" dxfId="81" priority="191" stopIfTrue="1">
      <formula>K148=" "</formula>
    </cfRule>
  </conditionalFormatting>
  <conditionalFormatting sqref="H105 K105">
    <cfRule type="expression" dxfId="80" priority="185" stopIfTrue="1">
      <formula>VALUE(#REF!="Materialdatenbank")</formula>
    </cfRule>
  </conditionalFormatting>
  <conditionalFormatting sqref="H108 K108 N108">
    <cfRule type="expression" dxfId="79" priority="184" stopIfTrue="1">
      <formula>VALUE(#REF!="Materialdatenbank")</formula>
    </cfRule>
  </conditionalFormatting>
  <conditionalFormatting sqref="K33">
    <cfRule type="expression" dxfId="78" priority="179" stopIfTrue="1">
      <formula>VALUE(#REF!="Materialdatenbank")</formula>
    </cfRule>
  </conditionalFormatting>
  <conditionalFormatting sqref="N33">
    <cfRule type="expression" dxfId="77" priority="177" stopIfTrue="1">
      <formula>VALUE(#REF!="Materialdatenbank")</formula>
    </cfRule>
  </conditionalFormatting>
  <conditionalFormatting sqref="K37 N37">
    <cfRule type="expression" dxfId="76" priority="169" stopIfTrue="1">
      <formula>VALUE(#REF!="Materialdatenbank")</formula>
    </cfRule>
  </conditionalFormatting>
  <conditionalFormatting sqref="K34">
    <cfRule type="expression" dxfId="75" priority="166" stopIfTrue="1">
      <formula>VALUE(K33="Materialdatenbank")</formula>
    </cfRule>
  </conditionalFormatting>
  <conditionalFormatting sqref="N34">
    <cfRule type="expression" dxfId="74" priority="165" stopIfTrue="1">
      <formula>VALUE(N33="Materialdatenbank")</formula>
    </cfRule>
  </conditionalFormatting>
  <conditionalFormatting sqref="H45">
    <cfRule type="expression" dxfId="73" priority="160" stopIfTrue="1">
      <formula>VALUE(#REF!="Materialdatenbank")</formula>
    </cfRule>
  </conditionalFormatting>
  <conditionalFormatting sqref="H43">
    <cfRule type="expression" dxfId="72" priority="161" stopIfTrue="1">
      <formula>VALUE(H37="Materialdatenbank")</formula>
    </cfRule>
  </conditionalFormatting>
  <conditionalFormatting sqref="K43">
    <cfRule type="expression" dxfId="71" priority="139" stopIfTrue="1">
      <formula>VALUE(K37="Materialdatenbank")</formula>
    </cfRule>
  </conditionalFormatting>
  <conditionalFormatting sqref="N43">
    <cfRule type="expression" dxfId="70" priority="138" stopIfTrue="1">
      <formula>VALUE(N37="Materialdatenbank")</formula>
    </cfRule>
  </conditionalFormatting>
  <conditionalFormatting sqref="K21">
    <cfRule type="expression" dxfId="69" priority="124" stopIfTrue="1">
      <formula>VALUE(K25="Materialdatenbank")</formula>
    </cfRule>
  </conditionalFormatting>
  <conditionalFormatting sqref="N21">
    <cfRule type="expression" dxfId="68" priority="123" stopIfTrue="1">
      <formula>VALUE(N25="Materialdatenbank")</formula>
    </cfRule>
  </conditionalFormatting>
  <conditionalFormatting sqref="K115 H115 N115">
    <cfRule type="expression" dxfId="67" priority="111" stopIfTrue="1">
      <formula>VALUE(H118="Materialdatenbank")</formula>
    </cfRule>
  </conditionalFormatting>
  <conditionalFormatting sqref="H26 K26 N26">
    <cfRule type="expression" dxfId="66" priority="510" stopIfTrue="1">
      <formula>VALUE(#REF!="Materialdatenbank")</formula>
    </cfRule>
  </conditionalFormatting>
  <conditionalFormatting sqref="H18 N18 K18">
    <cfRule type="expression" dxfId="65" priority="108" stopIfTrue="1">
      <formula>VALUE(H21="Materialdatenbank")</formula>
    </cfRule>
  </conditionalFormatting>
  <conditionalFormatting sqref="H23">
    <cfRule type="expression" dxfId="64" priority="107" stopIfTrue="1">
      <formula>VALUE(H27="Materialdatenbank")</formula>
    </cfRule>
  </conditionalFormatting>
  <conditionalFormatting sqref="H19">
    <cfRule type="expression" dxfId="63" priority="94" stopIfTrue="1">
      <formula>VALUE(#REF!="Materialdatenbank")</formula>
    </cfRule>
  </conditionalFormatting>
  <conditionalFormatting sqref="K19 N19">
    <cfRule type="expression" dxfId="62" priority="93" stopIfTrue="1">
      <formula>VALUE(#REF!="Materialdatenbank")</formula>
    </cfRule>
  </conditionalFormatting>
  <conditionalFormatting sqref="K20 N20">
    <cfRule type="expression" dxfId="61" priority="92" stopIfTrue="1">
      <formula>VALUE(K26="Materialdatenbank")</formula>
    </cfRule>
  </conditionalFormatting>
  <conditionalFormatting sqref="K23 N23">
    <cfRule type="expression" dxfId="60" priority="91" stopIfTrue="1">
      <formula>VALUE(K27="Materialdatenbank")</formula>
    </cfRule>
  </conditionalFormatting>
  <conditionalFormatting sqref="K45">
    <cfRule type="expression" dxfId="59" priority="90" stopIfTrue="1">
      <formula>VALUE(#REF!="Materialdatenbank")</formula>
    </cfRule>
  </conditionalFormatting>
  <conditionalFormatting sqref="N45">
    <cfRule type="expression" dxfId="58" priority="89" stopIfTrue="1">
      <formula>VALUE(#REF!="Materialdatenbank")</formula>
    </cfRule>
  </conditionalFormatting>
  <conditionalFormatting sqref="K36 N36">
    <cfRule type="expression" dxfId="57" priority="86" stopIfTrue="1">
      <formula>VALUE(#REF!="Materialdatenbank")</formula>
    </cfRule>
  </conditionalFormatting>
  <conditionalFormatting sqref="N39">
    <cfRule type="expression" dxfId="56" priority="85" stopIfTrue="1">
      <formula>VALUE(N47="Materialdatenbank")</formula>
    </cfRule>
  </conditionalFormatting>
  <conditionalFormatting sqref="K93 N93 H93">
    <cfRule type="expression" dxfId="55" priority="517" stopIfTrue="1">
      <formula>VALUE(H65="Materialdatenbank")</formula>
    </cfRule>
  </conditionalFormatting>
  <conditionalFormatting sqref="H64 K64 N64">
    <cfRule type="expression" dxfId="54" priority="529" stopIfTrue="1">
      <formula>VALUE(H53="Materialdatenbank")</formula>
    </cfRule>
  </conditionalFormatting>
  <conditionalFormatting sqref="H89 K89 N89">
    <cfRule type="expression" dxfId="53" priority="531" stopIfTrue="1">
      <formula>VALUE(H63="Materialdatenbank")</formula>
    </cfRule>
  </conditionalFormatting>
  <conditionalFormatting sqref="K66 N66 H66 N69">
    <cfRule type="expression" dxfId="52" priority="79" stopIfTrue="1">
      <formula>VALUE(H132="Materialdatenbank")</formula>
    </cfRule>
  </conditionalFormatting>
  <conditionalFormatting sqref="H125 K125 N125">
    <cfRule type="expression" dxfId="51" priority="533" stopIfTrue="1">
      <formula>VALUE(#REF!="Materialdatenbank")</formula>
    </cfRule>
  </conditionalFormatting>
  <conditionalFormatting sqref="N126">
    <cfRule type="expression" dxfId="50" priority="556" stopIfTrue="1">
      <formula>VALUE(N113="Materialdatenbank")</formula>
    </cfRule>
  </conditionalFormatting>
  <conditionalFormatting sqref="K118 N118 H118">
    <cfRule type="expression" dxfId="49" priority="557" stopIfTrue="1">
      <formula>VALUE(H70="Materialdatenbank")</formula>
    </cfRule>
  </conditionalFormatting>
  <conditionalFormatting sqref="K47">
    <cfRule type="expression" dxfId="48" priority="71" stopIfTrue="1">
      <formula>VALUE(K48="Materialdatenbank")</formula>
    </cfRule>
  </conditionalFormatting>
  <conditionalFormatting sqref="N47">
    <cfRule type="expression" dxfId="47" priority="70" stopIfTrue="1">
      <formula>VALUE(N48="Materialdatenbank")</formula>
    </cfRule>
  </conditionalFormatting>
  <conditionalFormatting sqref="H72">
    <cfRule type="expression" dxfId="46" priority="62" stopIfTrue="1">
      <formula>VALUE(H68="Materialdatenbank")</formula>
    </cfRule>
  </conditionalFormatting>
  <conditionalFormatting sqref="H126">
    <cfRule type="expression" dxfId="45" priority="59" stopIfTrue="1">
      <formula>VALUE(H113="Materialdatenbank")</formula>
    </cfRule>
  </conditionalFormatting>
  <conditionalFormatting sqref="H129">
    <cfRule type="expression" dxfId="44" priority="58" stopIfTrue="1">
      <formula>VALUE(H116="Materialdatenbank")</formula>
    </cfRule>
  </conditionalFormatting>
  <conditionalFormatting sqref="K126">
    <cfRule type="expression" dxfId="43" priority="56" stopIfTrue="1">
      <formula>VALUE(K113="Materialdatenbank")</formula>
    </cfRule>
  </conditionalFormatting>
  <conditionalFormatting sqref="N71 K71 H71">
    <cfRule type="expression" dxfId="42" priority="562" stopIfTrue="1">
      <formula>VALUE(#REF!="Materialdatenbank")</formula>
    </cfRule>
  </conditionalFormatting>
  <conditionalFormatting sqref="H119">
    <cfRule type="expression" dxfId="41" priority="54" stopIfTrue="1">
      <formula>VALUE(H122="Materialdatenbank")</formula>
    </cfRule>
  </conditionalFormatting>
  <conditionalFormatting sqref="K119 N119">
    <cfRule type="expression" dxfId="40" priority="53" stopIfTrue="1">
      <formula>VALUE(K122="Materialdatenbank")</formula>
    </cfRule>
  </conditionalFormatting>
  <conditionalFormatting sqref="H88 K88 N88">
    <cfRule type="expression" dxfId="39" priority="586" stopIfTrue="1">
      <formula>VALUE(H64="Materialdatenbank")</formula>
    </cfRule>
  </conditionalFormatting>
  <conditionalFormatting sqref="H113 K113 N113">
    <cfRule type="expression" dxfId="38" priority="591" stopIfTrue="1">
      <formula>VALUE(H76="Materialdatenbank")</formula>
    </cfRule>
  </conditionalFormatting>
  <conditionalFormatting sqref="H77 N77">
    <cfRule type="expression" dxfId="37" priority="52" stopIfTrue="1">
      <formula>VALUE(H60="Materialdatenbank")</formula>
    </cfRule>
  </conditionalFormatting>
  <conditionalFormatting sqref="K77">
    <cfRule type="expression" dxfId="36" priority="51" stopIfTrue="1">
      <formula>VALUE(K60="Materialdatenbank")</formula>
    </cfRule>
  </conditionalFormatting>
  <conditionalFormatting sqref="H87 N87">
    <cfRule type="expression" dxfId="35" priority="48" stopIfTrue="1">
      <formula>VALUE(H64="Materialdatenbank")</formula>
    </cfRule>
  </conditionalFormatting>
  <conditionalFormatting sqref="K87">
    <cfRule type="expression" dxfId="34" priority="40" stopIfTrue="1">
      <formula>VALUE(K64="Materialdatenbank")</formula>
    </cfRule>
  </conditionalFormatting>
  <conditionalFormatting sqref="H69">
    <cfRule type="expression" dxfId="33" priority="38" stopIfTrue="1">
      <formula>VALUE(H135="Materialdatenbank")</formula>
    </cfRule>
  </conditionalFormatting>
  <conditionalFormatting sqref="K69">
    <cfRule type="expression" dxfId="32" priority="37" stopIfTrue="1">
      <formula>VALUE(K135="Materialdatenbank")</formula>
    </cfRule>
  </conditionalFormatting>
  <conditionalFormatting sqref="K72 N72">
    <cfRule type="expression" dxfId="31" priority="36" stopIfTrue="1">
      <formula>VALUE(K68="Materialdatenbank")</formula>
    </cfRule>
  </conditionalFormatting>
  <conditionalFormatting sqref="K129 N129">
    <cfRule type="expression" dxfId="30" priority="35" stopIfTrue="1">
      <formula>VALUE(K116="Materialdatenbank")</formula>
    </cfRule>
  </conditionalFormatting>
  <conditionalFormatting sqref="H140 K140 N140">
    <cfRule type="expression" dxfId="29" priority="34" stopIfTrue="1">
      <formula>VALUE(#REF!="Materialdatenbank")</formula>
    </cfRule>
  </conditionalFormatting>
  <conditionalFormatting sqref="H80">
    <cfRule type="expression" dxfId="28" priority="33" stopIfTrue="1">
      <formula>VALUE(H62="Materialdatenbank")</formula>
    </cfRule>
  </conditionalFormatting>
  <conditionalFormatting sqref="K80">
    <cfRule type="expression" dxfId="27" priority="32" stopIfTrue="1">
      <formula>VALUE(K62="Materialdatenbank")</formula>
    </cfRule>
  </conditionalFormatting>
  <conditionalFormatting sqref="N80">
    <cfRule type="expression" dxfId="26" priority="31" stopIfTrue="1">
      <formula>VALUE(N62="Materialdatenbank")</formula>
    </cfRule>
  </conditionalFormatting>
  <conditionalFormatting sqref="H83">
    <cfRule type="expression" dxfId="25" priority="30" stopIfTrue="1">
      <formula>VALUE(H64="Materialdatenbank")</formula>
    </cfRule>
  </conditionalFormatting>
  <conditionalFormatting sqref="K83">
    <cfRule type="expression" dxfId="24" priority="29" stopIfTrue="1">
      <formula>VALUE(K64="Materialdatenbank")</formula>
    </cfRule>
  </conditionalFormatting>
  <conditionalFormatting sqref="N83">
    <cfRule type="expression" dxfId="23" priority="28" stopIfTrue="1">
      <formula>VALUE(N64="Materialdatenbank")</formula>
    </cfRule>
  </conditionalFormatting>
  <conditionalFormatting sqref="H97">
    <cfRule type="expression" dxfId="22" priority="27" stopIfTrue="1">
      <formula>VALUE(#REF!="Materialdatenbank")</formula>
    </cfRule>
  </conditionalFormatting>
  <conditionalFormatting sqref="K97">
    <cfRule type="expression" dxfId="21" priority="26" stopIfTrue="1">
      <formula>VALUE(#REF!="Materialdatenbank")</formula>
    </cfRule>
  </conditionalFormatting>
  <conditionalFormatting sqref="H90">
    <cfRule type="expression" dxfId="20" priority="24" stopIfTrue="1">
      <formula>VALUE(H64="Materialdatenbank")</formula>
    </cfRule>
  </conditionalFormatting>
  <conditionalFormatting sqref="K90">
    <cfRule type="expression" dxfId="19" priority="23" stopIfTrue="1">
      <formula>VALUE(K64="Materialdatenbank")</formula>
    </cfRule>
  </conditionalFormatting>
  <conditionalFormatting sqref="H100 K100 N100">
    <cfRule type="expression" dxfId="18" priority="22" stopIfTrue="1">
      <formula>VALUE(#REF!="Materialdatenbank")</formula>
    </cfRule>
  </conditionalFormatting>
  <conditionalFormatting sqref="N105">
    <cfRule type="expression" dxfId="17" priority="21" stopIfTrue="1">
      <formula>VALUE(#REF!="Materialdatenbank")</formula>
    </cfRule>
  </conditionalFormatting>
  <conditionalFormatting sqref="H104">
    <cfRule type="expression" dxfId="16" priority="20" stopIfTrue="1">
      <formula>VALUE(#REF!="Materialdatenbank")</formula>
    </cfRule>
  </conditionalFormatting>
  <conditionalFormatting sqref="K104">
    <cfRule type="expression" dxfId="15" priority="17" stopIfTrue="1">
      <formula>VALUE(#REF!="Materialdatenbank")</formula>
    </cfRule>
  </conditionalFormatting>
  <conditionalFormatting sqref="N104">
    <cfRule type="expression" dxfId="14" priority="16" stopIfTrue="1">
      <formula>VALUE(#REF!="Materialdatenbank")</formula>
    </cfRule>
  </conditionalFormatting>
  <conditionalFormatting sqref="H107">
    <cfRule type="expression" dxfId="13" priority="15" stopIfTrue="1">
      <formula>VALUE(#REF!="Materialdatenbank")</formula>
    </cfRule>
  </conditionalFormatting>
  <conditionalFormatting sqref="K107">
    <cfRule type="expression" dxfId="12" priority="12" stopIfTrue="1">
      <formula>VALUE(#REF!="Materialdatenbank")</formula>
    </cfRule>
  </conditionalFormatting>
  <conditionalFormatting sqref="N107">
    <cfRule type="expression" dxfId="11" priority="11" stopIfTrue="1">
      <formula>VALUE(#REF!="Materialdatenbank")</formula>
    </cfRule>
  </conditionalFormatting>
  <conditionalFormatting sqref="H79">
    <cfRule type="expression" dxfId="10" priority="10" stopIfTrue="1">
      <formula>VALUE(H61="Materialdatenbank")</formula>
    </cfRule>
  </conditionalFormatting>
  <conditionalFormatting sqref="K79">
    <cfRule type="expression" dxfId="9" priority="9" stopIfTrue="1">
      <formula>VALUE(K61="Materialdatenbank")</formula>
    </cfRule>
  </conditionalFormatting>
  <conditionalFormatting sqref="N79">
    <cfRule type="expression" dxfId="8" priority="8" stopIfTrue="1">
      <formula>VALUE(N61="Materialdatenbank")</formula>
    </cfRule>
  </conditionalFormatting>
  <conditionalFormatting sqref="H82">
    <cfRule type="expression" dxfId="7" priority="7" stopIfTrue="1">
      <formula>VALUE(H63="Materialdatenbank")</formula>
    </cfRule>
  </conditionalFormatting>
  <conditionalFormatting sqref="K82">
    <cfRule type="expression" dxfId="6" priority="6" stopIfTrue="1">
      <formula>VALUE(K63="Materialdatenbank")</formula>
    </cfRule>
  </conditionalFormatting>
  <conditionalFormatting sqref="N82">
    <cfRule type="expression" dxfId="5" priority="5" stopIfTrue="1">
      <formula>VALUE(N63="Materialdatenbank")</formula>
    </cfRule>
  </conditionalFormatting>
  <conditionalFormatting sqref="H96 K96 N96">
    <cfRule type="expression" dxfId="0" priority="1" stopIfTrue="1">
      <formula>VALUE(#REF!="Materialdatenbank")</formula>
    </cfRule>
  </conditionalFormatting>
  <dataValidations disablePrompts="1"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H101:M101 H109:N111 H108:M108 H114:N114 H112:M113 H132:N132 H115:M131 I97:J97 I105:J105 H103:J103 I102:J102 L97:M97 L105:M105 H98:M99 L102:M103" unlockedFormula="1"/>
    <ignoredError sqref="N92:N95 H135:N141 N145:N150 N8:N16 N86:N89 N83 N20:N78 N80:N81" evalError="1"/>
    <ignoredError sqref="N101 N108 N112:N113 N115:N131 H133:N134 N103 N97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4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5" t="s">
        <v>1001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16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6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6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6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6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6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3" priority="3">
      <formula>#REF!</formula>
    </cfRule>
  </conditionalFormatting>
  <conditionalFormatting sqref="E2:H14">
    <cfRule type="expression" dxfId="2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1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3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3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3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IFERROR(IF(Refkalkulation!H$117=0,SUM(F$9:F$12),Refkalkulation!H$117),0)</f>
        <v>0.1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0.09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IFERROR(IF(Refkalkulation!H$95=0,ROUND(F$171*(1+F$172+F$173+F$174),1),Refkalkulation!H$95),0)</f>
        <v>400</v>
      </c>
      <c r="G170" s="419"/>
      <c r="H170" s="420"/>
      <c r="I170" s="639">
        <f>IFERROR(IF(Refkalkulation!K$95=0,ROUND(I$171*(1+I$172+I$173+I$174),1),Refkalkulation!K$95),0)</f>
        <v>300</v>
      </c>
      <c r="J170" s="419"/>
      <c r="K170" s="420"/>
      <c r="L170" s="639">
        <f>IFERROR(IF(Refkalkulation!N$95=0,ROUND(L$171*(1+L$172+L$173+L$174),1),Refkalkulation!N$95),0)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IFERROR(IF(OR(Refkalkulation!H$101=0,F$247=0),F$247,Refkalkulation!H$101),0)</f>
        <v>0.41742621527777779</v>
      </c>
      <c r="G175" s="436"/>
      <c r="H175" s="420"/>
      <c r="I175" s="645">
        <f>IFERROR(IF(OR(Refkalkulation!K$101=0,I$247=0),I$247,Refkalkulation!K$101),0)</f>
        <v>0.30864583333333334</v>
      </c>
      <c r="J175" s="436"/>
      <c r="K175" s="420"/>
      <c r="L175" s="645">
        <f>IFERROR(IF(OR(Refkalkulation!N$101=0,L$247=0),L$247,Refkalkulation!N$101),0)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IFERROR(IF(OR(Refkalkulation!H$105=0,F$250=0),F250,Refkalkulation!H$105),0)</f>
        <v>0.37082465277777776</v>
      </c>
      <c r="G176" s="436"/>
      <c r="H176" s="420"/>
      <c r="I176" s="645">
        <f>IFERROR(IF(OR(Refkalkulation!K$105=0,I$250=0),I250,Refkalkulation!K$105),0)</f>
        <v>0.34611111111111109</v>
      </c>
      <c r="J176" s="436"/>
      <c r="K176" s="420"/>
      <c r="L176" s="645">
        <f>IFERROR(IF(OR(Refkalkulation!N$105=0,L$250=0),L250,Refkalkulation!N$105),0)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IFERROR(IF(OR(Refkalkulation!H$108=0,F$178=0),ROUND(F178*(1+F179),2),Refkalkulation!H$108),0)</f>
        <v>1.8357928240740744</v>
      </c>
      <c r="G177" s="436"/>
      <c r="H177" s="420"/>
      <c r="I177" s="645">
        <f>IFERROR(IF(OR(Refkalkulation!K$108=0,I$178=0),ROUND(I178*(1+I179),2),Refkalkulation!K$108),0)</f>
        <v>1.7619212962962969</v>
      </c>
      <c r="J177" s="436"/>
      <c r="K177" s="420"/>
      <c r="L177" s="645">
        <f>IFERROR(IF(OR(Refkalkulation!N$108=0,L$178=0),ROUND(L178*(1+L179),2),Refkalkulation!N$108),0)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IF(OR(Refkalkulation!H$90=0,F181=1),ROUND(IF(F$181&gt;2,F$182*F$183+F$184/60*F$20/F186/'Quick Input'!M$19+F$185,0),3),Refkalkulation!H$90)</f>
        <v>0.7</v>
      </c>
      <c r="G180" s="436"/>
      <c r="H180" s="420"/>
      <c r="I180" s="943">
        <f>IF(OR(Refkalkulation!K$90=0,I181=1),ROUND(IF(I$181&gt;2,I$182*I$183+I$184/60*I$20/I186/'Quick Input'!P$19+I$185,0),3),Refkalkulation!K$90)</f>
        <v>0.4</v>
      </c>
      <c r="J180" s="436"/>
      <c r="K180" s="420"/>
      <c r="L180" s="943">
        <f>IF(OR(Refkalkulation!N$90=0,L181=1),ROUND(IF(L$181&gt;2,L$182*L$183+L$184/60*L$20/L186/'Quick Input'!S$19+L$185,0),3),Refkalkulation!N$90)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Input'!M$33=Auswahlfelder!$D$61),Refkalkulation!H$91,0)</f>
        <v>0</v>
      </c>
      <c r="G190" s="446"/>
      <c r="H190" s="447"/>
      <c r="I190" s="344">
        <f>IF(AND('Quick Input'!P$32&lt;&gt;Auswahlfelder!$D$41,'Quick Input'!P$33=Auswahlfelder!$D$61),Refkalkulation!K$91,0)</f>
        <v>0</v>
      </c>
      <c r="J190" s="446"/>
      <c r="K190" s="447"/>
      <c r="L190" s="344">
        <f>IF(AND('Quick Input'!S$32&lt;&gt;Auswahlfelder!$D$41,'Quick Input'!S$33=Auswahlfelder!$D$61),Refkalkulation!N$91,0)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Refkalkulation!H$95/3600*Refkalkulation!H$98</f>
        <v>3.726188333333333</v>
      </c>
      <c r="G191" s="423"/>
      <c r="H191" s="424"/>
      <c r="I191" s="344">
        <f>Refkalkulation!K$95/3600*Refkalkulation!K$98</f>
        <v>0.83400899999999978</v>
      </c>
      <c r="J191" s="423"/>
      <c r="K191" s="424"/>
      <c r="L191" s="344">
        <f>Refkalkulation!N$95/3600*Refkalkulation!N$98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IFERROR(IF(Refkalkulation!H$92=0,F201+F202+F203,Refkalkulation!H$92),0)</f>
        <v>0.02</v>
      </c>
      <c r="G200" s="926"/>
      <c r="H200" s="927"/>
      <c r="I200" s="925">
        <f>IFERROR(IF(Refkalkulation!K$92=0,I201+I202+I203,Refkalkulation!K$92),0)</f>
        <v>0.02</v>
      </c>
      <c r="J200" s="926"/>
      <c r="K200" s="927"/>
      <c r="L200" s="925">
        <f>IFERROR(IF(Refkalkulation!N$92=0,L201+L202+L203,Refkalkulation!N$92),0)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2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4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C756B5F5-2C83-4CCE-972E-9E668F94597A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2021-11-11T15:01:47Z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
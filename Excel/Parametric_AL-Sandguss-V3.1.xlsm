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001FB18C-5CB7-4F16-A3A6-3C009A86DAE3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Parametrikber!$B$3:$D$247</definedName>
    <definedName name="_xlchart.v1.0" hidden="1">Charts!$C$67:$I$67</definedName>
    <definedName name="_xlchart.v1.1" hidden="1">Charts!$C$68:$I$68</definedName>
    <definedName name="_xlchart.v1.2" hidden="1">Charts!$C$69:$H$69</definedName>
    <definedName name="_xlchart.v1.3" hidden="1">Charts!$C$56:$I$56</definedName>
    <definedName name="_xlchart.v1.4" hidden="1">Charts!$C$57:$I$57</definedName>
    <definedName name="_xlchart.v1.5" hidden="1">Charts!$C$58:$I$58</definedName>
    <definedName name="_xlchart.v1.6" hidden="1">Charts!$C$62:$I$62</definedName>
    <definedName name="_xlchart.v1.7" hidden="1">Charts!$C$63:$I$63</definedName>
    <definedName name="_xlchart.v1.8" hidden="1">Charts!$C$64:$I$64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Refkalkulation!$A$1:$X$141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Refkalkulation!$A$1:$X$141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0" i="15" l="1"/>
  <c r="S49" i="3" l="1"/>
  <c r="S46" i="3"/>
  <c r="S33" i="3"/>
  <c r="S32" i="3"/>
  <c r="S31" i="3"/>
  <c r="S30" i="3"/>
  <c r="S29" i="3"/>
  <c r="S28" i="3"/>
  <c r="S27" i="3"/>
  <c r="S26" i="3"/>
  <c r="S25" i="3"/>
  <c r="S24" i="3"/>
  <c r="S23" i="3"/>
  <c r="S58" i="3" s="1"/>
  <c r="S22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7" i="3"/>
  <c r="S52" i="3"/>
  <c r="S53" i="3" s="1"/>
  <c r="S54" i="3" s="1"/>
  <c r="S55" i="3" s="1"/>
  <c r="S56" i="3" s="1"/>
  <c r="S50" i="3"/>
  <c r="S48" i="3"/>
  <c r="S47" i="3"/>
  <c r="S37" i="3"/>
  <c r="S36" i="3"/>
  <c r="S35" i="3"/>
  <c r="S34" i="3"/>
  <c r="S21" i="3"/>
  <c r="S19" i="3"/>
  <c r="S18" i="3"/>
  <c r="S17" i="3"/>
  <c r="S16" i="3"/>
  <c r="S15" i="3"/>
  <c r="S14" i="3"/>
  <c r="S38" i="3" l="1"/>
  <c r="S39" i="3" s="1"/>
  <c r="S40" i="3" l="1"/>
  <c r="S41" i="3" l="1"/>
  <c r="S42" i="3" l="1"/>
  <c r="S43" i="3" s="1"/>
  <c r="S44" i="3" s="1"/>
  <c r="S10" i="3" l="1"/>
  <c r="S20" i="3" s="1"/>
  <c r="P10" i="3"/>
  <c r="P11" i="3" s="1"/>
  <c r="S8" i="3"/>
  <c r="S9" i="3"/>
  <c r="P9" i="3"/>
  <c r="S12" i="3"/>
  <c r="S13" i="3" s="1"/>
  <c r="P12" i="3"/>
  <c r="P13" i="3" s="1"/>
  <c r="S11" i="3" l="1"/>
  <c r="F241" i="15"/>
  <c r="I241" i="15"/>
  <c r="L241" i="15"/>
  <c r="F138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P62" i="3"/>
  <c r="O62" i="3" s="1"/>
  <c r="R62" i="3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1" i="15" s="1"/>
  <c r="B232" i="15" s="1"/>
  <c r="B233" i="15" s="1"/>
  <c r="F126" i="15"/>
  <c r="B234" i="15" l="1"/>
  <c r="B240" i="15"/>
  <c r="B241" i="15" s="1"/>
  <c r="B242" i="15" s="1"/>
  <c r="B244" i="15"/>
  <c r="B245" i="15" s="1"/>
  <c r="B246" i="15" s="1"/>
  <c r="B236" i="15"/>
  <c r="B237" i="15" s="1"/>
  <c r="B238" i="15" s="1"/>
  <c r="O51" i="2" l="1"/>
  <c r="O50" i="2"/>
  <c r="O49" i="2"/>
  <c r="O48" i="2"/>
  <c r="O47" i="2"/>
  <c r="O46" i="2"/>
  <c r="L204" i="15" l="1"/>
  <c r="I204" i="15"/>
  <c r="F204" i="15"/>
  <c r="H46" i="7"/>
  <c r="L126" i="15"/>
  <c r="I126" i="15"/>
  <c r="M21" i="3" l="1"/>
  <c r="L59" i="7"/>
  <c r="G81" i="3" l="1"/>
  <c r="G80" i="3"/>
  <c r="P72" i="3"/>
  <c r="O72" i="3" s="1"/>
  <c r="R72" i="3"/>
  <c r="M72" i="3"/>
  <c r="L72" i="3" s="1"/>
  <c r="P70" i="3"/>
  <c r="O70" i="3" s="1"/>
  <c r="R70" i="3"/>
  <c r="P73" i="3"/>
  <c r="O73" i="3" s="1"/>
  <c r="R73" i="3"/>
  <c r="M70" i="3"/>
  <c r="L70" i="3" s="1"/>
  <c r="P69" i="3"/>
  <c r="O69" i="3" s="1"/>
  <c r="R69" i="3"/>
  <c r="M69" i="3"/>
  <c r="L69" i="3" s="1"/>
  <c r="P80" i="3"/>
  <c r="O80" i="3" s="1"/>
  <c r="R80" i="3"/>
  <c r="P81" i="3"/>
  <c r="O81" i="3" s="1"/>
  <c r="R81" i="3"/>
  <c r="M80" i="3"/>
  <c r="L80" i="3" s="1"/>
  <c r="N46" i="7"/>
  <c r="K46" i="7"/>
  <c r="N53" i="7" l="1"/>
  <c r="L32" i="7" l="1"/>
  <c r="P61" i="3" s="1"/>
  <c r="I32" i="7"/>
  <c r="M61" i="3" s="1"/>
  <c r="M49" i="3"/>
  <c r="K63" i="3"/>
  <c r="M63" i="3"/>
  <c r="L63" i="3" s="1"/>
  <c r="P63" i="3"/>
  <c r="O63" i="3" s="1"/>
  <c r="R63" i="3"/>
  <c r="M65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I211" i="15"/>
  <c r="I48" i="15" s="1"/>
  <c r="F211" i="15"/>
  <c r="F48" i="15" s="1"/>
  <c r="F105" i="15" l="1"/>
  <c r="F219" i="15" s="1"/>
  <c r="D214" i="15"/>
  <c r="B211" i="15"/>
  <c r="B212" i="15" s="1"/>
  <c r="B213" i="15" s="1"/>
  <c r="B214" i="15" s="1"/>
  <c r="B215" i="15" s="1"/>
  <c r="F218" i="15" l="1"/>
  <c r="F217" i="15"/>
  <c r="F216" i="15"/>
  <c r="L105" i="15"/>
  <c r="I105" i="15"/>
  <c r="I219" i="15" s="1"/>
  <c r="E73" i="14"/>
  <c r="E72" i="14"/>
  <c r="E71" i="14"/>
  <c r="L219" i="15" l="1"/>
  <c r="L218" i="15"/>
  <c r="L217" i="15"/>
  <c r="L216" i="15"/>
  <c r="I217" i="15"/>
  <c r="I218" i="15"/>
  <c r="I216" i="15"/>
  <c r="J47" i="2"/>
  <c r="J48" i="2"/>
  <c r="J49" i="2"/>
  <c r="J50" i="2"/>
  <c r="J51" i="2"/>
  <c r="P57" i="3" l="1"/>
  <c r="K58" i="3"/>
  <c r="M12" i="3"/>
  <c r="M13" i="3" s="1"/>
  <c r="P33" i="3"/>
  <c r="M33" i="3"/>
  <c r="P32" i="3"/>
  <c r="M32" i="3"/>
  <c r="P22" i="3"/>
  <c r="M22" i="3"/>
  <c r="F111" i="15" s="1"/>
  <c r="P31" i="3" l="1"/>
  <c r="M31" i="3"/>
  <c r="P49" i="3"/>
  <c r="P21" i="3"/>
  <c r="P27" i="3"/>
  <c r="M28" i="3"/>
  <c r="M27" i="3"/>
  <c r="F244" i="15" s="1"/>
  <c r="L240" i="15"/>
  <c r="P30" i="3"/>
  <c r="P29" i="3"/>
  <c r="P28" i="3"/>
  <c r="P26" i="3"/>
  <c r="I240" i="15" s="1"/>
  <c r="P25" i="3"/>
  <c r="M30" i="3"/>
  <c r="M29" i="3"/>
  <c r="M26" i="3"/>
  <c r="F240" i="15" s="1"/>
  <c r="M25" i="3"/>
  <c r="P23" i="3"/>
  <c r="M23" i="3"/>
  <c r="L236" i="15" l="1"/>
  <c r="L202" i="15"/>
  <c r="F236" i="15"/>
  <c r="F202" i="15"/>
  <c r="I236" i="15"/>
  <c r="I202" i="15"/>
  <c r="N141" i="7"/>
  <c r="L49" i="31" s="1"/>
  <c r="P58" i="3"/>
  <c r="K141" i="7" s="1"/>
  <c r="H49" i="31" s="1"/>
  <c r="M58" i="3"/>
  <c r="F25" i="15"/>
  <c r="F28" i="15"/>
  <c r="I25" i="15"/>
  <c r="I28" i="15"/>
  <c r="L25" i="15"/>
  <c r="L28" i="15"/>
  <c r="P24" i="3"/>
  <c r="I226" i="15" s="1"/>
  <c r="L226" i="15"/>
  <c r="M24" i="3"/>
  <c r="F226" i="15" s="1"/>
  <c r="E57" i="14"/>
  <c r="E56" i="14"/>
  <c r="E55" i="14"/>
  <c r="E54" i="14"/>
  <c r="I227" i="15" l="1"/>
  <c r="I228" i="15" s="1"/>
  <c r="I83" i="15"/>
  <c r="F227" i="15"/>
  <c r="F228" i="15" s="1"/>
  <c r="F83" i="15"/>
  <c r="L83" i="15"/>
  <c r="L227" i="15"/>
  <c r="L228" i="15" s="1"/>
  <c r="L30" i="31"/>
  <c r="G10" i="3"/>
  <c r="H30" i="31"/>
  <c r="M10" i="3"/>
  <c r="L230" i="15" l="1"/>
  <c r="L229" i="15"/>
  <c r="L233" i="15"/>
  <c r="I229" i="15"/>
  <c r="I230" i="15"/>
  <c r="I233" i="15"/>
  <c r="F230" i="15"/>
  <c r="F229" i="15"/>
  <c r="D30" i="31"/>
  <c r="M11" i="3"/>
  <c r="L270" i="15"/>
  <c r="F270" i="15"/>
  <c r="I270" i="15"/>
  <c r="H9" i="7"/>
  <c r="H11" i="7" s="1"/>
  <c r="K9" i="7"/>
  <c r="K11" i="7" s="1"/>
  <c r="N9" i="7"/>
  <c r="N11" i="7" s="1"/>
  <c r="D12" i="25"/>
  <c r="F233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22" i="15"/>
  <c r="I222" i="15"/>
  <c r="F222" i="15"/>
  <c r="L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F215" i="15"/>
  <c r="F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K53" i="7" l="1"/>
  <c r="H53" i="7"/>
  <c r="R77" i="3" l="1"/>
  <c r="P77" i="3"/>
  <c r="O77" i="3" s="1"/>
  <c r="L153" i="15"/>
  <c r="I153" i="15"/>
  <c r="F153" i="15"/>
  <c r="L150" i="15"/>
  <c r="I150" i="15"/>
  <c r="F150" i="15"/>
  <c r="L138" i="15"/>
  <c r="I138" i="15"/>
  <c r="L123" i="15"/>
  <c r="I123" i="15"/>
  <c r="F123" i="15"/>
  <c r="L110" i="15"/>
  <c r="I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181" i="15" l="1"/>
  <c r="I181" i="15"/>
  <c r="I100" i="15"/>
  <c r="F181" i="15"/>
  <c r="L237" i="15"/>
  <c r="L245" i="15"/>
  <c r="L164" i="15"/>
  <c r="I245" i="15"/>
  <c r="I164" i="15"/>
  <c r="I237" i="15"/>
  <c r="F237" i="15"/>
  <c r="F245" i="15"/>
  <c r="F164" i="15"/>
  <c r="F201" i="15"/>
  <c r="L201" i="15"/>
  <c r="I201" i="15"/>
  <c r="F99" i="15"/>
  <c r="F100" i="15"/>
  <c r="L100" i="15"/>
  <c r="L99" i="15"/>
  <c r="I99" i="15"/>
  <c r="I267" i="15"/>
  <c r="I197" i="15"/>
  <c r="I172" i="15"/>
  <c r="I80" i="15"/>
  <c r="I262" i="15"/>
  <c r="I188" i="15"/>
  <c r="I168" i="15"/>
  <c r="I159" i="15"/>
  <c r="L196" i="15"/>
  <c r="L14" i="15"/>
  <c r="L13" i="15" s="1"/>
  <c r="L262" i="15"/>
  <c r="L188" i="15"/>
  <c r="L168" i="15"/>
  <c r="L159" i="15"/>
  <c r="L267" i="15"/>
  <c r="L197" i="15"/>
  <c r="L172" i="15"/>
  <c r="L80" i="15"/>
  <c r="F168" i="15"/>
  <c r="F80" i="15"/>
  <c r="F262" i="15"/>
  <c r="F172" i="15"/>
  <c r="F159" i="15"/>
  <c r="F197" i="15"/>
  <c r="F267" i="15"/>
  <c r="F188" i="15"/>
  <c r="I196" i="15"/>
  <c r="I14" i="15"/>
  <c r="I13" i="15" s="1"/>
  <c r="F132" i="15"/>
  <c r="L132" i="15"/>
  <c r="I132" i="15"/>
  <c r="L198" i="15"/>
  <c r="L112" i="15"/>
  <c r="I198" i="15"/>
  <c r="I112" i="15"/>
  <c r="F14" i="15"/>
  <c r="F13" i="15" s="1"/>
  <c r="F196" i="15"/>
  <c r="F112" i="15"/>
  <c r="F109" i="15" s="1"/>
  <c r="H62" i="7" s="1"/>
  <c r="F198" i="15"/>
  <c r="F124" i="15"/>
  <c r="F143" i="15"/>
  <c r="I143" i="15"/>
  <c r="I124" i="15"/>
  <c r="L143" i="15"/>
  <c r="L124" i="15"/>
  <c r="L133" i="15" l="1"/>
  <c r="I133" i="15"/>
  <c r="F133" i="15"/>
  <c r="L171" i="15"/>
  <c r="I171" i="15"/>
  <c r="F17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L207" i="15"/>
  <c r="I207" i="15"/>
  <c r="F207" i="15"/>
  <c r="B206" i="15"/>
  <c r="B207" i="15" s="1"/>
  <c r="N8" i="7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Q37" i="3"/>
  <c r="P37" i="3"/>
  <c r="AB9" i="3"/>
  <c r="AB8" i="3"/>
  <c r="R83" i="3"/>
  <c r="R82" i="3"/>
  <c r="R79" i="3"/>
  <c r="R78" i="3"/>
  <c r="R71" i="3"/>
  <c r="R66" i="3"/>
  <c r="R64" i="3"/>
  <c r="R60" i="3"/>
  <c r="R59" i="3"/>
  <c r="Q53" i="3"/>
  <c r="L145" i="15"/>
  <c r="L263" i="15"/>
  <c r="L44" i="15"/>
  <c r="N6" i="7"/>
  <c r="L12" i="30" s="1"/>
  <c r="N5" i="7"/>
  <c r="P83" i="3"/>
  <c r="O83" i="3" s="1"/>
  <c r="P82" i="3"/>
  <c r="O82" i="3" s="1"/>
  <c r="P68" i="3"/>
  <c r="P79" i="3"/>
  <c r="O79" i="3" s="1"/>
  <c r="P78" i="3"/>
  <c r="O78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3" i="15" s="1"/>
  <c r="P17" i="3"/>
  <c r="I44" i="15" s="1"/>
  <c r="P16" i="3"/>
  <c r="P15" i="3"/>
  <c r="P14" i="3"/>
  <c r="K6" i="7"/>
  <c r="H12" i="30" s="1"/>
  <c r="P8" i="3"/>
  <c r="K5" i="7" s="1"/>
  <c r="M36" i="3"/>
  <c r="M35" i="3"/>
  <c r="M19" i="3"/>
  <c r="H14" i="7" s="1"/>
  <c r="M18" i="3"/>
  <c r="F263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41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B123" i="15"/>
  <c r="B124" i="15" s="1"/>
  <c r="B125" i="15" s="1"/>
  <c r="M60" i="7"/>
  <c r="J60" i="7"/>
  <c r="G60" i="7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N109" i="7"/>
  <c r="K109" i="7"/>
  <c r="H109" i="7"/>
  <c r="C62" i="14"/>
  <c r="C61" i="14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70" i="15"/>
  <c r="B271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I65" i="15"/>
  <c r="D96" i="7" l="1"/>
  <c r="D97" i="7"/>
  <c r="D86" i="7"/>
  <c r="D82" i="7"/>
  <c r="D79" i="7"/>
  <c r="D85" i="7"/>
  <c r="D108" i="7"/>
  <c r="D107" i="7"/>
  <c r="D101" i="7"/>
  <c r="D105" i="7"/>
  <c r="D99" i="7"/>
  <c r="D104" i="7"/>
  <c r="D100" i="7"/>
  <c r="D103" i="7"/>
  <c r="I28" i="3"/>
  <c r="C23" i="24" s="1"/>
  <c r="S45" i="3"/>
  <c r="N7" i="7" s="1"/>
  <c r="P45" i="3"/>
  <c r="K7" i="7" s="1"/>
  <c r="D90" i="7"/>
  <c r="D80" i="7"/>
  <c r="D81" i="7"/>
  <c r="D83" i="7"/>
  <c r="D106" i="7"/>
  <c r="D102" i="7"/>
  <c r="D84" i="7"/>
  <c r="D109" i="7"/>
  <c r="D110" i="7"/>
  <c r="C48" i="31"/>
  <c r="I2" i="1"/>
  <c r="J2" i="1"/>
  <c r="O2" i="1"/>
  <c r="Q2" i="1"/>
  <c r="L2" i="1"/>
  <c r="M2" i="1"/>
  <c r="K2" i="1"/>
  <c r="P2" i="1"/>
  <c r="N2" i="1"/>
  <c r="I186" i="15"/>
  <c r="I184" i="15" s="1"/>
  <c r="I244" i="15"/>
  <c r="D23" i="7"/>
  <c r="C36" i="31" s="1"/>
  <c r="D22" i="7"/>
  <c r="I157" i="15"/>
  <c r="D32" i="7"/>
  <c r="D31" i="7"/>
  <c r="I62" i="3"/>
  <c r="C57" i="24" s="1"/>
  <c r="D140" i="7"/>
  <c r="D141" i="7"/>
  <c r="C49" i="31" s="1"/>
  <c r="D20" i="25"/>
  <c r="D12" i="30"/>
  <c r="D21" i="7"/>
  <c r="C32" i="30"/>
  <c r="F186" i="15"/>
  <c r="F184" i="15" s="1"/>
  <c r="L186" i="15"/>
  <c r="L184" i="15" s="1"/>
  <c r="L244" i="15"/>
  <c r="K83" i="3"/>
  <c r="R3" i="3"/>
  <c r="R4" i="3"/>
  <c r="D69" i="7"/>
  <c r="D68" i="7"/>
  <c r="L157" i="15"/>
  <c r="L242" i="15"/>
  <c r="F242" i="15"/>
  <c r="H81" i="7" s="1"/>
  <c r="I242" i="15"/>
  <c r="D78" i="7"/>
  <c r="D87" i="7"/>
  <c r="D77" i="7"/>
  <c r="D76" i="7"/>
  <c r="D114" i="7"/>
  <c r="D93" i="7"/>
  <c r="D72" i="7"/>
  <c r="I70" i="3"/>
  <c r="C65" i="24" s="1"/>
  <c r="I72" i="3"/>
  <c r="O68" i="3"/>
  <c r="R68" i="3"/>
  <c r="R67" i="3"/>
  <c r="B40" i="24"/>
  <c r="I69" i="3"/>
  <c r="C64" i="24" s="1"/>
  <c r="O67" i="3"/>
  <c r="I80" i="3"/>
  <c r="C75" i="24" s="1"/>
  <c r="D123" i="7"/>
  <c r="D119" i="7"/>
  <c r="C38" i="31" s="1"/>
  <c r="D124" i="7"/>
  <c r="D18" i="7"/>
  <c r="D89" i="7"/>
  <c r="D46" i="7"/>
  <c r="D91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M45" i="3"/>
  <c r="H7" i="7" s="1"/>
  <c r="I58" i="3"/>
  <c r="C53" i="24" s="1"/>
  <c r="O2" i="3"/>
  <c r="I26" i="3"/>
  <c r="C21" i="24" s="1"/>
  <c r="I27" i="3"/>
  <c r="C22" i="24" s="1"/>
  <c r="D9" i="7"/>
  <c r="R5" i="3"/>
  <c r="G7" i="31" s="1"/>
  <c r="D94" i="7"/>
  <c r="C42" i="31" s="1"/>
  <c r="D113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8" i="3"/>
  <c r="L41" i="15"/>
  <c r="L246" i="15"/>
  <c r="I41" i="15"/>
  <c r="P20" i="3"/>
  <c r="I246" i="15" s="1"/>
  <c r="F41" i="15"/>
  <c r="M20" i="3"/>
  <c r="H34" i="30"/>
  <c r="M37" i="3"/>
  <c r="M38" i="3" s="1"/>
  <c r="K38" i="3" s="1"/>
  <c r="L88" i="15"/>
  <c r="P38" i="3"/>
  <c r="N38" i="3" s="1"/>
  <c r="N37" i="3"/>
  <c r="I87" i="15"/>
  <c r="F88" i="15"/>
  <c r="I32" i="15"/>
  <c r="L32" i="15"/>
  <c r="I3" i="15"/>
  <c r="Q56" i="3"/>
  <c r="L33" i="15"/>
  <c r="L53" i="15" s="1"/>
  <c r="N36" i="3"/>
  <c r="F87" i="15"/>
  <c r="F90" i="15" s="1"/>
  <c r="F33" i="15"/>
  <c r="F53" i="15" s="1"/>
  <c r="L87" i="15"/>
  <c r="B209" i="15"/>
  <c r="B208" i="15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K52" i="3"/>
  <c r="D24" i="25"/>
  <c r="K36" i="3"/>
  <c r="F157" i="15"/>
  <c r="F179" i="15"/>
  <c r="F249" i="15"/>
  <c r="F252" i="15"/>
  <c r="I33" i="15"/>
  <c r="I53" i="15" s="1"/>
  <c r="L249" i="15"/>
  <c r="L179" i="15"/>
  <c r="L252" i="15"/>
  <c r="K14" i="7"/>
  <c r="I179" i="15"/>
  <c r="D149" i="7"/>
  <c r="D136" i="7"/>
  <c r="D126" i="7"/>
  <c r="D121" i="7"/>
  <c r="D63" i="7"/>
  <c r="D55" i="7"/>
  <c r="D52" i="7"/>
  <c r="D35" i="7"/>
  <c r="D28" i="7"/>
  <c r="D5" i="7"/>
  <c r="D147" i="7"/>
  <c r="D139" i="7"/>
  <c r="D133" i="7"/>
  <c r="D112" i="7"/>
  <c r="D88" i="7"/>
  <c r="D64" i="7"/>
  <c r="D51" i="7"/>
  <c r="D38" i="7"/>
  <c r="D34" i="7"/>
  <c r="D26" i="7"/>
  <c r="C35" i="30" s="1"/>
  <c r="D145" i="7"/>
  <c r="D138" i="7"/>
  <c r="D131" i="7"/>
  <c r="D125" i="7"/>
  <c r="D118" i="7"/>
  <c r="C43" i="31" s="1"/>
  <c r="D116" i="7"/>
  <c r="D66" i="7"/>
  <c r="D62" i="7"/>
  <c r="D59" i="7"/>
  <c r="D54" i="7"/>
  <c r="D49" i="7"/>
  <c r="D41" i="7"/>
  <c r="D37" i="7"/>
  <c r="D17" i="7"/>
  <c r="D143" i="7"/>
  <c r="D137" i="7"/>
  <c r="D129" i="7"/>
  <c r="D98" i="7"/>
  <c r="D65" i="7"/>
  <c r="D67" i="7"/>
  <c r="D57" i="7"/>
  <c r="D53" i="7"/>
  <c r="D40" i="7"/>
  <c r="D1" i="7"/>
  <c r="J13" i="3"/>
  <c r="D22" i="25"/>
  <c r="I144" i="15"/>
  <c r="L144" i="15"/>
  <c r="L66" i="15"/>
  <c r="L67" i="15"/>
  <c r="L68" i="15"/>
  <c r="L69" i="15" s="1"/>
  <c r="I74" i="3"/>
  <c r="C69" i="24" s="1"/>
  <c r="I76" i="3"/>
  <c r="C71" i="24" s="1"/>
  <c r="I75" i="3"/>
  <c r="C70" i="24" s="1"/>
  <c r="F67" i="15"/>
  <c r="F68" i="15"/>
  <c r="F69" i="15" s="1"/>
  <c r="F66" i="15"/>
  <c r="I67" i="15"/>
  <c r="I66" i="15"/>
  <c r="I68" i="15"/>
  <c r="I69" i="15" s="1"/>
  <c r="I252" i="15"/>
  <c r="I249" i="15"/>
  <c r="P53" i="3"/>
  <c r="K54" i="3"/>
  <c r="M55" i="3"/>
  <c r="K53" i="3"/>
  <c r="I30" i="3"/>
  <c r="C25" i="24" s="1"/>
  <c r="C24" i="24"/>
  <c r="C2" i="14"/>
  <c r="I45" i="3"/>
  <c r="C40" i="24" s="1"/>
  <c r="I79" i="3"/>
  <c r="D117" i="7" s="1"/>
  <c r="X2" i="3"/>
  <c r="I51" i="3"/>
  <c r="C46" i="24" s="1"/>
  <c r="O4" i="3"/>
  <c r="I32" i="3"/>
  <c r="C27" i="24" s="1"/>
  <c r="I13" i="3"/>
  <c r="I3" i="3"/>
  <c r="E3" i="7" s="1"/>
  <c r="I48" i="3"/>
  <c r="C43" i="24" s="1"/>
  <c r="C76" i="15"/>
  <c r="W278" i="15" s="1"/>
  <c r="I67" i="3"/>
  <c r="C62" i="24" s="1"/>
  <c r="R2" i="3"/>
  <c r="R6" i="3"/>
  <c r="I4" i="3"/>
  <c r="D8" i="7" s="1"/>
  <c r="O6" i="3"/>
  <c r="I64" i="3"/>
  <c r="C59" i="24" s="1"/>
  <c r="I31" i="3"/>
  <c r="C26" i="24" s="1"/>
  <c r="I5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S51" i="3" s="1"/>
  <c r="C41" i="3"/>
  <c r="A1" i="7"/>
  <c r="C39" i="3"/>
  <c r="C54" i="3" s="1"/>
  <c r="C38" i="30" l="1"/>
  <c r="K38" i="30" s="1"/>
  <c r="I239" i="15"/>
  <c r="K81" i="7"/>
  <c r="L239" i="15"/>
  <c r="N81" i="7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12" i="15"/>
  <c r="F213" i="15"/>
  <c r="L243" i="15"/>
  <c r="N84" i="7" s="1"/>
  <c r="N85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I206" i="15"/>
  <c r="I208" i="15" s="1"/>
  <c r="I183" i="15"/>
  <c r="F206" i="15"/>
  <c r="F208" i="15" s="1"/>
  <c r="F183" i="15"/>
  <c r="L206" i="15"/>
  <c r="L208" i="15" s="1"/>
  <c r="L183" i="15"/>
  <c r="F239" i="15"/>
  <c r="C16" i="24"/>
  <c r="I243" i="15"/>
  <c r="K84" i="7" s="1"/>
  <c r="K85" i="7" s="1"/>
  <c r="F246" i="15"/>
  <c r="F243" i="15" s="1"/>
  <c r="H84" i="7" s="1"/>
  <c r="F238" i="15"/>
  <c r="F235" i="15" s="1"/>
  <c r="H78" i="7" s="1"/>
  <c r="I238" i="15"/>
  <c r="I235" i="15" s="1"/>
  <c r="K78" i="7" s="1"/>
  <c r="L238" i="15"/>
  <c r="L235" i="15" s="1"/>
  <c r="N78" i="7" s="1"/>
  <c r="F169" i="15"/>
  <c r="I169" i="15"/>
  <c r="L174" i="15"/>
  <c r="L169" i="15"/>
  <c r="D92" i="7"/>
  <c r="C67" i="24"/>
  <c r="I212" i="15"/>
  <c r="I213" i="15"/>
  <c r="B73" i="14"/>
  <c r="B72" i="14"/>
  <c r="B71" i="14"/>
  <c r="E19" i="2"/>
  <c r="F190" i="15"/>
  <c r="B38" i="14"/>
  <c r="G22" i="3" s="1"/>
  <c r="B57" i="14"/>
  <c r="B56" i="14"/>
  <c r="B55" i="14"/>
  <c r="B54" i="14"/>
  <c r="L89" i="15"/>
  <c r="Q39" i="3"/>
  <c r="I89" i="15"/>
  <c r="N13" i="3"/>
  <c r="C8" i="24"/>
  <c r="C6" i="24"/>
  <c r="L90" i="15"/>
  <c r="M39" i="3"/>
  <c r="M40" i="3" s="1"/>
  <c r="K40" i="3" s="1"/>
  <c r="K37" i="3"/>
  <c r="I174" i="15"/>
  <c r="F116" i="15"/>
  <c r="F174" i="15"/>
  <c r="P39" i="3"/>
  <c r="N39" i="3" s="1"/>
  <c r="F89" i="15"/>
  <c r="F91" i="15" s="1"/>
  <c r="F92" i="15" s="1"/>
  <c r="I90" i="15"/>
  <c r="X5" i="3"/>
  <c r="L39" i="15"/>
  <c r="L36" i="15" s="1"/>
  <c r="Q55" i="3"/>
  <c r="Q54" i="3"/>
  <c r="F165" i="15"/>
  <c r="K20" i="3"/>
  <c r="F39" i="15"/>
  <c r="F36" i="15" s="1"/>
  <c r="N135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11" i="7"/>
  <c r="D7" i="7"/>
  <c r="F209" i="15"/>
  <c r="L209" i="15"/>
  <c r="I209" i="15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6" i="15" s="1"/>
  <c r="D135" i="7"/>
  <c r="C47" i="31" s="1"/>
  <c r="G3" i="14"/>
  <c r="B62" i="14"/>
  <c r="B41" i="14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5" i="7"/>
  <c r="D14" i="7"/>
  <c r="D24" i="7"/>
  <c r="C55" i="24"/>
  <c r="D13" i="7"/>
  <c r="C7" i="24"/>
  <c r="C58" i="24"/>
  <c r="D50" i="7"/>
  <c r="D58" i="7"/>
  <c r="C60" i="24"/>
  <c r="D128" i="7"/>
  <c r="C77" i="24"/>
  <c r="C5" i="24"/>
  <c r="C61" i="24"/>
  <c r="D61" i="7"/>
  <c r="C14" i="31" s="1"/>
  <c r="C76" i="24"/>
  <c r="D127" i="7"/>
  <c r="D70" i="7"/>
  <c r="D71" i="7" s="1"/>
  <c r="C63" i="24"/>
  <c r="I42" i="3"/>
  <c r="C37" i="24" s="1"/>
  <c r="C53" i="3"/>
  <c r="I53" i="3" s="1"/>
  <c r="I38" i="3"/>
  <c r="C33" i="24" s="1"/>
  <c r="M51" i="3"/>
  <c r="C52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P51" i="3"/>
  <c r="D40" i="3"/>
  <c r="D55" i="3" s="1"/>
  <c r="C55" i="3"/>
  <c r="G32" i="3" l="1"/>
  <c r="N90" i="7"/>
  <c r="N91" i="7" s="1"/>
  <c r="H90" i="7"/>
  <c r="K90" i="7"/>
  <c r="K91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H48" i="7"/>
  <c r="K48" i="7"/>
  <c r="N48" i="7"/>
  <c r="B19" i="24"/>
  <c r="B17" i="24"/>
  <c r="B60" i="24"/>
  <c r="B56" i="24"/>
  <c r="G61" i="3"/>
  <c r="B23" i="24"/>
  <c r="B25" i="24"/>
  <c r="B24" i="24"/>
  <c r="B22" i="24"/>
  <c r="B20" i="24"/>
  <c r="N73" i="7"/>
  <c r="K15" i="30" s="1"/>
  <c r="K73" i="7"/>
  <c r="G15" i="30" s="1"/>
  <c r="H73" i="7"/>
  <c r="C15" i="30" s="1"/>
  <c r="I210" i="15"/>
  <c r="K38" i="7" s="1"/>
  <c r="H13" i="7"/>
  <c r="R61" i="3"/>
  <c r="O61" i="3"/>
  <c r="G27" i="3"/>
  <c r="G23" i="3"/>
  <c r="G46" i="3"/>
  <c r="G12" i="3"/>
  <c r="G25" i="3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Q40" i="3"/>
  <c r="P40" i="3"/>
  <c r="N40" i="3" s="1"/>
  <c r="K39" i="3"/>
  <c r="M41" i="3"/>
  <c r="K41" i="3" s="1"/>
  <c r="L34" i="15"/>
  <c r="L31" i="15" s="1"/>
  <c r="L37" i="15" s="1"/>
  <c r="F34" i="15"/>
  <c r="F31" i="15" s="1"/>
  <c r="F265" i="15" s="1"/>
  <c r="G29" i="3"/>
  <c r="G30" i="3"/>
  <c r="G28" i="3"/>
  <c r="I34" i="15"/>
  <c r="I31" i="15" s="1"/>
  <c r="I37" i="15" s="1"/>
  <c r="I38" i="15" s="1"/>
  <c r="K46" i="3"/>
  <c r="H29" i="25"/>
  <c r="P55" i="3"/>
  <c r="N54" i="3"/>
  <c r="H135" i="7"/>
  <c r="D47" i="31" s="1"/>
  <c r="I57" i="31" s="1"/>
  <c r="K21" i="3"/>
  <c r="F85" i="15"/>
  <c r="F114" i="15"/>
  <c r="K25" i="3"/>
  <c r="L193" i="15"/>
  <c r="I56" i="3"/>
  <c r="C51" i="24" s="1"/>
  <c r="I40" i="3"/>
  <c r="C35" i="24" s="1"/>
  <c r="I41" i="3"/>
  <c r="C36" i="24" s="1"/>
  <c r="N40" i="7"/>
  <c r="R65" i="3"/>
  <c r="K49" i="3"/>
  <c r="K31" i="3"/>
  <c r="K29" i="3" s="1"/>
  <c r="F51" i="15"/>
  <c r="G31" i="3"/>
  <c r="I190" i="15"/>
  <c r="P65" i="3"/>
  <c r="O65" i="3" s="1"/>
  <c r="I7" i="15"/>
  <c r="I52" i="3"/>
  <c r="C47" i="24" s="1"/>
  <c r="I193" i="15"/>
  <c r="F193" i="15"/>
  <c r="G45" i="3"/>
  <c r="K45" i="3"/>
  <c r="I37" i="3"/>
  <c r="F146" i="15"/>
  <c r="I55" i="3"/>
  <c r="C50" i="24" s="1"/>
  <c r="H40" i="7"/>
  <c r="F7" i="15"/>
  <c r="F11" i="15"/>
  <c r="F18" i="15"/>
  <c r="L114" i="15"/>
  <c r="F19" i="15"/>
  <c r="F121" i="15" s="1"/>
  <c r="I146" i="15"/>
  <c r="I39" i="3"/>
  <c r="C34" i="24" s="1"/>
  <c r="I114" i="15"/>
  <c r="L146" i="15"/>
  <c r="K101" i="7" l="1"/>
  <c r="K86" i="7"/>
  <c r="K105" i="7"/>
  <c r="K97" i="7"/>
  <c r="K96" i="7" s="1"/>
  <c r="K108" i="7"/>
  <c r="N108" i="7"/>
  <c r="N86" i="7"/>
  <c r="N101" i="7"/>
  <c r="N100" i="7" s="1"/>
  <c r="N97" i="7"/>
  <c r="N105" i="7"/>
  <c r="H108" i="7"/>
  <c r="H86" i="7"/>
  <c r="H105" i="7"/>
  <c r="H104" i="7" s="1"/>
  <c r="H101" i="7"/>
  <c r="H97" i="7"/>
  <c r="H96" i="7" s="1"/>
  <c r="N104" i="7"/>
  <c r="P71" i="3"/>
  <c r="O71" i="3" s="1"/>
  <c r="H91" i="7"/>
  <c r="M71" i="3"/>
  <c r="L71" i="3" s="1"/>
  <c r="H85" i="7"/>
  <c r="N96" i="7"/>
  <c r="M75" i="3"/>
  <c r="L75" i="3" s="1"/>
  <c r="R74" i="3"/>
  <c r="R75" i="3"/>
  <c r="C32" i="24"/>
  <c r="M42" i="3"/>
  <c r="M43" i="3" s="1"/>
  <c r="K43" i="3" s="1"/>
  <c r="I115" i="15"/>
  <c r="L68" i="7" s="1"/>
  <c r="L115" i="15"/>
  <c r="L113" i="15" s="1"/>
  <c r="F29" i="15"/>
  <c r="F178" i="15"/>
  <c r="J68" i="7"/>
  <c r="M68" i="7"/>
  <c r="G30" i="7"/>
  <c r="F26" i="15"/>
  <c r="F268" i="15"/>
  <c r="F173" i="15"/>
  <c r="F170" i="15" s="1"/>
  <c r="F271" i="15"/>
  <c r="F269" i="15" s="1"/>
  <c r="H140" i="7" s="1"/>
  <c r="F194" i="15"/>
  <c r="F151" i="15"/>
  <c r="F185" i="15" s="1"/>
  <c r="F125" i="15"/>
  <c r="F122" i="15" s="1"/>
  <c r="H88" i="7" s="1"/>
  <c r="F10" i="15"/>
  <c r="F140" i="15"/>
  <c r="F142" i="15" s="1"/>
  <c r="F154" i="15"/>
  <c r="F17" i="15"/>
  <c r="F15" i="15" s="1"/>
  <c r="F6" i="15"/>
  <c r="F4" i="15" s="1"/>
  <c r="Q41" i="3"/>
  <c r="L38" i="15"/>
  <c r="Q19" i="3" s="1"/>
  <c r="P41" i="3"/>
  <c r="N41" i="3" s="1"/>
  <c r="L35" i="15"/>
  <c r="L265" i="15"/>
  <c r="F35" i="15"/>
  <c r="I95" i="15"/>
  <c r="I35" i="15"/>
  <c r="I265" i="15"/>
  <c r="L95" i="15"/>
  <c r="H12" i="7"/>
  <c r="D32" i="31" s="1"/>
  <c r="K13" i="3"/>
  <c r="F37" i="15"/>
  <c r="F115" i="15" s="1"/>
  <c r="F113" i="15" s="1"/>
  <c r="F21" i="15"/>
  <c r="F182" i="15" s="1"/>
  <c r="F251" i="15"/>
  <c r="F250" i="15" s="1"/>
  <c r="F248" i="15"/>
  <c r="F247" i="15" s="1"/>
  <c r="F20" i="15"/>
  <c r="H76" i="7" s="1"/>
  <c r="F22" i="15"/>
  <c r="H98" i="7" s="1"/>
  <c r="N55" i="3"/>
  <c r="P56" i="3"/>
  <c r="N56" i="3" s="1"/>
  <c r="K28" i="3"/>
  <c r="K30" i="3"/>
  <c r="K22" i="3"/>
  <c r="L7" i="15"/>
  <c r="F86" i="15"/>
  <c r="F93" i="15" s="1"/>
  <c r="F95" i="15" s="1"/>
  <c r="L190" i="15"/>
  <c r="I11" i="15"/>
  <c r="I18" i="15"/>
  <c r="L54" i="15"/>
  <c r="K40" i="7"/>
  <c r="L60" i="15"/>
  <c r="L62" i="15" s="1"/>
  <c r="L64" i="15" s="1"/>
  <c r="F60" i="15"/>
  <c r="K12" i="7"/>
  <c r="H32" i="31" s="1"/>
  <c r="L11" i="15"/>
  <c r="F136" i="15"/>
  <c r="H63" i="7" s="1"/>
  <c r="I19" i="15"/>
  <c r="L18" i="15"/>
  <c r="I51" i="15"/>
  <c r="I136" i="15"/>
  <c r="K63" i="7" s="1"/>
  <c r="I60" i="15"/>
  <c r="L136" i="15"/>
  <c r="N63" i="7" s="1"/>
  <c r="L19" i="15"/>
  <c r="L22" i="15" s="1"/>
  <c r="F54" i="15"/>
  <c r="F55" i="15"/>
  <c r="G58" i="7"/>
  <c r="G68" i="7"/>
  <c r="N19" i="3"/>
  <c r="H83" i="7" l="1"/>
  <c r="H80" i="7"/>
  <c r="R76" i="3"/>
  <c r="N107" i="7"/>
  <c r="M76" i="3"/>
  <c r="L76" i="3" s="1"/>
  <c r="H107" i="7"/>
  <c r="P76" i="3"/>
  <c r="O76" i="3" s="1"/>
  <c r="K107" i="7"/>
  <c r="P75" i="3"/>
  <c r="O75" i="3" s="1"/>
  <c r="K104" i="7"/>
  <c r="M74" i="3"/>
  <c r="L74" i="3" s="1"/>
  <c r="H100" i="7"/>
  <c r="P74" i="3"/>
  <c r="O74" i="3" s="1"/>
  <c r="K100" i="7"/>
  <c r="H82" i="7"/>
  <c r="H79" i="7"/>
  <c r="F177" i="15"/>
  <c r="F176" i="15"/>
  <c r="K42" i="3"/>
  <c r="I113" i="15"/>
  <c r="F27" i="15"/>
  <c r="F103" i="15" s="1"/>
  <c r="F175" i="15"/>
  <c r="F180" i="15"/>
  <c r="L96" i="15"/>
  <c r="L97" i="15" s="1"/>
  <c r="L94" i="15" s="1"/>
  <c r="F152" i="15"/>
  <c r="F220" i="15"/>
  <c r="H44" i="7" s="1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L29" i="15"/>
  <c r="L27" i="15" s="1"/>
  <c r="L103" i="15" s="1"/>
  <c r="L178" i="15"/>
  <c r="L177" i="15" s="1"/>
  <c r="H15" i="7"/>
  <c r="K15" i="7"/>
  <c r="F192" i="15"/>
  <c r="H116" i="7" s="1"/>
  <c r="I271" i="15"/>
  <c r="I269" i="15" s="1"/>
  <c r="K140" i="7" s="1"/>
  <c r="I268" i="15"/>
  <c r="I26" i="15"/>
  <c r="I194" i="15"/>
  <c r="I173" i="15"/>
  <c r="I170" i="15" s="1"/>
  <c r="I151" i="15"/>
  <c r="I154" i="15"/>
  <c r="I17" i="15"/>
  <c r="I15" i="15" s="1"/>
  <c r="I125" i="15"/>
  <c r="I122" i="15" s="1"/>
  <c r="K88" i="7" s="1"/>
  <c r="I10" i="15"/>
  <c r="I140" i="15"/>
  <c r="I142" i="15" s="1"/>
  <c r="I121" i="15"/>
  <c r="I6" i="15"/>
  <c r="I4" i="15" s="1"/>
  <c r="L268" i="15"/>
  <c r="L26" i="15"/>
  <c r="L194" i="15"/>
  <c r="L173" i="15"/>
  <c r="L170" i="15" s="1"/>
  <c r="L271" i="15"/>
  <c r="L269" i="15" s="1"/>
  <c r="N140" i="7" s="1"/>
  <c r="L154" i="15"/>
  <c r="L17" i="15"/>
  <c r="L15" i="15" s="1"/>
  <c r="L125" i="15"/>
  <c r="L122" i="15" s="1"/>
  <c r="N88" i="7" s="1"/>
  <c r="L10" i="15"/>
  <c r="L140" i="15"/>
  <c r="L142" i="15" s="1"/>
  <c r="L121" i="15"/>
  <c r="L6" i="15"/>
  <c r="L4" i="15" s="1"/>
  <c r="L151" i="15"/>
  <c r="L185" i="15" s="1"/>
  <c r="Q42" i="3"/>
  <c r="F38" i="15"/>
  <c r="K19" i="3" s="1"/>
  <c r="P42" i="3"/>
  <c r="N42" i="3" s="1"/>
  <c r="M44" i="3"/>
  <c r="F255" i="15" s="1"/>
  <c r="F205" i="15" s="1"/>
  <c r="F62" i="15"/>
  <c r="F64" i="15" s="1"/>
  <c r="F61" i="15"/>
  <c r="L55" i="15"/>
  <c r="L52" i="15" s="1"/>
  <c r="L56" i="15" s="1"/>
  <c r="L57" i="15" s="1"/>
  <c r="L50" i="15" s="1"/>
  <c r="L51" i="15"/>
  <c r="I21" i="15"/>
  <c r="I182" i="15" s="1"/>
  <c r="I20" i="15"/>
  <c r="K76" i="7" s="1"/>
  <c r="I251" i="15"/>
  <c r="I250" i="15" s="1"/>
  <c r="I176" i="15" s="1"/>
  <c r="I248" i="15"/>
  <c r="I247" i="15" s="1"/>
  <c r="I22" i="15"/>
  <c r="L20" i="15"/>
  <c r="N76" i="7" s="1"/>
  <c r="L21" i="15"/>
  <c r="L182" i="15" s="1"/>
  <c r="L248" i="15"/>
  <c r="L247" i="15" s="1"/>
  <c r="L251" i="15"/>
  <c r="L250" i="15" s="1"/>
  <c r="L176" i="15" s="1"/>
  <c r="K135" i="7"/>
  <c r="H47" i="31" s="1"/>
  <c r="I63" i="31" s="1"/>
  <c r="L61" i="15"/>
  <c r="I55" i="15"/>
  <c r="I54" i="15"/>
  <c r="I62" i="15"/>
  <c r="I64" i="15" s="1"/>
  <c r="I61" i="15"/>
  <c r="F52" i="15"/>
  <c r="F56" i="15" s="1"/>
  <c r="F49" i="15" s="1"/>
  <c r="F72" i="15" s="1"/>
  <c r="H64" i="7"/>
  <c r="H41" i="7"/>
  <c r="H56" i="7"/>
  <c r="K83" i="7" l="1"/>
  <c r="K80" i="7"/>
  <c r="K79" i="7" s="1"/>
  <c r="N83" i="7"/>
  <c r="N82" i="7" s="1"/>
  <c r="N80" i="7"/>
  <c r="N79" i="7" s="1"/>
  <c r="H87" i="7"/>
  <c r="K82" i="7"/>
  <c r="E36" i="30"/>
  <c r="E34" i="31"/>
  <c r="I36" i="30"/>
  <c r="I34" i="31"/>
  <c r="F261" i="15"/>
  <c r="F256" i="15" s="1"/>
  <c r="L175" i="15"/>
  <c r="L253" i="15" s="1"/>
  <c r="N94" i="7" s="1"/>
  <c r="K16" i="30" s="1"/>
  <c r="I175" i="15"/>
  <c r="I253" i="15" s="1"/>
  <c r="K94" i="7" s="1"/>
  <c r="G16" i="30" s="1"/>
  <c r="F253" i="15"/>
  <c r="H94" i="7" s="1"/>
  <c r="C16" i="30" s="1"/>
  <c r="F12" i="15"/>
  <c r="F8" i="15" s="1"/>
  <c r="F147" i="15"/>
  <c r="F148" i="15"/>
  <c r="F149" i="15" s="1"/>
  <c r="F134" i="15"/>
  <c r="I27" i="15"/>
  <c r="I103" i="15" s="1"/>
  <c r="I119" i="15"/>
  <c r="I203" i="15"/>
  <c r="I200" i="15" s="1"/>
  <c r="L119" i="15"/>
  <c r="L203" i="15"/>
  <c r="L200" i="15" s="1"/>
  <c r="I185" i="15"/>
  <c r="I180" i="15" s="1"/>
  <c r="L199" i="15"/>
  <c r="L180" i="15"/>
  <c r="Q43" i="3"/>
  <c r="Q36" i="3" s="1"/>
  <c r="K77" i="7"/>
  <c r="N77" i="7"/>
  <c r="F119" i="15"/>
  <c r="F199" i="15"/>
  <c r="F71" i="15"/>
  <c r="F74" i="15" s="1"/>
  <c r="I199" i="15"/>
  <c r="I192" i="15"/>
  <c r="L192" i="15"/>
  <c r="N116" i="7" s="1"/>
  <c r="L220" i="15"/>
  <c r="L261" i="15"/>
  <c r="L134" i="15"/>
  <c r="I220" i="15"/>
  <c r="F191" i="15"/>
  <c r="F187" i="15" s="1"/>
  <c r="L135" i="15"/>
  <c r="N55" i="7" s="1"/>
  <c r="L12" i="15"/>
  <c r="L8" i="15" s="1"/>
  <c r="L147" i="15"/>
  <c r="L148" i="15"/>
  <c r="L149" i="15" s="1"/>
  <c r="L231" i="15" s="1"/>
  <c r="L152" i="15"/>
  <c r="I152" i="15"/>
  <c r="P43" i="3"/>
  <c r="K98" i="7"/>
  <c r="I68" i="7"/>
  <c r="H22" i="7"/>
  <c r="F127" i="15"/>
  <c r="K44" i="3"/>
  <c r="K64" i="7"/>
  <c r="L63" i="15"/>
  <c r="I63" i="15"/>
  <c r="F63" i="15"/>
  <c r="G51" i="7"/>
  <c r="K56" i="7"/>
  <c r="K41" i="7"/>
  <c r="F57" i="15"/>
  <c r="F50" i="15" s="1"/>
  <c r="F58" i="15" s="1"/>
  <c r="F45" i="15" s="1"/>
  <c r="F42" i="15" s="1"/>
  <c r="H17" i="7" s="1"/>
  <c r="E35" i="31" s="1"/>
  <c r="L49" i="15"/>
  <c r="I52" i="15"/>
  <c r="I56" i="15" s="1"/>
  <c r="N98" i="7"/>
  <c r="N64" i="7"/>
  <c r="N56" i="7"/>
  <c r="N41" i="7"/>
  <c r="F231" i="15" l="1"/>
  <c r="F232" i="15" s="1"/>
  <c r="F225" i="15" s="1"/>
  <c r="F118" i="15" s="1"/>
  <c r="F117" i="15" s="1"/>
  <c r="L72" i="15"/>
  <c r="L71" i="15" s="1"/>
  <c r="L74" i="15" s="1"/>
  <c r="L58" i="15"/>
  <c r="L45" i="15" s="1"/>
  <c r="L42" i="15" s="1"/>
  <c r="L43" i="15" s="1"/>
  <c r="N87" i="7"/>
  <c r="F257" i="15"/>
  <c r="K87" i="7"/>
  <c r="F258" i="15"/>
  <c r="F195" i="15"/>
  <c r="L257" i="15"/>
  <c r="L256" i="15"/>
  <c r="L127" i="15"/>
  <c r="I12" i="15"/>
  <c r="I8" i="15" s="1"/>
  <c r="I261" i="15"/>
  <c r="I256" i="15" s="1"/>
  <c r="I147" i="15"/>
  <c r="F155" i="15"/>
  <c r="F137" i="15" s="1"/>
  <c r="H54" i="7" s="1"/>
  <c r="I148" i="15"/>
  <c r="I149" i="15" s="1"/>
  <c r="I135" i="15"/>
  <c r="K55" i="7" s="1"/>
  <c r="I134" i="15"/>
  <c r="H18" i="7"/>
  <c r="E37" i="30"/>
  <c r="L155" i="15"/>
  <c r="L137" i="15" s="1"/>
  <c r="N54" i="7" s="1"/>
  <c r="N57" i="7" s="1"/>
  <c r="L232" i="15"/>
  <c r="L225" i="15" s="1"/>
  <c r="L118" i="15" s="1"/>
  <c r="L117" i="15" s="1"/>
  <c r="N68" i="7" s="1"/>
  <c r="N69" i="7" s="1"/>
  <c r="F135" i="15"/>
  <c r="H55" i="7" s="1"/>
  <c r="H112" i="7"/>
  <c r="H113" i="7" s="1"/>
  <c r="E42" i="31" s="1"/>
  <c r="F189" i="15"/>
  <c r="F276" i="15"/>
  <c r="K116" i="7"/>
  <c r="F73" i="15"/>
  <c r="F59" i="15" s="1"/>
  <c r="O276" i="15"/>
  <c r="L276" i="15"/>
  <c r="U276" i="15"/>
  <c r="L258" i="15"/>
  <c r="I191" i="15"/>
  <c r="I187" i="15" s="1"/>
  <c r="I195" i="15" s="1"/>
  <c r="L191" i="15"/>
  <c r="L187" i="15" s="1"/>
  <c r="L195" i="15" s="1"/>
  <c r="K44" i="7"/>
  <c r="N44" i="7"/>
  <c r="P44" i="3"/>
  <c r="N43" i="3"/>
  <c r="L73" i="15"/>
  <c r="L59" i="15" s="1"/>
  <c r="I57" i="15"/>
  <c r="I50" i="15" s="1"/>
  <c r="I49" i="15"/>
  <c r="I72" i="15" s="1"/>
  <c r="F43" i="15"/>
  <c r="F40" i="15" s="1"/>
  <c r="I231" i="15" l="1"/>
  <c r="I232" i="15" s="1"/>
  <c r="I225" i="15" s="1"/>
  <c r="I118" i="15" s="1"/>
  <c r="I117" i="15" s="1"/>
  <c r="K68" i="7" s="1"/>
  <c r="K69" i="7" s="1"/>
  <c r="F259" i="15"/>
  <c r="F266" i="15" s="1"/>
  <c r="F264" i="15" s="1"/>
  <c r="H139" i="7" s="1"/>
  <c r="D48" i="31" s="1"/>
  <c r="E49" i="31" s="1"/>
  <c r="E44" i="30"/>
  <c r="I258" i="15"/>
  <c r="Q44" i="3"/>
  <c r="L255" i="15"/>
  <c r="L205" i="15" s="1"/>
  <c r="N22" i="7" s="1"/>
  <c r="I257" i="15"/>
  <c r="H57" i="7"/>
  <c r="I155" i="15"/>
  <c r="I137" i="15" s="1"/>
  <c r="K54" i="7" s="1"/>
  <c r="K57" i="7" s="1"/>
  <c r="L161" i="15"/>
  <c r="F163" i="15"/>
  <c r="F162" i="15" s="1"/>
  <c r="F167" i="15"/>
  <c r="F166" i="15" s="1"/>
  <c r="H68" i="7"/>
  <c r="H69" i="7" s="1"/>
  <c r="F161" i="15"/>
  <c r="I189" i="15"/>
  <c r="L189" i="15"/>
  <c r="I71" i="15"/>
  <c r="I276" i="15" s="1"/>
  <c r="I73" i="15"/>
  <c r="F78" i="15"/>
  <c r="N112" i="7"/>
  <c r="N113" i="7" s="1"/>
  <c r="M42" i="31" s="1"/>
  <c r="K112" i="7"/>
  <c r="K113" i="7" s="1"/>
  <c r="I42" i="31" s="1"/>
  <c r="I255" i="15"/>
  <c r="I205" i="15" s="1"/>
  <c r="K22" i="7" s="1"/>
  <c r="N44" i="3"/>
  <c r="I127" i="15"/>
  <c r="L40" i="15"/>
  <c r="L111" i="15" s="1"/>
  <c r="I58" i="15"/>
  <c r="I45" i="15" s="1"/>
  <c r="I42" i="15" s="1"/>
  <c r="L70" i="15"/>
  <c r="F70" i="15"/>
  <c r="L277" i="15"/>
  <c r="F160" i="15"/>
  <c r="H33" i="7"/>
  <c r="F277" i="15"/>
  <c r="F254" i="15" l="1"/>
  <c r="F128" i="15" s="1"/>
  <c r="M44" i="30"/>
  <c r="I44" i="30"/>
  <c r="L259" i="15"/>
  <c r="L254" i="15" s="1"/>
  <c r="L128" i="15" s="1"/>
  <c r="I259" i="15"/>
  <c r="I266" i="15" s="1"/>
  <c r="H65" i="7"/>
  <c r="H66" i="7" s="1"/>
  <c r="O286" i="15"/>
  <c r="O287" i="15" s="1"/>
  <c r="U286" i="15"/>
  <c r="U287" i="15" s="1"/>
  <c r="F158" i="15"/>
  <c r="F156" i="15" s="1"/>
  <c r="H59" i="7" s="1"/>
  <c r="I161" i="15"/>
  <c r="L163" i="15"/>
  <c r="L162" i="15" s="1"/>
  <c r="L167" i="15"/>
  <c r="L166" i="15" s="1"/>
  <c r="I74" i="15"/>
  <c r="R276" i="15"/>
  <c r="R277" i="15"/>
  <c r="L286" i="15"/>
  <c r="L287" i="15" s="1"/>
  <c r="L109" i="15"/>
  <c r="N62" i="7" s="1"/>
  <c r="N65" i="7" s="1"/>
  <c r="N66" i="7" s="1"/>
  <c r="L78" i="15"/>
  <c r="F286" i="15"/>
  <c r="F287" i="15" s="1"/>
  <c r="L160" i="15"/>
  <c r="L158" i="15" s="1"/>
  <c r="L156" i="15" s="1"/>
  <c r="N33" i="7"/>
  <c r="F77" i="15"/>
  <c r="F82" i="15" s="1"/>
  <c r="F79" i="15" s="1"/>
  <c r="N51" i="7"/>
  <c r="N133" i="7" s="1"/>
  <c r="L77" i="15"/>
  <c r="I43" i="15"/>
  <c r="I40" i="15" s="1"/>
  <c r="I111" i="15" s="1"/>
  <c r="K17" i="7"/>
  <c r="I59" i="15"/>
  <c r="I70" i="15"/>
  <c r="H51" i="7"/>
  <c r="H133" i="7" s="1"/>
  <c r="G49" i="7"/>
  <c r="E276" i="15"/>
  <c r="O277" i="15"/>
  <c r="U277" i="15"/>
  <c r="K276" i="15"/>
  <c r="L75" i="15" l="1"/>
  <c r="N19" i="7" s="1"/>
  <c r="F260" i="15"/>
  <c r="F282" i="15" s="1"/>
  <c r="F129" i="15"/>
  <c r="F130" i="15" s="1"/>
  <c r="F131" i="15" s="1"/>
  <c r="H49" i="7" s="1"/>
  <c r="I37" i="30"/>
  <c r="I35" i="31"/>
  <c r="L266" i="15"/>
  <c r="L264" i="15" s="1"/>
  <c r="N139" i="7" s="1"/>
  <c r="L48" i="31" s="1"/>
  <c r="M49" i="31" s="1"/>
  <c r="U283" i="15"/>
  <c r="R283" i="15"/>
  <c r="I286" i="15"/>
  <c r="I287" i="15" s="1"/>
  <c r="L82" i="15"/>
  <c r="L79" i="15" s="1"/>
  <c r="I163" i="15"/>
  <c r="I162" i="15" s="1"/>
  <c r="I167" i="15"/>
  <c r="I166" i="15" s="1"/>
  <c r="R282" i="15"/>
  <c r="U282" i="15"/>
  <c r="O283" i="15"/>
  <c r="K18" i="7"/>
  <c r="F75" i="15"/>
  <c r="L129" i="15"/>
  <c r="L284" i="15" s="1"/>
  <c r="L260" i="15"/>
  <c r="N138" i="7" s="1"/>
  <c r="N59" i="7"/>
  <c r="N60" i="7" s="1"/>
  <c r="I109" i="15"/>
  <c r="K62" i="7" s="1"/>
  <c r="K65" i="7" s="1"/>
  <c r="K66" i="7" s="1"/>
  <c r="I78" i="15"/>
  <c r="I264" i="15"/>
  <c r="K139" i="7" s="1"/>
  <c r="H48" i="31" s="1"/>
  <c r="I49" i="31" s="1"/>
  <c r="I254" i="15"/>
  <c r="O282" i="15"/>
  <c r="E277" i="15"/>
  <c r="K277" i="15"/>
  <c r="K33" i="7"/>
  <c r="F76" i="15"/>
  <c r="G76" i="15" s="1"/>
  <c r="F278" i="15"/>
  <c r="I77" i="15"/>
  <c r="L278" i="15"/>
  <c r="Q276" i="15"/>
  <c r="L76" i="15"/>
  <c r="M76" i="15" s="1"/>
  <c r="I277" i="15"/>
  <c r="K51" i="7"/>
  <c r="K133" i="7" s="1"/>
  <c r="I160" i="15"/>
  <c r="I158" i="15" s="1"/>
  <c r="I156" i="15" s="1"/>
  <c r="U278" i="15"/>
  <c r="O278" i="15"/>
  <c r="N276" i="15"/>
  <c r="T276" i="15"/>
  <c r="H19" i="7" l="1"/>
  <c r="H20" i="7" s="1"/>
  <c r="H89" i="7"/>
  <c r="H93" i="7" s="1"/>
  <c r="H138" i="7"/>
  <c r="F285" i="15"/>
  <c r="F283" i="15"/>
  <c r="F284" i="15"/>
  <c r="O284" i="15"/>
  <c r="O285" i="15"/>
  <c r="I82" i="15"/>
  <c r="I79" i="15" s="1"/>
  <c r="R285" i="15"/>
  <c r="U285" i="15"/>
  <c r="F281" i="15"/>
  <c r="H60" i="7"/>
  <c r="N71" i="7"/>
  <c r="N72" i="7" s="1"/>
  <c r="L283" i="15"/>
  <c r="N20" i="7"/>
  <c r="L282" i="15"/>
  <c r="L130" i="15"/>
  <c r="L131" i="15" s="1"/>
  <c r="L285" i="15"/>
  <c r="L104" i="15"/>
  <c r="L281" i="15"/>
  <c r="E278" i="15"/>
  <c r="E279" i="15" s="1"/>
  <c r="I260" i="15"/>
  <c r="I128" i="15"/>
  <c r="R286" i="15"/>
  <c r="R287" i="15" s="1"/>
  <c r="K278" i="15"/>
  <c r="K279" i="15" s="1"/>
  <c r="K59" i="7"/>
  <c r="I104" i="15" s="1"/>
  <c r="L280" i="15"/>
  <c r="Q277" i="15"/>
  <c r="N277" i="15"/>
  <c r="N278" i="15" s="1"/>
  <c r="N279" i="15" s="1"/>
  <c r="T277" i="15"/>
  <c r="T278" i="15" s="1"/>
  <c r="T279" i="15" s="1"/>
  <c r="F104" i="15"/>
  <c r="U281" i="15"/>
  <c r="O281" i="15"/>
  <c r="F279" i="15"/>
  <c r="N89" i="7"/>
  <c r="N93" i="7" s="1"/>
  <c r="L279" i="15"/>
  <c r="I75" i="15"/>
  <c r="K19" i="7" s="1"/>
  <c r="I278" i="15"/>
  <c r="I76" i="15"/>
  <c r="J76" i="15" s="1"/>
  <c r="H276" i="15"/>
  <c r="O280" i="15"/>
  <c r="U279" i="15"/>
  <c r="O279" i="15"/>
  <c r="M43" i="30" l="1"/>
  <c r="M41" i="31"/>
  <c r="E43" i="30"/>
  <c r="E41" i="31"/>
  <c r="M42" i="30"/>
  <c r="M40" i="31"/>
  <c r="I283" i="15"/>
  <c r="K138" i="7"/>
  <c r="R284" i="15"/>
  <c r="U284" i="15"/>
  <c r="L106" i="15"/>
  <c r="L98" i="15" s="1"/>
  <c r="F106" i="15"/>
  <c r="F98" i="15" s="1"/>
  <c r="I106" i="15"/>
  <c r="K20" i="7"/>
  <c r="H71" i="7"/>
  <c r="H72" i="7" s="1"/>
  <c r="R281" i="15"/>
  <c r="K89" i="7"/>
  <c r="K93" i="7" s="1"/>
  <c r="N49" i="7"/>
  <c r="I129" i="15"/>
  <c r="I284" i="15" s="1"/>
  <c r="I282" i="15"/>
  <c r="R278" i="15"/>
  <c r="Q278" i="15" s="1"/>
  <c r="K280" i="15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U280" i="15"/>
  <c r="T280" i="15" s="1"/>
  <c r="H277" i="15"/>
  <c r="F280" i="15"/>
  <c r="E280" i="15" s="1"/>
  <c r="I281" i="15"/>
  <c r="K60" i="7"/>
  <c r="I279" i="15"/>
  <c r="N280" i="15"/>
  <c r="E42" i="30" l="1"/>
  <c r="E40" i="31"/>
  <c r="I43" i="30"/>
  <c r="I41" i="31"/>
  <c r="I98" i="15"/>
  <c r="K29" i="7" s="1"/>
  <c r="N29" i="7"/>
  <c r="N32" i="7"/>
  <c r="H29" i="7"/>
  <c r="H32" i="7"/>
  <c r="K71" i="7"/>
  <c r="K72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I130" i="15"/>
  <c r="I285" i="15"/>
  <c r="N145" i="7"/>
  <c r="N146" i="7"/>
  <c r="N148" i="7"/>
  <c r="N147" i="7"/>
  <c r="R279" i="15"/>
  <c r="N150" i="7"/>
  <c r="N149" i="7"/>
  <c r="T281" i="15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T292" i="15" s="1"/>
  <c r="H278" i="15"/>
  <c r="E281" i="15"/>
  <c r="E282" i="15" s="1"/>
  <c r="Q279" i="15"/>
  <c r="I280" i="15"/>
  <c r="N281" i="15"/>
  <c r="I42" i="30" l="1"/>
  <c r="I40" i="3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80" i="15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Q293" i="15" s="1"/>
  <c r="I131" i="15"/>
  <c r="K49" i="7" s="1"/>
  <c r="F224" i="15"/>
  <c r="L224" i="15"/>
  <c r="L108" i="15"/>
  <c r="N35" i="7" s="1"/>
  <c r="F108" i="15"/>
  <c r="H35" i="7" s="1"/>
  <c r="H34" i="7"/>
  <c r="N34" i="7"/>
  <c r="H279" i="15"/>
  <c r="H280" i="15" s="1"/>
  <c r="T293" i="15"/>
  <c r="E283" i="15"/>
  <c r="N282" i="15"/>
  <c r="N283" i="15" s="1"/>
  <c r="N284" i="15" s="1"/>
  <c r="N285" i="15" s="1"/>
  <c r="N286" i="15" s="1"/>
  <c r="N287" i="15" s="1"/>
  <c r="N288" i="15" s="1"/>
  <c r="N289" i="15" s="1"/>
  <c r="N290" i="15" s="1"/>
  <c r="N291" i="15" s="1"/>
  <c r="N292" i="15" s="1"/>
  <c r="K34" i="7" l="1"/>
  <c r="K3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K43" i="7"/>
  <c r="K45" i="7" s="1"/>
  <c r="K21" i="7"/>
  <c r="K23" i="7" s="1"/>
  <c r="I36" i="31" s="1"/>
  <c r="H281" i="15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N293" i="15"/>
  <c r="E284" i="15"/>
  <c r="E38" i="30" l="1"/>
  <c r="E36" i="31"/>
  <c r="K42" i="7"/>
  <c r="K47" i="7" s="1"/>
  <c r="K25" i="7"/>
  <c r="I38" i="30"/>
  <c r="M38" i="30"/>
  <c r="N43" i="7"/>
  <c r="N45" i="7" s="1"/>
  <c r="N47" i="7" s="1"/>
  <c r="M39" i="31" s="1"/>
  <c r="H47" i="7"/>
  <c r="E39" i="31" s="1"/>
  <c r="H25" i="7"/>
  <c r="K147" i="7"/>
  <c r="K146" i="7"/>
  <c r="K150" i="7"/>
  <c r="K145" i="7"/>
  <c r="K149" i="7"/>
  <c r="K148" i="7"/>
  <c r="E285" i="15"/>
  <c r="E286" i="15" s="1"/>
  <c r="E287" i="15" s="1"/>
  <c r="E288" i="15" s="1"/>
  <c r="E289" i="15" s="1"/>
  <c r="E290" i="15" s="1"/>
  <c r="E291" i="15" s="1"/>
  <c r="E292" i="15" s="1"/>
  <c r="E293" i="15" s="1"/>
  <c r="H148" i="7" s="1"/>
  <c r="I41" i="30" l="1"/>
  <c r="I39" i="31"/>
  <c r="E39" i="30"/>
  <c r="E37" i="31"/>
  <c r="D33" i="31" s="1"/>
  <c r="I39" i="30"/>
  <c r="I37" i="31"/>
  <c r="H33" i="31" s="1"/>
  <c r="H115" i="7"/>
  <c r="H118" i="7" s="1"/>
  <c r="E43" i="31" s="1"/>
  <c r="D38" i="31" s="1"/>
  <c r="D57" i="31" s="1"/>
  <c r="E41" i="30"/>
  <c r="N115" i="7"/>
  <c r="N118" i="7" s="1"/>
  <c r="M43" i="31" s="1"/>
  <c r="L38" i="31" s="1"/>
  <c r="M41" i="30"/>
  <c r="H26" i="7"/>
  <c r="D35" i="30" s="1"/>
  <c r="K26" i="7"/>
  <c r="H35" i="30" s="1"/>
  <c r="K115" i="7"/>
  <c r="H146" i="7"/>
  <c r="H145" i="7"/>
  <c r="H147" i="7"/>
  <c r="H150" i="7"/>
  <c r="H149" i="7"/>
  <c r="C57" i="31" l="1"/>
  <c r="D58" i="31" s="1"/>
  <c r="E58" i="31" s="1"/>
  <c r="C63" i="31"/>
  <c r="D64" i="31" s="1"/>
  <c r="K129" i="7"/>
  <c r="H129" i="7"/>
  <c r="N119" i="7"/>
  <c r="D68" i="31" s="1"/>
  <c r="H119" i="7"/>
  <c r="K118" i="7"/>
  <c r="I43" i="31" s="1"/>
  <c r="H38" i="31" s="1"/>
  <c r="D47" i="30" l="1"/>
  <c r="D45" i="31"/>
  <c r="H47" i="30"/>
  <c r="H45" i="31"/>
  <c r="N125" i="7"/>
  <c r="L40" i="30"/>
  <c r="M45" i="30"/>
  <c r="E45" i="30"/>
  <c r="D40" i="30"/>
  <c r="K119" i="7"/>
  <c r="H122" i="7"/>
  <c r="H124" i="7" s="1"/>
  <c r="H125" i="7"/>
  <c r="W4" i="7"/>
  <c r="F63" i="31" l="1"/>
  <c r="F57" i="31"/>
  <c r="D63" i="31"/>
  <c r="E64" i="31" s="1"/>
  <c r="K122" i="7"/>
  <c r="K124" i="7" s="1"/>
  <c r="I45" i="30"/>
  <c r="H40" i="30"/>
  <c r="H126" i="7"/>
  <c r="D44" i="31" s="1"/>
  <c r="K125" i="7"/>
  <c r="E57" i="31" l="1"/>
  <c r="F58" i="31" s="1"/>
  <c r="D46" i="31"/>
  <c r="E47" i="31" s="1"/>
  <c r="K126" i="7"/>
  <c r="H131" i="7"/>
  <c r="H2" i="7" s="1"/>
  <c r="H3" i="7" s="1"/>
  <c r="H4" i="7" s="1"/>
  <c r="D46" i="30"/>
  <c r="D48" i="30" s="1"/>
  <c r="H46" i="30" l="1"/>
  <c r="H48" i="30" s="1"/>
  <c r="I47" i="30" s="1"/>
  <c r="H44" i="31"/>
  <c r="E44" i="31"/>
  <c r="G57" i="31"/>
  <c r="H57" i="31" s="1"/>
  <c r="E45" i="31"/>
  <c r="K131" i="7"/>
  <c r="K2" i="7" s="1"/>
  <c r="K3" i="7" s="1"/>
  <c r="K4" i="7" s="1"/>
  <c r="H136" i="7"/>
  <c r="H137" i="7" s="1"/>
  <c r="E46" i="30"/>
  <c r="E47" i="30"/>
  <c r="I46" i="30" l="1"/>
  <c r="E63" i="31"/>
  <c r="F64" i="31" s="1"/>
  <c r="H46" i="31"/>
  <c r="I47" i="31" s="1"/>
  <c r="K136" i="7"/>
  <c r="K137" i="7" s="1"/>
  <c r="I44" i="31" l="1"/>
  <c r="G63" i="31"/>
  <c r="H63" i="31" s="1"/>
  <c r="I45" i="31"/>
  <c r="G47" i="31"/>
  <c r="K47" i="31"/>
  <c r="L34" i="30"/>
  <c r="Q13" i="3"/>
  <c r="N12" i="7"/>
  <c r="N15" i="7" s="1"/>
  <c r="M36" i="30" s="1"/>
  <c r="L32" i="31" l="1"/>
  <c r="N17" i="7"/>
  <c r="M34" i="31"/>
  <c r="M37" i="30" l="1"/>
  <c r="M35" i="31"/>
  <c r="N18" i="7"/>
  <c r="N25" i="7" l="1"/>
  <c r="M39" i="30" l="1"/>
  <c r="M37" i="31"/>
  <c r="L33" i="31" s="1"/>
  <c r="N26" i="7"/>
  <c r="C68" i="31" l="1"/>
  <c r="D69" i="31" s="1"/>
  <c r="E69" i="31" s="1"/>
  <c r="N122" i="7"/>
  <c r="N129" i="7"/>
  <c r="L35" i="30"/>
  <c r="L47" i="30" l="1"/>
  <c r="L45" i="31"/>
  <c r="N124" i="7"/>
  <c r="N126" i="7" s="1"/>
  <c r="L44" i="31" l="1"/>
  <c r="L46" i="31" s="1"/>
  <c r="L46" i="30"/>
  <c r="N131" i="7"/>
  <c r="F68" i="31"/>
  <c r="L48" i="30" l="1"/>
  <c r="M47" i="30" s="1"/>
  <c r="M47" i="31"/>
  <c r="G68" i="31"/>
  <c r="H68" i="31" s="1"/>
  <c r="M45" i="31"/>
  <c r="N2" i="7"/>
  <c r="N3" i="7" s="1"/>
  <c r="N4" i="7" s="1"/>
  <c r="N136" i="7"/>
  <c r="N137" i="7" s="1"/>
  <c r="M44" i="31"/>
  <c r="E68" i="31"/>
  <c r="F69" i="31" s="1"/>
  <c r="M46" i="3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<sst xmlns="http://schemas.openxmlformats.org/spreadsheetml/2006/main" count="3254" uniqueCount="1002">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</sst>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8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2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3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6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4" xfId="0" applyFont="1" applyFill="1" applyBorder="1" applyProtection="1"/>
    <xf numFmtId="0" fontId="4" fillId="10" borderId="64" xfId="0" applyFont="1" applyFill="1" applyBorder="1" applyProtection="1"/>
    <xf numFmtId="0" fontId="4" fillId="10" borderId="75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6" xfId="0" applyBorder="1"/>
    <xf numFmtId="0" fontId="0" fillId="0" borderId="77" xfId="0" applyBorder="1"/>
    <xf numFmtId="0" fontId="0" fillId="0" borderId="55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5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8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7" xfId="0" applyNumberFormat="1" applyFont="1" applyFill="1" applyBorder="1" applyAlignment="1" applyProtection="1">
      <alignment horizontal="center"/>
    </xf>
    <xf numFmtId="0" fontId="0" fillId="3" borderId="78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7" xfId="0" applyFill="1" applyBorder="1" applyProtection="1"/>
    <xf numFmtId="0" fontId="6" fillId="3" borderId="57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8" xfId="0" applyFont="1" applyFill="1" applyBorder="1" applyAlignment="1" applyProtection="1">
      <alignment horizontal="center"/>
    </xf>
    <xf numFmtId="0" fontId="12" fillId="3" borderId="78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8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8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0" xfId="0" applyBorder="1"/>
    <xf numFmtId="0" fontId="4" fillId="0" borderId="81" xfId="0" applyFont="1" applyBorder="1" applyAlignment="1">
      <alignment horizontal="right"/>
    </xf>
    <xf numFmtId="0" fontId="3" fillId="0" borderId="79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8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8" xfId="0" applyFill="1" applyBorder="1" applyAlignment="1" applyProtection="1">
      <alignment horizontal="center"/>
    </xf>
    <xf numFmtId="0" fontId="12" fillId="3" borderId="78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2" xfId="0" applyFont="1" applyFill="1" applyBorder="1" applyAlignment="1">
      <alignment vertical="top" wrapText="1"/>
    </xf>
    <xf numFmtId="0" fontId="71" fillId="3" borderId="82" xfId="0" applyFont="1" applyFill="1" applyBorder="1" applyAlignment="1">
      <alignment horizontal="center" vertical="top" wrapText="1"/>
    </xf>
    <xf numFmtId="0" fontId="71" fillId="3" borderId="83" xfId="0" applyFont="1" applyFill="1" applyBorder="1" applyAlignment="1">
      <alignment horizontal="center" vertical="top" wrapText="1"/>
    </xf>
    <xf numFmtId="0" fontId="72" fillId="0" borderId="82" xfId="0" applyFont="1" applyBorder="1" applyAlignment="1">
      <alignment vertical="top" wrapText="1"/>
    </xf>
    <xf numFmtId="0" fontId="12" fillId="0" borderId="82" xfId="0" applyFont="1" applyBorder="1"/>
    <xf numFmtId="0" fontId="0" fillId="0" borderId="82" xfId="0" applyBorder="1"/>
    <xf numFmtId="0" fontId="0" fillId="0" borderId="82" xfId="0" applyBorder="1" applyAlignment="1">
      <alignment wrapText="1"/>
    </xf>
    <xf numFmtId="0" fontId="0" fillId="0" borderId="84" xfId="0" applyBorder="1" applyAlignment="1">
      <alignment horizontal="center" wrapText="1"/>
    </xf>
    <xf numFmtId="1" fontId="72" fillId="0" borderId="82" xfId="0" applyNumberFormat="1" applyFont="1" applyBorder="1" applyAlignment="1">
      <alignment horizontal="center" vertical="top" wrapText="1"/>
    </xf>
    <xf numFmtId="0" fontId="72" fillId="0" borderId="82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2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2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4" xfId="11" applyFill="1" applyBorder="1"/>
    <xf numFmtId="0" fontId="3" fillId="18" borderId="64" xfId="11" applyFill="1" applyBorder="1"/>
    <xf numFmtId="49" fontId="3" fillId="18" borderId="64" xfId="11" applyNumberFormat="1" applyFill="1" applyBorder="1"/>
    <xf numFmtId="14" fontId="3" fillId="18" borderId="64" xfId="11" applyNumberFormat="1" applyFill="1" applyBorder="1"/>
    <xf numFmtId="14" fontId="3" fillId="18" borderId="75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4" xfId="11" applyFont="1" applyFill="1" applyBorder="1" applyAlignment="1">
      <alignment vertical="top"/>
    </xf>
    <xf numFmtId="182" fontId="61" fillId="18" borderId="64" xfId="11" applyNumberFormat="1" applyFont="1" applyFill="1" applyBorder="1" applyAlignment="1">
      <alignment horizontal="left" vertical="top"/>
    </xf>
    <xf numFmtId="0" fontId="62" fillId="18" borderId="75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4" xfId="11" applyFont="1" applyFill="1" applyBorder="1" applyAlignment="1">
      <alignment horizontal="left"/>
    </xf>
    <xf numFmtId="174" fontId="3" fillId="26" borderId="64" xfId="11" applyNumberFormat="1" applyFill="1" applyBorder="1" applyAlignment="1">
      <alignment horizontal="center"/>
    </xf>
    <xf numFmtId="182" fontId="12" fillId="26" borderId="75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5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0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2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7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2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7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4" xfId="11" applyFill="1" applyBorder="1"/>
    <xf numFmtId="0" fontId="3" fillId="30" borderId="64" xfId="11" applyFill="1" applyBorder="1"/>
    <xf numFmtId="49" fontId="3" fillId="30" borderId="64" xfId="11" applyNumberFormat="1" applyFill="1" applyBorder="1"/>
    <xf numFmtId="14" fontId="3" fillId="30" borderId="75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4" xfId="11" applyFont="1" applyFill="1" applyBorder="1" applyAlignment="1">
      <alignment vertical="top"/>
    </xf>
    <xf numFmtId="182" fontId="61" fillId="30" borderId="64" xfId="11" applyNumberFormat="1" applyFont="1" applyFill="1" applyBorder="1" applyAlignment="1">
      <alignment horizontal="left" vertical="top"/>
    </xf>
    <xf numFmtId="0" fontId="62" fillId="30" borderId="75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4" xfId="11" applyFont="1" applyFill="1" applyBorder="1" applyAlignment="1">
      <alignment horizontal="left"/>
    </xf>
    <xf numFmtId="174" fontId="3" fillId="30" borderId="64" xfId="11" applyNumberFormat="1" applyFill="1" applyBorder="1" applyAlignment="1">
      <alignment horizontal="center"/>
    </xf>
    <xf numFmtId="182" fontId="12" fillId="30" borderId="75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4" xfId="11" applyNumberFormat="1" applyFont="1" applyFill="1" applyBorder="1" applyAlignment="1">
      <alignment horizontal="center" vertical="center"/>
    </xf>
    <xf numFmtId="175" fontId="61" fillId="30" borderId="75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4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4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5" xfId="0" applyFont="1" applyBorder="1"/>
    <xf numFmtId="0" fontId="3" fillId="0" borderId="86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7" xfId="0" applyFont="1" applyBorder="1"/>
    <xf numFmtId="0" fontId="3" fillId="0" borderId="88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8" xfId="0" applyFill="1" applyBorder="1"/>
    <xf numFmtId="0" fontId="0" fillId="0" borderId="78" xfId="0" applyBorder="1"/>
    <xf numFmtId="1" fontId="6" fillId="18" borderId="9" xfId="0" applyNumberFormat="1" applyFont="1" applyFill="1" applyBorder="1" applyAlignment="1" applyProtection="1">
      <alignment horizontal="center"/>
      <protection locked="0"/>
    </xf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9" xfId="0" applyFont="1" applyBorder="1"/>
    <xf numFmtId="0" fontId="3" fillId="0" borderId="80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2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0" fontId="16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31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16" fillId="3" borderId="58" xfId="0" applyFont="1" applyFill="1" applyBorder="1" applyAlignment="1" applyProtection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89"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97.82641222297967</c:v>
                </c:pt>
                <c:pt idx="5">
                  <c:v>135.00041017345507</c:v>
                </c:pt>
                <c:pt idx="11">
                  <c:v>38.739251501448578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19.663012549730173</c:v>
                </c:pt>
                <c:pt idx="11">
                  <c:v>5.4532618930109233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30.332104512106515</c:v>
                </c:pt>
                <c:pt idx="11">
                  <c:v>7.5870802854861914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26" dataDxfId="25">
  <autoFilter ref="A2:I5" xr:uid="{00000000-0009-0000-0100-000001000000}"/>
  <tableColumns count="9">
    <tableColumn id="1" xr3:uid="{00000000-0010-0000-0000-000001000000}" uniqueName="1" name="Contract" queryTableFieldId="1" dataDxfId="24"/>
    <tableColumn id="2" xr3:uid="{00000000-0010-0000-0000-000002000000}" uniqueName="2" name="Bid (US$ / Tonne)" queryTableFieldId="2" dataDxfId="23"/>
    <tableColumn id="3" xr3:uid="{00000000-0010-0000-0000-000003000000}" uniqueName="3" name="Offer (US$ / Tonne)*" queryTableFieldId="3" dataDxfId="22"/>
    <tableColumn id="11" xr3:uid="{00000000-0010-0000-0000-00000B000000}" uniqueName="11" name="Spalte2" queryTableFieldId="11" dataDxfId="21"/>
    <tableColumn id="6" xr3:uid="{00000000-0010-0000-0000-000006000000}" uniqueName="6" name="Exchange [$/€]" queryTableFieldId="6" dataDxfId="20">
      <calculatedColumnFormula>MID($B$9,1,6)</calculatedColumnFormula>
    </tableColumn>
    <tableColumn id="13" xr3:uid="{00000000-0010-0000-0000-00000D000000}" uniqueName="13" name="Abbrand" queryTableFieldId="4" dataDxfId="19"/>
    <tableColumn id="12" xr3:uid="{00000000-0010-0000-0000-00000C000000}" uniqueName="12" name="Premium_x000a_[€/t]" queryTableFieldId="5" dataDxfId="18"/>
    <tableColumn id="8" xr3:uid="{00000000-0010-0000-0000-000008000000}" uniqueName="8" name="Alu-Alloy_x000a_3-months [$/kg]" queryTableFieldId="8" dataDxfId="17">
      <calculatedColumnFormula>(C3/100+G3*E3)/1000*(1+F3)</calculatedColumnFormula>
    </tableColumn>
    <tableColumn id="9" xr3:uid="{00000000-0010-0000-0000-000009000000}" uniqueName="9" name="Alu-Alloy_x000a_3-months [€/kg]" queryTableFieldId="9" dataDxfId="16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5"/>
    <tableColumn id="2" xr3:uid="{00000000-0010-0000-0100-000002000000}" uniqueName="2" name="Kurs" queryTableFieldId="2" dataDxfId="14"/>
    <tableColumn id="3" xr3:uid="{00000000-0010-0000-0100-000003000000}" uniqueName="3" name="Diff. %" queryTableFieldId="3" dataDxfId="13"/>
    <tableColumn id="4" xr3:uid="{00000000-0010-0000-0100-000004000000}" uniqueName="4" name="Datum" queryTableFieldId="4"/>
    <tableColumn id="5" xr3:uid="{00000000-0010-0000-0100-000005000000}" uniqueName="5" name="Zeit" queryTableFieldId="5" dataDxfId="12"/>
    <tableColumn id="6" xr3:uid="{00000000-0010-0000-0100-000006000000}" uniqueName="6" name="Eröffnung" queryTableFieldId="6" dataDxfId="11"/>
    <tableColumn id="7" xr3:uid="{00000000-0010-0000-0100-000007000000}" uniqueName="7" name="T.-Hoch" queryTableFieldId="7" dataDxfId="10"/>
    <tableColumn id="8" xr3:uid="{00000000-0010-0000-0100-000008000000}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8" dataCellStyle="Standard 4"/>
    <tableColumn id="2" xr3:uid="{00000000-0010-0000-0200-000002000000}" uniqueName="2" name="Bid (US$ / Tonne)" queryTableFieldId="2" dataDxfId="7" dataCellStyle="Standard 4"/>
    <tableColumn id="3" xr3:uid="{00000000-0010-0000-0200-000003000000}" uniqueName="3" name="Offer (US$ / Tonne)*" queryTableFieldId="3" dataDxfId="6" dataCellStyle="Standard 4"/>
    <tableColumn id="4" xr3:uid="{00000000-0010-0000-0200-000004000000}" uniqueName="4" name="Spalte2" queryTableFieldId="4" dataDxfId="5" dataCellStyle="Standard 4"/>
    <tableColumn id="5" xr3:uid="{00000000-0010-0000-0200-000005000000}" uniqueName="5" name="Exchange [$/€]" queryTableFieldId="5" dataDxfId="4" dataCellStyle="Standard 4">
      <calculatedColumnFormula>MID($B$9,1,6)</calculatedColumnFormula>
    </tableColumn>
    <tableColumn id="6" xr3:uid="{00000000-0010-0000-0200-000006000000}" uniqueName="6" name="Abbrand" queryTableFieldId="6" dataDxfId="3" dataCellStyle="Prozent 3"/>
    <tableColumn id="7" xr3:uid="{00000000-0010-0000-0200-000007000000}" uniqueName="7" name="Premium_x000a_[€/t]" queryTableFieldId="7" dataDxfId="2" dataCellStyle="Standard 4"/>
    <tableColumn id="8" xr3:uid="{00000000-0010-0000-0200-000008000000}" uniqueName="8" name="Alu-Alloy_x000a_3-months [$/kg]" queryTableFieldId="8" dataDxfId="1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54" customWidth="1"/>
    <col min="2" max="2" width="0.875" style="954" customWidth="1"/>
    <col min="3" max="3" width="31.75" style="954" customWidth="1"/>
    <col min="4" max="4" width="13" style="954" bestFit="1" customWidth="1"/>
    <col min="5" max="5" width="11" style="954"/>
    <col min="6" max="6" width="0.875" style="954" customWidth="1"/>
    <col min="7" max="7" width="31.75" style="954" customWidth="1"/>
    <col min="8" max="8" width="13" style="954" bestFit="1" customWidth="1"/>
    <col min="9" max="9" width="11" style="954"/>
    <col min="10" max="10" width="0.875" style="954" customWidth="1"/>
    <col min="11" max="11" width="31.75" style="954" customWidth="1"/>
    <col min="12" max="12" width="13" style="954" bestFit="1" customWidth="1"/>
    <col min="13" max="13" width="11" style="954"/>
    <col min="14" max="14" width="0.875" style="954" customWidth="1"/>
    <col min="15" max="15" width="2.6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8"/>
      <c r="C2" s="1055"/>
      <c r="D2" s="1056"/>
      <c r="E2" s="1056"/>
      <c r="F2" s="1056"/>
      <c r="G2" s="1056"/>
      <c r="H2" s="1056"/>
      <c r="I2" s="1056"/>
      <c r="J2" s="1056"/>
      <c r="K2" s="1056"/>
      <c r="L2" s="1056"/>
      <c r="M2" s="1057"/>
      <c r="N2" s="958"/>
      <c r="O2" s="957"/>
    </row>
    <row r="3" spans="1:28" x14ac:dyDescent="0.2">
      <c r="A3" s="955"/>
      <c r="B3" s="958"/>
      <c r="C3" s="1058"/>
      <c r="D3" s="1059"/>
      <c r="E3" s="1059"/>
      <c r="F3" s="1059"/>
      <c r="G3" s="1059"/>
      <c r="H3" s="1059"/>
      <c r="I3" s="1059"/>
      <c r="J3" s="1059"/>
      <c r="K3" s="1059"/>
      <c r="L3" s="1059"/>
      <c r="M3" s="1061">
        <f ca="1">TODAY()</f>
        <v>44533</v>
      </c>
      <c r="N3" s="958"/>
      <c r="O3" s="957"/>
    </row>
    <row r="4" spans="1:28" ht="20.25" x14ac:dyDescent="0.3">
      <c r="A4" s="955"/>
      <c r="B4" s="958"/>
      <c r="C4" s="1083" t="str">
        <f>'Quick Input'!O2</f>
        <v>AL - Sandguss</v>
      </c>
      <c r="D4" s="1059"/>
      <c r="E4" s="1059"/>
      <c r="F4" s="1059"/>
      <c r="G4" s="1063" t="str">
        <f>'Quick Input'!R2</f>
        <v>Siemens Standort</v>
      </c>
      <c r="H4" s="1064" t="str">
        <f>'Quick Input'!U2</f>
        <v>Erlangen</v>
      </c>
      <c r="I4" s="1059"/>
      <c r="J4" s="1059"/>
      <c r="K4" s="1059"/>
      <c r="L4" s="1059"/>
      <c r="M4" s="1084" t="str">
        <f>'Quick Input'!L3</f>
        <v>Dr.P. Pawar</v>
      </c>
      <c r="N4" s="958"/>
      <c r="O4" s="957"/>
    </row>
    <row r="5" spans="1:28" ht="20.25" x14ac:dyDescent="0.3">
      <c r="A5" s="955"/>
      <c r="B5" s="958"/>
      <c r="C5" s="1058" t="str">
        <f>CONCATENATE('Quick Input'!I9,": ",'Quick Input'!L9," / ESN: ",'Quick Input'!L8)</f>
        <v>Bezeichnung: Housing / ESN: 58622</v>
      </c>
      <c r="D5" s="1062"/>
      <c r="E5" s="1059"/>
      <c r="F5" s="1059"/>
      <c r="G5" s="1063" t="str">
        <f>'Quick Input'!R3</f>
        <v>Lieferant</v>
      </c>
      <c r="H5" s="1064" t="str">
        <f>'Quick Input'!U3</f>
        <v>MGG</v>
      </c>
      <c r="I5" s="1059"/>
      <c r="J5" s="1059"/>
      <c r="K5" s="1059"/>
      <c r="L5" s="1059"/>
      <c r="M5" s="1065"/>
      <c r="N5" s="958"/>
      <c r="O5" s="957"/>
    </row>
    <row r="6" spans="1:28" ht="15" x14ac:dyDescent="0.25">
      <c r="A6" s="955"/>
      <c r="B6" s="958"/>
      <c r="C6" s="1058"/>
      <c r="D6" s="1059"/>
      <c r="E6" s="1059"/>
      <c r="F6" s="1059"/>
      <c r="G6" s="1063" t="str">
        <f>'Quick Input'!R4</f>
        <v>Werk</v>
      </c>
      <c r="H6" s="1064" t="str">
        <f>'Quick Input'!U4</f>
        <v>DI MC</v>
      </c>
      <c r="I6" s="1059"/>
      <c r="J6" s="1059"/>
      <c r="K6" s="1059"/>
      <c r="L6" s="1059"/>
      <c r="M6" s="1061"/>
      <c r="N6" s="958"/>
      <c r="O6" s="957"/>
    </row>
    <row r="7" spans="1:28" ht="15" x14ac:dyDescent="0.25">
      <c r="A7" s="955"/>
      <c r="B7" s="958"/>
      <c r="C7" s="1058"/>
      <c r="D7" s="1059"/>
      <c r="E7" s="1059"/>
      <c r="F7" s="1059"/>
      <c r="G7" s="1063" t="str">
        <f>'Quick Input'!R5</f>
        <v>Ansprechpartner</v>
      </c>
      <c r="H7" s="1064" t="str">
        <f>'Quick Input'!U5</f>
        <v>JM_PUC AL</v>
      </c>
      <c r="I7" s="1059"/>
      <c r="J7" s="1059"/>
      <c r="K7" s="1059"/>
      <c r="L7" s="1059"/>
      <c r="M7" s="1061"/>
      <c r="N7" s="958"/>
      <c r="O7" s="957"/>
    </row>
    <row r="8" spans="1:28" ht="5.0999999999999996" customHeight="1" x14ac:dyDescent="0.2">
      <c r="A8" s="955"/>
      <c r="B8" s="958"/>
      <c r="C8" s="1066"/>
      <c r="D8" s="1067"/>
      <c r="E8" s="1067"/>
      <c r="F8" s="1067"/>
      <c r="G8" s="1068"/>
      <c r="H8" s="1067"/>
      <c r="I8" s="1067"/>
      <c r="J8" s="1067"/>
      <c r="K8" s="1067"/>
      <c r="L8" s="1067"/>
      <c r="M8" s="1069"/>
      <c r="N8" s="958"/>
      <c r="O8" s="957"/>
    </row>
    <row r="9" spans="1:28" ht="6.95" customHeight="1" x14ac:dyDescent="0.2">
      <c r="A9" s="955"/>
      <c r="B9" s="958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58"/>
      <c r="O9" s="957"/>
      <c r="AB9" s="966"/>
    </row>
    <row r="10" spans="1:28" ht="15.75" x14ac:dyDescent="0.25">
      <c r="A10" s="955"/>
      <c r="B10" s="958"/>
      <c r="C10" s="1070" t="str">
        <f>Refkalkulation!H7</f>
        <v>Deutschland</v>
      </c>
      <c r="D10" s="1071"/>
      <c r="E10" s="1072"/>
      <c r="F10" s="976"/>
      <c r="G10" s="1070" t="str">
        <f>Refkalkulation!K7</f>
        <v>Polen</v>
      </c>
      <c r="H10" s="1071"/>
      <c r="I10" s="1072"/>
      <c r="J10" s="976"/>
      <c r="K10" s="1070" t="str">
        <f>Refkalkulation!N7</f>
        <v>Deutschland</v>
      </c>
      <c r="L10" s="1071"/>
      <c r="M10" s="1073"/>
      <c r="N10" s="958"/>
      <c r="O10" s="957"/>
    </row>
    <row r="11" spans="1:28" x14ac:dyDescent="0.2">
      <c r="A11" s="955"/>
      <c r="B11" s="958"/>
      <c r="C11" s="1076" t="s">
        <v>923</v>
      </c>
      <c r="D11" s="1060">
        <f>Refkalkulation!H8</f>
        <v>43531</v>
      </c>
      <c r="E11" s="1065"/>
      <c r="F11" s="958"/>
      <c r="G11" s="1076" t="str">
        <f>C11</f>
        <v>Project-Start:</v>
      </c>
      <c r="H11" s="1060">
        <f>Refkalkulation!K8</f>
        <v>43531</v>
      </c>
      <c r="I11" s="1065"/>
      <c r="J11" s="958"/>
      <c r="K11" s="1076" t="str">
        <f>C11</f>
        <v>Project-Start:</v>
      </c>
      <c r="L11" s="1060">
        <f>Refkalkulation!N8</f>
        <v>43531</v>
      </c>
      <c r="M11" s="1065"/>
      <c r="N11" s="958"/>
      <c r="O11" s="957"/>
    </row>
    <row r="12" spans="1:28" x14ac:dyDescent="0.2">
      <c r="A12" s="955"/>
      <c r="B12" s="958"/>
      <c r="C12" s="1076" t="str">
        <f>CONCATENATE('Quick Input'!$I$35,": ")</f>
        <v xml:space="preserve">Laufzeit (Jahre): </v>
      </c>
      <c r="D12" s="1074">
        <f>'Quick Input'!L35</f>
        <v>6</v>
      </c>
      <c r="E12" s="1065"/>
      <c r="F12" s="958"/>
      <c r="G12" s="1076" t="str">
        <f>CONCATENATE('Quick Input'!$I$35,": ")</f>
        <v xml:space="preserve">Laufzeit (Jahre): </v>
      </c>
      <c r="H12" s="1074">
        <f>'Quick Input'!O35</f>
        <v>6</v>
      </c>
      <c r="I12" s="1065"/>
      <c r="J12" s="958"/>
      <c r="K12" s="1076" t="str">
        <f>CONCATENATE('Quick Input'!$I$35,": ")</f>
        <v xml:space="preserve">Laufzeit (Jahre): </v>
      </c>
      <c r="L12" s="1074">
        <f>'Quick Input'!R35</f>
        <v>6</v>
      </c>
      <c r="M12" s="1065"/>
      <c r="N12" s="958"/>
      <c r="O12" s="957"/>
    </row>
    <row r="13" spans="1:28" x14ac:dyDescent="0.2">
      <c r="A13" s="955"/>
      <c r="B13" s="958"/>
      <c r="C13" s="1077" t="str">
        <f>CONCATENATE('Quick Input'!$I$36,": ")</f>
        <v xml:space="preserve">Stückzahl pa (peak): </v>
      </c>
      <c r="D13" s="1074">
        <f>'Quick Input'!L36</f>
        <v>5000</v>
      </c>
      <c r="E13" s="1065"/>
      <c r="F13" s="958"/>
      <c r="G13" s="1077" t="str">
        <f>CONCATENATE('Quick Input'!$I$36,": ")</f>
        <v xml:space="preserve">Stückzahl pa (peak): </v>
      </c>
      <c r="H13" s="1074">
        <f>'Quick Input'!O36</f>
        <v>5000</v>
      </c>
      <c r="I13" s="1065"/>
      <c r="J13" s="958"/>
      <c r="K13" s="1077" t="str">
        <f>CONCATENATE('Quick Input'!$I$36,": ")</f>
        <v xml:space="preserve">Stückzahl pa (peak): </v>
      </c>
      <c r="L13" s="1074">
        <f>'Quick Input'!R36</f>
        <v>5000</v>
      </c>
      <c r="M13" s="1065"/>
      <c r="N13" s="958"/>
      <c r="O13" s="957"/>
    </row>
    <row r="14" spans="1:28" x14ac:dyDescent="0.2">
      <c r="A14" s="955"/>
      <c r="B14" s="958"/>
      <c r="C14" s="1077" t="str">
        <f>Refkalkulation!D61</f>
        <v>Fertigungslosgröße</v>
      </c>
      <c r="D14" s="1074">
        <f>Refkalkulation!H61</f>
        <v>100</v>
      </c>
      <c r="E14" s="1065"/>
      <c r="F14" s="958"/>
      <c r="G14" s="1077" t="str">
        <f>$C$14</f>
        <v>Fertigungslosgröße</v>
      </c>
      <c r="H14" s="1074">
        <f>Refkalkulation!K61</f>
        <v>100</v>
      </c>
      <c r="I14" s="1065"/>
      <c r="J14" s="958"/>
      <c r="K14" s="1077" t="str">
        <f>$C$14</f>
        <v>Fertigungslosgröße</v>
      </c>
      <c r="L14" s="1074">
        <f>Refkalkulation!N61</f>
        <v>100</v>
      </c>
      <c r="M14" s="1065"/>
      <c r="N14" s="958"/>
      <c r="O14" s="957"/>
    </row>
    <row r="15" spans="1:28" ht="15" x14ac:dyDescent="0.25">
      <c r="A15" s="955"/>
      <c r="B15" s="958"/>
      <c r="C15" s="1078" t="str">
        <f>CONCATENATE('Quick Input'!I22,": ",'Quick Input'!L22," / Sandkern: ",'Quick Input'!L23)</f>
        <v>Formverfahren: halbautomatisch / Sandkern: Kernschießen</v>
      </c>
      <c r="D15" s="1079"/>
      <c r="E15" s="1065"/>
      <c r="F15" s="958"/>
      <c r="G15" s="1078" t="str">
        <f>CONCATENATE('Quick Input'!I22,": ",'Quick Input'!O22," / Sandkern: ",'Quick Input'!O23)</f>
        <v>Formverfahren: Handformen / Sandkern: Kernschießen</v>
      </c>
      <c r="H15" s="1080"/>
      <c r="I15" s="1081"/>
      <c r="J15" s="958"/>
      <c r="K15" s="1078" t="str">
        <f>CONCATENATE('Quick Input'!I22,": ",'Quick Input'!R22," / Sandkern: ",'Quick Input'!R23)</f>
        <v>Formverfahren: Handformen / Sandkern: ohne</v>
      </c>
      <c r="L15" s="1059"/>
      <c r="M15" s="1065"/>
      <c r="N15" s="958"/>
      <c r="O15" s="957"/>
    </row>
    <row r="16" spans="1:28" x14ac:dyDescent="0.2">
      <c r="A16" s="955"/>
      <c r="B16" s="958"/>
      <c r="C16" s="1058"/>
      <c r="D16" s="1059"/>
      <c r="E16" s="1065"/>
      <c r="F16" s="958"/>
      <c r="G16" s="1058"/>
      <c r="H16" s="1059"/>
      <c r="I16" s="1065"/>
      <c r="J16" s="958"/>
      <c r="K16" s="1058"/>
      <c r="L16" s="1059"/>
      <c r="M16" s="1065"/>
      <c r="N16" s="958"/>
      <c r="O16" s="957"/>
    </row>
    <row r="17" spans="1:15" x14ac:dyDescent="0.2">
      <c r="A17" s="955"/>
      <c r="B17" s="958"/>
      <c r="C17" s="1058"/>
      <c r="D17" s="1059"/>
      <c r="E17" s="1065"/>
      <c r="F17" s="958"/>
      <c r="G17" s="1058"/>
      <c r="H17" s="1059"/>
      <c r="I17" s="1065"/>
      <c r="J17" s="958"/>
      <c r="K17" s="1058"/>
      <c r="L17" s="1059"/>
      <c r="M17" s="1065"/>
      <c r="N17" s="958"/>
      <c r="O17" s="957"/>
    </row>
    <row r="18" spans="1:15" x14ac:dyDescent="0.2">
      <c r="A18" s="955"/>
      <c r="B18" s="958"/>
      <c r="C18" s="1058"/>
      <c r="D18" s="1059"/>
      <c r="E18" s="1065"/>
      <c r="F18" s="958"/>
      <c r="G18" s="1058"/>
      <c r="H18" s="1059"/>
      <c r="I18" s="1065"/>
      <c r="J18" s="958"/>
      <c r="K18" s="1058"/>
      <c r="L18" s="1059"/>
      <c r="M18" s="1065"/>
      <c r="N18" s="958"/>
      <c r="O18" s="957"/>
    </row>
    <row r="19" spans="1:15" x14ac:dyDescent="0.2">
      <c r="A19" s="955"/>
      <c r="B19" s="958"/>
      <c r="C19" s="1058"/>
      <c r="D19" s="1059"/>
      <c r="E19" s="1065"/>
      <c r="F19" s="958"/>
      <c r="G19" s="1058"/>
      <c r="H19" s="1059"/>
      <c r="I19" s="1065"/>
      <c r="J19" s="958"/>
      <c r="K19" s="1058"/>
      <c r="L19" s="1059"/>
      <c r="M19" s="1065"/>
      <c r="N19" s="958"/>
      <c r="O19" s="957"/>
    </row>
    <row r="20" spans="1:15" x14ac:dyDescent="0.2">
      <c r="A20" s="955"/>
      <c r="B20" s="958"/>
      <c r="C20" s="1058"/>
      <c r="D20" s="1059"/>
      <c r="E20" s="1065"/>
      <c r="F20" s="958"/>
      <c r="G20" s="1058"/>
      <c r="H20" s="1059"/>
      <c r="I20" s="1065"/>
      <c r="J20" s="958"/>
      <c r="K20" s="1058"/>
      <c r="L20" s="1059"/>
      <c r="M20" s="1065"/>
      <c r="N20" s="958"/>
      <c r="O20" s="957"/>
    </row>
    <row r="21" spans="1:15" x14ac:dyDescent="0.2">
      <c r="A21" s="955"/>
      <c r="B21" s="958"/>
      <c r="C21" s="1058"/>
      <c r="D21" s="1059"/>
      <c r="E21" s="1065"/>
      <c r="F21" s="958"/>
      <c r="G21" s="1058"/>
      <c r="H21" s="1059"/>
      <c r="I21" s="1065"/>
      <c r="J21" s="958"/>
      <c r="K21" s="1058"/>
      <c r="L21" s="1059"/>
      <c r="M21" s="1065"/>
      <c r="N21" s="958"/>
      <c r="O21" s="957"/>
    </row>
    <row r="22" spans="1:15" x14ac:dyDescent="0.2">
      <c r="A22" s="955"/>
      <c r="B22" s="958"/>
      <c r="C22" s="1058"/>
      <c r="D22" s="1059"/>
      <c r="E22" s="1065"/>
      <c r="F22" s="958"/>
      <c r="G22" s="1058"/>
      <c r="H22" s="1059"/>
      <c r="I22" s="1065"/>
      <c r="J22" s="958"/>
      <c r="K22" s="1058"/>
      <c r="L22" s="1059"/>
      <c r="M22" s="1065"/>
      <c r="N22" s="958"/>
      <c r="O22" s="957"/>
    </row>
    <row r="23" spans="1:15" x14ac:dyDescent="0.2">
      <c r="A23" s="955"/>
      <c r="B23" s="958"/>
      <c r="C23" s="1058"/>
      <c r="D23" s="1059"/>
      <c r="E23" s="1065"/>
      <c r="F23" s="958"/>
      <c r="G23" s="1058"/>
      <c r="H23" s="1059"/>
      <c r="I23" s="1065"/>
      <c r="J23" s="958"/>
      <c r="K23" s="1058"/>
      <c r="L23" s="1059"/>
      <c r="M23" s="1065"/>
      <c r="N23" s="958"/>
      <c r="O23" s="957"/>
    </row>
    <row r="24" spans="1:15" x14ac:dyDescent="0.2">
      <c r="A24" s="955"/>
      <c r="B24" s="958"/>
      <c r="C24" s="1058"/>
      <c r="D24" s="1059"/>
      <c r="E24" s="1065"/>
      <c r="F24" s="958"/>
      <c r="G24" s="1058"/>
      <c r="H24" s="1059"/>
      <c r="I24" s="1065"/>
      <c r="J24" s="958"/>
      <c r="K24" s="1058"/>
      <c r="L24" s="1059"/>
      <c r="M24" s="1065"/>
      <c r="N24" s="958"/>
      <c r="O24" s="957"/>
    </row>
    <row r="25" spans="1:15" x14ac:dyDescent="0.2">
      <c r="A25" s="955"/>
      <c r="B25" s="958"/>
      <c r="C25" s="1058"/>
      <c r="D25" s="1059"/>
      <c r="E25" s="1065"/>
      <c r="F25" s="958"/>
      <c r="G25" s="1058"/>
      <c r="H25" s="1059"/>
      <c r="I25" s="1065"/>
      <c r="J25" s="958"/>
      <c r="K25" s="1058"/>
      <c r="L25" s="1059"/>
      <c r="M25" s="1065"/>
      <c r="N25" s="958"/>
      <c r="O25" s="957"/>
    </row>
    <row r="26" spans="1:15" x14ac:dyDescent="0.2">
      <c r="A26" s="955"/>
      <c r="B26" s="958"/>
      <c r="C26" s="1058"/>
      <c r="D26" s="1059"/>
      <c r="E26" s="1065"/>
      <c r="F26" s="958"/>
      <c r="G26" s="1058"/>
      <c r="H26" s="1059"/>
      <c r="I26" s="1065"/>
      <c r="J26" s="958"/>
      <c r="K26" s="1058"/>
      <c r="L26" s="1059"/>
      <c r="M26" s="1065"/>
      <c r="N26" s="958"/>
      <c r="O26" s="957"/>
    </row>
    <row r="27" spans="1:15" x14ac:dyDescent="0.2">
      <c r="A27" s="955"/>
      <c r="B27" s="958"/>
      <c r="C27" s="1058"/>
      <c r="D27" s="1059"/>
      <c r="E27" s="1065"/>
      <c r="F27" s="958"/>
      <c r="G27" s="1058"/>
      <c r="H27" s="1059"/>
      <c r="I27" s="1065"/>
      <c r="J27" s="958"/>
      <c r="K27" s="1058"/>
      <c r="L27" s="1059"/>
      <c r="M27" s="1065"/>
      <c r="N27" s="958"/>
      <c r="O27" s="957"/>
    </row>
    <row r="28" spans="1:15" x14ac:dyDescent="0.2">
      <c r="A28" s="955"/>
      <c r="B28" s="958"/>
      <c r="C28" s="1058"/>
      <c r="D28" s="1059"/>
      <c r="E28" s="1065"/>
      <c r="F28" s="958"/>
      <c r="G28" s="1058"/>
      <c r="H28" s="1059"/>
      <c r="I28" s="1065"/>
      <c r="J28" s="958"/>
      <c r="K28" s="1058"/>
      <c r="L28" s="1059"/>
      <c r="M28" s="1065"/>
      <c r="N28" s="958"/>
      <c r="O28" s="957"/>
    </row>
    <row r="29" spans="1:15" x14ac:dyDescent="0.2">
      <c r="A29" s="955"/>
      <c r="B29" s="958"/>
      <c r="C29" s="1058"/>
      <c r="D29" s="1059"/>
      <c r="E29" s="1065"/>
      <c r="F29" s="958"/>
      <c r="G29" s="1058"/>
      <c r="H29" s="1059"/>
      <c r="I29" s="1065"/>
      <c r="J29" s="958"/>
      <c r="K29" s="1058"/>
      <c r="L29" s="1059"/>
      <c r="M29" s="1065"/>
      <c r="N29" s="958"/>
      <c r="O29" s="957"/>
    </row>
    <row r="30" spans="1:15" x14ac:dyDescent="0.2">
      <c r="A30" s="955"/>
      <c r="B30" s="958"/>
      <c r="C30" s="1085" t="s">
        <v>916</v>
      </c>
      <c r="D30" s="1086" t="str">
        <f>'Quick Input'!M10</f>
        <v>EN AC-46100</v>
      </c>
      <c r="E30" s="1073"/>
      <c r="F30" s="958"/>
      <c r="G30" s="1085" t="str">
        <f>C30</f>
        <v>Material - Information:</v>
      </c>
      <c r="H30" s="1086" t="str">
        <f>'Quick Input'!P10</f>
        <v>EN AC-43100</v>
      </c>
      <c r="I30" s="1073"/>
      <c r="J30" s="958"/>
      <c r="K30" s="1085" t="str">
        <f>C30</f>
        <v>Material - Information:</v>
      </c>
      <c r="L30" s="1086" t="str">
        <f>'Quick Input'!S10</f>
        <v>EN AC-43100</v>
      </c>
      <c r="M30" s="1073"/>
      <c r="N30" s="958"/>
      <c r="O30" s="957"/>
    </row>
    <row r="31" spans="1:15" x14ac:dyDescent="0.2">
      <c r="A31" s="955"/>
      <c r="B31" s="958"/>
      <c r="C31" s="1087" t="str">
        <f>CONCATENATE("               ",Refkalkulation!D9)</f>
        <v xml:space="preserve">               Materialien</v>
      </c>
      <c r="D31" s="1088" t="str">
        <f>'Quick Input'!M11</f>
        <v>Al Si10Cu2(Fe)</v>
      </c>
      <c r="E31" s="1089"/>
      <c r="F31" s="958"/>
      <c r="G31" s="1087" t="str">
        <f t="shared" ref="G31:G46" si="0">C31</f>
        <v xml:space="preserve">               Materialien</v>
      </c>
      <c r="H31" s="1088" t="str">
        <f>'Quick Input'!P11</f>
        <v>Al Si10Mg(b)</v>
      </c>
      <c r="I31" s="1089"/>
      <c r="J31" s="958"/>
      <c r="K31" s="1087" t="str">
        <f t="shared" ref="K31:K46" si="1">C31</f>
        <v xml:space="preserve">               Materialien</v>
      </c>
      <c r="L31" s="1088" t="str">
        <f>'Quick Input'!S11</f>
        <v>Al Si10Mg(b)</v>
      </c>
      <c r="M31" s="1089"/>
      <c r="N31" s="958"/>
      <c r="O31" s="957"/>
    </row>
    <row r="32" spans="1:15" x14ac:dyDescent="0.2">
      <c r="A32" s="955"/>
      <c r="B32" s="958"/>
      <c r="C32" s="1090" t="str">
        <f>CONCATENATE("               ",'Quick Input'!I13)</f>
        <v xml:space="preserve">               Al-Materialpreis (€/kg)</v>
      </c>
      <c r="D32" s="1091">
        <f>Refkalkulation!H12</f>
        <v>2.0002526724975707</v>
      </c>
      <c r="E32" s="1092"/>
      <c r="F32" s="985"/>
      <c r="G32" s="1090" t="str">
        <f t="shared" si="0"/>
        <v xml:space="preserve">               Al-Materialpreis (€/kg)</v>
      </c>
      <c r="H32" s="1091">
        <f>Refkalkulation!K12</f>
        <v>1.9670528580208975</v>
      </c>
      <c r="I32" s="1092"/>
      <c r="J32" s="985"/>
      <c r="K32" s="1090" t="str">
        <f t="shared" si="1"/>
        <v xml:space="preserve">               Al-Materialpreis (€/kg)</v>
      </c>
      <c r="L32" s="1091">
        <f>Refkalkulation!N12</f>
        <v>1.9670528580208975</v>
      </c>
      <c r="M32" s="1092"/>
      <c r="N32" s="958"/>
      <c r="O32" s="957"/>
    </row>
    <row r="33" spans="1:16" ht="15" x14ac:dyDescent="0.25">
      <c r="A33" s="955"/>
      <c r="B33" s="958"/>
      <c r="C33" s="1093" t="str">
        <f>Refkalkulation!D9</f>
        <v>Materialien</v>
      </c>
      <c r="D33" s="1094">
        <f>SUM(E34:E37)</f>
        <v>97.82641222297967</v>
      </c>
      <c r="E33" s="1095"/>
      <c r="F33" s="958"/>
      <c r="G33" s="1093" t="str">
        <f t="shared" si="0"/>
        <v>Materialien</v>
      </c>
      <c r="H33" s="1094">
        <f>SUM(I34:I37)</f>
        <v>12.672161525540741</v>
      </c>
      <c r="I33" s="1095"/>
      <c r="J33" s="958"/>
      <c r="K33" s="1093" t="str">
        <f t="shared" si="1"/>
        <v>Materialien</v>
      </c>
      <c r="L33" s="1094">
        <f>SUM(M34:M37)</f>
        <v>12.672161525540741</v>
      </c>
      <c r="M33" s="1095"/>
      <c r="N33" s="958"/>
      <c r="O33" s="957"/>
    </row>
    <row r="34" spans="1:16" x14ac:dyDescent="0.2">
      <c r="A34" s="955"/>
      <c r="B34" s="958"/>
      <c r="C34" s="1096" t="str">
        <f>CONCATENATE("               ",Refkalkulation!D15)</f>
        <v xml:space="preserve">               Materialkosten Rohteil</v>
      </c>
      <c r="D34" s="1097"/>
      <c r="E34" s="1098">
        <f>Refkalkulation!H15</f>
        <v>80.010106899902823</v>
      </c>
      <c r="F34" s="992"/>
      <c r="G34" s="1096" t="str">
        <f t="shared" si="0"/>
        <v xml:space="preserve">               Materialkosten Rohteil</v>
      </c>
      <c r="H34" s="1097"/>
      <c r="I34" s="1098">
        <f>Refkalkulation!K15</f>
        <v>9.8352642901044867</v>
      </c>
      <c r="J34" s="992"/>
      <c r="K34" s="1096" t="str">
        <f t="shared" si="1"/>
        <v xml:space="preserve">               Materialkosten Rohteil</v>
      </c>
      <c r="L34" s="1097"/>
      <c r="M34" s="1098">
        <f>Refkalkulation!N15</f>
        <v>9.8352642901044867</v>
      </c>
      <c r="N34" s="992"/>
      <c r="O34" s="957"/>
    </row>
    <row r="35" spans="1:16" x14ac:dyDescent="0.2">
      <c r="A35" s="955"/>
      <c r="B35" s="958"/>
      <c r="C35" s="1096" t="str">
        <f>CONCATENATE("               ",Refkalkulation!D17)</f>
        <v xml:space="preserve">               Kosten Schmelzverlust</v>
      </c>
      <c r="D35" s="1097"/>
      <c r="E35" s="1098">
        <f>Refkalkulation!H17</f>
        <v>6.4096901742807058</v>
      </c>
      <c r="F35" s="992"/>
      <c r="G35" s="1096" t="str">
        <f t="shared" si="0"/>
        <v xml:space="preserve">               Kosten Schmelzverlust</v>
      </c>
      <c r="H35" s="1097"/>
      <c r="I35" s="1098">
        <f>Refkalkulation!K17</f>
        <v>0.79784922319733242</v>
      </c>
      <c r="J35" s="992"/>
      <c r="K35" s="1096" t="str">
        <f t="shared" si="1"/>
        <v xml:space="preserve">               Kosten Schmelzverlust</v>
      </c>
      <c r="L35" s="1097"/>
      <c r="M35" s="1098">
        <f>Refkalkulation!N17</f>
        <v>0.79784922319733242</v>
      </c>
      <c r="N35" s="992"/>
      <c r="O35" s="957"/>
    </row>
    <row r="36" spans="1:16" x14ac:dyDescent="0.2">
      <c r="A36" s="955"/>
      <c r="B36" s="958"/>
      <c r="C36" s="1096" t="str">
        <f>CONCATENATE("               ",Refkalkulation!D23)</f>
        <v xml:space="preserve">               Kosten Hilfsstoffe (€/Stk.)</v>
      </c>
      <c r="D36" s="1097"/>
      <c r="E36" s="1098">
        <f>Refkalkulation!H23</f>
        <v>5.0067564052367217</v>
      </c>
      <c r="F36" s="992"/>
      <c r="G36" s="1096" t="str">
        <f t="shared" si="0"/>
        <v xml:space="preserve">               Kosten Hilfsstoffe (€/Stk.)</v>
      </c>
      <c r="H36" s="1097"/>
      <c r="I36" s="1098">
        <f>Refkalkulation!K23</f>
        <v>1.2100280993530796</v>
      </c>
      <c r="J36" s="992"/>
      <c r="K36" s="1096" t="str">
        <f t="shared" si="1"/>
        <v xml:space="preserve">               Kosten Hilfsstoffe (€/Stk.)</v>
      </c>
      <c r="L36" s="1097"/>
      <c r="M36" s="1098">
        <f>Refkalkulation!N23</f>
        <v>1.2100280993530796</v>
      </c>
      <c r="N36" s="992"/>
      <c r="O36" s="957"/>
    </row>
    <row r="37" spans="1:16" x14ac:dyDescent="0.2">
      <c r="A37" s="955"/>
      <c r="B37" s="958"/>
      <c r="C37" s="1099" t="str">
        <f>CONCATENATE("               ",Refkalkulation!D25)</f>
        <v xml:space="preserve">               Materialgemeinkosten</v>
      </c>
      <c r="D37" s="1100"/>
      <c r="E37" s="1101">
        <f>Refkalkulation!H25</f>
        <v>6.3998587435594176</v>
      </c>
      <c r="F37" s="992"/>
      <c r="G37" s="1099" t="str">
        <f t="shared" si="0"/>
        <v xml:space="preserve">               Materialgemeinkosten</v>
      </c>
      <c r="H37" s="1100"/>
      <c r="I37" s="1101">
        <f>Refkalkulation!K25</f>
        <v>0.82901991288584298</v>
      </c>
      <c r="J37" s="992"/>
      <c r="K37" s="1099" t="str">
        <f t="shared" si="1"/>
        <v xml:space="preserve">               Materialgemeinkosten</v>
      </c>
      <c r="L37" s="1100"/>
      <c r="M37" s="1101">
        <f>Refkalkulation!N25</f>
        <v>0.82901991288584298</v>
      </c>
      <c r="N37" s="992"/>
      <c r="O37" s="957"/>
    </row>
    <row r="38" spans="1:16" ht="15" x14ac:dyDescent="0.25">
      <c r="A38" s="955"/>
      <c r="B38" s="958"/>
      <c r="C38" s="1093" t="str">
        <f>Refkalkulation!D119</f>
        <v>Fertigungskosten gesamt</v>
      </c>
      <c r="D38" s="1094">
        <f>SUM(E39:E43)</f>
        <v>135.00041017345507</v>
      </c>
      <c r="E38" s="1102"/>
      <c r="F38" s="999"/>
      <c r="G38" s="1093" t="str">
        <f t="shared" si="0"/>
        <v>Fertigungskosten gesamt</v>
      </c>
      <c r="H38" s="1094">
        <f>SUM(I39:I43)</f>
        <v>19.663012549730173</v>
      </c>
      <c r="I38" s="1102"/>
      <c r="J38" s="999"/>
      <c r="K38" s="1093" t="str">
        <f t="shared" si="1"/>
        <v>Fertigungskosten gesamt</v>
      </c>
      <c r="L38" s="1094">
        <f>SUM(M39:M43)</f>
        <v>30.332104512106515</v>
      </c>
      <c r="M38" s="1102"/>
      <c r="N38" s="999"/>
      <c r="O38" s="957"/>
    </row>
    <row r="39" spans="1:16" x14ac:dyDescent="0.2">
      <c r="A39" s="955"/>
      <c r="B39" s="958"/>
      <c r="C39" s="1103" t="str">
        <f>CONCATENATE("               ",Refkalkulation!D28)</f>
        <v xml:space="preserve">               Prozess Schmelzen</v>
      </c>
      <c r="D39" s="1104"/>
      <c r="E39" s="1105">
        <f>Refkalkulation!H47</f>
        <v>3.7683714865311138</v>
      </c>
      <c r="F39" s="1003"/>
      <c r="G39" s="1103" t="str">
        <f t="shared" si="0"/>
        <v xml:space="preserve">               Prozess Schmelzen</v>
      </c>
      <c r="H39" s="1104"/>
      <c r="I39" s="1105">
        <f>Refkalkulation!K47</f>
        <v>0.78935270448929185</v>
      </c>
      <c r="J39" s="1003"/>
      <c r="K39" s="1103" t="str">
        <f t="shared" si="1"/>
        <v xml:space="preserve">               Prozess Schmelzen</v>
      </c>
      <c r="L39" s="1104"/>
      <c r="M39" s="1105">
        <f>Refkalkulation!N47</f>
        <v>0.53738409644769536</v>
      </c>
      <c r="N39" s="1003"/>
      <c r="O39" s="957"/>
    </row>
    <row r="40" spans="1:16" x14ac:dyDescent="0.2">
      <c r="A40" s="955"/>
      <c r="B40" s="958"/>
      <c r="C40" s="1103" t="str">
        <f>CONCATENATE("               ",Refkalkulation!D48)</f>
        <v xml:space="preserve">               Prozess Formen</v>
      </c>
      <c r="D40" s="1106"/>
      <c r="E40" s="1105">
        <f>Refkalkulation!H72</f>
        <v>45.925479191961877</v>
      </c>
      <c r="F40" s="1003"/>
      <c r="G40" s="1103" t="str">
        <f t="shared" si="0"/>
        <v xml:space="preserve">               Prozess Formen</v>
      </c>
      <c r="H40" s="1106"/>
      <c r="I40" s="1105">
        <f>Refkalkulation!K72</f>
        <v>10.300893193901665</v>
      </c>
      <c r="J40" s="1003"/>
      <c r="K40" s="1103" t="str">
        <f t="shared" si="1"/>
        <v xml:space="preserve">               Prozess Formen</v>
      </c>
      <c r="L40" s="1106"/>
      <c r="M40" s="1105">
        <f>Refkalkulation!N72</f>
        <v>15.475299479382162</v>
      </c>
      <c r="N40" s="1003"/>
      <c r="O40" s="957"/>
    </row>
    <row r="41" spans="1:16" x14ac:dyDescent="0.2">
      <c r="A41" s="955"/>
      <c r="B41" s="958"/>
      <c r="C41" s="1103" t="str">
        <f>CONCATENATE("               ",Refkalkulation!D73)</f>
        <v xml:space="preserve">               Nachbehandlung</v>
      </c>
      <c r="D41" s="1106"/>
      <c r="E41" s="1105">
        <f>Refkalkulation!H93</f>
        <v>66.683562908275917</v>
      </c>
      <c r="F41" s="1003"/>
      <c r="G41" s="1103" t="str">
        <f t="shared" si="0"/>
        <v xml:space="preserve">               Nachbehandlung</v>
      </c>
      <c r="H41" s="1106"/>
      <c r="I41" s="1105">
        <f>Refkalkulation!K93</f>
        <v>3.534532815168459</v>
      </c>
      <c r="J41" s="1003"/>
      <c r="K41" s="1103" t="str">
        <f t="shared" si="1"/>
        <v xml:space="preserve">               Nachbehandlung</v>
      </c>
      <c r="L41" s="1106"/>
      <c r="M41" s="1105">
        <f>Refkalkulation!N93</f>
        <v>7.0846825378696678</v>
      </c>
      <c r="N41" s="1003"/>
      <c r="O41" s="957"/>
    </row>
    <row r="42" spans="1:16" x14ac:dyDescent="0.2">
      <c r="A42" s="955"/>
      <c r="B42" s="958"/>
      <c r="C42" s="1103" t="str">
        <f>CONCATENATE("               ",Refkalkulation!D94)</f>
        <v xml:space="preserve">               Prüfen</v>
      </c>
      <c r="D42" s="1106"/>
      <c r="E42" s="1105">
        <f>Refkalkulation!H113+Refkalkulation!H116/Refkalkulation!H61</f>
        <v>6.3502320254629634</v>
      </c>
      <c r="F42" s="1003"/>
      <c r="G42" s="1103" t="str">
        <f t="shared" si="0"/>
        <v xml:space="preserve">               Prüfen</v>
      </c>
      <c r="H42" s="1106"/>
      <c r="I42" s="1105">
        <f>Refkalkulation!K113+Refkalkulation!K116/Refkalkulation!K61</f>
        <v>3.2506872407407412</v>
      </c>
      <c r="J42" s="1003"/>
      <c r="K42" s="1103" t="str">
        <f t="shared" si="1"/>
        <v xml:space="preserve">               Prüfen</v>
      </c>
      <c r="L42" s="1106"/>
      <c r="M42" s="1105">
        <f>Refkalkulation!N113+Refkalkulation!N116/Refkalkulation!N61</f>
        <v>4.4772743518518521</v>
      </c>
      <c r="N42" s="1003"/>
      <c r="O42" s="957"/>
    </row>
    <row r="43" spans="1:16" x14ac:dyDescent="0.2">
      <c r="A43" s="955"/>
      <c r="B43" s="958"/>
      <c r="C43" s="1103" t="str">
        <f>CONCATENATE("               ",Refkalkulation!D118)</f>
        <v xml:space="preserve">               Fertigungsgemeinkosten</v>
      </c>
      <c r="D43" s="1106"/>
      <c r="E43" s="1105">
        <f>Refkalkulation!H118</f>
        <v>12.272764561223187</v>
      </c>
      <c r="F43" s="1003"/>
      <c r="G43" s="1103" t="str">
        <f t="shared" si="0"/>
        <v xml:space="preserve">               Fertigungsgemeinkosten</v>
      </c>
      <c r="H43" s="1106"/>
      <c r="I43" s="1105">
        <f>Refkalkulation!K118</f>
        <v>1.7875465954300158</v>
      </c>
      <c r="J43" s="1003"/>
      <c r="K43" s="1103" t="str">
        <f t="shared" si="1"/>
        <v xml:space="preserve">               Fertigungsgemeinkosten</v>
      </c>
      <c r="L43" s="1106"/>
      <c r="M43" s="1105">
        <f>Refkalkulation!N118</f>
        <v>2.7574640465551377</v>
      </c>
      <c r="N43" s="1003"/>
      <c r="O43" s="957"/>
    </row>
    <row r="44" spans="1:16" x14ac:dyDescent="0.2">
      <c r="A44" s="955"/>
      <c r="B44" s="958"/>
      <c r="C44" s="1107" t="str">
        <f>Refkalkulation!D126</f>
        <v>Gesamtgemeinkosten</v>
      </c>
      <c r="D44" s="1108">
        <f>Refkalkulation!H126</f>
        <v>38.739251501448578</v>
      </c>
      <c r="E44" s="1109">
        <f>D44/D46</f>
        <v>0.14265129272375773</v>
      </c>
      <c r="F44" s="1003"/>
      <c r="G44" s="1107" t="str">
        <f t="shared" si="0"/>
        <v>Gesamtgemeinkosten</v>
      </c>
      <c r="H44" s="1108">
        <f>Refkalkulation!K126</f>
        <v>5.4532618930109233</v>
      </c>
      <c r="I44" s="1109">
        <f>H44/H46</f>
        <v>0.14431033604005686</v>
      </c>
      <c r="J44" s="958"/>
      <c r="K44" s="1107" t="str">
        <f t="shared" si="1"/>
        <v>Gesamtgemeinkosten</v>
      </c>
      <c r="L44" s="1108">
        <f>Refkalkulation!N126</f>
        <v>7.5870802854861914</v>
      </c>
      <c r="M44" s="1109">
        <f>L44/L46</f>
        <v>0.14996794584248721</v>
      </c>
      <c r="N44" s="958"/>
      <c r="O44" s="957"/>
    </row>
    <row r="45" spans="1:16" ht="18" customHeight="1" x14ac:dyDescent="0.25">
      <c r="A45" s="955"/>
      <c r="B45" s="958"/>
      <c r="C45" s="1110" t="str">
        <f>Refkalkulation!D129</f>
        <v>Gesamtgewinn</v>
      </c>
      <c r="D45" s="1108">
        <f>Refkalkulation!H129</f>
        <v>0</v>
      </c>
      <c r="E45" s="1111">
        <f>D45/D46</f>
        <v>0</v>
      </c>
      <c r="F45" s="1003"/>
      <c r="G45" s="1110" t="str">
        <f t="shared" si="0"/>
        <v>Gesamtgewinn</v>
      </c>
      <c r="H45" s="1108">
        <f>Refkalkulation!K129</f>
        <v>0</v>
      </c>
      <c r="I45" s="1111">
        <f>H45/H46</f>
        <v>0</v>
      </c>
      <c r="J45" s="958"/>
      <c r="K45" s="1110" t="str">
        <f t="shared" si="1"/>
        <v>Gesamtgewinn</v>
      </c>
      <c r="L45" s="1108">
        <f>Refkalkulation!N129</f>
        <v>0</v>
      </c>
      <c r="M45" s="1111">
        <f>L45/L46</f>
        <v>0</v>
      </c>
      <c r="N45" s="958"/>
      <c r="O45" s="957"/>
    </row>
    <row r="46" spans="1:16" ht="15" x14ac:dyDescent="0.2">
      <c r="A46" s="955"/>
      <c r="B46" s="958"/>
      <c r="C46" s="1116" t="str">
        <f>Refkalkulation!D131</f>
        <v>Bauteilpreis gesamt</v>
      </c>
      <c r="D46" s="1112">
        <f>SUM(D33:D45)</f>
        <v>271.56607389788331</v>
      </c>
      <c r="E46" s="1113" t="s">
        <v>917</v>
      </c>
      <c r="F46" s="1075"/>
      <c r="G46" s="1116" t="str">
        <f t="shared" si="0"/>
        <v>Bauteilpreis gesamt</v>
      </c>
      <c r="H46" s="1112">
        <f>SUM(H33:H45)</f>
        <v>37.788435968281838</v>
      </c>
      <c r="I46" s="1113" t="s">
        <v>917</v>
      </c>
      <c r="J46" s="1075"/>
      <c r="K46" s="1116" t="str">
        <f t="shared" si="1"/>
        <v>Bauteilpreis gesamt</v>
      </c>
      <c r="L46" s="1112">
        <f>SUM(L33:L45)</f>
        <v>50.59134632313345</v>
      </c>
      <c r="M46" s="1113" t="s">
        <v>917</v>
      </c>
      <c r="N46" s="1014"/>
      <c r="O46" s="957"/>
    </row>
    <row r="47" spans="1:16" x14ac:dyDescent="0.2">
      <c r="A47" s="955"/>
      <c r="B47" s="958"/>
      <c r="C47" s="1117" t="str">
        <f>Refkalkulation!D135</f>
        <v>Zielpreis Bauteil</v>
      </c>
      <c r="D47" s="1114">
        <f>Refkalkulation!H135</f>
        <v>55</v>
      </c>
      <c r="E47" s="1115">
        <f>(D47-D46)*D13</f>
        <v>-1082830.3694894165</v>
      </c>
      <c r="F47" s="1075"/>
      <c r="G47" s="1117" t="str">
        <f>C47</f>
        <v>Zielpreis Bauteil</v>
      </c>
      <c r="H47" s="1114">
        <f>Refkalkulation!K135</f>
        <v>55</v>
      </c>
      <c r="I47" s="1115">
        <f>(H47-H46)*H13</f>
        <v>86057.82015859081</v>
      </c>
      <c r="J47" s="1075"/>
      <c r="K47" s="1117" t="str">
        <f>C47</f>
        <v>Zielpreis Bauteil</v>
      </c>
      <c r="L47" s="1114">
        <f>Refkalkulation!N135</f>
        <v>55</v>
      </c>
      <c r="M47" s="1115">
        <f>(L47-L46)*L13</f>
        <v>22043.268384332747</v>
      </c>
      <c r="N47" s="1014"/>
      <c r="O47" s="957"/>
    </row>
    <row r="48" spans="1:16" ht="15" x14ac:dyDescent="0.2">
      <c r="A48" s="955"/>
      <c r="B48" s="958"/>
      <c r="C48" s="1116" t="str">
        <f>IF(Deutsch,"Modellkosten geschätzt","Pattern Cost estimated")</f>
        <v>Modellkosten geschätzt</v>
      </c>
      <c r="D48" s="1112">
        <f>Refkalkulation!H139+Refkalkulation!H140</f>
        <v>12900</v>
      </c>
      <c r="E48" s="1113" t="s">
        <v>918</v>
      </c>
      <c r="F48" s="1075"/>
      <c r="G48" s="1116" t="str">
        <f>C48</f>
        <v>Modellkosten geschätzt</v>
      </c>
      <c r="H48" s="1112">
        <f>Refkalkulation!K139+Refkalkulation!K140</f>
        <v>9900</v>
      </c>
      <c r="I48" s="1113" t="s">
        <v>918</v>
      </c>
      <c r="J48" s="1075"/>
      <c r="K48" s="1116" t="str">
        <f>C48</f>
        <v>Modellkosten geschätzt</v>
      </c>
      <c r="L48" s="1112">
        <f>Refkalkulation!N139+Refkalkulation!N140</f>
        <v>10100</v>
      </c>
      <c r="M48" s="1113" t="s">
        <v>918</v>
      </c>
      <c r="N48" s="1014"/>
      <c r="O48" s="957"/>
      <c r="P48" s="1145"/>
    </row>
    <row r="49" spans="1:15" x14ac:dyDescent="0.2">
      <c r="A49" s="955"/>
      <c r="B49" s="958"/>
      <c r="C49" s="1117" t="str">
        <f>Refkalkulation!D141</f>
        <v>Modellkosten Angebot</v>
      </c>
      <c r="D49" s="1114">
        <f>Refkalkulation!H141</f>
        <v>10500</v>
      </c>
      <c r="E49" s="1115">
        <f>D49-D48</f>
        <v>-2400</v>
      </c>
      <c r="F49" s="1075"/>
      <c r="G49" s="1117" t="str">
        <f>C49</f>
        <v>Modellkosten Angebot</v>
      </c>
      <c r="H49" s="1114">
        <f>Refkalkulation!K141</f>
        <v>6000</v>
      </c>
      <c r="I49" s="1115">
        <f>H49-H48</f>
        <v>-3900</v>
      </c>
      <c r="J49" s="1075"/>
      <c r="K49" s="1117" t="str">
        <f>C49</f>
        <v>Modellkosten Angebot</v>
      </c>
      <c r="L49" s="1114">
        <f>Refkalkulation!N141</f>
        <v>7500</v>
      </c>
      <c r="M49" s="1115">
        <f>L49-L48</f>
        <v>-2600</v>
      </c>
      <c r="N49" s="1014"/>
      <c r="O49" s="957"/>
    </row>
    <row r="50" spans="1:15" x14ac:dyDescent="0.2">
      <c r="A50" s="967"/>
      <c r="B50" s="968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1015"/>
    </row>
    <row r="56" spans="1:15" ht="0.2" customHeight="1" x14ac:dyDescent="0.2">
      <c r="A56" s="954" t="str">
        <f>C10</f>
        <v>Deutschland</v>
      </c>
      <c r="C56" s="954" t="s">
        <v>919</v>
      </c>
      <c r="D56" s="954" t="s">
        <v>920</v>
      </c>
      <c r="E56" s="954" t="s">
        <v>921</v>
      </c>
      <c r="F56" s="954" t="s">
        <v>922</v>
      </c>
      <c r="G56" s="954" t="s">
        <v>925</v>
      </c>
      <c r="H56" s="954" t="s">
        <v>924</v>
      </c>
      <c r="I56" s="954" t="s">
        <v>926</v>
      </c>
    </row>
    <row r="57" spans="1:15" ht="0.2" customHeight="1" x14ac:dyDescent="0.2">
      <c r="C57" s="1082">
        <f>D33</f>
        <v>97.82641222297967</v>
      </c>
      <c r="D57" s="1082">
        <f>D38</f>
        <v>135.00041017345507</v>
      </c>
      <c r="E57" s="1082">
        <f>D44</f>
        <v>38.739251501448578</v>
      </c>
      <c r="F57" s="1082">
        <f>D45</f>
        <v>0</v>
      </c>
      <c r="G57" s="1082">
        <f>D46</f>
        <v>271.56607389788331</v>
      </c>
      <c r="H57" s="1082">
        <f>I57-G57</f>
        <v>-216.56607389788331</v>
      </c>
      <c r="I57" s="1082">
        <f>D47</f>
        <v>55</v>
      </c>
    </row>
    <row r="58" spans="1:15" ht="0.2" customHeight="1" x14ac:dyDescent="0.2">
      <c r="C58" s="1082"/>
      <c r="D58" s="1082">
        <f>C57</f>
        <v>97.82641222297967</v>
      </c>
      <c r="E58" s="1082">
        <f>D57+D58</f>
        <v>232.82682239643475</v>
      </c>
      <c r="F58" s="1082">
        <f>E57+E58</f>
        <v>271.56607389788331</v>
      </c>
      <c r="G58" s="1082"/>
      <c r="H58" s="1082"/>
      <c r="I58" s="1082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54" t="str">
        <f>G10</f>
        <v>Polen</v>
      </c>
      <c r="C62" s="954" t="s">
        <v>919</v>
      </c>
      <c r="D62" s="954" t="s">
        <v>920</v>
      </c>
      <c r="E62" s="954" t="s">
        <v>921</v>
      </c>
      <c r="F62" s="954" t="s">
        <v>922</v>
      </c>
      <c r="G62" s="954" t="s">
        <v>925</v>
      </c>
      <c r="H62" s="954" t="s">
        <v>924</v>
      </c>
      <c r="I62" s="954" t="s">
        <v>926</v>
      </c>
    </row>
    <row r="63" spans="1:15" ht="0.2" customHeight="1" x14ac:dyDescent="0.2">
      <c r="C63" s="1082">
        <f>H33</f>
        <v>12.672161525540741</v>
      </c>
      <c r="D63" s="1082">
        <f>H38</f>
        <v>19.663012549730173</v>
      </c>
      <c r="E63" s="1082">
        <f>H44</f>
        <v>5.4532618930109233</v>
      </c>
      <c r="F63" s="1082">
        <f>H45</f>
        <v>0</v>
      </c>
      <c r="G63" s="1082">
        <f>H46</f>
        <v>37.788435968281838</v>
      </c>
      <c r="H63" s="1082">
        <f>I63-G63</f>
        <v>17.211564031718162</v>
      </c>
      <c r="I63" s="1082">
        <f>H47</f>
        <v>55</v>
      </c>
    </row>
    <row r="64" spans="1:15" ht="0.2" customHeight="1" x14ac:dyDescent="0.2">
      <c r="C64" s="1082"/>
      <c r="D64" s="1082">
        <f>C63</f>
        <v>12.672161525540741</v>
      </c>
      <c r="E64" s="1082">
        <f>D63+D64</f>
        <v>32.335174075270913</v>
      </c>
      <c r="F64" s="1082">
        <f>E63+E64</f>
        <v>37.788435968281838</v>
      </c>
      <c r="G64" s="1082"/>
      <c r="H64" s="1082"/>
      <c r="I64" s="1082"/>
    </row>
    <row r="65" spans="1:9" ht="0.2" customHeight="1" x14ac:dyDescent="0.2"/>
    <row r="66" spans="1:9" ht="0.2" customHeight="1" x14ac:dyDescent="0.2"/>
    <row r="67" spans="1:9" ht="0.2" customHeight="1" x14ac:dyDescent="0.2">
      <c r="A67" s="954" t="str">
        <f>K10</f>
        <v>Deutschland</v>
      </c>
      <c r="C67" s="954" t="s">
        <v>919</v>
      </c>
      <c r="D67" s="954" t="s">
        <v>920</v>
      </c>
      <c r="E67" s="954" t="s">
        <v>921</v>
      </c>
      <c r="F67" s="954" t="s">
        <v>922</v>
      </c>
      <c r="G67" s="954" t="s">
        <v>925</v>
      </c>
      <c r="H67" s="954" t="s">
        <v>924</v>
      </c>
      <c r="I67" s="954" t="s">
        <v>926</v>
      </c>
    </row>
    <row r="68" spans="1:9" ht="0.2" customHeight="1" x14ac:dyDescent="0.2">
      <c r="C68" s="1082">
        <f>L33</f>
        <v>12.672161525540741</v>
      </c>
      <c r="D68" s="1082">
        <f>L38</f>
        <v>30.332104512106515</v>
      </c>
      <c r="E68" s="1082">
        <f>L44</f>
        <v>7.5870802854861914</v>
      </c>
      <c r="F68" s="1082">
        <f>L45</f>
        <v>0</v>
      </c>
      <c r="G68" s="1082">
        <f>L46</f>
        <v>50.59134632313345</v>
      </c>
      <c r="H68" s="1082">
        <f>I68-G68</f>
        <v>4.4086536768665496</v>
      </c>
      <c r="I68" s="1082">
        <f>L47</f>
        <v>55</v>
      </c>
    </row>
    <row r="69" spans="1:9" ht="0.2" customHeight="1" x14ac:dyDescent="0.2">
      <c r="C69" s="1082"/>
      <c r="D69" s="1082">
        <f>C68</f>
        <v>12.672161525540741</v>
      </c>
      <c r="E69" s="1082">
        <f>D68+D69</f>
        <v>43.004266037647255</v>
      </c>
      <c r="F69" s="1082">
        <f>E68+E69</f>
        <v>50.59134632313345</v>
      </c>
      <c r="G69" s="1082"/>
      <c r="H69" s="1082"/>
      <c r="I69" s="1082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54" customWidth="1"/>
    <col min="2" max="2" width="0.875" style="954" customWidth="1"/>
    <col min="3" max="3" width="31.75" style="954" customWidth="1"/>
    <col min="4" max="5" width="11" style="954"/>
    <col min="6" max="6" width="10.625" style="954" customWidth="1"/>
    <col min="7" max="7" width="31.75" style="954" customWidth="1"/>
    <col min="8" max="9" width="11" style="954"/>
    <col min="10" max="10" width="10.625" style="954" customWidth="1"/>
    <col min="11" max="11" width="31.75" style="954" customWidth="1"/>
    <col min="12" max="13" width="11" style="954"/>
    <col min="14" max="14" width="0.875" style="954" customWidth="1"/>
    <col min="15" max="15" width="8.1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0"/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2"/>
      <c r="N2" s="956"/>
      <c r="O2" s="957"/>
    </row>
    <row r="3" spans="1:28" x14ac:dyDescent="0.2">
      <c r="A3" s="955"/>
      <c r="B3" s="955"/>
      <c r="C3" s="958"/>
      <c r="D3" s="958"/>
      <c r="E3" s="958"/>
      <c r="F3" s="958"/>
      <c r="G3" s="958"/>
      <c r="H3" s="958"/>
      <c r="I3" s="958"/>
      <c r="J3" s="958"/>
      <c r="K3" s="958"/>
      <c r="L3" s="958"/>
      <c r="M3" s="959">
        <f ca="1">TODAY()</f>
        <v>44533</v>
      </c>
      <c r="N3" s="960"/>
      <c r="O3" s="957"/>
    </row>
    <row r="4" spans="1:28" x14ac:dyDescent="0.2">
      <c r="A4" s="955"/>
      <c r="B4" s="955"/>
      <c r="C4" s="958"/>
      <c r="D4" s="958"/>
      <c r="E4" s="958"/>
      <c r="F4" s="958"/>
      <c r="G4" s="958"/>
      <c r="H4" s="958"/>
      <c r="I4" s="958"/>
      <c r="J4" s="958"/>
      <c r="K4" s="958"/>
      <c r="L4" s="958"/>
      <c r="M4" s="1017" t="str">
        <f>'Quick Input'!L3</f>
        <v>Dr.P. Pawar</v>
      </c>
      <c r="N4" s="961"/>
      <c r="O4" s="957"/>
    </row>
    <row r="5" spans="1:28" ht="20.25" x14ac:dyDescent="0.3">
      <c r="A5" s="955"/>
      <c r="B5" s="955"/>
      <c r="C5" s="962"/>
      <c r="D5" s="963"/>
      <c r="E5" s="958"/>
      <c r="F5" s="958"/>
      <c r="G5" s="964" t="str">
        <f>'Quick Input'!R2</f>
        <v>Siemens Standort</v>
      </c>
      <c r="H5" s="1016" t="str">
        <f>'Quick Input'!U2</f>
        <v>Erlangen</v>
      </c>
      <c r="I5" s="958"/>
      <c r="J5" s="958"/>
      <c r="K5" s="958"/>
      <c r="L5" s="958"/>
      <c r="M5" s="958"/>
      <c r="N5" s="957"/>
      <c r="O5" s="957"/>
    </row>
    <row r="6" spans="1:28" x14ac:dyDescent="0.2">
      <c r="A6" s="955"/>
      <c r="B6" s="955"/>
      <c r="C6" s="958"/>
      <c r="D6" s="958"/>
      <c r="E6" s="958"/>
      <c r="F6" s="966"/>
      <c r="G6" s="964" t="str">
        <f>'Quick Input'!R3</f>
        <v>Lieferant</v>
      </c>
      <c r="H6" s="1016" t="str">
        <f>'Quick Input'!U3</f>
        <v>MGG</v>
      </c>
      <c r="I6" s="958"/>
      <c r="J6" s="958"/>
      <c r="K6" s="958"/>
      <c r="L6" s="958"/>
      <c r="M6" s="959"/>
      <c r="N6" s="960"/>
      <c r="O6" s="957"/>
    </row>
    <row r="7" spans="1:28" x14ac:dyDescent="0.2">
      <c r="A7" s="955"/>
      <c r="B7" s="955"/>
      <c r="C7" s="958"/>
      <c r="D7" s="958"/>
      <c r="E7" s="958"/>
      <c r="F7" s="958"/>
      <c r="G7" s="964" t="str">
        <f>'Quick Input'!R4</f>
        <v>Werk</v>
      </c>
      <c r="H7" s="1016" t="str">
        <f>'Quick Input'!U4</f>
        <v>DI MC</v>
      </c>
      <c r="I7" s="958"/>
      <c r="J7" s="958"/>
      <c r="K7" s="958"/>
      <c r="L7" s="958"/>
      <c r="M7" s="959"/>
      <c r="N7" s="960"/>
      <c r="O7" s="957"/>
    </row>
    <row r="8" spans="1:28" x14ac:dyDescent="0.2">
      <c r="A8" s="955"/>
      <c r="B8" s="955"/>
      <c r="C8" s="958"/>
      <c r="D8" s="958"/>
      <c r="E8" s="958"/>
      <c r="F8" s="958"/>
      <c r="G8" s="965"/>
      <c r="H8" s="958"/>
      <c r="I8" s="958"/>
      <c r="J8" s="958"/>
      <c r="K8" s="958"/>
      <c r="L8" s="958"/>
      <c r="M8" s="959"/>
      <c r="N8" s="960"/>
      <c r="O8" s="957"/>
    </row>
    <row r="9" spans="1:28" x14ac:dyDescent="0.2">
      <c r="A9" s="955"/>
      <c r="B9" s="955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60"/>
      <c r="O9" s="957"/>
    </row>
    <row r="10" spans="1:28" ht="5.0999999999999996" customHeight="1" x14ac:dyDescent="0.2">
      <c r="A10" s="955"/>
      <c r="B10" s="967"/>
      <c r="C10" s="968"/>
      <c r="D10" s="968"/>
      <c r="E10" s="968"/>
      <c r="F10" s="968"/>
      <c r="G10" s="969"/>
      <c r="H10" s="968"/>
      <c r="I10" s="968"/>
      <c r="J10" s="968"/>
      <c r="K10" s="968"/>
      <c r="L10" s="968"/>
      <c r="M10" s="970"/>
      <c r="N10" s="971"/>
      <c r="O10" s="957"/>
    </row>
    <row r="11" spans="1:28" x14ac:dyDescent="0.2">
      <c r="A11" s="955"/>
      <c r="B11" s="958"/>
      <c r="C11" s="966"/>
      <c r="D11" s="958"/>
      <c r="E11" s="958"/>
      <c r="F11" s="958"/>
      <c r="G11" s="965"/>
      <c r="H11" s="958"/>
      <c r="I11" s="958"/>
      <c r="J11" s="958"/>
      <c r="K11" s="958"/>
      <c r="L11" s="958"/>
      <c r="M11" s="959"/>
      <c r="N11" s="959"/>
      <c r="O11" s="957"/>
      <c r="AB11" s="972"/>
    </row>
    <row r="12" spans="1:28" ht="15" x14ac:dyDescent="0.2">
      <c r="A12" s="955"/>
      <c r="B12" s="958"/>
      <c r="C12" s="973" t="str">
        <f>Refkalkulation!H7</f>
        <v>Deutschland</v>
      </c>
      <c r="D12" s="974" t="str">
        <f>Refkalkulation!H$6</f>
        <v>Housing</v>
      </c>
      <c r="E12" s="975"/>
      <c r="F12" s="976"/>
      <c r="G12" s="973" t="str">
        <f>Refkalkulation!K7</f>
        <v>Polen</v>
      </c>
      <c r="H12" s="974" t="str">
        <f>Refkalkulation!K$6</f>
        <v>Housing</v>
      </c>
      <c r="I12" s="975"/>
      <c r="J12" s="976"/>
      <c r="K12" s="973" t="str">
        <f>Refkalkulation!N7</f>
        <v>Deutschland</v>
      </c>
      <c r="L12" s="974" t="str">
        <f>Refkalkulation!N$6</f>
        <v>Housing</v>
      </c>
      <c r="M12" s="953"/>
      <c r="N12" s="958"/>
      <c r="O12" s="957"/>
    </row>
    <row r="13" spans="1:28" x14ac:dyDescent="0.2">
      <c r="A13" s="955"/>
      <c r="B13" s="958"/>
      <c r="C13" s="955" t="str">
        <f>CONCATENATE('Quick Input'!$I22," ",'Quick Input'!L22)</f>
        <v>Formverfahren halbautomatisch</v>
      </c>
      <c r="D13" s="958">
        <f>'Quick Input'!L19</f>
        <v>40</v>
      </c>
      <c r="E13" s="957" t="s">
        <v>70</v>
      </c>
      <c r="F13" s="958"/>
      <c r="G13" s="955" t="str">
        <f>CONCATENATE('Quick Input'!$I22," ",'Quick Input'!O22)</f>
        <v>Formverfahren Handformen</v>
      </c>
      <c r="H13" s="958">
        <f>'Quick Input'!O19</f>
        <v>5</v>
      </c>
      <c r="I13" s="957" t="s">
        <v>70</v>
      </c>
      <c r="J13" s="958"/>
      <c r="K13" s="955" t="str">
        <f>CONCATENATE('Quick Input'!$I22," ",'Quick Input'!R22)</f>
        <v>Formverfahren Handformen</v>
      </c>
      <c r="L13" s="958">
        <f>'Quick Input'!R19</f>
        <v>5</v>
      </c>
      <c r="M13" s="957" t="s">
        <v>70</v>
      </c>
      <c r="N13" s="958"/>
      <c r="O13" s="957"/>
    </row>
    <row r="14" spans="1:28" x14ac:dyDescent="0.2">
      <c r="A14" s="955"/>
      <c r="B14" s="958"/>
      <c r="C14" s="955" t="str">
        <f>CONCATENATE('Quick Input'!$I23," ",'Quick Input'!L23,": ",Refkalkulation!H67," ltr")</f>
        <v>Sandkerne Kernschießen: 20 ltr</v>
      </c>
      <c r="D14" s="958"/>
      <c r="E14" s="957"/>
      <c r="F14" s="958"/>
      <c r="G14" s="955" t="str">
        <f>CONCATENATE('Quick Input'!$I23," ",'Quick Input'!O23,": ",Refkalkulation!K67," ltr")</f>
        <v>Sandkerne Kernschießen: 0 ltr</v>
      </c>
      <c r="H14" s="958"/>
      <c r="I14" s="957"/>
      <c r="J14" s="958"/>
      <c r="K14" s="955" t="str">
        <f>CONCATENATE('Quick Input'!$I23," ",'Quick Input'!R23,": ",Refkalkulation!N67," ltr")</f>
        <v>Sandkerne ohne: 0 ltr</v>
      </c>
      <c r="L14" s="958"/>
      <c r="M14" s="957"/>
      <c r="N14" s="958"/>
      <c r="O14" s="957"/>
    </row>
    <row r="15" spans="1:28" x14ac:dyDescent="0.2">
      <c r="A15" s="955"/>
      <c r="B15" s="958"/>
      <c r="C15" s="955" t="str">
        <f>Refkalkulation!H73</f>
        <v>Sandstrahlen Gleitschleifen</v>
      </c>
      <c r="D15" s="958"/>
      <c r="E15" s="957"/>
      <c r="F15" s="958"/>
      <c r="G15" s="955" t="str">
        <f>Refkalkulation!K73</f>
        <v>Sandstrahlen Gleitschleifen</v>
      </c>
      <c r="H15" s="958"/>
      <c r="I15" s="957"/>
      <c r="J15" s="958"/>
      <c r="K15" s="955" t="str">
        <f>Refkalkulation!N73</f>
        <v>Sandstrahlen Gleitschleifen</v>
      </c>
      <c r="L15" s="958"/>
      <c r="M15" s="957"/>
      <c r="N15" s="958"/>
      <c r="O15" s="957"/>
    </row>
    <row r="16" spans="1:28" x14ac:dyDescent="0.2">
      <c r="A16" s="955"/>
      <c r="B16" s="958"/>
      <c r="C16" s="955" t="str">
        <f>Refkalkulation!H94</f>
        <v>US PT Röntgen prüfen</v>
      </c>
      <c r="D16" s="958"/>
      <c r="E16" s="957"/>
      <c r="F16" s="958"/>
      <c r="G16" s="955" t="str">
        <f>Refkalkulation!K94</f>
        <v>US PT Röntgen prüfen</v>
      </c>
      <c r="H16" s="958"/>
      <c r="I16" s="957"/>
      <c r="J16" s="958"/>
      <c r="K16" s="955" t="str">
        <f>Refkalkulation!N94</f>
        <v>US PT Röntgen prüfen</v>
      </c>
      <c r="L16" s="958"/>
      <c r="M16" s="957"/>
      <c r="N16" s="958"/>
      <c r="O16" s="957"/>
    </row>
    <row r="17" spans="1:15" x14ac:dyDescent="0.2">
      <c r="A17" s="955"/>
      <c r="B17" s="958"/>
      <c r="C17" s="955"/>
      <c r="D17" s="958"/>
      <c r="E17" s="957"/>
      <c r="F17" s="958"/>
      <c r="G17" s="955"/>
      <c r="H17" s="958"/>
      <c r="I17" s="957"/>
      <c r="J17" s="958"/>
      <c r="K17" s="955"/>
      <c r="L17" s="958"/>
      <c r="M17" s="957"/>
      <c r="N17" s="958"/>
      <c r="O17" s="957"/>
    </row>
    <row r="18" spans="1:15" x14ac:dyDescent="0.2">
      <c r="A18" s="955"/>
      <c r="B18" s="958"/>
      <c r="C18" s="955"/>
      <c r="D18" s="958"/>
      <c r="E18" s="957"/>
      <c r="F18" s="958"/>
      <c r="G18" s="955"/>
      <c r="H18" s="958"/>
      <c r="I18" s="957"/>
      <c r="J18" s="958"/>
      <c r="K18" s="955"/>
      <c r="L18" s="958"/>
      <c r="M18" s="957"/>
      <c r="N18" s="958"/>
      <c r="O18" s="957"/>
    </row>
    <row r="19" spans="1:15" x14ac:dyDescent="0.2">
      <c r="A19" s="955"/>
      <c r="B19" s="958"/>
      <c r="C19" s="955"/>
      <c r="D19" s="958"/>
      <c r="E19" s="957"/>
      <c r="F19" s="958"/>
      <c r="G19" s="955"/>
      <c r="H19" s="958"/>
      <c r="I19" s="957"/>
      <c r="J19" s="958"/>
      <c r="K19" s="955"/>
      <c r="L19" s="958"/>
      <c r="M19" s="957"/>
      <c r="N19" s="958"/>
      <c r="O19" s="957"/>
    </row>
    <row r="20" spans="1:15" x14ac:dyDescent="0.2">
      <c r="A20" s="955"/>
      <c r="B20" s="958"/>
      <c r="C20" s="955"/>
      <c r="D20" s="958"/>
      <c r="E20" s="957"/>
      <c r="F20" s="958"/>
      <c r="G20" s="955"/>
      <c r="H20" s="958"/>
      <c r="I20" s="957"/>
      <c r="J20" s="958"/>
      <c r="K20" s="955"/>
      <c r="L20" s="958"/>
      <c r="M20" s="957"/>
      <c r="N20" s="958"/>
      <c r="O20" s="957"/>
    </row>
    <row r="21" spans="1:15" x14ac:dyDescent="0.2">
      <c r="A21" s="955"/>
      <c r="B21" s="958"/>
      <c r="C21" s="955"/>
      <c r="D21" s="958"/>
      <c r="E21" s="957"/>
      <c r="F21" s="958"/>
      <c r="G21" s="955"/>
      <c r="H21" s="958"/>
      <c r="I21" s="957"/>
      <c r="J21" s="958"/>
      <c r="K21" s="955"/>
      <c r="L21" s="958"/>
      <c r="M21" s="957"/>
      <c r="N21" s="958"/>
      <c r="O21" s="957"/>
    </row>
    <row r="22" spans="1:15" x14ac:dyDescent="0.2">
      <c r="A22" s="955"/>
      <c r="B22" s="958"/>
      <c r="C22" s="955"/>
      <c r="D22" s="958"/>
      <c r="E22" s="957"/>
      <c r="F22" s="958"/>
      <c r="G22" s="955"/>
      <c r="H22" s="958"/>
      <c r="I22" s="957"/>
      <c r="J22" s="958"/>
      <c r="K22" s="955"/>
      <c r="L22" s="958"/>
      <c r="M22" s="957"/>
      <c r="N22" s="958"/>
      <c r="O22" s="957"/>
    </row>
    <row r="23" spans="1:15" x14ac:dyDescent="0.2">
      <c r="A23" s="955"/>
      <c r="B23" s="958"/>
      <c r="C23" s="955"/>
      <c r="D23" s="958"/>
      <c r="E23" s="957"/>
      <c r="F23" s="958"/>
      <c r="G23" s="955"/>
      <c r="H23" s="958"/>
      <c r="I23" s="957"/>
      <c r="J23" s="958"/>
      <c r="K23" s="955"/>
      <c r="L23" s="958"/>
      <c r="M23" s="957"/>
      <c r="N23" s="958"/>
      <c r="O23" s="957"/>
    </row>
    <row r="24" spans="1:15" x14ac:dyDescent="0.2">
      <c r="A24" s="955"/>
      <c r="B24" s="958"/>
      <c r="C24" s="955"/>
      <c r="D24" s="958"/>
      <c r="E24" s="957"/>
      <c r="F24" s="958"/>
      <c r="G24" s="955"/>
      <c r="H24" s="958"/>
      <c r="I24" s="957"/>
      <c r="J24" s="958"/>
      <c r="K24" s="955"/>
      <c r="L24" s="958"/>
      <c r="M24" s="957"/>
      <c r="N24" s="958"/>
      <c r="O24" s="957"/>
    </row>
    <row r="25" spans="1:15" x14ac:dyDescent="0.2">
      <c r="A25" s="955"/>
      <c r="B25" s="958"/>
      <c r="C25" s="955"/>
      <c r="D25" s="958"/>
      <c r="E25" s="957"/>
      <c r="F25" s="958"/>
      <c r="G25" s="955"/>
      <c r="H25" s="958"/>
      <c r="I25" s="957"/>
      <c r="J25" s="958"/>
      <c r="K25" s="955"/>
      <c r="L25" s="958"/>
      <c r="M25" s="957"/>
      <c r="N25" s="958"/>
      <c r="O25" s="957"/>
    </row>
    <row r="26" spans="1:15" x14ac:dyDescent="0.2">
      <c r="A26" s="955"/>
      <c r="B26" s="958"/>
      <c r="C26" s="955"/>
      <c r="D26" s="958"/>
      <c r="E26" s="957"/>
      <c r="F26" s="958"/>
      <c r="G26" s="955"/>
      <c r="H26" s="958"/>
      <c r="I26" s="957"/>
      <c r="J26" s="958"/>
      <c r="K26" s="955"/>
      <c r="L26" s="958"/>
      <c r="M26" s="957"/>
      <c r="N26" s="958"/>
      <c r="O26" s="957"/>
    </row>
    <row r="27" spans="1:15" x14ac:dyDescent="0.2">
      <c r="A27" s="955"/>
      <c r="B27" s="958"/>
      <c r="C27" s="955"/>
      <c r="D27" s="958"/>
      <c r="E27" s="957"/>
      <c r="F27" s="958"/>
      <c r="G27" s="955"/>
      <c r="H27" s="958"/>
      <c r="I27" s="957"/>
      <c r="J27" s="958"/>
      <c r="K27" s="955"/>
      <c r="L27" s="958"/>
      <c r="M27" s="957"/>
      <c r="N27" s="958"/>
      <c r="O27" s="957"/>
    </row>
    <row r="28" spans="1:15" x14ac:dyDescent="0.2">
      <c r="A28" s="955"/>
      <c r="B28" s="958"/>
      <c r="C28" s="955"/>
      <c r="D28" s="958"/>
      <c r="E28" s="957"/>
      <c r="F28" s="958"/>
      <c r="G28" s="955"/>
      <c r="H28" s="958"/>
      <c r="I28" s="957"/>
      <c r="J28" s="958"/>
      <c r="K28" s="955"/>
      <c r="L28" s="958"/>
      <c r="M28" s="957"/>
      <c r="N28" s="958"/>
      <c r="O28" s="957"/>
    </row>
    <row r="29" spans="1:15" x14ac:dyDescent="0.2">
      <c r="A29" s="955"/>
      <c r="B29" s="958"/>
      <c r="C29" s="955"/>
      <c r="D29" s="958"/>
      <c r="E29" s="957"/>
      <c r="F29" s="958"/>
      <c r="G29" s="955"/>
      <c r="H29" s="958"/>
      <c r="I29" s="957"/>
      <c r="J29" s="958"/>
      <c r="K29" s="955"/>
      <c r="L29" s="958"/>
      <c r="M29" s="957"/>
      <c r="N29" s="958"/>
      <c r="O29" s="957"/>
    </row>
    <row r="30" spans="1:15" x14ac:dyDescent="0.2">
      <c r="A30" s="955"/>
      <c r="B30" s="958"/>
      <c r="C30" s="955"/>
      <c r="D30" s="958"/>
      <c r="E30" s="957"/>
      <c r="F30" s="958"/>
      <c r="G30" s="955"/>
      <c r="H30" s="958"/>
      <c r="I30" s="957"/>
      <c r="J30" s="958"/>
      <c r="K30" s="955"/>
      <c r="L30" s="958"/>
      <c r="M30" s="957"/>
      <c r="N30" s="958"/>
      <c r="O30" s="957"/>
    </row>
    <row r="31" spans="1:15" x14ac:dyDescent="0.2">
      <c r="A31" s="955"/>
      <c r="B31" s="958"/>
      <c r="C31" s="955"/>
      <c r="D31" s="958"/>
      <c r="E31" s="957"/>
      <c r="F31" s="958"/>
      <c r="G31" s="955"/>
      <c r="H31" s="958"/>
      <c r="I31" s="957"/>
      <c r="J31" s="958"/>
      <c r="K31" s="955"/>
      <c r="L31" s="958"/>
      <c r="M31" s="957"/>
      <c r="N31" s="958"/>
      <c r="O31" s="957"/>
    </row>
    <row r="32" spans="1:15" x14ac:dyDescent="0.2">
      <c r="A32" s="955"/>
      <c r="B32" s="958"/>
      <c r="C32" s="977" t="str">
        <f>IF(Deutsch,"Material - Information:","material information:")</f>
        <v>Material - Information:</v>
      </c>
      <c r="D32" s="978"/>
      <c r="E32" s="953"/>
      <c r="F32" s="958"/>
      <c r="G32" s="977" t="str">
        <f>C32</f>
        <v>Material - Information:</v>
      </c>
      <c r="H32" s="978"/>
      <c r="I32" s="953"/>
      <c r="J32" s="958"/>
      <c r="K32" s="977" t="str">
        <f>C32</f>
        <v>Material - Information:</v>
      </c>
      <c r="L32" s="978"/>
      <c r="M32" s="953"/>
      <c r="N32" s="958"/>
      <c r="O32" s="957"/>
    </row>
    <row r="33" spans="1:15" x14ac:dyDescent="0.2">
      <c r="A33" s="955"/>
      <c r="B33" s="958"/>
      <c r="C33" s="979" t="str">
        <f>CONCATENATE("               ",'Quick Input'!$I$11)</f>
        <v xml:space="preserve">               Bezeichnung</v>
      </c>
      <c r="D33" s="980" t="str">
        <f>'Quick Input'!M11</f>
        <v>Al Si10Cu2(Fe)</v>
      </c>
      <c r="E33" s="981"/>
      <c r="F33" s="958"/>
      <c r="G33" s="979" t="str">
        <f t="shared" ref="G33:G48" si="0">C33</f>
        <v xml:space="preserve">               Bezeichnung</v>
      </c>
      <c r="H33" s="980" t="str">
        <f>'Quick Input'!P11</f>
        <v>Al Si10Mg(b)</v>
      </c>
      <c r="I33" s="981"/>
      <c r="J33" s="958"/>
      <c r="K33" s="979" t="str">
        <f t="shared" ref="K33:K48" si="1">C33</f>
        <v xml:space="preserve">               Bezeichnung</v>
      </c>
      <c r="L33" s="980" t="str">
        <f>'Quick Input'!S11</f>
        <v>Al Si10Mg(b)</v>
      </c>
      <c r="M33" s="981"/>
      <c r="N33" s="958"/>
      <c r="O33" s="957"/>
    </row>
    <row r="34" spans="1:15" x14ac:dyDescent="0.2">
      <c r="A34" s="955"/>
      <c r="B34" s="958"/>
      <c r="C34" s="982" t="str">
        <f>CONCATENATE("               ",'Quick Input'!$I$13)</f>
        <v xml:space="preserve">               Al-Materialpreis (€/kg)</v>
      </c>
      <c r="D34" s="983">
        <f>'Quick Input'!M13</f>
        <v>2.0002526724975707</v>
      </c>
      <c r="E34" s="984"/>
      <c r="F34" s="985"/>
      <c r="G34" s="982" t="str">
        <f t="shared" si="0"/>
        <v xml:space="preserve">               Al-Materialpreis (€/kg)</v>
      </c>
      <c r="H34" s="983">
        <f>'Quick Input'!P13</f>
        <v>1.9670528580208975</v>
      </c>
      <c r="I34" s="984"/>
      <c r="J34" s="985"/>
      <c r="K34" s="982" t="str">
        <f t="shared" si="1"/>
        <v xml:space="preserve">               Al-Materialpreis (€/kg)</v>
      </c>
      <c r="L34" s="983">
        <f>'Quick Input'!S13</f>
        <v>1.9670528580208975</v>
      </c>
      <c r="M34" s="984"/>
      <c r="N34" s="958"/>
      <c r="O34" s="957"/>
    </row>
    <row r="35" spans="1:15" ht="15" x14ac:dyDescent="0.25">
      <c r="A35" s="955"/>
      <c r="B35" s="958"/>
      <c r="C35" s="986" t="str">
        <f>Refkalkulation!D26</f>
        <v>Materialkosten gesamt</v>
      </c>
      <c r="D35" s="987">
        <f>Refkalkulation!H26</f>
        <v>97.82641222297967</v>
      </c>
      <c r="E35" s="988"/>
      <c r="F35" s="958"/>
      <c r="G35" s="986" t="str">
        <f t="shared" si="0"/>
        <v>Materialkosten gesamt</v>
      </c>
      <c r="H35" s="987">
        <f>Refkalkulation!K26</f>
        <v>12.672161525540741</v>
      </c>
      <c r="I35" s="988"/>
      <c r="J35" s="958"/>
      <c r="K35" s="986" t="str">
        <f t="shared" si="1"/>
        <v>Materialkosten gesamt</v>
      </c>
      <c r="L35" s="987">
        <f>Refkalkulation!N26</f>
        <v>12.672161525540741</v>
      </c>
      <c r="M35" s="988"/>
      <c r="N35" s="958"/>
      <c r="O35" s="957"/>
    </row>
    <row r="36" spans="1:15" x14ac:dyDescent="0.2">
      <c r="A36" s="955"/>
      <c r="B36" s="958"/>
      <c r="C36" s="989" t="str">
        <f>CONCATENATE("               ",Refkalkulation!D15)</f>
        <v xml:space="preserve">               Materialkosten Rohteil</v>
      </c>
      <c r="D36" s="990"/>
      <c r="E36" s="991">
        <f>Refkalkulation!H15</f>
        <v>80.010106899902823</v>
      </c>
      <c r="F36" s="992"/>
      <c r="G36" s="989" t="str">
        <f t="shared" si="0"/>
        <v xml:space="preserve">               Materialkosten Rohteil</v>
      </c>
      <c r="H36" s="990"/>
      <c r="I36" s="991">
        <f>Refkalkulation!K15</f>
        <v>9.8352642901044867</v>
      </c>
      <c r="J36" s="992"/>
      <c r="K36" s="989" t="str">
        <f t="shared" si="1"/>
        <v xml:space="preserve">               Materialkosten Rohteil</v>
      </c>
      <c r="L36" s="990"/>
      <c r="M36" s="991">
        <f>Refkalkulation!N15</f>
        <v>9.8352642901044867</v>
      </c>
      <c r="N36" s="992"/>
      <c r="O36" s="957"/>
    </row>
    <row r="37" spans="1:15" x14ac:dyDescent="0.2">
      <c r="A37" s="955"/>
      <c r="B37" s="958"/>
      <c r="C37" s="989" t="str">
        <f>CONCATENATE("               ",Refkalkulation!$D$17)</f>
        <v xml:space="preserve">               Kosten Schmelzverlust</v>
      </c>
      <c r="D37" s="990"/>
      <c r="E37" s="991">
        <f>Refkalkulation!H17</f>
        <v>6.4096901742807058</v>
      </c>
      <c r="F37" s="992"/>
      <c r="G37" s="989" t="str">
        <f t="shared" si="0"/>
        <v xml:space="preserve">               Kosten Schmelzverlust</v>
      </c>
      <c r="H37" s="990"/>
      <c r="I37" s="991">
        <f>Refkalkulation!K17</f>
        <v>0.79784922319733242</v>
      </c>
      <c r="J37" s="992"/>
      <c r="K37" s="989" t="str">
        <f t="shared" si="1"/>
        <v xml:space="preserve">               Kosten Schmelzverlust</v>
      </c>
      <c r="L37" s="990"/>
      <c r="M37" s="991">
        <f>Refkalkulation!N17</f>
        <v>0.79784922319733242</v>
      </c>
      <c r="N37" s="992"/>
      <c r="O37" s="957"/>
    </row>
    <row r="38" spans="1:15" x14ac:dyDescent="0.2">
      <c r="A38" s="955"/>
      <c r="B38" s="958"/>
      <c r="C38" s="989" t="str">
        <f>CONCATENATE("               ",Refkalkulation!D23)</f>
        <v xml:space="preserve">               Kosten Hilfsstoffe (€/Stk.)</v>
      </c>
      <c r="D38" s="990"/>
      <c r="E38" s="991">
        <f>Refkalkulation!H23</f>
        <v>5.0067564052367217</v>
      </c>
      <c r="F38" s="992"/>
      <c r="G38" s="989" t="str">
        <f t="shared" si="0"/>
        <v xml:space="preserve">               Kosten Hilfsstoffe (€/Stk.)</v>
      </c>
      <c r="H38" s="990"/>
      <c r="I38" s="991">
        <f>Refkalkulation!K23</f>
        <v>1.2100280993530796</v>
      </c>
      <c r="J38" s="992"/>
      <c r="K38" s="989" t="str">
        <f t="shared" si="1"/>
        <v xml:space="preserve">               Kosten Hilfsstoffe (€/Stk.)</v>
      </c>
      <c r="L38" s="990"/>
      <c r="M38" s="991">
        <f>Refkalkulation!N23</f>
        <v>1.2100280993530796</v>
      </c>
      <c r="N38" s="992"/>
      <c r="O38" s="957"/>
    </row>
    <row r="39" spans="1:15" x14ac:dyDescent="0.2">
      <c r="A39" s="955"/>
      <c r="B39" s="958"/>
      <c r="C39" s="993" t="str">
        <f>CONCATENATE("               ",Refkalkulation!D25)</f>
        <v xml:space="preserve">               Materialgemeinkosten</v>
      </c>
      <c r="D39" s="994"/>
      <c r="E39" s="995">
        <f>Refkalkulation!H25</f>
        <v>6.3998587435594176</v>
      </c>
      <c r="F39" s="992"/>
      <c r="G39" s="993" t="str">
        <f t="shared" si="0"/>
        <v xml:space="preserve">               Materialgemeinkosten</v>
      </c>
      <c r="H39" s="994"/>
      <c r="I39" s="995">
        <f>Refkalkulation!K25</f>
        <v>0.82901991288584298</v>
      </c>
      <c r="J39" s="992"/>
      <c r="K39" s="993" t="str">
        <f t="shared" si="1"/>
        <v xml:space="preserve">               Materialgemeinkosten</v>
      </c>
      <c r="L39" s="994"/>
      <c r="M39" s="995">
        <f>Refkalkulation!N25</f>
        <v>0.82901991288584298</v>
      </c>
      <c r="N39" s="992"/>
      <c r="O39" s="957"/>
    </row>
    <row r="40" spans="1:15" ht="15" x14ac:dyDescent="0.25">
      <c r="A40" s="955"/>
      <c r="B40" s="958"/>
      <c r="C40" s="996" t="s">
        <v>910</v>
      </c>
      <c r="D40" s="997">
        <f>Refkalkulation!H119</f>
        <v>135.00041017345507</v>
      </c>
      <c r="E40" s="998"/>
      <c r="F40" s="999"/>
      <c r="G40" s="996" t="str">
        <f t="shared" si="0"/>
        <v>Fertigungskosten</v>
      </c>
      <c r="H40" s="997">
        <f>Refkalkulation!K119</f>
        <v>19.663012549730173</v>
      </c>
      <c r="I40" s="998"/>
      <c r="J40" s="999"/>
      <c r="K40" s="996" t="str">
        <f t="shared" si="1"/>
        <v>Fertigungskosten</v>
      </c>
      <c r="L40" s="997">
        <f>Refkalkulation!N119</f>
        <v>30.332104512106515</v>
      </c>
      <c r="M40" s="998"/>
      <c r="N40" s="999"/>
      <c r="O40" s="957"/>
    </row>
    <row r="41" spans="1:15" x14ac:dyDescent="0.2">
      <c r="A41" s="955"/>
      <c r="B41" s="958"/>
      <c r="C41" s="1000" t="str">
        <f>CONCATENATE("               ",Refkalkulation!D28)</f>
        <v xml:space="preserve">               Prozess Schmelzen</v>
      </c>
      <c r="D41" s="1001"/>
      <c r="E41" s="1002">
        <f>Refkalkulation!H47</f>
        <v>3.7683714865311138</v>
      </c>
      <c r="F41" s="1003"/>
      <c r="G41" s="1000" t="str">
        <f t="shared" si="0"/>
        <v xml:space="preserve">               Prozess Schmelzen</v>
      </c>
      <c r="H41" s="1001"/>
      <c r="I41" s="1002">
        <f>Refkalkulation!K47</f>
        <v>0.78935270448929185</v>
      </c>
      <c r="J41" s="1003"/>
      <c r="K41" s="1000" t="str">
        <f t="shared" si="1"/>
        <v xml:space="preserve">               Prozess Schmelzen</v>
      </c>
      <c r="L41" s="1001"/>
      <c r="M41" s="1002">
        <f>Refkalkulation!N47</f>
        <v>0.53738409644769536</v>
      </c>
      <c r="N41" s="1003"/>
      <c r="O41" s="957"/>
    </row>
    <row r="42" spans="1:15" x14ac:dyDescent="0.2">
      <c r="A42" s="955"/>
      <c r="B42" s="958"/>
      <c r="C42" s="1000" t="str">
        <f>CONCATENATE("               ",Refkalkulation!D48)</f>
        <v xml:space="preserve">               Prozess Formen</v>
      </c>
      <c r="D42" s="1004"/>
      <c r="E42" s="1002">
        <f>Refkalkulation!H72</f>
        <v>45.925479191961877</v>
      </c>
      <c r="F42" s="1003"/>
      <c r="G42" s="1000" t="str">
        <f t="shared" si="0"/>
        <v xml:space="preserve">               Prozess Formen</v>
      </c>
      <c r="H42" s="1004"/>
      <c r="I42" s="1002">
        <f>Refkalkulation!K72</f>
        <v>10.300893193901665</v>
      </c>
      <c r="J42" s="1003"/>
      <c r="K42" s="1000" t="str">
        <f t="shared" si="1"/>
        <v xml:space="preserve">               Prozess Formen</v>
      </c>
      <c r="L42" s="1004"/>
      <c r="M42" s="1002">
        <f>Refkalkulation!N72</f>
        <v>15.475299479382162</v>
      </c>
      <c r="N42" s="1003"/>
      <c r="O42" s="957"/>
    </row>
    <row r="43" spans="1:15" x14ac:dyDescent="0.2">
      <c r="A43" s="955"/>
      <c r="B43" s="958"/>
      <c r="C43" s="1000" t="s">
        <v>911</v>
      </c>
      <c r="D43" s="1004"/>
      <c r="E43" s="1002">
        <f>Refkalkulation!H93</f>
        <v>66.683562908275917</v>
      </c>
      <c r="F43" s="1003"/>
      <c r="G43" s="1000" t="str">
        <f t="shared" si="0"/>
        <v xml:space="preserve">               Nachbehandlung</v>
      </c>
      <c r="H43" s="1004"/>
      <c r="I43" s="1002">
        <f>Refkalkulation!K93</f>
        <v>3.534532815168459</v>
      </c>
      <c r="J43" s="1003"/>
      <c r="K43" s="1000" t="str">
        <f t="shared" si="1"/>
        <v xml:space="preserve">               Nachbehandlung</v>
      </c>
      <c r="L43" s="1004"/>
      <c r="M43" s="1002">
        <f>Refkalkulation!N93</f>
        <v>7.0846825378696678</v>
      </c>
      <c r="N43" s="1003"/>
      <c r="O43" s="957"/>
    </row>
    <row r="44" spans="1:15" x14ac:dyDescent="0.2">
      <c r="A44" s="955"/>
      <c r="B44" s="958"/>
      <c r="C44" s="1000" t="s">
        <v>912</v>
      </c>
      <c r="D44" s="1004"/>
      <c r="E44" s="1002">
        <f>Refkalkulation!H113</f>
        <v>6.3502320254629634</v>
      </c>
      <c r="F44" s="1003"/>
      <c r="G44" s="1000" t="str">
        <f t="shared" si="0"/>
        <v xml:space="preserve">               Prüfen</v>
      </c>
      <c r="H44" s="1004"/>
      <c r="I44" s="1002">
        <f>Refkalkulation!K113</f>
        <v>3.2506872407407412</v>
      </c>
      <c r="J44" s="1003"/>
      <c r="K44" s="1000" t="str">
        <f t="shared" si="1"/>
        <v xml:space="preserve">               Prüfen</v>
      </c>
      <c r="L44" s="1004"/>
      <c r="M44" s="1002">
        <f>Refkalkulation!N113</f>
        <v>4.4772743518518521</v>
      </c>
      <c r="N44" s="1003"/>
      <c r="O44" s="957"/>
    </row>
    <row r="45" spans="1:15" x14ac:dyDescent="0.2">
      <c r="A45" s="955"/>
      <c r="B45" s="958"/>
      <c r="C45" s="1000" t="s">
        <v>913</v>
      </c>
      <c r="D45" s="1004"/>
      <c r="E45" s="1002">
        <f>Refkalkulation!H119-Refkalkulation!H115</f>
        <v>12.272764561223198</v>
      </c>
      <c r="F45" s="1003"/>
      <c r="G45" s="1000" t="str">
        <f t="shared" si="0"/>
        <v xml:space="preserve">               Fertigungsnebenkosten</v>
      </c>
      <c r="H45" s="1004"/>
      <c r="I45" s="1002">
        <f>Refkalkulation!K119-Refkalkulation!K115</f>
        <v>1.7875465954300154</v>
      </c>
      <c r="J45" s="1003"/>
      <c r="K45" s="1000" t="str">
        <f t="shared" si="1"/>
        <v xml:space="preserve">               Fertigungsnebenkosten</v>
      </c>
      <c r="L45" s="1004"/>
      <c r="M45" s="1002">
        <f>Refkalkulation!N119-Refkalkulation!N115</f>
        <v>2.757464046555139</v>
      </c>
      <c r="N45" s="1003"/>
      <c r="O45" s="957"/>
    </row>
    <row r="46" spans="1:15" ht="15" x14ac:dyDescent="0.25">
      <c r="A46" s="955"/>
      <c r="B46" s="958"/>
      <c r="C46" s="1005" t="str">
        <f>Refkalkulation!D126</f>
        <v>Gesamtgemeinkosten</v>
      </c>
      <c r="D46" s="1006">
        <f>Refkalkulation!H126</f>
        <v>38.739251501448578</v>
      </c>
      <c r="E46" s="1007">
        <f>D46/D48</f>
        <v>0.14265129272375773</v>
      </c>
      <c r="F46" s="1003"/>
      <c r="G46" s="1005" t="str">
        <f t="shared" si="0"/>
        <v>Gesamtgemeinkosten</v>
      </c>
      <c r="H46" s="1006">
        <f>Refkalkulation!K126</f>
        <v>5.4532618930109233</v>
      </c>
      <c r="I46" s="1007">
        <f>H46/H48</f>
        <v>0.14431033604005686</v>
      </c>
      <c r="J46" s="958"/>
      <c r="K46" s="1005" t="str">
        <f t="shared" si="1"/>
        <v>Gesamtgemeinkosten</v>
      </c>
      <c r="L46" s="1006">
        <f>Refkalkulation!N126</f>
        <v>7.5870802854861914</v>
      </c>
      <c r="M46" s="1007">
        <f>L46/L48</f>
        <v>0.14996794584248721</v>
      </c>
      <c r="N46" s="958"/>
      <c r="O46" s="957"/>
    </row>
    <row r="47" spans="1:15" ht="18" customHeight="1" x14ac:dyDescent="0.25">
      <c r="A47" s="955"/>
      <c r="B47" s="958"/>
      <c r="C47" s="1008" t="str">
        <f>Refkalkulation!D129</f>
        <v>Gesamtgewinn</v>
      </c>
      <c r="D47" s="1009">
        <f>Refkalkulation!H129</f>
        <v>0</v>
      </c>
      <c r="E47" s="1010">
        <f>D47/D48</f>
        <v>0</v>
      </c>
      <c r="F47" s="1003"/>
      <c r="G47" s="1008" t="str">
        <f t="shared" si="0"/>
        <v>Gesamtgewinn</v>
      </c>
      <c r="H47" s="1009">
        <f>Refkalkulation!K129</f>
        <v>0</v>
      </c>
      <c r="I47" s="1010">
        <f>H47/H48</f>
        <v>0</v>
      </c>
      <c r="J47" s="958"/>
      <c r="K47" s="1008" t="str">
        <f t="shared" si="1"/>
        <v>Gesamtgewinn</v>
      </c>
      <c r="L47" s="1009">
        <f>Refkalkulation!N129</f>
        <v>0</v>
      </c>
      <c r="M47" s="1010">
        <f>L47/L48</f>
        <v>0</v>
      </c>
      <c r="N47" s="958"/>
      <c r="O47" s="957"/>
    </row>
    <row r="48" spans="1:15" ht="33" customHeight="1" x14ac:dyDescent="0.2">
      <c r="A48" s="955"/>
      <c r="B48" s="958"/>
      <c r="C48" s="1011" t="str">
        <f>Refkalkulation!D131</f>
        <v>Bauteilpreis gesamt</v>
      </c>
      <c r="D48" s="1012">
        <f>SUM(D35:D47)</f>
        <v>271.56607389788331</v>
      </c>
      <c r="E48" s="1013"/>
      <c r="F48" s="1014"/>
      <c r="G48" s="1011" t="str">
        <f t="shared" si="0"/>
        <v>Bauteilpreis gesamt</v>
      </c>
      <c r="H48" s="1012">
        <f>SUM(H35:H47)</f>
        <v>37.788435968281838</v>
      </c>
      <c r="I48" s="1013"/>
      <c r="J48" s="1014"/>
      <c r="K48" s="1011" t="str">
        <f t="shared" si="1"/>
        <v>Bauteilpreis gesamt</v>
      </c>
      <c r="L48" s="1012">
        <f>SUM(L35:L47)</f>
        <v>50.59134632313345</v>
      </c>
      <c r="M48" s="1013"/>
      <c r="N48" s="1014"/>
      <c r="O48" s="957"/>
    </row>
    <row r="49" spans="1:15" x14ac:dyDescent="0.2">
      <c r="A49" s="967"/>
      <c r="B49" s="968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1015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5"/>
  <sheetViews>
    <sheetView zoomScaleNormal="100" workbookViewId="0">
      <pane xSplit="10" ySplit="9" topLeftCell="K22" activePane="bottomRight" state="frozenSplit"/>
      <selection activeCell="L30" sqref="L30"/>
      <selection pane="topRight" activeCell="L30" sqref="L30"/>
      <selection pane="bottomLeft" activeCell="L30" sqref="L30"/>
      <selection pane="bottomRight" activeCell="L2" sqref="L2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7.625" customWidth="1"/>
    <col min="28" max="28" width="2.625" hidden="1" customWidth="1"/>
    <col min="29" max="29" width="3" customWidth="1"/>
  </cols>
  <sheetData>
    <row r="1" spans="1:702" s="673" customFormat="1" ht="3.75" customHeight="1" thickBot="1" x14ac:dyDescent="0.25">
      <c r="A1" s="670"/>
      <c r="B1" s="671"/>
      <c r="C1" s="671"/>
      <c r="D1" s="672">
        <f>'Artikel-DB'!D3</f>
        <v>815</v>
      </c>
      <c r="E1" s="672" t="str">
        <f>'Artikel-DB'!E3</f>
        <v>815-1</v>
      </c>
      <c r="F1" s="672" t="str">
        <f>'Artikel-DB'!F3</f>
        <v>815-2</v>
      </c>
      <c r="G1" s="672" t="str">
        <f>'Artikel-DB'!G3</f>
        <v>815-2-1</v>
      </c>
      <c r="H1" s="672" t="str">
        <f>'Artikel-DB'!H3</f>
        <v>815-3</v>
      </c>
      <c r="I1" s="672" t="str">
        <f>'Artikel-DB'!I3</f>
        <v>815-3-1</v>
      </c>
      <c r="J1" s="672" t="str">
        <f>'Artikel-DB'!J3</f>
        <v>820-1</v>
      </c>
      <c r="K1" s="672" t="str">
        <f>'Artikel-DB'!K3</f>
        <v>820-1-1</v>
      </c>
      <c r="L1" s="672" t="str">
        <f>'Artikel-DB'!L3</f>
        <v>820-2</v>
      </c>
      <c r="M1" s="672" t="str">
        <f>'Artikel-DB'!M3</f>
        <v>820-2-1</v>
      </c>
      <c r="N1" s="672" t="str">
        <f>'Artikel-DB'!N3</f>
        <v>820-3</v>
      </c>
      <c r="O1" s="672" t="str">
        <f>'Artikel-DB'!O3</f>
        <v>820-3-1</v>
      </c>
      <c r="P1" s="672" t="str">
        <f>'Artikel-DB'!P3</f>
        <v>820-1-5</v>
      </c>
      <c r="Q1" s="672" t="str">
        <f>'Artikel-DB'!Q3</f>
        <v>820-2-5</v>
      </c>
      <c r="R1" s="672" t="str">
        <f>'Artikel-DB'!R3</f>
        <v>820-3-5</v>
      </c>
      <c r="S1" s="672" t="str">
        <f>'Artikel-DB'!S3</f>
        <v>812-1</v>
      </c>
      <c r="T1" s="672" t="str">
        <f>'Artikel-DB'!T3</f>
        <v>817-2-1</v>
      </c>
      <c r="U1" s="672" t="str">
        <f>'Artikel-DB'!U3</f>
        <v>816-3-1</v>
      </c>
      <c r="V1" s="672" t="str">
        <f>'Artikel-DB'!V3</f>
        <v>x</v>
      </c>
      <c r="W1" s="672" t="str">
        <f>'Artikel-DB'!W3</f>
        <v>x</v>
      </c>
      <c r="X1" s="672" t="str">
        <f>'Artikel-DB'!X3</f>
        <v>x</v>
      </c>
      <c r="Y1" s="672" t="str">
        <f>'Artikel-DB'!Y3</f>
        <v>x</v>
      </c>
      <c r="Z1" s="672" t="str">
        <f>'Artikel-DB'!Z3</f>
        <v>x</v>
      </c>
      <c r="AA1" s="672" t="str">
        <f>'Artikel-DB'!AA3</f>
        <v>x</v>
      </c>
      <c r="AB1" s="672" t="str">
        <f>'Artikel-DB'!AB3</f>
        <v>x</v>
      </c>
      <c r="AC1" s="672" t="s">
        <v>33</v>
      </c>
      <c r="AD1" s="672" t="str">
        <f>'Artikel-DB'!AD3</f>
        <v>x</v>
      </c>
      <c r="AE1" s="672" t="str">
        <f>'Artikel-DB'!AE3</f>
        <v>x</v>
      </c>
      <c r="AF1" s="672" t="str">
        <f>'Artikel-DB'!AF3</f>
        <v>x</v>
      </c>
      <c r="AG1" s="672" t="str">
        <f>'Artikel-DB'!AG3</f>
        <v>x</v>
      </c>
      <c r="AH1" s="672" t="str">
        <f>'Artikel-DB'!AH3</f>
        <v>x</v>
      </c>
      <c r="AI1" s="672" t="str">
        <f>'Artikel-DB'!AI3</f>
        <v>x</v>
      </c>
      <c r="AJ1" s="672" t="str">
        <f>'Artikel-DB'!AJ3</f>
        <v>x</v>
      </c>
      <c r="AK1" s="672" t="str">
        <f>'Artikel-DB'!AK3</f>
        <v>x</v>
      </c>
      <c r="AL1" s="672" t="str">
        <f>'Artikel-DB'!AL3</f>
        <v>x</v>
      </c>
      <c r="AM1" s="672" t="str">
        <f>'Artikel-DB'!AM3</f>
        <v>x</v>
      </c>
      <c r="AN1" s="672" t="str">
        <f>'Artikel-DB'!AN3</f>
        <v>x</v>
      </c>
      <c r="AO1" s="672" t="str">
        <f>'Artikel-DB'!AO3</f>
        <v>x</v>
      </c>
      <c r="AP1" s="672" t="str">
        <f>'Artikel-DB'!AP3</f>
        <v>x</v>
      </c>
      <c r="AQ1" s="672" t="str">
        <f>'Artikel-DB'!AQ3</f>
        <v>x</v>
      </c>
      <c r="AR1" s="672" t="str">
        <f>'Artikel-DB'!AR3</f>
        <v>x</v>
      </c>
      <c r="AS1" s="672" t="str">
        <f>'Artikel-DB'!AS3</f>
        <v>x</v>
      </c>
      <c r="AT1" s="672" t="str">
        <f>'Artikel-DB'!AT3</f>
        <v>x</v>
      </c>
      <c r="AU1" s="672" t="str">
        <f>'Artikel-DB'!AU3</f>
        <v>x</v>
      </c>
      <c r="AV1" s="672" t="str">
        <f>'Artikel-DB'!AV3</f>
        <v>x</v>
      </c>
      <c r="AW1" s="672" t="str">
        <f>'Artikel-DB'!AW3</f>
        <v>x</v>
      </c>
      <c r="AX1" s="672" t="str">
        <f>'Artikel-DB'!AX3</f>
        <v>x</v>
      </c>
      <c r="AY1" s="672" t="str">
        <f>'Artikel-DB'!AY3</f>
        <v>x</v>
      </c>
      <c r="AZ1" s="672" t="str">
        <f>'Artikel-DB'!AZ3</f>
        <v>x</v>
      </c>
      <c r="BA1" s="672" t="str">
        <f>'Artikel-DB'!BA3</f>
        <v>x</v>
      </c>
      <c r="BB1" s="672" t="str">
        <f>'Artikel-DB'!BB3</f>
        <v>x</v>
      </c>
      <c r="BC1" s="672" t="str">
        <f>'Artikel-DB'!BC3</f>
        <v>x</v>
      </c>
      <c r="BD1" s="672" t="str">
        <f>'Artikel-DB'!BD3</f>
        <v>x</v>
      </c>
      <c r="BE1" s="672" t="str">
        <f>'Artikel-DB'!BE3</f>
        <v>x</v>
      </c>
      <c r="BF1" s="672" t="str">
        <f>'Artikel-DB'!BF3</f>
        <v>x</v>
      </c>
      <c r="BG1" s="672" t="str">
        <f>'Artikel-DB'!BG3</f>
        <v>x</v>
      </c>
      <c r="BH1" s="672" t="str">
        <f>'Artikel-DB'!BH3</f>
        <v>x</v>
      </c>
      <c r="BI1" s="672" t="str">
        <f>'Artikel-DB'!BI3</f>
        <v>x</v>
      </c>
      <c r="BJ1" s="672" t="str">
        <f>'Artikel-DB'!BJ3</f>
        <v>x</v>
      </c>
      <c r="BK1" s="672" t="str">
        <f>'Artikel-DB'!BK3</f>
        <v>x</v>
      </c>
      <c r="BL1" s="672" t="str">
        <f>'Artikel-DB'!BL3</f>
        <v>x</v>
      </c>
      <c r="BM1" s="672" t="str">
        <f>'Artikel-DB'!BM3</f>
        <v>x</v>
      </c>
      <c r="BN1" s="672" t="str">
        <f>'Artikel-DB'!BN3</f>
        <v>x</v>
      </c>
      <c r="BO1" s="672" t="str">
        <f>'Artikel-DB'!BO3</f>
        <v>x</v>
      </c>
      <c r="BP1" s="672" t="str">
        <f>'Artikel-DB'!BP3</f>
        <v>x</v>
      </c>
      <c r="BQ1" s="672" t="str">
        <f>'Artikel-DB'!BQ3</f>
        <v>x</v>
      </c>
      <c r="BR1" s="672" t="str">
        <f>'Artikel-DB'!BR3</f>
        <v>x</v>
      </c>
      <c r="BS1" s="672" t="str">
        <f>'Artikel-DB'!BS3</f>
        <v>x</v>
      </c>
      <c r="BT1" s="672" t="str">
        <f>'Artikel-DB'!BT3</f>
        <v>x</v>
      </c>
      <c r="BU1" s="672" t="str">
        <f>'Artikel-DB'!BU3</f>
        <v>x</v>
      </c>
      <c r="BV1" s="672" t="str">
        <f>'Artikel-DB'!BV3</f>
        <v>x</v>
      </c>
      <c r="BW1" s="672" t="str">
        <f>'Artikel-DB'!BW3</f>
        <v>x</v>
      </c>
      <c r="BX1" s="672" t="str">
        <f>'Artikel-DB'!BX3</f>
        <v>x</v>
      </c>
      <c r="BY1" s="672" t="str">
        <f>'Artikel-DB'!BY3</f>
        <v>x</v>
      </c>
      <c r="BZ1" s="672" t="str">
        <f>'Artikel-DB'!BZ3</f>
        <v>x</v>
      </c>
      <c r="CA1" s="672" t="str">
        <f>'Artikel-DB'!CA3</f>
        <v>x</v>
      </c>
      <c r="CB1" s="672" t="str">
        <f>'Artikel-DB'!CB3</f>
        <v>x</v>
      </c>
      <c r="CC1" s="672" t="str">
        <f>'Artikel-DB'!CC3</f>
        <v>x</v>
      </c>
      <c r="CD1" s="672" t="str">
        <f>'Artikel-DB'!CD3</f>
        <v>x</v>
      </c>
      <c r="CE1" s="672" t="str">
        <f>'Artikel-DB'!CE3</f>
        <v>x</v>
      </c>
      <c r="CF1" s="672" t="str">
        <f>'Artikel-DB'!CF3</f>
        <v>x</v>
      </c>
      <c r="CG1" s="672" t="str">
        <f>'Artikel-DB'!CG3</f>
        <v>x</v>
      </c>
      <c r="CH1" s="672" t="str">
        <f>'Artikel-DB'!CH3</f>
        <v>x</v>
      </c>
      <c r="CI1" s="672" t="str">
        <f>'Artikel-DB'!CI3</f>
        <v>x</v>
      </c>
      <c r="CJ1" s="672" t="str">
        <f>'Artikel-DB'!CJ3</f>
        <v>x</v>
      </c>
      <c r="CK1" s="672" t="str">
        <f>'Artikel-DB'!CK3</f>
        <v>x</v>
      </c>
      <c r="CL1" s="672" t="str">
        <f>'Artikel-DB'!CL3</f>
        <v>x</v>
      </c>
      <c r="CM1" s="672" t="str">
        <f>'Artikel-DB'!CM3</f>
        <v>x</v>
      </c>
      <c r="CN1" s="672" t="str">
        <f>'Artikel-DB'!CN3</f>
        <v>x</v>
      </c>
      <c r="CO1" s="672" t="str">
        <f>'Artikel-DB'!CO3</f>
        <v>x</v>
      </c>
      <c r="CP1" s="672" t="str">
        <f>'Artikel-DB'!CP3</f>
        <v>x</v>
      </c>
      <c r="CQ1" s="672" t="str">
        <f>'Artikel-DB'!CQ3</f>
        <v>x</v>
      </c>
      <c r="CR1" s="672" t="str">
        <f>'Artikel-DB'!CR3</f>
        <v>x</v>
      </c>
      <c r="CS1" s="672" t="str">
        <f>'Artikel-DB'!CS3</f>
        <v>x</v>
      </c>
      <c r="CT1" s="672" t="str">
        <f>'Artikel-DB'!CT3</f>
        <v>x</v>
      </c>
      <c r="CU1" s="672" t="str">
        <f>'Artikel-DB'!CU3</f>
        <v>x</v>
      </c>
      <c r="CV1" s="672" t="str">
        <f>'Artikel-DB'!CV3</f>
        <v>x</v>
      </c>
      <c r="CW1" s="672" t="str">
        <f>'Artikel-DB'!CW3</f>
        <v>x</v>
      </c>
      <c r="CX1" s="672" t="str">
        <f>'Artikel-DB'!CX3</f>
        <v>x</v>
      </c>
      <c r="CY1" s="672" t="str">
        <f>'Artikel-DB'!CY3</f>
        <v>x</v>
      </c>
      <c r="CZ1" s="672" t="str">
        <f>'Artikel-DB'!CZ3</f>
        <v>x</v>
      </c>
      <c r="DA1" s="672" t="str">
        <f>'Artikel-DB'!DA3</f>
        <v>x</v>
      </c>
      <c r="DB1" s="672" t="str">
        <f>'Artikel-DB'!DB3</f>
        <v>x</v>
      </c>
      <c r="DC1" s="672" t="str">
        <f>'Artikel-DB'!DC3</f>
        <v>x</v>
      </c>
      <c r="DD1" s="672" t="str">
        <f>'Artikel-DB'!DD3</f>
        <v>x</v>
      </c>
      <c r="DE1" s="672" t="str">
        <f>'Artikel-DB'!DE3</f>
        <v>x</v>
      </c>
      <c r="DF1" s="672" t="str">
        <f>'Artikel-DB'!DF3</f>
        <v>x</v>
      </c>
      <c r="DG1" s="672" t="str">
        <f>'Artikel-DB'!DG3</f>
        <v>x</v>
      </c>
      <c r="DH1" s="672" t="str">
        <f>'Artikel-DB'!DH3</f>
        <v>x</v>
      </c>
      <c r="DI1" s="672" t="str">
        <f>'Artikel-DB'!DI3</f>
        <v>x</v>
      </c>
      <c r="DJ1" s="672" t="str">
        <f>'Artikel-DB'!DJ3</f>
        <v>x</v>
      </c>
      <c r="DK1" s="672" t="str">
        <f>'Artikel-DB'!DK3</f>
        <v>x</v>
      </c>
      <c r="DL1" s="672" t="str">
        <f>'Artikel-DB'!DL3</f>
        <v>x</v>
      </c>
      <c r="DM1" s="672" t="str">
        <f>'Artikel-DB'!DM3</f>
        <v>x</v>
      </c>
      <c r="DN1" s="672" t="str">
        <f>'Artikel-DB'!DN3</f>
        <v>x</v>
      </c>
      <c r="DO1" s="672" t="str">
        <f>'Artikel-DB'!DO3</f>
        <v>x</v>
      </c>
      <c r="DP1" s="672" t="str">
        <f>'Artikel-DB'!DP3</f>
        <v>x</v>
      </c>
      <c r="DQ1" s="672" t="str">
        <f>'Artikel-DB'!DQ3</f>
        <v>x</v>
      </c>
      <c r="DR1" s="672" t="str">
        <f>'Artikel-DB'!DR3</f>
        <v>x</v>
      </c>
      <c r="DS1" s="672" t="str">
        <f>'Artikel-DB'!DS3</f>
        <v>x</v>
      </c>
      <c r="DT1" s="672" t="str">
        <f>'Artikel-DB'!DT3</f>
        <v>x</v>
      </c>
      <c r="DU1" s="672" t="str">
        <f>'Artikel-DB'!DU3</f>
        <v>x</v>
      </c>
      <c r="DV1" s="672" t="str">
        <f>'Artikel-DB'!DV3</f>
        <v>x</v>
      </c>
      <c r="DW1" s="672" t="str">
        <f>'Artikel-DB'!DW3</f>
        <v>x</v>
      </c>
      <c r="DX1" s="672" t="str">
        <f>'Artikel-DB'!DX3</f>
        <v>x</v>
      </c>
      <c r="DY1" s="672" t="str">
        <f>'Artikel-DB'!DY3</f>
        <v>x</v>
      </c>
      <c r="DZ1" s="672" t="str">
        <f>'Artikel-DB'!DZ3</f>
        <v>x</v>
      </c>
      <c r="EA1" s="672" t="str">
        <f>'Artikel-DB'!EA3</f>
        <v>x</v>
      </c>
      <c r="EB1" s="672" t="str">
        <f>'Artikel-DB'!EB3</f>
        <v>x</v>
      </c>
      <c r="EC1" s="672" t="str">
        <f>'Artikel-DB'!EC3</f>
        <v>x</v>
      </c>
      <c r="ED1" s="672" t="str">
        <f>'Artikel-DB'!ED3</f>
        <v>x</v>
      </c>
      <c r="EE1" s="672" t="str">
        <f>'Artikel-DB'!EE3</f>
        <v>x</v>
      </c>
      <c r="EF1" s="672" t="str">
        <f>'Artikel-DB'!EF3</f>
        <v>x</v>
      </c>
      <c r="EG1" s="672" t="str">
        <f>'Artikel-DB'!EG3</f>
        <v>x</v>
      </c>
      <c r="EH1" s="672" t="str">
        <f>'Artikel-DB'!EH3</f>
        <v>x</v>
      </c>
      <c r="EI1" s="672" t="str">
        <f>'Artikel-DB'!EI3</f>
        <v>x</v>
      </c>
      <c r="EJ1" s="672" t="str">
        <f>'Artikel-DB'!EJ3</f>
        <v>x</v>
      </c>
      <c r="EK1" s="672" t="str">
        <f>'Artikel-DB'!EK3</f>
        <v>x</v>
      </c>
      <c r="EL1" s="672" t="str">
        <f>'Artikel-DB'!EL3</f>
        <v>x</v>
      </c>
      <c r="EM1" s="672" t="str">
        <f>'Artikel-DB'!EM3</f>
        <v>x</v>
      </c>
      <c r="EN1" s="672" t="str">
        <f>'Artikel-DB'!EN3</f>
        <v>x</v>
      </c>
      <c r="EO1" s="672" t="str">
        <f>'Artikel-DB'!EO3</f>
        <v>x</v>
      </c>
      <c r="EP1" s="672" t="str">
        <f>'Artikel-DB'!EP3</f>
        <v>x</v>
      </c>
      <c r="EQ1" s="672" t="str">
        <f>'Artikel-DB'!EQ3</f>
        <v>x</v>
      </c>
      <c r="ER1" s="672" t="str">
        <f>'Artikel-DB'!ER3</f>
        <v>x</v>
      </c>
      <c r="ES1" s="672" t="str">
        <f>'Artikel-DB'!ES3</f>
        <v>x</v>
      </c>
      <c r="ET1" s="672" t="str">
        <f>'Artikel-DB'!ET3</f>
        <v>x</v>
      </c>
      <c r="EU1" s="672" t="str">
        <f>'Artikel-DB'!EU3</f>
        <v>x</v>
      </c>
      <c r="EV1" s="672" t="str">
        <f>'Artikel-DB'!EV3</f>
        <v>x</v>
      </c>
      <c r="EW1" s="672" t="str">
        <f>'Artikel-DB'!EW3</f>
        <v>x</v>
      </c>
      <c r="EX1" s="672" t="str">
        <f>'Artikel-DB'!EX3</f>
        <v>x</v>
      </c>
      <c r="EY1" s="672" t="str">
        <f>'Artikel-DB'!EY3</f>
        <v>x</v>
      </c>
      <c r="EZ1" s="672" t="str">
        <f>'Artikel-DB'!EZ3</f>
        <v>x</v>
      </c>
      <c r="FA1" s="672" t="str">
        <f>'Artikel-DB'!FA3</f>
        <v>x</v>
      </c>
      <c r="FB1" s="672" t="str">
        <f>'Artikel-DB'!FB3</f>
        <v>x</v>
      </c>
      <c r="FC1" s="672" t="str">
        <f>'Artikel-DB'!FC3</f>
        <v>x</v>
      </c>
      <c r="FD1" s="672" t="str">
        <f>'Artikel-DB'!FD3</f>
        <v>x</v>
      </c>
      <c r="FE1" s="672" t="str">
        <f>'Artikel-DB'!FE3</f>
        <v>x</v>
      </c>
      <c r="FF1" s="672" t="str">
        <f>'Artikel-DB'!FF3</f>
        <v>x</v>
      </c>
      <c r="FG1" s="672" t="str">
        <f>'Artikel-DB'!FG3</f>
        <v>x</v>
      </c>
      <c r="FH1" s="672" t="str">
        <f>'Artikel-DB'!FH3</f>
        <v>x</v>
      </c>
      <c r="FI1" s="672" t="str">
        <f>'Artikel-DB'!FI3</f>
        <v>x</v>
      </c>
      <c r="FJ1" s="672" t="str">
        <f>'Artikel-DB'!FJ3</f>
        <v>x</v>
      </c>
      <c r="FK1" s="672" t="str">
        <f>'Artikel-DB'!FK3</f>
        <v>x</v>
      </c>
      <c r="FL1" s="672" t="str">
        <f>'Artikel-DB'!FL3</f>
        <v>x</v>
      </c>
      <c r="FM1" s="672" t="str">
        <f>'Artikel-DB'!FM3</f>
        <v>x</v>
      </c>
      <c r="FN1" s="672" t="str">
        <f>'Artikel-DB'!FN3</f>
        <v>x</v>
      </c>
      <c r="FO1" s="672" t="str">
        <f>'Artikel-DB'!FO3</f>
        <v>x</v>
      </c>
      <c r="FP1" s="672" t="str">
        <f>'Artikel-DB'!FP3</f>
        <v>x</v>
      </c>
      <c r="FQ1" s="672" t="str">
        <f>'Artikel-DB'!FQ3</f>
        <v>x</v>
      </c>
      <c r="FR1" s="672" t="str">
        <f>'Artikel-DB'!FR3</f>
        <v>x</v>
      </c>
      <c r="FS1" s="672" t="str">
        <f>'Artikel-DB'!FS3</f>
        <v>x</v>
      </c>
      <c r="FT1" s="672" t="str">
        <f>'Artikel-DB'!FT3</f>
        <v>x</v>
      </c>
      <c r="FU1" s="672" t="str">
        <f>'Artikel-DB'!FU3</f>
        <v>x</v>
      </c>
      <c r="FV1" s="672" t="str">
        <f>'Artikel-DB'!FV3</f>
        <v>x</v>
      </c>
      <c r="FW1" s="672" t="str">
        <f>'Artikel-DB'!FW3</f>
        <v>x</v>
      </c>
      <c r="FX1" s="672" t="str">
        <f>'Artikel-DB'!FX3</f>
        <v>x</v>
      </c>
      <c r="FY1" s="672" t="str">
        <f>'Artikel-DB'!FY3</f>
        <v>x</v>
      </c>
      <c r="FZ1" s="672" t="str">
        <f>'Artikel-DB'!FZ3</f>
        <v>x</v>
      </c>
      <c r="GA1" s="672" t="str">
        <f>'Artikel-DB'!GA3</f>
        <v>x</v>
      </c>
      <c r="GB1" s="672" t="str">
        <f>'Artikel-DB'!GB3</f>
        <v>x</v>
      </c>
      <c r="GC1" s="672" t="str">
        <f>'Artikel-DB'!GC3</f>
        <v>x</v>
      </c>
      <c r="GD1" s="672" t="str">
        <f>'Artikel-DB'!GD3</f>
        <v>x</v>
      </c>
      <c r="GE1" s="672" t="str">
        <f>'Artikel-DB'!GE3</f>
        <v>x</v>
      </c>
      <c r="GF1" s="672" t="str">
        <f>'Artikel-DB'!GF3</f>
        <v>x</v>
      </c>
      <c r="GG1" s="672" t="str">
        <f>'Artikel-DB'!GG3</f>
        <v>x</v>
      </c>
      <c r="GH1" s="672" t="str">
        <f>'Artikel-DB'!GH3</f>
        <v>x</v>
      </c>
      <c r="GI1" s="672" t="str">
        <f>'Artikel-DB'!GI3</f>
        <v>x</v>
      </c>
      <c r="GJ1" s="672" t="str">
        <f>'Artikel-DB'!GJ3</f>
        <v>x</v>
      </c>
      <c r="GK1" s="672" t="str">
        <f>'Artikel-DB'!GK3</f>
        <v>x</v>
      </c>
      <c r="GL1" s="672" t="str">
        <f>'Artikel-DB'!GL3</f>
        <v>x</v>
      </c>
      <c r="GM1" s="672" t="str">
        <f>'Artikel-DB'!GM3</f>
        <v>x</v>
      </c>
      <c r="GN1" s="672" t="str">
        <f>'Artikel-DB'!GN3</f>
        <v>x</v>
      </c>
      <c r="GO1" s="672" t="str">
        <f>'Artikel-DB'!GO3</f>
        <v>x</v>
      </c>
      <c r="GP1" s="672" t="str">
        <f>'Artikel-DB'!GP3</f>
        <v>x</v>
      </c>
      <c r="GQ1" s="672" t="str">
        <f>'Artikel-DB'!GQ3</f>
        <v>x</v>
      </c>
      <c r="GR1" s="672" t="str">
        <f>'Artikel-DB'!GR3</f>
        <v>x</v>
      </c>
      <c r="GS1" s="672" t="str">
        <f>'Artikel-DB'!GS3</f>
        <v>x</v>
      </c>
      <c r="GT1" s="672" t="str">
        <f>'Artikel-DB'!GT3</f>
        <v>x</v>
      </c>
      <c r="GU1" s="672" t="str">
        <f>'Artikel-DB'!GU3</f>
        <v>x</v>
      </c>
      <c r="GV1" s="672" t="str">
        <f>'Artikel-DB'!GV3</f>
        <v>x</v>
      </c>
      <c r="GW1" s="672" t="str">
        <f>'Artikel-DB'!GW3</f>
        <v>x</v>
      </c>
      <c r="GX1" s="672" t="str">
        <f>'Artikel-DB'!GX3</f>
        <v>x</v>
      </c>
      <c r="GY1" s="672" t="str">
        <f>'Artikel-DB'!GY3</f>
        <v>x</v>
      </c>
      <c r="GZ1" s="672" t="str">
        <f>'Artikel-DB'!GZ3</f>
        <v>x</v>
      </c>
      <c r="HA1" s="672" t="str">
        <f>'Artikel-DB'!HA3</f>
        <v>x</v>
      </c>
      <c r="HB1" s="672" t="str">
        <f>'Artikel-DB'!HB3</f>
        <v>x</v>
      </c>
      <c r="HC1" s="672" t="str">
        <f>'Artikel-DB'!HC3</f>
        <v>x</v>
      </c>
      <c r="HD1" s="672" t="str">
        <f>'Artikel-DB'!HD3</f>
        <v>x</v>
      </c>
      <c r="HE1" s="672" t="str">
        <f>'Artikel-DB'!HE3</f>
        <v>x</v>
      </c>
      <c r="HF1" s="672" t="str">
        <f>'Artikel-DB'!HF3</f>
        <v>x</v>
      </c>
      <c r="HG1" s="672" t="str">
        <f>'Artikel-DB'!HG3</f>
        <v>x</v>
      </c>
      <c r="HH1" s="672" t="str">
        <f>'Artikel-DB'!HH3</f>
        <v>x</v>
      </c>
      <c r="HI1" s="672" t="str">
        <f>'Artikel-DB'!HI3</f>
        <v>x</v>
      </c>
      <c r="HJ1" s="672" t="str">
        <f>'Artikel-DB'!HJ3</f>
        <v>x</v>
      </c>
      <c r="HK1" s="672" t="str">
        <f>'Artikel-DB'!HK3</f>
        <v>x</v>
      </c>
      <c r="HL1" s="672" t="str">
        <f>'Artikel-DB'!HL3</f>
        <v>x</v>
      </c>
      <c r="HM1" s="672" t="str">
        <f>'Artikel-DB'!HM3</f>
        <v>x</v>
      </c>
      <c r="HN1" s="672" t="str">
        <f>'Artikel-DB'!HN3</f>
        <v>x</v>
      </c>
      <c r="HO1" s="672" t="str">
        <f>'Artikel-DB'!HO3</f>
        <v>x</v>
      </c>
      <c r="HP1" s="672" t="str">
        <f>'Artikel-DB'!HP3</f>
        <v>x</v>
      </c>
      <c r="HQ1" s="672" t="str">
        <f>'Artikel-DB'!HQ3</f>
        <v>x</v>
      </c>
      <c r="HR1" s="672" t="str">
        <f>'Artikel-DB'!HR3</f>
        <v>x</v>
      </c>
      <c r="HS1" s="672" t="str">
        <f>'Artikel-DB'!HS3</f>
        <v>x</v>
      </c>
      <c r="HT1" s="672" t="str">
        <f>'Artikel-DB'!HT3</f>
        <v>x</v>
      </c>
      <c r="HU1" s="672" t="str">
        <f>'Artikel-DB'!HU3</f>
        <v>x</v>
      </c>
      <c r="HV1" s="672" t="str">
        <f>'Artikel-DB'!HV3</f>
        <v>x</v>
      </c>
      <c r="HW1" s="672" t="str">
        <f>'Artikel-DB'!HW3</f>
        <v>x</v>
      </c>
      <c r="HX1" s="672" t="str">
        <f>'Artikel-DB'!HX3</f>
        <v>x</v>
      </c>
      <c r="HY1" s="672" t="str">
        <f>'Artikel-DB'!HY3</f>
        <v>x</v>
      </c>
      <c r="HZ1" s="672" t="str">
        <f>'Artikel-DB'!HZ3</f>
        <v>x</v>
      </c>
      <c r="IA1" s="672" t="str">
        <f>'Artikel-DB'!IA3</f>
        <v>x</v>
      </c>
      <c r="IB1" s="672" t="str">
        <f>'Artikel-DB'!IB3</f>
        <v>x</v>
      </c>
      <c r="IC1" s="672" t="str">
        <f>'Artikel-DB'!IC3</f>
        <v>x</v>
      </c>
      <c r="ID1" s="672" t="str">
        <f>'Artikel-DB'!ID3</f>
        <v>x</v>
      </c>
      <c r="IE1" s="672" t="str">
        <f>'Artikel-DB'!IE3</f>
        <v>x</v>
      </c>
      <c r="IF1" s="672" t="str">
        <f>'Artikel-DB'!IF3</f>
        <v>x</v>
      </c>
      <c r="IG1" s="672" t="str">
        <f>'Artikel-DB'!IG3</f>
        <v>x</v>
      </c>
      <c r="IH1" s="672" t="str">
        <f>'Artikel-DB'!IH3</f>
        <v>x</v>
      </c>
      <c r="II1" s="672" t="str">
        <f>'Artikel-DB'!II3</f>
        <v>x</v>
      </c>
      <c r="IJ1" s="672" t="str">
        <f>'Artikel-DB'!IJ3</f>
        <v>x</v>
      </c>
      <c r="IK1" s="672" t="str">
        <f>'Artikel-DB'!IK3</f>
        <v>x</v>
      </c>
      <c r="IL1" s="672" t="str">
        <f>'Artikel-DB'!IL3</f>
        <v>x</v>
      </c>
      <c r="IM1" s="672" t="str">
        <f>'Artikel-DB'!IM3</f>
        <v>x</v>
      </c>
      <c r="IN1" s="672" t="str">
        <f>'Artikel-DB'!IN3</f>
        <v>x</v>
      </c>
      <c r="IO1" s="672" t="str">
        <f>'Artikel-DB'!IO3</f>
        <v>x</v>
      </c>
      <c r="IP1" s="672" t="str">
        <f>'Artikel-DB'!IP3</f>
        <v>x</v>
      </c>
      <c r="IQ1" s="672" t="str">
        <f>'Artikel-DB'!IQ3</f>
        <v>x</v>
      </c>
      <c r="IR1" s="672" t="str">
        <f>'Artikel-DB'!IR3</f>
        <v>x</v>
      </c>
      <c r="IS1" s="672" t="str">
        <f>'Artikel-DB'!IS3</f>
        <v>x</v>
      </c>
      <c r="IT1" s="672" t="str">
        <f>'Artikel-DB'!IT3</f>
        <v>x</v>
      </c>
      <c r="IU1" s="672" t="str">
        <f>'Artikel-DB'!IU3</f>
        <v>x</v>
      </c>
      <c r="IV1" s="672" t="str">
        <f>'Artikel-DB'!IV3</f>
        <v>x</v>
      </c>
      <c r="IW1" s="672" t="str">
        <f>'Artikel-DB'!IW3</f>
        <v>x</v>
      </c>
      <c r="IX1" s="672" t="str">
        <f>'Artikel-DB'!IX3</f>
        <v>x</v>
      </c>
      <c r="IY1" s="672" t="str">
        <f>'Artikel-DB'!IY3</f>
        <v>x</v>
      </c>
      <c r="IZ1" s="672" t="str">
        <f>'Artikel-DB'!IZ3</f>
        <v>x</v>
      </c>
      <c r="JA1" s="672" t="str">
        <f>'Artikel-DB'!JA3</f>
        <v>x</v>
      </c>
      <c r="JB1" s="672" t="str">
        <f>'Artikel-DB'!JB3</f>
        <v>x</v>
      </c>
      <c r="JC1" s="672" t="str">
        <f>'Artikel-DB'!JC3</f>
        <v>x</v>
      </c>
      <c r="JD1" s="672" t="str">
        <f>'Artikel-DB'!JD3</f>
        <v>x</v>
      </c>
      <c r="JE1" s="672" t="str">
        <f>'Artikel-DB'!JE3</f>
        <v>x</v>
      </c>
      <c r="JF1" s="672" t="str">
        <f>'Artikel-DB'!JF3</f>
        <v>x</v>
      </c>
      <c r="JG1" s="672" t="str">
        <f>'Artikel-DB'!JG3</f>
        <v>x</v>
      </c>
      <c r="JH1" s="672" t="str">
        <f>'Artikel-DB'!JH3</f>
        <v>x</v>
      </c>
      <c r="JI1" s="672" t="str">
        <f>'Artikel-DB'!JI3</f>
        <v>x</v>
      </c>
      <c r="JJ1" s="672" t="str">
        <f>'Artikel-DB'!JJ3</f>
        <v>x</v>
      </c>
      <c r="JK1" s="672" t="str">
        <f>'Artikel-DB'!JK3</f>
        <v>x</v>
      </c>
      <c r="JL1" s="672" t="str">
        <f>'Artikel-DB'!JL3</f>
        <v>x</v>
      </c>
      <c r="JM1" s="672" t="str">
        <f>'Artikel-DB'!JM3</f>
        <v>x</v>
      </c>
      <c r="JN1" s="672" t="str">
        <f>'Artikel-DB'!JN3</f>
        <v>x</v>
      </c>
      <c r="JO1" s="672" t="str">
        <f>'Artikel-DB'!JO3</f>
        <v>x</v>
      </c>
      <c r="JP1" s="672" t="str">
        <f>'Artikel-DB'!JP3</f>
        <v>x</v>
      </c>
      <c r="JQ1" s="672" t="str">
        <f>'Artikel-DB'!JQ3</f>
        <v>x</v>
      </c>
      <c r="JR1" s="672" t="str">
        <f>'Artikel-DB'!JR3</f>
        <v>x</v>
      </c>
      <c r="JS1" s="672" t="str">
        <f>'Artikel-DB'!JS3</f>
        <v>x</v>
      </c>
      <c r="JT1" s="672" t="str">
        <f>'Artikel-DB'!JT3</f>
        <v>x</v>
      </c>
      <c r="JU1" s="672" t="str">
        <f>'Artikel-DB'!JU3</f>
        <v>x</v>
      </c>
      <c r="JV1" s="672" t="str">
        <f>'Artikel-DB'!JV3</f>
        <v>x</v>
      </c>
      <c r="JW1" s="672" t="str">
        <f>'Artikel-DB'!JW3</f>
        <v>x</v>
      </c>
      <c r="JX1" s="672" t="str">
        <f>'Artikel-DB'!JX3</f>
        <v>x</v>
      </c>
      <c r="JY1" s="672" t="str">
        <f>'Artikel-DB'!JY3</f>
        <v>x</v>
      </c>
      <c r="JZ1" s="672" t="str">
        <f>'Artikel-DB'!JZ3</f>
        <v>x</v>
      </c>
      <c r="KA1" s="672" t="str">
        <f>'Artikel-DB'!KA3</f>
        <v>x</v>
      </c>
      <c r="KB1" s="672" t="str">
        <f>'Artikel-DB'!KB3</f>
        <v>x</v>
      </c>
      <c r="KC1" s="672" t="str">
        <f>'Artikel-DB'!KC3</f>
        <v>x</v>
      </c>
      <c r="KD1" s="672" t="str">
        <f>'Artikel-DB'!KD3</f>
        <v>x</v>
      </c>
      <c r="KE1" s="672" t="str">
        <f>'Artikel-DB'!KE3</f>
        <v>x</v>
      </c>
      <c r="KF1" s="672" t="str">
        <f>'Artikel-DB'!KF3</f>
        <v>x</v>
      </c>
      <c r="KG1" s="672" t="str">
        <f>'Artikel-DB'!KG3</f>
        <v>x</v>
      </c>
      <c r="KH1" s="672" t="str">
        <f>'Artikel-DB'!KH3</f>
        <v>x</v>
      </c>
      <c r="KI1" s="672" t="str">
        <f>'Artikel-DB'!KI3</f>
        <v>x</v>
      </c>
      <c r="KJ1" s="672" t="str">
        <f>'Artikel-DB'!KJ3</f>
        <v>x</v>
      </c>
      <c r="KK1" s="672" t="str">
        <f>'Artikel-DB'!KK3</f>
        <v>x</v>
      </c>
      <c r="KL1" s="672" t="str">
        <f>'Artikel-DB'!KL3</f>
        <v>x</v>
      </c>
      <c r="KM1" s="672" t="str">
        <f>'Artikel-DB'!KM3</f>
        <v>x</v>
      </c>
      <c r="KN1" s="672" t="str">
        <f>'Artikel-DB'!KN3</f>
        <v>x</v>
      </c>
      <c r="KO1" s="672" t="str">
        <f>'Artikel-DB'!KO3</f>
        <v>x</v>
      </c>
      <c r="KP1" s="672" t="str">
        <f>'Artikel-DB'!KP3</f>
        <v>x</v>
      </c>
      <c r="KQ1" s="672" t="str">
        <f>'Artikel-DB'!KQ3</f>
        <v>x</v>
      </c>
      <c r="KR1" s="672" t="str">
        <f>'Artikel-DB'!KR3</f>
        <v>x</v>
      </c>
      <c r="KS1" s="672" t="str">
        <f>'Artikel-DB'!KS3</f>
        <v>x</v>
      </c>
      <c r="KT1" s="672" t="str">
        <f>'Artikel-DB'!KT3</f>
        <v>x</v>
      </c>
      <c r="KU1" s="672" t="str">
        <f>'Artikel-DB'!KU3</f>
        <v>x</v>
      </c>
      <c r="KV1" s="672" t="str">
        <f>'Artikel-DB'!KV3</f>
        <v>x</v>
      </c>
      <c r="KW1" s="672" t="str">
        <f>'Artikel-DB'!KW3</f>
        <v>x</v>
      </c>
      <c r="KX1" s="672" t="str">
        <f>'Artikel-DB'!KX3</f>
        <v>x</v>
      </c>
      <c r="KY1" s="672" t="str">
        <f>'Artikel-DB'!KY3</f>
        <v>x</v>
      </c>
      <c r="KZ1" s="672" t="str">
        <f>'Artikel-DB'!KZ3</f>
        <v>x</v>
      </c>
      <c r="LA1" s="672" t="str">
        <f>'Artikel-DB'!LA3</f>
        <v>x</v>
      </c>
      <c r="LB1" s="672" t="str">
        <f>'Artikel-DB'!LB3</f>
        <v>x</v>
      </c>
      <c r="LC1" s="672" t="str">
        <f>'Artikel-DB'!LC3</f>
        <v>x</v>
      </c>
      <c r="LD1" s="672" t="str">
        <f>'Artikel-DB'!LD3</f>
        <v>x</v>
      </c>
      <c r="LE1" s="672" t="str">
        <f>'Artikel-DB'!LE3</f>
        <v>x</v>
      </c>
      <c r="LF1" s="672" t="str">
        <f>'Artikel-DB'!LF3</f>
        <v>x</v>
      </c>
      <c r="LG1" s="672" t="str">
        <f>'Artikel-DB'!LG3</f>
        <v>x</v>
      </c>
      <c r="LH1" s="672" t="str">
        <f>'Artikel-DB'!LH3</f>
        <v>x</v>
      </c>
      <c r="LI1" s="672" t="str">
        <f>'Artikel-DB'!LI3</f>
        <v>x</v>
      </c>
      <c r="LJ1" s="672" t="str">
        <f>'Artikel-DB'!LJ3</f>
        <v>x</v>
      </c>
      <c r="LK1" s="672" t="str">
        <f>'Artikel-DB'!LK3</f>
        <v>x</v>
      </c>
      <c r="LL1" s="672" t="str">
        <f>'Artikel-DB'!LL3</f>
        <v>x</v>
      </c>
      <c r="LM1" s="672" t="str">
        <f>'Artikel-DB'!LM3</f>
        <v>x</v>
      </c>
      <c r="LN1" s="672" t="str">
        <f>'Artikel-DB'!LN3</f>
        <v>x</v>
      </c>
      <c r="LO1" s="672" t="str">
        <f>'Artikel-DB'!LO3</f>
        <v>x</v>
      </c>
      <c r="LP1" s="672" t="str">
        <f>'Artikel-DB'!LP3</f>
        <v>x</v>
      </c>
      <c r="LQ1" s="672" t="str">
        <f>'Artikel-DB'!LQ3</f>
        <v>x</v>
      </c>
      <c r="LR1" s="672" t="str">
        <f>'Artikel-DB'!LR3</f>
        <v>x</v>
      </c>
      <c r="LS1" s="672" t="str">
        <f>'Artikel-DB'!LS3</f>
        <v>x</v>
      </c>
      <c r="LT1" s="672" t="str">
        <f>'Artikel-DB'!LT3</f>
        <v>x</v>
      </c>
      <c r="LU1" s="672" t="str">
        <f>'Artikel-DB'!LU3</f>
        <v>x</v>
      </c>
      <c r="LV1" s="672" t="str">
        <f>'Artikel-DB'!LV3</f>
        <v>x</v>
      </c>
      <c r="LW1" s="672" t="str">
        <f>'Artikel-DB'!LW3</f>
        <v>x</v>
      </c>
      <c r="LX1" s="672" t="str">
        <f>'Artikel-DB'!LX3</f>
        <v>x</v>
      </c>
      <c r="LY1" s="672" t="str">
        <f>'Artikel-DB'!LY3</f>
        <v>x</v>
      </c>
      <c r="LZ1" s="672" t="str">
        <f>'Artikel-DB'!LZ3</f>
        <v>x</v>
      </c>
      <c r="MA1" s="672" t="str">
        <f>'Artikel-DB'!MA3</f>
        <v>x</v>
      </c>
      <c r="MB1" s="672" t="str">
        <f>'Artikel-DB'!MB3</f>
        <v>x</v>
      </c>
      <c r="MC1" s="672" t="str">
        <f>'Artikel-DB'!MC3</f>
        <v>x</v>
      </c>
      <c r="MD1" s="672" t="str">
        <f>'Artikel-DB'!MD3</f>
        <v>x</v>
      </c>
      <c r="ME1" s="672" t="str">
        <f>'Artikel-DB'!ME3</f>
        <v>x</v>
      </c>
      <c r="MF1" s="672" t="str">
        <f>'Artikel-DB'!MF3</f>
        <v>x</v>
      </c>
      <c r="MG1" s="672" t="str">
        <f>'Artikel-DB'!MG3</f>
        <v>x</v>
      </c>
      <c r="MH1" s="672" t="str">
        <f>'Artikel-DB'!MH3</f>
        <v>x</v>
      </c>
      <c r="MI1" s="672" t="str">
        <f>'Artikel-DB'!MI3</f>
        <v>x</v>
      </c>
      <c r="MJ1" s="672" t="str">
        <f>'Artikel-DB'!MJ3</f>
        <v>x</v>
      </c>
      <c r="MK1" s="672" t="str">
        <f>'Artikel-DB'!MK3</f>
        <v>x</v>
      </c>
      <c r="ML1" s="672" t="str">
        <f>'Artikel-DB'!ML3</f>
        <v>x</v>
      </c>
      <c r="MM1" s="672" t="str">
        <f>'Artikel-DB'!MM3</f>
        <v>x</v>
      </c>
      <c r="MN1" s="672" t="str">
        <f>'Artikel-DB'!MN3</f>
        <v>x</v>
      </c>
      <c r="MO1" s="672" t="str">
        <f>'Artikel-DB'!MO3</f>
        <v>x</v>
      </c>
      <c r="MP1" s="672" t="str">
        <f>'Artikel-DB'!MP3</f>
        <v>x</v>
      </c>
      <c r="MQ1" s="672" t="str">
        <f>'Artikel-DB'!MQ3</f>
        <v>x</v>
      </c>
      <c r="MR1" s="672" t="str">
        <f>'Artikel-DB'!MR3</f>
        <v>x</v>
      </c>
      <c r="MS1" s="672" t="str">
        <f>'Artikel-DB'!MS3</f>
        <v>x</v>
      </c>
      <c r="MT1" s="672" t="str">
        <f>'Artikel-DB'!MT3</f>
        <v>x</v>
      </c>
      <c r="MU1" s="672" t="str">
        <f>'Artikel-DB'!MU3</f>
        <v>x</v>
      </c>
      <c r="MV1" s="672" t="str">
        <f>'Artikel-DB'!MV3</f>
        <v>x</v>
      </c>
      <c r="MW1" s="672" t="str">
        <f>'Artikel-DB'!MW3</f>
        <v>x</v>
      </c>
      <c r="MX1" s="672" t="str">
        <f>'Artikel-DB'!MX3</f>
        <v>x</v>
      </c>
      <c r="MY1" s="672" t="str">
        <f>'Artikel-DB'!MY3</f>
        <v>x</v>
      </c>
      <c r="MZ1" s="672" t="str">
        <f>'Artikel-DB'!MZ3</f>
        <v>x</v>
      </c>
      <c r="NA1" s="672" t="str">
        <f>'Artikel-DB'!NA3</f>
        <v>x</v>
      </c>
      <c r="NB1" s="672" t="str">
        <f>'Artikel-DB'!NB3</f>
        <v>x</v>
      </c>
      <c r="NC1" s="672" t="str">
        <f>'Artikel-DB'!NC3</f>
        <v>x</v>
      </c>
      <c r="ND1" s="672" t="str">
        <f>'Artikel-DB'!ND3</f>
        <v>x</v>
      </c>
      <c r="NE1" s="672" t="str">
        <f>'Artikel-DB'!NE3</f>
        <v>x</v>
      </c>
      <c r="NF1" s="672" t="str">
        <f>'Artikel-DB'!NF3</f>
        <v>x</v>
      </c>
      <c r="NG1" s="672" t="str">
        <f>'Artikel-DB'!NG3</f>
        <v>x</v>
      </c>
      <c r="NH1" s="672" t="str">
        <f>'Artikel-DB'!NH3</f>
        <v>x</v>
      </c>
      <c r="NI1" s="672" t="str">
        <f>'Artikel-DB'!NI3</f>
        <v>x</v>
      </c>
      <c r="NJ1" s="672" t="str">
        <f>'Artikel-DB'!NJ3</f>
        <v>x</v>
      </c>
      <c r="NK1" s="672" t="str">
        <f>'Artikel-DB'!NK3</f>
        <v>x</v>
      </c>
      <c r="NL1" s="672" t="str">
        <f>'Artikel-DB'!NL3</f>
        <v>x</v>
      </c>
      <c r="NM1" s="672" t="str">
        <f>'Artikel-DB'!NM3</f>
        <v>x</v>
      </c>
      <c r="NN1" s="672" t="str">
        <f>'Artikel-DB'!NN3</f>
        <v>x</v>
      </c>
      <c r="NO1" s="672" t="str">
        <f>'Artikel-DB'!NO3</f>
        <v>x</v>
      </c>
      <c r="NP1" s="672" t="str">
        <f>'Artikel-DB'!NP3</f>
        <v>x</v>
      </c>
      <c r="NQ1" s="672" t="str">
        <f>'Artikel-DB'!NQ3</f>
        <v>x</v>
      </c>
      <c r="NR1" s="672" t="str">
        <f>'Artikel-DB'!NR3</f>
        <v>x</v>
      </c>
      <c r="NS1" s="672" t="str">
        <f>'Artikel-DB'!NS3</f>
        <v>x</v>
      </c>
      <c r="NT1" s="672" t="str">
        <f>'Artikel-DB'!NT3</f>
        <v>x</v>
      </c>
      <c r="NU1" s="672" t="str">
        <f>'Artikel-DB'!NU3</f>
        <v>x</v>
      </c>
      <c r="NV1" s="672" t="str">
        <f>'Artikel-DB'!NV3</f>
        <v>x</v>
      </c>
      <c r="NW1" s="672" t="str">
        <f>'Artikel-DB'!NW3</f>
        <v>x</v>
      </c>
      <c r="NX1" s="672" t="str">
        <f>'Artikel-DB'!NX3</f>
        <v>x</v>
      </c>
      <c r="NY1" s="672" t="str">
        <f>'Artikel-DB'!NY3</f>
        <v>x</v>
      </c>
      <c r="NZ1" s="672" t="str">
        <f>'Artikel-DB'!NZ3</f>
        <v>x</v>
      </c>
      <c r="OA1" s="672" t="str">
        <f>'Artikel-DB'!OA3</f>
        <v>x</v>
      </c>
      <c r="OB1" s="672" t="str">
        <f>'Artikel-DB'!OB3</f>
        <v>x</v>
      </c>
      <c r="OC1" s="672" t="str">
        <f>'Artikel-DB'!OC3</f>
        <v>x</v>
      </c>
      <c r="OD1" s="672" t="str">
        <f>'Artikel-DB'!OD3</f>
        <v>x</v>
      </c>
      <c r="OE1" s="672" t="str">
        <f>'Artikel-DB'!OE3</f>
        <v>x</v>
      </c>
      <c r="OF1" s="672" t="str">
        <f>'Artikel-DB'!OF3</f>
        <v>x</v>
      </c>
      <c r="OG1" s="672" t="str">
        <f>'Artikel-DB'!OG3</f>
        <v>x</v>
      </c>
      <c r="OH1" s="672" t="str">
        <f>'Artikel-DB'!OH3</f>
        <v>x</v>
      </c>
      <c r="OI1" s="672" t="str">
        <f>'Artikel-DB'!OI3</f>
        <v>x</v>
      </c>
      <c r="OJ1" s="672" t="str">
        <f>'Artikel-DB'!OJ3</f>
        <v>x</v>
      </c>
      <c r="OK1" s="672" t="str">
        <f>'Artikel-DB'!OK3</f>
        <v>x</v>
      </c>
      <c r="OL1" s="672" t="str">
        <f>'Artikel-DB'!OL3</f>
        <v>x</v>
      </c>
      <c r="OM1" s="672" t="str">
        <f>'Artikel-DB'!OM3</f>
        <v>x</v>
      </c>
      <c r="ON1" s="672" t="str">
        <f>'Artikel-DB'!ON3</f>
        <v>x</v>
      </c>
      <c r="OO1" s="672" t="str">
        <f>'Artikel-DB'!OO3</f>
        <v>x</v>
      </c>
      <c r="OP1" s="672" t="str">
        <f>'Artikel-DB'!OP3</f>
        <v>x</v>
      </c>
      <c r="OQ1" s="672" t="str">
        <f>'Artikel-DB'!OQ3</f>
        <v>x</v>
      </c>
      <c r="OR1" s="672" t="str">
        <f>'Artikel-DB'!OR3</f>
        <v>x</v>
      </c>
      <c r="OS1" s="672" t="str">
        <f>'Artikel-DB'!OS3</f>
        <v>x</v>
      </c>
      <c r="OT1" s="672" t="str">
        <f>'Artikel-DB'!OT3</f>
        <v>x</v>
      </c>
      <c r="OU1" s="672" t="str">
        <f>'Artikel-DB'!OU3</f>
        <v>x</v>
      </c>
      <c r="OV1" s="672" t="str">
        <f>'Artikel-DB'!OV3</f>
        <v>x</v>
      </c>
      <c r="OW1" s="672" t="str">
        <f>'Artikel-DB'!OW3</f>
        <v>x</v>
      </c>
      <c r="OX1" s="672" t="str">
        <f>'Artikel-DB'!OX3</f>
        <v>x</v>
      </c>
      <c r="OY1" s="672" t="str">
        <f>'Artikel-DB'!OY3</f>
        <v>x</v>
      </c>
      <c r="OZ1" s="672" t="str">
        <f>'Artikel-DB'!OZ3</f>
        <v>x</v>
      </c>
      <c r="PA1" s="672" t="str">
        <f>'Artikel-DB'!PA3</f>
        <v>x</v>
      </c>
      <c r="PB1" s="672" t="str">
        <f>'Artikel-DB'!PB3</f>
        <v>x</v>
      </c>
      <c r="PC1" s="672" t="str">
        <f>'Artikel-DB'!PC3</f>
        <v>x</v>
      </c>
      <c r="PD1" s="672" t="str">
        <f>'Artikel-DB'!PD3</f>
        <v>x</v>
      </c>
      <c r="PE1" s="672" t="str">
        <f>'Artikel-DB'!PE3</f>
        <v>x</v>
      </c>
      <c r="PF1" s="672" t="str">
        <f>'Artikel-DB'!PF3</f>
        <v>x</v>
      </c>
      <c r="PG1" s="672" t="str">
        <f>'Artikel-DB'!PG3</f>
        <v>x</v>
      </c>
      <c r="PH1" s="672" t="str">
        <f>'Artikel-DB'!PH3</f>
        <v>x</v>
      </c>
      <c r="PI1" s="672" t="str">
        <f>'Artikel-DB'!PI3</f>
        <v>x</v>
      </c>
      <c r="PJ1" s="672" t="str">
        <f>'Artikel-DB'!PJ3</f>
        <v>x</v>
      </c>
      <c r="PK1" s="672" t="str">
        <f>'Artikel-DB'!PK3</f>
        <v>x</v>
      </c>
      <c r="PL1" s="672" t="str">
        <f>'Artikel-DB'!PL3</f>
        <v>x</v>
      </c>
      <c r="PM1" s="672" t="str">
        <f>'Artikel-DB'!PM3</f>
        <v>x</v>
      </c>
      <c r="PN1" s="672" t="str">
        <f>'Artikel-DB'!PN3</f>
        <v>x</v>
      </c>
      <c r="PO1" s="672" t="str">
        <f>'Artikel-DB'!PO3</f>
        <v>x</v>
      </c>
      <c r="PP1" s="672" t="str">
        <f>'Artikel-DB'!PP3</f>
        <v>x</v>
      </c>
      <c r="PQ1" s="672" t="str">
        <f>'Artikel-DB'!PQ3</f>
        <v>x</v>
      </c>
      <c r="PR1" s="672" t="str">
        <f>'Artikel-DB'!PR3</f>
        <v>x</v>
      </c>
      <c r="PS1" s="672" t="str">
        <f>'Artikel-DB'!PS3</f>
        <v>x</v>
      </c>
      <c r="PT1" s="672" t="str">
        <f>'Artikel-DB'!PT3</f>
        <v>x</v>
      </c>
      <c r="PU1" s="672" t="str">
        <f>'Artikel-DB'!PU3</f>
        <v>x</v>
      </c>
      <c r="PV1" s="672" t="str">
        <f>'Artikel-DB'!PV3</f>
        <v>x</v>
      </c>
      <c r="PW1" s="672" t="str">
        <f>'Artikel-DB'!PW3</f>
        <v>x</v>
      </c>
      <c r="PX1" s="672" t="str">
        <f>'Artikel-DB'!PX3</f>
        <v>x</v>
      </c>
      <c r="PY1" s="672" t="str">
        <f>'Artikel-DB'!PY3</f>
        <v>x</v>
      </c>
      <c r="PZ1" s="672" t="str">
        <f>'Artikel-DB'!PZ3</f>
        <v>x</v>
      </c>
      <c r="QA1" s="672" t="str">
        <f>'Artikel-DB'!QA3</f>
        <v>x</v>
      </c>
      <c r="QB1" s="672" t="str">
        <f>'Artikel-DB'!QB3</f>
        <v>x</v>
      </c>
      <c r="QC1" s="672" t="str">
        <f>'Artikel-DB'!QC3</f>
        <v>x</v>
      </c>
      <c r="QD1" s="672" t="str">
        <f>'Artikel-DB'!QD3</f>
        <v>x</v>
      </c>
      <c r="QE1" s="672" t="str">
        <f>'Artikel-DB'!QE3</f>
        <v>x</v>
      </c>
      <c r="QF1" s="672" t="str">
        <f>'Artikel-DB'!QF3</f>
        <v>x</v>
      </c>
      <c r="QG1" s="672" t="str">
        <f>'Artikel-DB'!QG3</f>
        <v>x</v>
      </c>
      <c r="QH1" s="672" t="str">
        <f>'Artikel-DB'!QH3</f>
        <v>x</v>
      </c>
      <c r="QI1" s="672" t="str">
        <f>'Artikel-DB'!QI3</f>
        <v>x</v>
      </c>
      <c r="QJ1" s="672" t="str">
        <f>'Artikel-DB'!QJ3</f>
        <v>x</v>
      </c>
      <c r="QK1" s="672" t="str">
        <f>'Artikel-DB'!QK3</f>
        <v>x</v>
      </c>
      <c r="QL1" s="672" t="str">
        <f>'Artikel-DB'!QL3</f>
        <v>x</v>
      </c>
      <c r="QM1" s="672" t="str">
        <f>'Artikel-DB'!QM3</f>
        <v>x</v>
      </c>
      <c r="QN1" s="672" t="str">
        <f>'Artikel-DB'!QN3</f>
        <v>x</v>
      </c>
      <c r="QO1" s="672" t="str">
        <f>'Artikel-DB'!QO3</f>
        <v>x</v>
      </c>
      <c r="QP1" s="672" t="str">
        <f>'Artikel-DB'!QP3</f>
        <v>x</v>
      </c>
      <c r="QQ1" s="672" t="str">
        <f>'Artikel-DB'!QQ3</f>
        <v>x</v>
      </c>
      <c r="QR1" s="672" t="str">
        <f>'Artikel-DB'!QR3</f>
        <v>x</v>
      </c>
      <c r="QS1" s="672" t="str">
        <f>'Artikel-DB'!QS3</f>
        <v>x</v>
      </c>
      <c r="QT1" s="672" t="str">
        <f>'Artikel-DB'!QT3</f>
        <v>x</v>
      </c>
      <c r="QU1" s="672" t="str">
        <f>'Artikel-DB'!QU3</f>
        <v>x</v>
      </c>
      <c r="QV1" s="672" t="str">
        <f>'Artikel-DB'!QV3</f>
        <v>x</v>
      </c>
      <c r="QW1" s="672" t="str">
        <f>'Artikel-DB'!QW3</f>
        <v>x</v>
      </c>
      <c r="QX1" s="672" t="str">
        <f>'Artikel-DB'!QX3</f>
        <v>x</v>
      </c>
      <c r="QY1" s="672" t="str">
        <f>'Artikel-DB'!QY3</f>
        <v>x</v>
      </c>
      <c r="QZ1" s="672" t="str">
        <f>'Artikel-DB'!QZ3</f>
        <v>x</v>
      </c>
      <c r="RA1" s="672" t="str">
        <f>'Artikel-DB'!RA3</f>
        <v>x</v>
      </c>
      <c r="RB1" s="672" t="str">
        <f>'Artikel-DB'!RB3</f>
        <v>x</v>
      </c>
      <c r="RC1" s="672" t="str">
        <f>'Artikel-DB'!RC3</f>
        <v>x</v>
      </c>
      <c r="RD1" s="672" t="str">
        <f>'Artikel-DB'!RD3</f>
        <v>x</v>
      </c>
      <c r="RE1" s="672" t="str">
        <f>'Artikel-DB'!RE3</f>
        <v>x</v>
      </c>
      <c r="RF1" s="672" t="str">
        <f>'Artikel-DB'!RF3</f>
        <v>x</v>
      </c>
      <c r="RG1" s="672" t="str">
        <f>'Artikel-DB'!RG3</f>
        <v>x</v>
      </c>
      <c r="RH1" s="672" t="str">
        <f>'Artikel-DB'!RH3</f>
        <v>x</v>
      </c>
      <c r="RI1" s="672" t="str">
        <f>'Artikel-DB'!RI3</f>
        <v>x</v>
      </c>
      <c r="RJ1" s="672" t="str">
        <f>'Artikel-DB'!RJ3</f>
        <v>x</v>
      </c>
      <c r="RK1" s="672" t="str">
        <f>'Artikel-DB'!RK3</f>
        <v>x</v>
      </c>
      <c r="RL1" s="672" t="str">
        <f>'Artikel-DB'!RL3</f>
        <v>x</v>
      </c>
      <c r="RM1" s="672" t="str">
        <f>'Artikel-DB'!RM3</f>
        <v>x</v>
      </c>
      <c r="RN1" s="672" t="str">
        <f>'Artikel-DB'!RN3</f>
        <v>x</v>
      </c>
      <c r="RO1" s="672" t="str">
        <f>'Artikel-DB'!RO3</f>
        <v>x</v>
      </c>
      <c r="RP1" s="672" t="str">
        <f>'Artikel-DB'!RP3</f>
        <v>x</v>
      </c>
      <c r="RQ1" s="672" t="str">
        <f>'Artikel-DB'!RQ3</f>
        <v>x</v>
      </c>
      <c r="RR1" s="672" t="str">
        <f>'Artikel-DB'!RR3</f>
        <v>x</v>
      </c>
      <c r="RS1" s="672" t="str">
        <f>'Artikel-DB'!RS3</f>
        <v>x</v>
      </c>
      <c r="RT1" s="672" t="str">
        <f>'Artikel-DB'!RT3</f>
        <v>x</v>
      </c>
      <c r="RU1" s="672" t="str">
        <f>'Artikel-DB'!RU3</f>
        <v>x</v>
      </c>
      <c r="RV1" s="672" t="str">
        <f>'Artikel-DB'!RV3</f>
        <v>x</v>
      </c>
      <c r="RW1" s="672" t="str">
        <f>'Artikel-DB'!RW3</f>
        <v>x</v>
      </c>
      <c r="RX1" s="672" t="str">
        <f>'Artikel-DB'!RX3</f>
        <v>x</v>
      </c>
      <c r="RY1" s="672" t="str">
        <f>'Artikel-DB'!RY3</f>
        <v>x</v>
      </c>
      <c r="RZ1" s="672" t="str">
        <f>'Artikel-DB'!RZ3</f>
        <v>x</v>
      </c>
      <c r="SA1" s="672" t="str">
        <f>'Artikel-DB'!SA3</f>
        <v>x</v>
      </c>
      <c r="SB1" s="672" t="str">
        <f>'Artikel-DB'!SB3</f>
        <v>x</v>
      </c>
      <c r="SC1" s="672" t="str">
        <f>'Artikel-DB'!SC3</f>
        <v>x</v>
      </c>
      <c r="SD1" s="672" t="str">
        <f>'Artikel-DB'!SD3</f>
        <v>x</v>
      </c>
      <c r="SE1" s="672" t="str">
        <f>'Artikel-DB'!SE3</f>
        <v>x</v>
      </c>
      <c r="SF1" s="672" t="str">
        <f>'Artikel-DB'!SF3</f>
        <v>x</v>
      </c>
      <c r="SG1" s="672" t="str">
        <f>'Artikel-DB'!SG3</f>
        <v>x</v>
      </c>
      <c r="SH1" s="672" t="str">
        <f>'Artikel-DB'!SH3</f>
        <v>x</v>
      </c>
      <c r="SI1" s="672" t="str">
        <f>'Artikel-DB'!SI3</f>
        <v>x</v>
      </c>
      <c r="SJ1" s="672" t="str">
        <f>'Artikel-DB'!SJ3</f>
        <v>x</v>
      </c>
      <c r="SK1" s="672" t="str">
        <f>'Artikel-DB'!SK3</f>
        <v>x</v>
      </c>
      <c r="SL1" s="672" t="str">
        <f>'Artikel-DB'!SL3</f>
        <v>x</v>
      </c>
      <c r="SM1" s="672" t="str">
        <f>'Artikel-DB'!SM3</f>
        <v>x</v>
      </c>
      <c r="SN1" s="672" t="str">
        <f>'Artikel-DB'!SN3</f>
        <v>x</v>
      </c>
      <c r="SO1" s="672" t="str">
        <f>'Artikel-DB'!SO3</f>
        <v>x</v>
      </c>
      <c r="SP1" s="672" t="str">
        <f>'Artikel-DB'!SP3</f>
        <v>x</v>
      </c>
      <c r="SQ1" s="672" t="str">
        <f>'Artikel-DB'!SQ3</f>
        <v>x</v>
      </c>
      <c r="SR1" s="672" t="str">
        <f>'Artikel-DB'!SR3</f>
        <v>x</v>
      </c>
      <c r="SS1" s="672" t="str">
        <f>'Artikel-DB'!SS3</f>
        <v>x</v>
      </c>
      <c r="ST1" s="672" t="str">
        <f>'Artikel-DB'!ST3</f>
        <v>x</v>
      </c>
      <c r="SU1" s="672" t="str">
        <f>'Artikel-DB'!SU3</f>
        <v>x</v>
      </c>
      <c r="SV1" s="672" t="str">
        <f>'Artikel-DB'!SV3</f>
        <v>x</v>
      </c>
      <c r="SW1" s="672" t="str">
        <f>'Artikel-DB'!SW3</f>
        <v>x</v>
      </c>
      <c r="SX1" s="672" t="str">
        <f>'Artikel-DB'!SX3</f>
        <v>x</v>
      </c>
      <c r="SY1" s="672" t="str">
        <f>'Artikel-DB'!SY3</f>
        <v>x</v>
      </c>
      <c r="SZ1" s="672" t="str">
        <f>'Artikel-DB'!SZ3</f>
        <v>x</v>
      </c>
      <c r="TA1" s="672" t="str">
        <f>'Artikel-DB'!TA3</f>
        <v>x</v>
      </c>
      <c r="TB1" s="672" t="str">
        <f>'Artikel-DB'!TB3</f>
        <v>x</v>
      </c>
      <c r="TC1" s="672" t="str">
        <f>'Artikel-DB'!TC3</f>
        <v>x</v>
      </c>
      <c r="TD1" s="672" t="str">
        <f>'Artikel-DB'!TD3</f>
        <v>x</v>
      </c>
      <c r="TE1" s="672" t="str">
        <f>'Artikel-DB'!TE3</f>
        <v>x</v>
      </c>
      <c r="TF1" s="672" t="str">
        <f>'Artikel-DB'!TF3</f>
        <v>x</v>
      </c>
      <c r="TG1" s="672" t="str">
        <f>'Artikel-DB'!TG3</f>
        <v>x</v>
      </c>
      <c r="TH1" s="672" t="str">
        <f>'Artikel-DB'!TH3</f>
        <v>x</v>
      </c>
      <c r="TI1" s="672" t="str">
        <f>'Artikel-DB'!TI3</f>
        <v>x</v>
      </c>
      <c r="TJ1" s="672" t="str">
        <f>'Artikel-DB'!TJ3</f>
        <v>x</v>
      </c>
      <c r="TK1" s="672" t="str">
        <f>'Artikel-DB'!TK3</f>
        <v>x</v>
      </c>
      <c r="TL1" s="672" t="str">
        <f>'Artikel-DB'!TL3</f>
        <v>x</v>
      </c>
      <c r="TM1" s="672" t="str">
        <f>'Artikel-DB'!TM3</f>
        <v>x</v>
      </c>
      <c r="TN1" s="672" t="str">
        <f>'Artikel-DB'!TN3</f>
        <v>x</v>
      </c>
      <c r="TO1" s="672" t="str">
        <f>'Artikel-DB'!TO3</f>
        <v>x</v>
      </c>
      <c r="TP1" s="672" t="str">
        <f>'Artikel-DB'!TP3</f>
        <v>x</v>
      </c>
      <c r="TQ1" s="672" t="str">
        <f>'Artikel-DB'!TQ3</f>
        <v>x</v>
      </c>
      <c r="TR1" s="672" t="str">
        <f>'Artikel-DB'!TR3</f>
        <v>x</v>
      </c>
      <c r="TS1" s="672" t="str">
        <f>'Artikel-DB'!TS3</f>
        <v>x</v>
      </c>
      <c r="TT1" s="672" t="str">
        <f>'Artikel-DB'!TT3</f>
        <v>x</v>
      </c>
      <c r="TU1" s="672" t="str">
        <f>'Artikel-DB'!TU3</f>
        <v>x</v>
      </c>
      <c r="TV1" s="672" t="str">
        <f>'Artikel-DB'!TV3</f>
        <v>x</v>
      </c>
      <c r="TW1" s="672" t="str">
        <f>'Artikel-DB'!TW3</f>
        <v>x</v>
      </c>
      <c r="TX1" s="672" t="str">
        <f>'Artikel-DB'!TX3</f>
        <v>x</v>
      </c>
      <c r="TY1" s="672" t="str">
        <f>'Artikel-DB'!TY3</f>
        <v>x</v>
      </c>
      <c r="TZ1" s="672" t="str">
        <f>'Artikel-DB'!TZ3</f>
        <v>x</v>
      </c>
      <c r="UA1" s="672" t="str">
        <f>'Artikel-DB'!UA3</f>
        <v>x</v>
      </c>
      <c r="UB1" s="672" t="str">
        <f>'Artikel-DB'!UB3</f>
        <v>x</v>
      </c>
      <c r="UC1" s="672" t="str">
        <f>'Artikel-DB'!UC3</f>
        <v>x</v>
      </c>
      <c r="UD1" s="672" t="str">
        <f>'Artikel-DB'!UD3</f>
        <v>x</v>
      </c>
      <c r="UE1" s="672" t="str">
        <f>'Artikel-DB'!UE3</f>
        <v>x</v>
      </c>
      <c r="UF1" s="672" t="str">
        <f>'Artikel-DB'!UF3</f>
        <v>x</v>
      </c>
      <c r="UG1" s="672" t="str">
        <f>'Artikel-DB'!UG3</f>
        <v>x</v>
      </c>
      <c r="UH1" s="672" t="str">
        <f>'Artikel-DB'!UH3</f>
        <v>x</v>
      </c>
      <c r="UI1" s="672" t="str">
        <f>'Artikel-DB'!UI3</f>
        <v>x</v>
      </c>
      <c r="UJ1" s="672" t="str">
        <f>'Artikel-DB'!UJ3</f>
        <v>x</v>
      </c>
      <c r="UK1" s="672" t="str">
        <f>'Artikel-DB'!UK3</f>
        <v>x</v>
      </c>
      <c r="UL1" s="672" t="str">
        <f>'Artikel-DB'!UL3</f>
        <v>x</v>
      </c>
      <c r="UM1" s="672" t="str">
        <f>'Artikel-DB'!UM3</f>
        <v>x</v>
      </c>
      <c r="UN1" s="672" t="str">
        <f>'Artikel-DB'!UN3</f>
        <v>x</v>
      </c>
      <c r="UO1" s="672" t="str">
        <f>'Artikel-DB'!UO3</f>
        <v>x</v>
      </c>
      <c r="UP1" s="672" t="str">
        <f>'Artikel-DB'!UP3</f>
        <v>x</v>
      </c>
      <c r="UQ1" s="672" t="str">
        <f>'Artikel-DB'!UQ3</f>
        <v>x</v>
      </c>
      <c r="UR1" s="672" t="str">
        <f>'Artikel-DB'!UR3</f>
        <v>x</v>
      </c>
      <c r="US1" s="672" t="str">
        <f>'Artikel-DB'!US3</f>
        <v>x</v>
      </c>
      <c r="UT1" s="672" t="str">
        <f>'Artikel-DB'!UT3</f>
        <v>x</v>
      </c>
      <c r="UU1" s="672" t="str">
        <f>'Artikel-DB'!UU3</f>
        <v>x</v>
      </c>
      <c r="UV1" s="672" t="str">
        <f>'Artikel-DB'!UV3</f>
        <v>x</v>
      </c>
      <c r="UW1" s="672" t="str">
        <f>'Artikel-DB'!UW3</f>
        <v>x</v>
      </c>
      <c r="UX1" s="672" t="str">
        <f>'Artikel-DB'!UX3</f>
        <v>x</v>
      </c>
      <c r="UY1" s="672" t="str">
        <f>'Artikel-DB'!UY3</f>
        <v>x</v>
      </c>
      <c r="UZ1" s="672" t="str">
        <f>'Artikel-DB'!UZ3</f>
        <v>x</v>
      </c>
      <c r="VA1" s="672" t="str">
        <f>'Artikel-DB'!VA3</f>
        <v>x</v>
      </c>
      <c r="VB1" s="672" t="str">
        <f>'Artikel-DB'!VB3</f>
        <v>x</v>
      </c>
      <c r="VC1" s="672" t="str">
        <f>'Artikel-DB'!VC3</f>
        <v>x</v>
      </c>
      <c r="VD1" s="672" t="str">
        <f>'Artikel-DB'!VD3</f>
        <v>x</v>
      </c>
      <c r="VE1" s="672" t="str">
        <f>'Artikel-DB'!VE3</f>
        <v>x</v>
      </c>
      <c r="VF1" s="672" t="str">
        <f>'Artikel-DB'!VF3</f>
        <v>x</v>
      </c>
      <c r="VG1" s="672" t="str">
        <f>'Artikel-DB'!VG3</f>
        <v>x</v>
      </c>
      <c r="VH1" s="672" t="str">
        <f>'Artikel-DB'!VH3</f>
        <v>x</v>
      </c>
      <c r="VI1" s="672" t="str">
        <f>'Artikel-DB'!VI3</f>
        <v>x</v>
      </c>
      <c r="VJ1" s="672" t="str">
        <f>'Artikel-DB'!VJ3</f>
        <v>x</v>
      </c>
      <c r="VK1" s="672" t="str">
        <f>'Artikel-DB'!VK3</f>
        <v>x</v>
      </c>
      <c r="VL1" s="672" t="str">
        <f>'Artikel-DB'!VL3</f>
        <v>x</v>
      </c>
      <c r="VM1" s="672" t="str">
        <f>'Artikel-DB'!VM3</f>
        <v>x</v>
      </c>
      <c r="VN1" s="672" t="str">
        <f>'Artikel-DB'!VN3</f>
        <v>x</v>
      </c>
      <c r="VO1" s="672" t="str">
        <f>'Artikel-DB'!VO3</f>
        <v>x</v>
      </c>
      <c r="VP1" s="672" t="str">
        <f>'Artikel-DB'!VP3</f>
        <v>x</v>
      </c>
      <c r="VQ1" s="672" t="str">
        <f>'Artikel-DB'!VQ3</f>
        <v>x</v>
      </c>
      <c r="VR1" s="672" t="str">
        <f>'Artikel-DB'!VR3</f>
        <v>x</v>
      </c>
      <c r="VS1" s="672" t="str">
        <f>'Artikel-DB'!VS3</f>
        <v>x</v>
      </c>
      <c r="VT1" s="672" t="str">
        <f>'Artikel-DB'!VT3</f>
        <v>x</v>
      </c>
      <c r="VU1" s="672" t="str">
        <f>'Artikel-DB'!VU3</f>
        <v>x</v>
      </c>
      <c r="VV1" s="672" t="str">
        <f>'Artikel-DB'!VV3</f>
        <v>x</v>
      </c>
      <c r="VW1" s="672" t="str">
        <f>'Artikel-DB'!VW3</f>
        <v>x</v>
      </c>
      <c r="VX1" s="672" t="str">
        <f>'Artikel-DB'!VX3</f>
        <v>x</v>
      </c>
      <c r="VY1" s="672" t="str">
        <f>'Artikel-DB'!VY3</f>
        <v>x</v>
      </c>
      <c r="VZ1" s="672" t="str">
        <f>'Artikel-DB'!VZ3</f>
        <v>x</v>
      </c>
      <c r="WA1" s="672" t="str">
        <f>'Artikel-DB'!WA3</f>
        <v>x</v>
      </c>
      <c r="WB1" s="672" t="str">
        <f>'Artikel-DB'!WB3</f>
        <v>x</v>
      </c>
      <c r="WC1" s="672" t="str">
        <f>'Artikel-DB'!WC3</f>
        <v>x</v>
      </c>
      <c r="WD1" s="672" t="str">
        <f>'Artikel-DB'!WD3</f>
        <v>x</v>
      </c>
      <c r="WE1" s="672" t="str">
        <f>'Artikel-DB'!WE3</f>
        <v>x</v>
      </c>
      <c r="WF1" s="672" t="str">
        <f>'Artikel-DB'!WF3</f>
        <v>x</v>
      </c>
      <c r="WG1" s="672" t="str">
        <f>'Artikel-DB'!WG3</f>
        <v>x</v>
      </c>
      <c r="WH1" s="672" t="str">
        <f>'Artikel-DB'!WH3</f>
        <v>x</v>
      </c>
      <c r="WI1" s="672" t="str">
        <f>'Artikel-DB'!WI3</f>
        <v>x</v>
      </c>
      <c r="WJ1" s="672" t="str">
        <f>'Artikel-DB'!WJ3</f>
        <v>x</v>
      </c>
      <c r="WK1" s="672" t="str">
        <f>'Artikel-DB'!WK3</f>
        <v>x</v>
      </c>
      <c r="WL1" s="672" t="str">
        <f>'Artikel-DB'!WL3</f>
        <v>x</v>
      </c>
      <c r="WM1" s="672" t="str">
        <f>'Artikel-DB'!WM3</f>
        <v>x</v>
      </c>
      <c r="WN1" s="672" t="str">
        <f>'Artikel-DB'!WN3</f>
        <v>x</v>
      </c>
      <c r="WO1" s="672" t="str">
        <f>'Artikel-DB'!WO3</f>
        <v>x</v>
      </c>
      <c r="WP1" s="672" t="str">
        <f>'Artikel-DB'!WP3</f>
        <v>x</v>
      </c>
      <c r="WQ1" s="672" t="str">
        <f>'Artikel-DB'!WQ3</f>
        <v>x</v>
      </c>
      <c r="WR1" s="672" t="str">
        <f>'Artikel-DB'!WR3</f>
        <v>x</v>
      </c>
      <c r="WS1" s="672" t="str">
        <f>'Artikel-DB'!WS3</f>
        <v>x</v>
      </c>
      <c r="WT1" s="672" t="str">
        <f>'Artikel-DB'!WT3</f>
        <v>x</v>
      </c>
      <c r="WU1" s="672" t="str">
        <f>'Artikel-DB'!WU3</f>
        <v>x</v>
      </c>
      <c r="WV1" s="672" t="str">
        <f>'Artikel-DB'!WV3</f>
        <v>x</v>
      </c>
      <c r="WW1" s="672" t="str">
        <f>'Artikel-DB'!WW3</f>
        <v>x</v>
      </c>
      <c r="WX1" s="672" t="str">
        <f>'Artikel-DB'!WX3</f>
        <v>x</v>
      </c>
      <c r="WY1" s="672" t="str">
        <f>'Artikel-DB'!WY3</f>
        <v>x</v>
      </c>
      <c r="WZ1" s="672" t="str">
        <f>'Artikel-DB'!WZ3</f>
        <v>x</v>
      </c>
      <c r="XA1" s="672" t="str">
        <f>'Artikel-DB'!XA3</f>
        <v>x</v>
      </c>
      <c r="XB1" s="672" t="str">
        <f>'Artikel-DB'!XB3</f>
        <v>x</v>
      </c>
      <c r="XC1" s="672" t="str">
        <f>'Artikel-DB'!XC3</f>
        <v>x</v>
      </c>
      <c r="XD1" s="672" t="str">
        <f>'Artikel-DB'!XD3</f>
        <v>x</v>
      </c>
      <c r="XE1" s="672" t="str">
        <f>'Artikel-DB'!XE3</f>
        <v>x</v>
      </c>
      <c r="XF1" s="672" t="str">
        <f>'Artikel-DB'!XF3</f>
        <v>x</v>
      </c>
      <c r="XG1" s="672" t="str">
        <f>'Artikel-DB'!XG3</f>
        <v>x</v>
      </c>
      <c r="XH1" s="672" t="str">
        <f>'Artikel-DB'!XH3</f>
        <v>x</v>
      </c>
      <c r="XI1" s="672" t="str">
        <f>'Artikel-DB'!XI3</f>
        <v>x</v>
      </c>
      <c r="XJ1" s="672" t="str">
        <f>'Artikel-DB'!XJ3</f>
        <v>x</v>
      </c>
      <c r="XK1" s="672" t="str">
        <f>'Artikel-DB'!XK3</f>
        <v>x</v>
      </c>
      <c r="XL1" s="672" t="str">
        <f>'Artikel-DB'!XL3</f>
        <v>x</v>
      </c>
      <c r="XM1" s="672" t="str">
        <f>'Artikel-DB'!XM3</f>
        <v>x</v>
      </c>
      <c r="XN1" s="672" t="str">
        <f>'Artikel-DB'!XN3</f>
        <v>x</v>
      </c>
      <c r="XO1" s="672" t="str">
        <f>'Artikel-DB'!XO3</f>
        <v>x</v>
      </c>
      <c r="XP1" s="672" t="str">
        <f>'Artikel-DB'!XP3</f>
        <v>x</v>
      </c>
      <c r="XQ1" s="672" t="str">
        <f>'Artikel-DB'!XQ3</f>
        <v>x</v>
      </c>
      <c r="XR1" s="672" t="str">
        <f>'Artikel-DB'!XR3</f>
        <v>x</v>
      </c>
      <c r="XS1" s="672" t="str">
        <f>'Artikel-DB'!XS3</f>
        <v>x</v>
      </c>
      <c r="XT1" s="672" t="str">
        <f>'Artikel-DB'!XT3</f>
        <v>x</v>
      </c>
      <c r="XU1" s="672" t="str">
        <f>'Artikel-DB'!XU3</f>
        <v>x</v>
      </c>
      <c r="XV1" s="672" t="str">
        <f>'Artikel-DB'!XV3</f>
        <v>x</v>
      </c>
      <c r="XW1" s="672" t="str">
        <f>'Artikel-DB'!XW3</f>
        <v>x</v>
      </c>
      <c r="XX1" s="672" t="str">
        <f>'Artikel-DB'!XX3</f>
        <v>x</v>
      </c>
      <c r="XY1" s="672" t="str">
        <f>'Artikel-DB'!XY3</f>
        <v>x</v>
      </c>
      <c r="XZ1" s="672" t="str">
        <f>'Artikel-DB'!XZ3</f>
        <v>x</v>
      </c>
      <c r="YA1" s="672" t="str">
        <f>'Artikel-DB'!YA3</f>
        <v>x</v>
      </c>
      <c r="YB1" s="672" t="str">
        <f>'Artikel-DB'!YB3</f>
        <v>x</v>
      </c>
      <c r="YC1" s="672" t="str">
        <f>'Artikel-DB'!YC3</f>
        <v>x</v>
      </c>
      <c r="YD1" s="672" t="str">
        <f>'Artikel-DB'!YD3</f>
        <v>x</v>
      </c>
      <c r="YE1" s="672" t="str">
        <f>'Artikel-DB'!YE3</f>
        <v>x</v>
      </c>
      <c r="YF1" s="672" t="str">
        <f>'Artikel-DB'!YF3</f>
        <v>x</v>
      </c>
      <c r="YG1" s="672" t="str">
        <f>'Artikel-DB'!YG3</f>
        <v>x</v>
      </c>
      <c r="YH1" s="672" t="str">
        <f>'Artikel-DB'!YH3</f>
        <v>x</v>
      </c>
      <c r="YI1" s="672" t="str">
        <f>'Artikel-DB'!YI3</f>
        <v>x</v>
      </c>
      <c r="YJ1" s="672" t="str">
        <f>'Artikel-DB'!YJ3</f>
        <v>x</v>
      </c>
      <c r="YK1" s="672" t="str">
        <f>'Artikel-DB'!YK3</f>
        <v>x</v>
      </c>
      <c r="YL1" s="672" t="str">
        <f>'Artikel-DB'!YL3</f>
        <v>x</v>
      </c>
      <c r="YM1" s="672" t="str">
        <f>'Artikel-DB'!YM3</f>
        <v>x</v>
      </c>
      <c r="YN1" s="672" t="str">
        <f>'Artikel-DB'!YN3</f>
        <v>x</v>
      </c>
      <c r="YO1" s="672" t="str">
        <f>'Artikel-DB'!YO3</f>
        <v>x</v>
      </c>
      <c r="YP1" s="672" t="str">
        <f>'Artikel-DB'!YP3</f>
        <v>x</v>
      </c>
      <c r="YQ1" s="672" t="str">
        <f>'Artikel-DB'!YQ3</f>
        <v>x</v>
      </c>
      <c r="YR1" s="672" t="str">
        <f>'Artikel-DB'!YR3</f>
        <v>x</v>
      </c>
      <c r="YS1" s="672" t="str">
        <f>'Artikel-DB'!YS3</f>
        <v>x</v>
      </c>
      <c r="YT1" s="672" t="str">
        <f>'Artikel-DB'!YT3</f>
        <v>x</v>
      </c>
      <c r="YU1" s="672" t="str">
        <f>'Artikel-DB'!YU3</f>
        <v>x</v>
      </c>
      <c r="YV1" s="672" t="str">
        <f>'Artikel-DB'!YV3</f>
        <v>x</v>
      </c>
      <c r="YW1" s="672" t="str">
        <f>'Artikel-DB'!YW3</f>
        <v>x</v>
      </c>
      <c r="YX1" s="672" t="str">
        <f>'Artikel-DB'!YX3</f>
        <v>x</v>
      </c>
      <c r="YY1" s="672" t="str">
        <f>'Artikel-DB'!YY3</f>
        <v>x</v>
      </c>
      <c r="YZ1" s="672" t="str">
        <f>'Artikel-DB'!YZ3</f>
        <v>x</v>
      </c>
      <c r="ZA1" s="672" t="str">
        <f>'Artikel-DB'!ZA3</f>
        <v>x</v>
      </c>
      <c r="ZB1" s="672" t="str">
        <f>'Artikel-DB'!ZB3</f>
        <v>x</v>
      </c>
      <c r="ZC1" s="672" t="str">
        <f>'Artikel-DB'!ZC3</f>
        <v>x</v>
      </c>
      <c r="ZD1" s="672" t="str">
        <f>'Artikel-DB'!ZD3</f>
        <v>x</v>
      </c>
      <c r="ZE1" s="672" t="str">
        <f>'Artikel-DB'!ZE3</f>
        <v>x</v>
      </c>
      <c r="ZF1" s="672" t="str">
        <f>'Artikel-DB'!ZF3</f>
        <v>x</v>
      </c>
      <c r="ZG1" s="672" t="str">
        <f>'Artikel-DB'!ZG3</f>
        <v>x</v>
      </c>
      <c r="ZH1" s="672" t="str">
        <f>'Artikel-DB'!ZH3</f>
        <v>x</v>
      </c>
      <c r="ZI1" s="672" t="str">
        <f>'Artikel-DB'!ZI3</f>
        <v>x</v>
      </c>
      <c r="ZJ1" s="672" t="str">
        <f>'Artikel-DB'!ZJ3</f>
        <v>x</v>
      </c>
      <c r="ZK1" s="672" t="str">
        <f>'Artikel-DB'!ZK3</f>
        <v>x</v>
      </c>
      <c r="ZL1" s="672" t="str">
        <f>'Artikel-DB'!ZL3</f>
        <v>x</v>
      </c>
      <c r="ZM1" s="672" t="str">
        <f>'Artikel-DB'!ZM3</f>
        <v>x</v>
      </c>
      <c r="ZN1" s="672" t="str">
        <f>'Artikel-DB'!ZN3</f>
        <v>x</v>
      </c>
      <c r="ZO1" s="672" t="str">
        <f>'Artikel-DB'!ZO3</f>
        <v>x</v>
      </c>
      <c r="ZP1" s="672" t="str">
        <f>'Artikel-DB'!ZP3</f>
        <v>x</v>
      </c>
      <c r="ZQ1" s="672" t="str">
        <f>'Artikel-DB'!ZQ3</f>
        <v>x</v>
      </c>
      <c r="ZR1" s="672" t="str">
        <f>'Artikel-DB'!ZR3</f>
        <v>x</v>
      </c>
      <c r="ZS1" s="672" t="str">
        <f>'Artikel-DB'!ZS3</f>
        <v>x</v>
      </c>
      <c r="ZT1" s="672" t="str">
        <f>'Artikel-DB'!ZT3</f>
        <v>x</v>
      </c>
      <c r="ZU1" s="672" t="str">
        <f>'Artikel-DB'!ZU3</f>
        <v>x</v>
      </c>
      <c r="ZV1" s="672" t="str">
        <f>'Artikel-DB'!ZV3</f>
        <v>x</v>
      </c>
      <c r="ZW1" s="672" t="str">
        <f>'Artikel-DB'!ZW3</f>
        <v>x</v>
      </c>
      <c r="ZX1" s="672" t="str">
        <f>'Artikel-DB'!ZX3</f>
        <v>x</v>
      </c>
      <c r="ZY1" s="672" t="str">
        <f>'Artikel-DB'!ZY3</f>
        <v>x</v>
      </c>
      <c r="ZZ1" s="672" t="str">
        <f>'Artikel-DB'!ZZ3</f>
        <v>x</v>
      </c>
    </row>
    <row r="2" spans="1:702" ht="18.75" thickBot="1" x14ac:dyDescent="0.3">
      <c r="A2" s="26"/>
      <c r="B2" s="360" t="s">
        <v>25</v>
      </c>
      <c r="C2" s="361" t="s">
        <v>50</v>
      </c>
      <c r="D2" s="362" t="s">
        <v>84</v>
      </c>
      <c r="E2" s="363" t="s">
        <v>60</v>
      </c>
      <c r="F2" s="364"/>
      <c r="G2" s="365" t="b">
        <f>$L$2=Auswahlfelder!$D$3</f>
        <v>1</v>
      </c>
      <c r="H2" s="124"/>
      <c r="I2" s="366" t="s">
        <v>51</v>
      </c>
      <c r="J2" s="367" t="s">
        <v>230</v>
      </c>
      <c r="K2" s="368"/>
      <c r="L2" s="867" t="s">
        <v>92</v>
      </c>
      <c r="M2" s="372"/>
      <c r="N2" s="373"/>
      <c r="O2" s="866" t="str">
        <f>IF(Deutsch,"AL - Sandguss","AL Sand Casting")</f>
        <v>AL - Sandguss</v>
      </c>
      <c r="P2" s="7"/>
      <c r="Q2" s="7"/>
      <c r="R2" s="366" t="str">
        <f>IF(Deutsch,"Siemens Standort","Siemens site")</f>
        <v>Siemens Standort</v>
      </c>
      <c r="S2" s="920" t="s">
        <v>230</v>
      </c>
      <c r="T2" s="7"/>
      <c r="U2" s="369" t="s">
        <v>560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37" t="str">
        <f>IF($G$2,"Version ","release ")</f>
        <v xml:space="preserve">Version </v>
      </c>
      <c r="AB2" s="37"/>
      <c r="AC2" s="847" t="s">
        <v>33</v>
      </c>
    </row>
    <row r="3" spans="1:702" ht="15" thickBot="1" x14ac:dyDescent="0.25">
      <c r="A3" s="26"/>
      <c r="B3" s="319"/>
      <c r="C3" s="317" t="s">
        <v>71</v>
      </c>
      <c r="D3" s="317" t="s">
        <v>551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230</v>
      </c>
      <c r="K3" s="10"/>
      <c r="L3" s="796" t="s">
        <v>915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921" t="s">
        <v>230</v>
      </c>
      <c r="T3" s="4"/>
      <c r="U3" s="189" t="s">
        <v>953</v>
      </c>
      <c r="V3" s="4"/>
      <c r="W3" s="4"/>
      <c r="X3" s="654" t="s">
        <v>900</v>
      </c>
      <c r="Y3" s="10"/>
      <c r="Z3" s="4"/>
      <c r="AA3" s="849" t="s">
        <v>843</v>
      </c>
      <c r="AB3" s="850"/>
      <c r="AC3" s="847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8">
        <f ca="1">TODAY()</f>
        <v>44533</v>
      </c>
      <c r="H4" s="125"/>
      <c r="I4" s="255" t="str">
        <f>IF(Deutsch,C4,D4)</f>
        <v>Datum</v>
      </c>
      <c r="J4" s="257" t="s">
        <v>230</v>
      </c>
      <c r="K4" s="34">
        <f ca="1">TODAY()</f>
        <v>44533</v>
      </c>
      <c r="L4" s="455">
        <v>43993</v>
      </c>
      <c r="M4" s="129"/>
      <c r="N4" s="129"/>
      <c r="O4" s="379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921" t="s">
        <v>230</v>
      </c>
      <c r="T4" s="10"/>
      <c r="U4" s="189" t="s">
        <v>955</v>
      </c>
      <c r="V4" s="4"/>
      <c r="W4" s="4"/>
      <c r="X4" s="186" t="b">
        <f>ISERROR('Artikel-DB'!$B$2)</f>
        <v>0</v>
      </c>
      <c r="Y4" s="10"/>
      <c r="Z4" s="4"/>
      <c r="AA4" s="851" t="s">
        <v>844</v>
      </c>
      <c r="AB4" s="848"/>
      <c r="AC4" s="847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230</v>
      </c>
      <c r="K5" s="4"/>
      <c r="L5" s="453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922" t="s">
        <v>230</v>
      </c>
      <c r="T5" s="10"/>
      <c r="U5" s="1186" t="s">
        <v>954</v>
      </c>
      <c r="V5" s="4"/>
      <c r="W5" s="4"/>
      <c r="X5" s="1187" t="b">
        <f>X4</f>
        <v>0</v>
      </c>
      <c r="Y5" s="4"/>
      <c r="Z5" s="4"/>
      <c r="AA5" s="838" t="s">
        <v>707</v>
      </c>
      <c r="AB5" s="5"/>
      <c r="AC5" s="847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242</v>
      </c>
      <c r="E6" s="268"/>
      <c r="F6" s="330"/>
      <c r="G6" s="41"/>
      <c r="H6" s="124"/>
      <c r="I6" s="7"/>
      <c r="J6" s="227"/>
      <c r="K6" s="228"/>
      <c r="L6" s="381" t="str">
        <f>IF(Deutsch,"Neu","new")</f>
        <v>Neu</v>
      </c>
      <c r="M6" s="229"/>
      <c r="N6" s="229"/>
      <c r="O6" s="382" t="str">
        <f>IF(Deutsch,$C6,$D6)</f>
        <v>S1 übernehmen</v>
      </c>
      <c r="P6" s="229"/>
      <c r="Q6" s="229"/>
      <c r="R6" s="383" t="str">
        <f>IF(Deutsch,$C6,$D6)</f>
        <v>S1 übernehmen</v>
      </c>
      <c r="S6" s="229"/>
      <c r="T6" s="850"/>
    </row>
    <row r="7" spans="1:702" ht="16.5" customHeight="1" thickBot="1" x14ac:dyDescent="0.3">
      <c r="A7" s="26"/>
      <c r="B7" s="319"/>
      <c r="C7" s="318" t="s">
        <v>234</v>
      </c>
      <c r="D7" s="318" t="s">
        <v>251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1" t="s">
        <v>170</v>
      </c>
      <c r="M7" s="38"/>
      <c r="N7" s="38"/>
      <c r="O7" s="370" t="s">
        <v>171</v>
      </c>
      <c r="P7" s="4"/>
      <c r="Q7" s="4"/>
      <c r="R7" s="370" t="s">
        <v>172</v>
      </c>
      <c r="S7" s="1183"/>
      <c r="T7" s="850"/>
      <c r="AB7" s="4"/>
      <c r="AC7" s="1185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50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961</v>
      </c>
      <c r="M9" s="104" t="str">
        <f>L$9</f>
        <v>Housing</v>
      </c>
      <c r="N9" s="104"/>
      <c r="O9" s="52" t="s">
        <v>961</v>
      </c>
      <c r="P9" s="104" t="str">
        <f>O$9</f>
        <v>Housing</v>
      </c>
      <c r="Q9" s="104"/>
      <c r="R9" s="52" t="s">
        <v>961</v>
      </c>
      <c r="S9" s="104" t="str">
        <f>R$9</f>
        <v>Housing</v>
      </c>
      <c r="T9" s="850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169</v>
      </c>
      <c r="E10" s="268"/>
      <c r="F10" s="330"/>
      <c r="G10" s="868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0" t="s">
        <v>336</v>
      </c>
      <c r="M10" s="104" t="str">
        <f>IF(L$10=0,$G10,IF(L$10=" ",$G10,L$10))</f>
        <v>EN AC-46100</v>
      </c>
      <c r="N10" s="104"/>
      <c r="O10" s="47" t="s">
        <v>304</v>
      </c>
      <c r="P10" s="104" t="str">
        <f>IF(O$10=0,$G10,IF(O$10=" ",$G10,O$10))</f>
        <v>EN AC-43100</v>
      </c>
      <c r="Q10" s="104"/>
      <c r="R10" s="47" t="s">
        <v>304</v>
      </c>
      <c r="S10" s="104" t="str">
        <f>IF(R$10=0,$G10,IF(R$10=" ",$G10,R$10))</f>
        <v>EN AC-43100</v>
      </c>
      <c r="T10" s="850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71" t="str">
        <f>CONCATENATE(M11,"  ",IFERROR(VLOOKUP(M$10,DB_Material,4,FALSE),""))</f>
        <v>Al Si10Cu2(Fe)  LM2, L-2640</v>
      </c>
      <c r="L11" s="674"/>
      <c r="M11" s="105" t="str">
        <f>IF(ISERROR(VLOOKUP(M$10,DB_Material,2,FALSE)),L11,VLOOKUP(M$10,DB_Material,2,FALSE))</f>
        <v>Al Si10Cu2(Fe)</v>
      </c>
      <c r="N11" s="871" t="str">
        <f>CONCATENATE(P11,"  ",IFERROR(VLOOKUP(P$10,DB_Material,4,FALSE),""))</f>
        <v>Al Si10Mg(b)  L239 (b)</v>
      </c>
      <c r="O11" s="674"/>
      <c r="P11" s="105" t="str">
        <f>IF(ISERROR(VLOOKUP(P$10,DB_Material,2,FALSE)),O11,VLOOKUP(P$10,DB_Material,2,FALSE))</f>
        <v>Al Si10Mg(b)</v>
      </c>
      <c r="Q11" s="871" t="str">
        <f>CONCATENATE(S11,"  ",IFERROR(VLOOKUP(S$10,DB_Material,4,FALSE),""))</f>
        <v>Al Si10Mg(b)  L239 (b)</v>
      </c>
      <c r="R11" s="674"/>
      <c r="S11" s="1184" t="str">
        <f>IF(ISERROR(VLOOKUP(S$10,DB_Material,2,FALSE)),S11,VLOOKUP(S$10,DB_Material,2,FALSE))</f>
        <v>Al Si10Mg(b)</v>
      </c>
      <c r="T11" s="850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50"/>
      <c r="V12" t="s">
        <v>33</v>
      </c>
    </row>
    <row r="13" spans="1:702" ht="15" thickBot="1" x14ac:dyDescent="0.25">
      <c r="A13" s="26"/>
      <c r="B13" s="320">
        <v>36</v>
      </c>
      <c r="C13" s="318" t="s">
        <v>804</v>
      </c>
      <c r="D13" s="318" t="s">
        <v>805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1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4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4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50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35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50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35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50"/>
      <c r="V15" t="s">
        <v>33</v>
      </c>
    </row>
    <row r="16" spans="1:702" ht="15.75" thickBot="1" x14ac:dyDescent="0.3">
      <c r="A16" s="26"/>
      <c r="B16" s="320">
        <v>33</v>
      </c>
      <c r="C16" s="318" t="s">
        <v>387</v>
      </c>
      <c r="D16" s="318" t="s">
        <v>388</v>
      </c>
      <c r="E16" s="333">
        <v>20</v>
      </c>
      <c r="F16" s="334">
        <v>1000</v>
      </c>
      <c r="G16" s="42" t="s">
        <v>69</v>
      </c>
      <c r="H16" s="17"/>
      <c r="I16" s="535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50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35" t="str">
        <f t="shared" si="0"/>
        <v>Wandstärke max (mm)</v>
      </c>
      <c r="J17" s="18"/>
      <c r="K17" s="106"/>
      <c r="L17" s="472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50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35" t="str">
        <f t="shared" si="0"/>
        <v>Wandstärke min (mm)</v>
      </c>
      <c r="J18" s="18"/>
      <c r="K18" s="107"/>
      <c r="L18" s="473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50"/>
      <c r="V18" t="s">
        <v>33</v>
      </c>
    </row>
    <row r="19" spans="1:22" ht="15.75" thickBot="1" x14ac:dyDescent="0.3">
      <c r="A19" s="26"/>
      <c r="B19" s="320">
        <v>2</v>
      </c>
      <c r="C19" s="318" t="s">
        <v>364</v>
      </c>
      <c r="D19" s="318" t="s">
        <v>365</v>
      </c>
      <c r="E19" s="333">
        <v>0.2</v>
      </c>
      <c r="F19" s="334">
        <v>700</v>
      </c>
      <c r="G19" s="42" t="s">
        <v>69</v>
      </c>
      <c r="H19" s="17"/>
      <c r="I19" s="535" t="str">
        <f>IF($G$2,C19,D19)</f>
        <v>Rohteilgewicht AL (kg)</v>
      </c>
      <c r="J19" s="18"/>
      <c r="K19" s="108">
        <f>0.9*Parametrikber!F$38</f>
        <v>97.2</v>
      </c>
      <c r="L19" s="491">
        <v>40</v>
      </c>
      <c r="M19" s="107">
        <f>L$19</f>
        <v>40</v>
      </c>
      <c r="N19" s="108">
        <f>0.9*Parametrikber!I$38</f>
        <v>87.674400000000006</v>
      </c>
      <c r="O19" s="492">
        <v>5</v>
      </c>
      <c r="P19" s="107">
        <f>O$19</f>
        <v>5</v>
      </c>
      <c r="Q19" s="108">
        <f>0.9*Parametrikber!L$38</f>
        <v>87.674400000000006</v>
      </c>
      <c r="R19" s="492">
        <v>5</v>
      </c>
      <c r="S19" s="107">
        <f>R$19</f>
        <v>5</v>
      </c>
      <c r="T19" s="850"/>
      <c r="V19" t="s">
        <v>33</v>
      </c>
    </row>
    <row r="20" spans="1:22" ht="15.75" thickBot="1" x14ac:dyDescent="0.3">
      <c r="A20" s="26"/>
      <c r="B20" s="319" t="s">
        <v>122</v>
      </c>
      <c r="C20" s="318" t="s">
        <v>187</v>
      </c>
      <c r="D20" s="318" t="s">
        <v>48</v>
      </c>
      <c r="E20" s="333"/>
      <c r="F20" s="334"/>
      <c r="G20" s="238"/>
      <c r="H20" s="17"/>
      <c r="I20" s="536" t="str">
        <f t="shared" si="0"/>
        <v>Bauteilvolumen (cm³)</v>
      </c>
      <c r="J20" s="18"/>
      <c r="K20" s="260" t="str">
        <f>TEXT(M20,"0.0")</f>
        <v>14.815</v>
      </c>
      <c r="L20" s="292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50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448</v>
      </c>
      <c r="E21" s="333"/>
      <c r="F21" s="334"/>
      <c r="G21" s="43" t="str">
        <f>INDEX(AW_Bauteilkomplexität,Auswahlfelder!C15,1)</f>
        <v>mäßig</v>
      </c>
      <c r="H21" s="17"/>
      <c r="I21" s="535" t="str">
        <f t="shared" si="0"/>
        <v>Bauteilkomplexität</v>
      </c>
      <c r="J21" s="39"/>
      <c r="K21" s="104" t="str">
        <f>VLOOKUP(L21,Auswahlfelder!$B$16:$C$19,2,FALSE)</f>
        <v>normal</v>
      </c>
      <c r="L21" s="294" t="s">
        <v>434</v>
      </c>
      <c r="M21" s="104" t="str">
        <f>IFERROR(VLOOKUP(L$21,Auswahlfelder!$D$16:$D$19,1,FALSE),VLOOKUP(L$21,Auswahlfelder!$C$16:$D$19,2,FALSE))</f>
        <v>mäßig</v>
      </c>
      <c r="N21" s="104"/>
      <c r="O21" s="52" t="s">
        <v>434</v>
      </c>
      <c r="P21" s="104" t="str">
        <f>IFERROR(VLOOKUP(O$21,Auswahlfelder!$D$16:$D$19,1,FALSE),VLOOKUP(O$21,Auswahlfelder!$C$16:$D$19,2,FALSE))</f>
        <v>mäßig</v>
      </c>
      <c r="Q21" s="104"/>
      <c r="R21" s="52" t="s">
        <v>434</v>
      </c>
      <c r="S21" s="104" t="str">
        <f>IFERROR(VLOOKUP(R$21,Auswahlfelder!$D$16:$D$19,1,FALSE),VLOOKUP(R$21,Auswahlfelder!$C$16:$D$19,2,FALSE))</f>
        <v>mäßig</v>
      </c>
      <c r="T21" s="850"/>
      <c r="V21" t="s">
        <v>33</v>
      </c>
    </row>
    <row r="22" spans="1:22" ht="15.75" thickBot="1" x14ac:dyDescent="0.3">
      <c r="A22" s="26"/>
      <c r="B22" s="320">
        <v>7</v>
      </c>
      <c r="C22" s="318" t="s">
        <v>473</v>
      </c>
      <c r="D22" s="318" t="s">
        <v>472</v>
      </c>
      <c r="E22" s="333"/>
      <c r="F22" s="334"/>
      <c r="G22" s="42" t="str">
        <f>INDEX(AW_Gusstechnik,Auswahlfelder!C35,1)</f>
        <v>automatisch</v>
      </c>
      <c r="H22" s="17"/>
      <c r="I22" s="535" t="str">
        <f>IF($G$2,C22,D22)</f>
        <v>Formverfahren</v>
      </c>
      <c r="J22" s="648"/>
      <c r="K22" s="104" t="e">
        <f>IF(K$31=$G31,0,L22)</f>
        <v>#N/A</v>
      </c>
      <c r="L22" s="539" t="s">
        <v>468</v>
      </c>
      <c r="M22" s="104" t="str">
        <f>IFERROR(VLOOKUP(L$22,Auswahlfelder!$D$36:$D$38,1,FALSE),VLOOKUP(L$22,Auswahlfelder!$C$36:$D$38,2,FALSE))</f>
        <v>halbautomatisch</v>
      </c>
      <c r="N22" s="104"/>
      <c r="O22" s="528" t="s">
        <v>369</v>
      </c>
      <c r="P22" s="104" t="str">
        <f>IFERROR(VLOOKUP(O$22,Auswahlfelder!$D$36:$D$38,1,FALSE),VLOOKUP(O$22,Auswahlfelder!$C$36:$D$38,2,FALSE))</f>
        <v>Handformen</v>
      </c>
      <c r="Q22" s="104"/>
      <c r="R22" s="528" t="s">
        <v>369</v>
      </c>
      <c r="S22" s="104" t="str">
        <f>IFERROR(VLOOKUP(R$22,Auswahlfelder!$D$36:$D$38,1,FALSE),VLOOKUP(R$22,Auswahlfelder!$C$36:$D$38,2,FALSE))</f>
        <v>Handformen</v>
      </c>
      <c r="T22" s="850"/>
      <c r="V22" t="s">
        <v>33</v>
      </c>
    </row>
    <row r="23" spans="1:22" ht="15.75" thickBot="1" x14ac:dyDescent="0.3">
      <c r="A23" s="26"/>
      <c r="B23" s="529" t="s">
        <v>446</v>
      </c>
      <c r="C23" s="318" t="s">
        <v>349</v>
      </c>
      <c r="D23" s="318" t="s">
        <v>350</v>
      </c>
      <c r="E23" s="333"/>
      <c r="F23" s="334"/>
      <c r="G23" s="43" t="str">
        <f>INDEX(AW_Einlegekerne,Auswahlfelder!C48,1)</f>
        <v>ohne</v>
      </c>
      <c r="H23" s="17"/>
      <c r="I23" s="535" t="str">
        <f t="shared" si="0"/>
        <v>Sandkerne</v>
      </c>
      <c r="J23" s="39"/>
      <c r="K23" s="104"/>
      <c r="L23" s="294" t="s">
        <v>372</v>
      </c>
      <c r="M23" s="104" t="str">
        <f>IFERROR(VLOOKUP(L$23,Auswahlfelder!$D$49:$D$51,1,FALSE),VLOOKUP(L$23,Auswahlfelder!$C$49:$D$51,2,FALSE))</f>
        <v>Kernschießen</v>
      </c>
      <c r="N23" s="104"/>
      <c r="O23" s="52" t="s">
        <v>372</v>
      </c>
      <c r="P23" s="104" t="str">
        <f>IFERROR(VLOOKUP(O$23,Auswahlfelder!$D$49:$D$51,1,FALSE),VLOOKUP(O$23,Auswahlfelder!$C$49:$D$51,2,FALSE))</f>
        <v>Kernschießen</v>
      </c>
      <c r="Q23" s="104"/>
      <c r="R23" s="52" t="s">
        <v>262</v>
      </c>
      <c r="S23" s="104" t="str">
        <f>IFERROR(VLOOKUP(R$23,Auswahlfelder!$D$49:$D$51,1,FALSE),VLOOKUP(R$23,Auswahlfelder!$C$49:$D$51,2,FALSE))</f>
        <v>ohne</v>
      </c>
      <c r="T23" s="850"/>
      <c r="V23" t="s">
        <v>33</v>
      </c>
    </row>
    <row r="24" spans="1:22" ht="15.75" thickBot="1" x14ac:dyDescent="0.3">
      <c r="A24" s="26"/>
      <c r="B24" s="320">
        <v>11</v>
      </c>
      <c r="C24" s="318" t="s">
        <v>767</v>
      </c>
      <c r="D24" s="318" t="s">
        <v>766</v>
      </c>
      <c r="E24" s="333"/>
      <c r="F24" s="334"/>
      <c r="G24" s="43" t="str">
        <f>INDEX(AW_Kernschiessen,Auswahlfelder!C53,1)</f>
        <v>Cold Box</v>
      </c>
      <c r="H24" s="17"/>
      <c r="I24" s="535" t="str">
        <f t="shared" si="0"/>
        <v>Kernherstellverfahren</v>
      </c>
      <c r="J24" s="39"/>
      <c r="K24" s="104"/>
      <c r="L24" s="290" t="s">
        <v>761</v>
      </c>
      <c r="M24" s="104" t="str">
        <f>IFERROR(VLOOKUP(L$24,Auswahlfelder!$D$54:$D$57,1,FALSE),VLOOKUP(L$24,Auswahlfelder!$C$54:$D$57,2,FALSE))</f>
        <v>Hot Box</v>
      </c>
      <c r="N24" s="104"/>
      <c r="O24" s="47" t="s">
        <v>761</v>
      </c>
      <c r="P24" s="104" t="str">
        <f>IFERROR(VLOOKUP(O$24,Auswahlfelder!$D$54:$D$57,1,FALSE),VLOOKUP(O$24,Auswahlfelder!$C$54:$D$57,2,FALSE))</f>
        <v>Hot Box</v>
      </c>
      <c r="Q24" s="104"/>
      <c r="R24" s="47" t="s">
        <v>763</v>
      </c>
      <c r="S24" s="104" t="str">
        <f>IFERROR(VLOOKUP(R$24,Auswahlfelder!$D$54:$D$57,1,FALSE),VLOOKUP(R$24,Auswahlfelder!$C$54:$D$57,2,FALSE))</f>
        <v>Cold Box</v>
      </c>
      <c r="T24" s="850"/>
      <c r="V24" t="s">
        <v>33</v>
      </c>
    </row>
    <row r="25" spans="1:22" ht="15.75" thickBot="1" x14ac:dyDescent="0.3">
      <c r="A25" s="26"/>
      <c r="B25" s="320">
        <v>27</v>
      </c>
      <c r="C25" s="318" t="s">
        <v>770</v>
      </c>
      <c r="D25" s="318" t="s">
        <v>771</v>
      </c>
      <c r="E25" s="333"/>
      <c r="F25" s="334"/>
      <c r="G25" s="43" t="str">
        <f>INDEX(AW_JaNein,2)</f>
        <v>ja</v>
      </c>
      <c r="H25" s="17"/>
      <c r="I25" s="535" t="str">
        <f t="shared" si="0"/>
        <v>Oberfläche Sandstrahlen</v>
      </c>
      <c r="J25" s="39"/>
      <c r="K25" s="104" t="e">
        <f>VLOOKUP(L25,Auswahlfelder!$B$76:$C$78,2,FALSE)</f>
        <v>#N/A</v>
      </c>
      <c r="L25" s="290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850"/>
      <c r="V25" t="s">
        <v>33</v>
      </c>
    </row>
    <row r="26" spans="1:22" ht="15.75" thickBot="1" x14ac:dyDescent="0.3">
      <c r="A26" s="26"/>
      <c r="B26" s="320">
        <v>27</v>
      </c>
      <c r="C26" s="318" t="s">
        <v>772</v>
      </c>
      <c r="D26" s="318" t="s">
        <v>773</v>
      </c>
      <c r="E26" s="333"/>
      <c r="F26" s="334"/>
      <c r="G26" s="43" t="str">
        <f>INDEX(AW_JaNein,1)</f>
        <v>nein</v>
      </c>
      <c r="H26" s="17"/>
      <c r="I26" s="535" t="str">
        <f t="shared" ref="I26" si="2">IF($G$2,C26,D26)</f>
        <v>Oberfläche Gleitschleifen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50"/>
      <c r="V26" t="s">
        <v>33</v>
      </c>
    </row>
    <row r="27" spans="1:22" ht="15.75" thickBot="1" x14ac:dyDescent="0.3">
      <c r="A27" s="26"/>
      <c r="B27" s="320">
        <v>27</v>
      </c>
      <c r="C27" s="318" t="s">
        <v>774</v>
      </c>
      <c r="D27" s="318" t="s">
        <v>775</v>
      </c>
      <c r="E27" s="333"/>
      <c r="F27" s="334"/>
      <c r="G27" s="43" t="str">
        <f>INDEX(AW_JaNein,1)</f>
        <v>nein</v>
      </c>
      <c r="H27" s="17"/>
      <c r="I27" s="535" t="str">
        <f t="shared" ref="I27" si="3">IF($G$2,C27,D27)</f>
        <v>Oberfläche Feinputzen</v>
      </c>
      <c r="J27" s="39"/>
      <c r="K27" s="104" t="e">
        <f>VLOOKUP(L27,Auswahlfelder!$B$76:$C$78,2,FALSE)</f>
        <v>#N/A</v>
      </c>
      <c r="L27" s="290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850"/>
      <c r="V27" t="s">
        <v>33</v>
      </c>
    </row>
    <row r="28" spans="1:22" ht="15.75" thickBot="1" x14ac:dyDescent="0.3">
      <c r="A28" s="26"/>
      <c r="B28" s="320">
        <v>39</v>
      </c>
      <c r="C28" s="318" t="s">
        <v>601</v>
      </c>
      <c r="D28" s="318" t="s">
        <v>602</v>
      </c>
      <c r="E28" s="333"/>
      <c r="F28" s="334"/>
      <c r="G28" s="43" t="str">
        <f>INDEX(AW_JaNein,1)</f>
        <v>nein</v>
      </c>
      <c r="H28" s="17"/>
      <c r="I28" s="535" t="str">
        <f>IF($G$2,C28,D28)</f>
        <v>Ultraschall Prüfung</v>
      </c>
      <c r="J28" s="18"/>
      <c r="K28" s="104" t="e">
        <f>IF(K$31="nein",0,L28)</f>
        <v>#N/A</v>
      </c>
      <c r="L28" s="290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850"/>
      <c r="V28" t="s">
        <v>33</v>
      </c>
    </row>
    <row r="29" spans="1:22" ht="15.75" thickBot="1" x14ac:dyDescent="0.3">
      <c r="A29" s="26"/>
      <c r="B29" s="320">
        <v>39</v>
      </c>
      <c r="C29" s="318" t="s">
        <v>603</v>
      </c>
      <c r="D29" s="318" t="s">
        <v>604</v>
      </c>
      <c r="E29" s="333"/>
      <c r="F29" s="334"/>
      <c r="G29" s="43" t="str">
        <f>INDEX(AW_JaNein,1)</f>
        <v>nein</v>
      </c>
      <c r="H29" s="17"/>
      <c r="I29" s="535" t="s">
        <v>996</v>
      </c>
      <c r="J29" s="18"/>
      <c r="K29" s="104" t="e">
        <f>IF(K$31="nein",0,L29)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50"/>
      <c r="V29" t="s">
        <v>33</v>
      </c>
    </row>
    <row r="30" spans="1:22" ht="15.75" thickBot="1" x14ac:dyDescent="0.3">
      <c r="A30" s="26"/>
      <c r="B30" s="320">
        <v>39</v>
      </c>
      <c r="C30" s="318" t="s">
        <v>605</v>
      </c>
      <c r="D30" s="318" t="s">
        <v>606</v>
      </c>
      <c r="E30" s="333"/>
      <c r="F30" s="334"/>
      <c r="G30" s="43" t="str">
        <f>INDEX(AW_JaNein,1)</f>
        <v>nein</v>
      </c>
      <c r="H30" s="17"/>
      <c r="I30" s="535" t="str">
        <f t="shared" ref="I30:I34" si="4">IF($G$2,C30,D30)</f>
        <v>Röntgen Prüfung</v>
      </c>
      <c r="J30" s="18"/>
      <c r="K30" s="104" t="e">
        <f>IF(K$31="nein",0,L30)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50"/>
      <c r="V30" t="s">
        <v>33</v>
      </c>
    </row>
    <row r="31" spans="1:22" ht="15.75" thickBot="1" x14ac:dyDescent="0.3">
      <c r="A31" s="26"/>
      <c r="B31" s="320">
        <v>38</v>
      </c>
      <c r="C31" s="318" t="s">
        <v>260</v>
      </c>
      <c r="D31" s="318" t="s">
        <v>263</v>
      </c>
      <c r="E31" s="333"/>
      <c r="F31" s="334"/>
      <c r="G31" s="42" t="str">
        <f>INDEX(AW_Prüfbescheinigung,Auswahlfelder!C30,1)</f>
        <v>ohne</v>
      </c>
      <c r="H31" s="17"/>
      <c r="I31" s="535" t="str">
        <f t="shared" si="4"/>
        <v>Materialprüfzertifikat</v>
      </c>
      <c r="J31" s="39"/>
      <c r="K31" s="104" t="e">
        <f>VLOOKUP(IF(L28=0,$G31,L31),Auswahlfelder!$B$22:$G$23,2,FALSE)</f>
        <v>#N/A</v>
      </c>
      <c r="L31" s="290" t="s">
        <v>262</v>
      </c>
      <c r="M31" s="104" t="str">
        <f>IFERROR(VLOOKUP(L$31,Auswahlfelder!$D$31:$D$33,1,FALSE),VLOOKUP(L$31,Auswahlfelder!$C$31:$D$33,2,FALSE))</f>
        <v>ohne</v>
      </c>
      <c r="N31" s="104"/>
      <c r="O31" s="47" t="s">
        <v>262</v>
      </c>
      <c r="P31" s="104" t="str">
        <f>IFERROR(VLOOKUP(O$31,Auswahlfelder!$D$31:$D$33,1,FALSE),VLOOKUP(O$31,Auswahlfelder!$C$31:$D$33,2,FALSE))</f>
        <v>ohne</v>
      </c>
      <c r="Q31" s="104"/>
      <c r="R31" s="47" t="s">
        <v>262</v>
      </c>
      <c r="S31" s="104" t="str">
        <f>IFERROR(VLOOKUP(R$31,Auswahlfelder!$D$31:$D$33,1,FALSE),VLOOKUP(R$31,Auswahlfelder!$C$31:$D$33,2,FALSE))</f>
        <v>ohne</v>
      </c>
      <c r="T31" s="850"/>
      <c r="V31" t="s">
        <v>33</v>
      </c>
    </row>
    <row r="32" spans="1:22" ht="15.75" thickBot="1" x14ac:dyDescent="0.3">
      <c r="A32" s="26"/>
      <c r="B32" s="320">
        <v>13</v>
      </c>
      <c r="C32" s="318" t="s">
        <v>293</v>
      </c>
      <c r="D32" s="318" t="s">
        <v>297</v>
      </c>
      <c r="E32" s="333"/>
      <c r="F32" s="334"/>
      <c r="G32" s="42" t="str">
        <f>INDEX(AW_Wärmebehandlung,Auswahlfelder!C40,1)</f>
        <v>ohne (F)</v>
      </c>
      <c r="H32" s="17"/>
      <c r="I32" s="535" t="str">
        <f t="shared" si="4"/>
        <v>Wärmebehandlung</v>
      </c>
      <c r="J32" s="39"/>
      <c r="K32" s="104"/>
      <c r="L32" s="290" t="s">
        <v>567</v>
      </c>
      <c r="M32" s="104" t="str">
        <f>IFERROR(VLOOKUP(L$32,Auswahlfelder!$D$41:$D$46,1,FALSE),VLOOKUP(L$32,Auswahlfelder!$C$41:$D$46,2,FALSE))</f>
        <v>T7</v>
      </c>
      <c r="N32" s="104"/>
      <c r="O32" s="47" t="s">
        <v>294</v>
      </c>
      <c r="P32" s="104" t="str">
        <f>IFERROR(VLOOKUP(O$32,Auswahlfelder!$D$41:$D$46,1,FALSE),VLOOKUP(O$32,Auswahlfelder!$C$41:$D$46,2,FALSE))</f>
        <v>T4</v>
      </c>
      <c r="Q32" s="104"/>
      <c r="R32" s="47" t="s">
        <v>568</v>
      </c>
      <c r="S32" s="104" t="str">
        <f>IFERROR(VLOOKUP(R$32,Auswahlfelder!$D$41:$D$46,1,FALSE),VLOOKUP(R$32,Auswahlfelder!$C$41:$D$46,2,FALSE))</f>
        <v>T5</v>
      </c>
      <c r="T32" s="850"/>
      <c r="V32" t="s">
        <v>33</v>
      </c>
    </row>
    <row r="33" spans="1:22" ht="15.75" thickBot="1" x14ac:dyDescent="0.3">
      <c r="A33" s="26"/>
      <c r="B33" s="320">
        <v>34</v>
      </c>
      <c r="C33" s="318" t="s">
        <v>456</v>
      </c>
      <c r="D33" s="318" t="s">
        <v>451</v>
      </c>
      <c r="E33" s="333"/>
      <c r="F33" s="334"/>
      <c r="G33" s="42" t="str">
        <f>INDEX(AW_Reparaturschweißen,Auswahlfelder!C59,1)</f>
        <v>ohne</v>
      </c>
      <c r="H33" s="285"/>
      <c r="I33" s="537" t="str">
        <f t="shared" si="4"/>
        <v>Reparaturschweißung</v>
      </c>
      <c r="J33" s="451"/>
      <c r="K33" s="104"/>
      <c r="L33" s="437" t="s">
        <v>262</v>
      </c>
      <c r="M33" s="104" t="str">
        <f>IFERROR(VLOOKUP(L$33,Auswahlfelder!$D$60:$D$62,1,FALSE),VLOOKUP(L$33,Auswahlfelder!$C$60:$D$62,2,FALSE))</f>
        <v>ohne</v>
      </c>
      <c r="N33" s="438"/>
      <c r="O33" s="437" t="s">
        <v>262</v>
      </c>
      <c r="P33" s="104" t="str">
        <f>IFERROR(VLOOKUP(O$33,Auswahlfelder!$D$60:$D$62,1,FALSE),VLOOKUP(O$33,Auswahlfelder!$C$60:$D$62,2,FALSE))</f>
        <v>ohne</v>
      </c>
      <c r="Q33" s="438"/>
      <c r="R33" s="437" t="s">
        <v>262</v>
      </c>
      <c r="S33" s="104" t="str">
        <f>IFERROR(VLOOKUP(R$33,Auswahlfelder!$D$60:$D$62,1,FALSE),VLOOKUP(R$33,Auswahlfelder!$C$60:$D$62,2,FALSE))</f>
        <v>ohne</v>
      </c>
      <c r="T33" s="1202"/>
      <c r="V33" t="s">
        <v>33</v>
      </c>
    </row>
    <row r="34" spans="1:22" ht="15.75" thickBot="1" x14ac:dyDescent="0.3">
      <c r="A34" s="26"/>
      <c r="B34" s="319"/>
      <c r="C34" s="318" t="s">
        <v>72</v>
      </c>
      <c r="D34" s="318" t="s">
        <v>74</v>
      </c>
      <c r="E34" s="333"/>
      <c r="F34" s="334"/>
      <c r="G34" s="449">
        <f>$L$4</f>
        <v>43993</v>
      </c>
      <c r="H34" s="17"/>
      <c r="I34" s="535" t="str">
        <f t="shared" si="4"/>
        <v>Datum</v>
      </c>
      <c r="J34" s="18"/>
      <c r="K34" s="109">
        <f>L34</f>
        <v>43531</v>
      </c>
      <c r="L34" s="660">
        <v>43531</v>
      </c>
      <c r="M34" s="109">
        <f>L$34</f>
        <v>43531</v>
      </c>
      <c r="N34" s="109"/>
      <c r="O34" s="226">
        <v>43531</v>
      </c>
      <c r="P34" s="109">
        <f>O$34</f>
        <v>43531</v>
      </c>
      <c r="Q34" s="109"/>
      <c r="R34" s="226">
        <v>43531</v>
      </c>
      <c r="S34" s="109">
        <f>R$34</f>
        <v>43531</v>
      </c>
      <c r="T34" s="1203"/>
      <c r="V34" t="s">
        <v>33</v>
      </c>
    </row>
    <row r="35" spans="1:22" ht="15.75" thickBot="1" x14ac:dyDescent="0.3">
      <c r="A35" s="26"/>
      <c r="B35" s="320">
        <v>41</v>
      </c>
      <c r="C35" s="318" t="s">
        <v>73</v>
      </c>
      <c r="D35" s="318" t="s">
        <v>87</v>
      </c>
      <c r="E35" s="333">
        <v>0</v>
      </c>
      <c r="F35" s="334">
        <v>12</v>
      </c>
      <c r="G35" s="237">
        <v>6</v>
      </c>
      <c r="H35" s="17"/>
      <c r="I35" s="535" t="str">
        <f t="shared" ref="I35:I43" si="5">IF($G$2,C35,D35)</f>
        <v>Laufzeit (Jahre)</v>
      </c>
      <c r="J35" s="29"/>
      <c r="K35" s="39">
        <f>L35</f>
        <v>6</v>
      </c>
      <c r="L35" s="296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850"/>
      <c r="V35" t="s">
        <v>33</v>
      </c>
    </row>
    <row r="36" spans="1:22" ht="15.75" thickBot="1" x14ac:dyDescent="0.3">
      <c r="A36" s="26"/>
      <c r="B36" s="320">
        <v>26</v>
      </c>
      <c r="C36" s="374" t="s">
        <v>42</v>
      </c>
      <c r="D36" s="374" t="s">
        <v>58</v>
      </c>
      <c r="E36" s="333">
        <v>40</v>
      </c>
      <c r="F36" s="341">
        <v>40000</v>
      </c>
      <c r="G36" s="490" t="s">
        <v>69</v>
      </c>
      <c r="H36" s="17"/>
      <c r="I36" s="535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850"/>
      <c r="V36" t="s">
        <v>33</v>
      </c>
    </row>
    <row r="37" spans="1:22" ht="15.75" thickBot="1" x14ac:dyDescent="0.3">
      <c r="A37" s="26"/>
      <c r="B37" s="321">
        <v>26</v>
      </c>
      <c r="C37" s="318" t="str">
        <f ca="1">CONCATENATE("FY ",RIGHT(YEAR(G$4-110),2),"/",RIGHT(YEAR(G$4-110)+1,2))</f>
        <v>FY 21/22</v>
      </c>
      <c r="D37" s="318" t="str">
        <f t="shared" ref="D37:D43" ca="1" si="6">C37</f>
        <v>FY 21/22</v>
      </c>
      <c r="E37" s="333">
        <v>0</v>
      </c>
      <c r="F37" s="334">
        <v>1</v>
      </c>
      <c r="G37" s="237"/>
      <c r="H37" s="17"/>
      <c r="I37" s="536" t="str">
        <f t="shared" ca="1" si="5"/>
        <v>FY 21/22</v>
      </c>
      <c r="J37" s="130"/>
      <c r="K37" s="134" t="str">
        <f t="shared" ref="K37:K44" si="7">TEXT(M37,"0.0")</f>
        <v>2.500</v>
      </c>
      <c r="L37" s="133"/>
      <c r="M37" s="132">
        <f>IF(L$37&lt;&gt;"",L$37,0.5*M$36)</f>
        <v>2500</v>
      </c>
      <c r="N37" s="454" t="str">
        <f t="shared" ref="N37:N44" si="8">TEXT(P37,"0.0")</f>
        <v>2.500</v>
      </c>
      <c r="O37" s="133"/>
      <c r="P37" s="132">
        <f>IF(O$37&lt;&gt;"",O$37,0.5*O$36)</f>
        <v>2500</v>
      </c>
      <c r="Q37" s="454" t="str">
        <f t="shared" ref="Q37:Q44" si="9">TEXT(S37,"0.0")</f>
        <v>2.500</v>
      </c>
      <c r="R37" s="133"/>
      <c r="S37" s="132">
        <f>IF(R$37&lt;&gt;"",R$37,0.5*R$36)</f>
        <v>2500</v>
      </c>
      <c r="T37" s="850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",RIGHT(YEAR(G$4-110)+1,2),"/",RIGHT(YEAR(G$4-110)+2,2))</f>
        <v>FY 22/23</v>
      </c>
      <c r="D38" s="318" t="str">
        <f t="shared" ca="1" si="6"/>
        <v>FY 22/23</v>
      </c>
      <c r="E38" s="333">
        <v>0</v>
      </c>
      <c r="F38" s="334">
        <v>1</v>
      </c>
      <c r="G38" s="237"/>
      <c r="H38" s="17"/>
      <c r="I38" s="536" t="str">
        <f t="shared" ca="1" si="5"/>
        <v>FY 22/23</v>
      </c>
      <c r="J38" s="130"/>
      <c r="K38" s="134" t="str">
        <f t="shared" si="7"/>
        <v>5.000</v>
      </c>
      <c r="L38" s="133"/>
      <c r="M38" s="132">
        <f>IF(L38&lt;&gt;"",L38,IF(SUM(M$37:M37)+1.1*M$36&gt;L$36*L$35,MAX(0.75*(M$35*M$36-SUM(M$37:M37)),0.01*L$36),L$36))</f>
        <v>5000</v>
      </c>
      <c r="N38" s="454" t="str">
        <f t="shared" si="8"/>
        <v>5.000</v>
      </c>
      <c r="O38" s="133"/>
      <c r="P38" s="132">
        <f>IF(O38&lt;&gt;"",O38,IF(SUM(P$37:P37)+1.1*P$36&gt;O$36*O$35,MAX(0.75*(P$35*P$36-SUM(P$37:P37)),0.01*O$36),O$36))</f>
        <v>5000</v>
      </c>
      <c r="Q38" s="454" t="str">
        <f t="shared" si="9"/>
        <v>5.000</v>
      </c>
      <c r="R38" s="133"/>
      <c r="S38" s="132">
        <f>IF(R38&lt;&gt;"",R38,IF(SUM(S$37:S37)+1.1*S$36&gt;R$36*R$35,MAX(0.75*(S$35*S$36-SUM(S$37:S37)),0.01*R$36),R$36))</f>
        <v>5000</v>
      </c>
      <c r="T38" s="850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",RIGHT(YEAR(G$4-110)+2,2),"/",RIGHT(YEAR(G$4-110)+3,2))</f>
        <v>FY 23/24</v>
      </c>
      <c r="D39" s="318" t="str">
        <f t="shared" ca="1" si="6"/>
        <v>FY 23/24</v>
      </c>
      <c r="E39" s="333">
        <v>0</v>
      </c>
      <c r="F39" s="334">
        <v>1</v>
      </c>
      <c r="G39" s="237"/>
      <c r="H39" s="17"/>
      <c r="I39" s="536" t="str">
        <f t="shared" ca="1" si="5"/>
        <v>FY 23/24</v>
      </c>
      <c r="J39" s="130"/>
      <c r="K39" s="134" t="str">
        <f t="shared" si="7"/>
        <v>5.000</v>
      </c>
      <c r="L39" s="133"/>
      <c r="M39" s="132">
        <f>IF(L39&lt;&gt;"",L39,IF(SUM(M$37:M38)+1.1*M$36&gt;L$36*L$35,MAX(0.75*(M$35*M$36-SUM(M$37:M38)),0.01*L$36),L$36))</f>
        <v>5000</v>
      </c>
      <c r="N39" s="454" t="str">
        <f t="shared" si="8"/>
        <v>5.000</v>
      </c>
      <c r="O39" s="133"/>
      <c r="P39" s="132">
        <f>IF(O39&lt;&gt;"",O39,IF(SUM(P$37:P38)+1.1*P$36&gt;O$36*O$35,MAX(0.75*(P$35*P$36-SUM(P$37:P38)),0.01*O$36),O$36))</f>
        <v>5000</v>
      </c>
      <c r="Q39" s="454" t="str">
        <f t="shared" si="9"/>
        <v>5.000</v>
      </c>
      <c r="R39" s="133"/>
      <c r="S39" s="132">
        <f>IF(R39&lt;&gt;"",R39,IF(SUM(S$37:S38)+1.1*S$36&gt;R$36*R$35,MAX(0.75*(S$35*S$36-SUM(S$37:S38)),0.01*R$36),R$36))</f>
        <v>5000</v>
      </c>
      <c r="T39" s="850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",RIGHT(YEAR(G$4-110)+3,2),"/",RIGHT(YEAR(G$4-110)+4,2))</f>
        <v>FY 24/25</v>
      </c>
      <c r="D40" s="318" t="str">
        <f t="shared" ca="1" si="6"/>
        <v>FY 24/25</v>
      </c>
      <c r="E40" s="333">
        <v>0</v>
      </c>
      <c r="F40" s="334">
        <v>1</v>
      </c>
      <c r="G40" s="237"/>
      <c r="H40" s="17"/>
      <c r="I40" s="536" t="str">
        <f t="shared" ca="1" si="5"/>
        <v>FY 24/25</v>
      </c>
      <c r="J40" s="130"/>
      <c r="K40" s="134" t="str">
        <f t="shared" si="7"/>
        <v>5.000</v>
      </c>
      <c r="L40" s="133"/>
      <c r="M40" s="132">
        <f>IF(L40&lt;&gt;"",L40,IF(SUM(M$37:M39)+1.1*M$36&gt;L$36*L$35,MAX(0.75*(M$35*M$36-SUM(M$37:M39)),0.01*L$36),L$36))</f>
        <v>5000</v>
      </c>
      <c r="N40" s="454" t="str">
        <f t="shared" si="8"/>
        <v>5.000</v>
      </c>
      <c r="O40" s="133"/>
      <c r="P40" s="132">
        <f>IF(O40&lt;&gt;"",O40,IF(SUM(P$37:P39)+1.1*P$36&gt;O$36*O$35,MAX(0.75*(P$35*P$36-SUM(P$37:P39)),0.01*O$36),O$36))</f>
        <v>5000</v>
      </c>
      <c r="Q40" s="454" t="str">
        <f t="shared" si="9"/>
        <v>5.000</v>
      </c>
      <c r="R40" s="133"/>
      <c r="S40" s="132">
        <f>IF(R40&lt;&gt;"",R40,IF(SUM(S$37:S39)+1.1*S$36&gt;R$36*R$35,MAX(0.75*(S$35*S$36-SUM(S$37:S39)),0.01*R$36),R$36))</f>
        <v>5000</v>
      </c>
      <c r="T40" s="850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",RIGHT(YEAR(G$4-110)+4,2),"/",RIGHT(YEAR(G$4-110)+5,2))</f>
        <v>FY 25/26</v>
      </c>
      <c r="D41" s="318" t="str">
        <f t="shared" ca="1" si="6"/>
        <v>FY 25/26</v>
      </c>
      <c r="E41" s="333">
        <v>0</v>
      </c>
      <c r="F41" s="334">
        <v>1</v>
      </c>
      <c r="G41" s="237"/>
      <c r="H41" s="17"/>
      <c r="I41" s="536" t="str">
        <f t="shared" ca="1" si="5"/>
        <v>FY 25/26</v>
      </c>
      <c r="J41" s="130"/>
      <c r="K41" s="134" t="str">
        <f t="shared" si="7"/>
        <v>5.000</v>
      </c>
      <c r="L41" s="133"/>
      <c r="M41" s="132">
        <f>IF(L41&lt;&gt;"",L41,IF(SUM(M$37:M40)+1.1*M$36&gt;L$36*L$35,MAX(0.75*(M$35*M$36-SUM(M$37:M40)),0.01*L$36),L$36))</f>
        <v>5000</v>
      </c>
      <c r="N41" s="454" t="str">
        <f t="shared" si="8"/>
        <v>5.000</v>
      </c>
      <c r="O41" s="133"/>
      <c r="P41" s="132">
        <f>IF(O41&lt;&gt;"",O41,IF(SUM(P$37:P40)+1.1*P$36&gt;O$36*O$35,MAX(0.75*(P$35*P$36-SUM(P$37:P40)),0.01*O$36),O$36))</f>
        <v>5000</v>
      </c>
      <c r="Q41" s="454" t="str">
        <f t="shared" si="9"/>
        <v>5.000</v>
      </c>
      <c r="R41" s="133"/>
      <c r="S41" s="132">
        <f>IF(R41&lt;&gt;"",R41,IF(SUM(S$37:S40)+1.1*S$36&gt;R$36*R$35,MAX(0.75*(S$35*S$36-SUM(S$37:S40)),0.01*R$36),R$36))</f>
        <v>5000</v>
      </c>
      <c r="T41" s="850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",RIGHT(YEAR(G$4-110)+5,2),"/",RIGHT(YEAR(G$4-110)+6,2))</f>
        <v>FY 26/27</v>
      </c>
      <c r="D42" s="318" t="str">
        <f t="shared" ca="1" si="6"/>
        <v>FY 26/27</v>
      </c>
      <c r="E42" s="333">
        <v>0</v>
      </c>
      <c r="F42" s="334">
        <v>1</v>
      </c>
      <c r="G42" s="237"/>
      <c r="H42" s="17"/>
      <c r="I42" s="536" t="str">
        <f t="shared" ca="1" si="5"/>
        <v>FY 26/27</v>
      </c>
      <c r="J42" s="130"/>
      <c r="K42" s="134" t="str">
        <f t="shared" si="7"/>
        <v>5.000</v>
      </c>
      <c r="L42" s="133"/>
      <c r="M42" s="132">
        <f>IF(L42&lt;&gt;"",L42,IF(SUM(M$37:M41)+1.1*M$36&gt;L$36*L$35,MAX(0.75*(M$35*M$36-SUM(M$37:M41)),0.01*L$36),L$36))</f>
        <v>5000</v>
      </c>
      <c r="N42" s="454" t="str">
        <f t="shared" si="8"/>
        <v>5.000</v>
      </c>
      <c r="O42" s="133"/>
      <c r="P42" s="132">
        <f>IF(O42&lt;&gt;"",O42,IF(SUM(P$37:P41)+1.1*P$36&gt;O$36*O$35,MAX(0.75*(P$35*P$36-SUM(P$37:P41)),0.01*O$36),O$36))</f>
        <v>5000</v>
      </c>
      <c r="Q42" s="454" t="str">
        <f t="shared" si="9"/>
        <v>5.000</v>
      </c>
      <c r="R42" s="133"/>
      <c r="S42" s="132">
        <f>IF(R42&lt;&gt;"",R42,IF(SUM(S$37:S41)+1.1*S$36&gt;R$36*R$35,MAX(0.75*(S$35*S$36-SUM(S$37:S41)),0.01*R$36),R$36))</f>
        <v>5000</v>
      </c>
      <c r="T42" s="850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",RIGHT(YEAR(G$4-110)+6,2),"/",RIGHT(YEAR(G$4-110)+7,2))</f>
        <v>FY 27/28</v>
      </c>
      <c r="D43" s="318" t="str">
        <f t="shared" ca="1" si="6"/>
        <v>FY 27/28</v>
      </c>
      <c r="E43" s="333">
        <v>0</v>
      </c>
      <c r="F43" s="334">
        <v>1</v>
      </c>
      <c r="G43" s="237"/>
      <c r="H43" s="17"/>
      <c r="I43" s="536" t="str">
        <f t="shared" ca="1" si="5"/>
        <v>FY 27/28</v>
      </c>
      <c r="J43" s="130"/>
      <c r="K43" s="134" t="str">
        <f t="shared" si="7"/>
        <v>1.875</v>
      </c>
      <c r="L43" s="133"/>
      <c r="M43" s="132">
        <f>IF(L43&lt;&gt;"",L43,IF(SUM(M$37:M42)+1.1*M$36&gt;L$36*L$35,MAX(0.75*(M$35*M$36-SUM(M$37:M42)),0.01*L$36),L$36))</f>
        <v>1875</v>
      </c>
      <c r="N43" s="454" t="str">
        <f t="shared" si="8"/>
        <v>1.875</v>
      </c>
      <c r="O43" s="133"/>
      <c r="P43" s="132">
        <f>IF(O43&lt;&gt;"",O43,IF(SUM(P$37:P42)+1.1*P$36&gt;O$36*O$35,MAX(0.75*(P$35*P$36-SUM(P$37:P42)),0.01*O$36),O$36))</f>
        <v>1875</v>
      </c>
      <c r="Q43" s="454" t="str">
        <f t="shared" si="9"/>
        <v>1.875</v>
      </c>
      <c r="R43" s="133"/>
      <c r="S43" s="132">
        <f>IF(R43&lt;&gt;"",R43,IF(SUM(S$37:S42)+1.1*S$36&gt;R$36*R$35,MAX(0.75*(S$35*S$36-SUM(S$37:S42)),0.01*R$36),R$36))</f>
        <v>1875</v>
      </c>
      <c r="T43" s="850"/>
      <c r="V43" t="s">
        <v>33</v>
      </c>
    </row>
    <row r="44" spans="1:22" ht="15.75" thickBot="1" x14ac:dyDescent="0.3">
      <c r="A44" s="26"/>
      <c r="B44" s="322">
        <v>26</v>
      </c>
      <c r="C44" s="318" t="s">
        <v>279</v>
      </c>
      <c r="D44" s="318" t="s">
        <v>54</v>
      </c>
      <c r="E44" s="333"/>
      <c r="F44" s="334"/>
      <c r="G44" s="237"/>
      <c r="H44" s="17"/>
      <c r="I44" s="535" t="str">
        <f>IF($G$2,C44,D44)</f>
        <v>Gesamt</v>
      </c>
      <c r="J44" s="18"/>
      <c r="K44" s="655" t="str">
        <f t="shared" si="7"/>
        <v>30.000</v>
      </c>
      <c r="L44" s="538"/>
      <c r="M44" s="230">
        <f>MAX(SUM(M$37:M$43),M$36*M$35,L$44,1)</f>
        <v>30000</v>
      </c>
      <c r="N44" s="658" t="str">
        <f t="shared" si="8"/>
        <v>30.000</v>
      </c>
      <c r="O44" s="659"/>
      <c r="P44" s="230">
        <f>MAX(SUM(P$37:P$43),P$36*P$35,O$44,1)</f>
        <v>30000</v>
      </c>
      <c r="Q44" s="658" t="str">
        <f t="shared" si="9"/>
        <v>30.000</v>
      </c>
      <c r="R44" s="659"/>
      <c r="S44" s="230">
        <f t="shared" ref="S44" si="10">MAX(SUM(S$37:S$43),S$36*S$35,R$44,1)</f>
        <v>30000</v>
      </c>
      <c r="T44" s="850"/>
      <c r="V44" t="s">
        <v>33</v>
      </c>
    </row>
    <row r="45" spans="1:22" ht="15.75" thickBot="1" x14ac:dyDescent="0.3">
      <c r="A45" s="26"/>
      <c r="B45" s="320">
        <v>17</v>
      </c>
      <c r="C45" s="318" t="s">
        <v>2</v>
      </c>
      <c r="D45" s="318" t="s">
        <v>57</v>
      </c>
      <c r="E45" s="333"/>
      <c r="F45" s="334"/>
      <c r="G45" s="237" t="str">
        <f>INDEX(AW_Produktionsregion,Auswahlfelder!H2,1)</f>
        <v>Deutschland</v>
      </c>
      <c r="H45" s="17"/>
      <c r="I45" s="535" t="str">
        <f t="shared" ref="I45:I51" si="11">IF($G$2,C45,D45)</f>
        <v>Produktionsregion</v>
      </c>
      <c r="J45" s="4"/>
      <c r="K45" s="39" t="str">
        <f>VLOOKUP(L$45,Auswahlfelder!$G$3:$K$9,2,FALSE)</f>
        <v>Germany</v>
      </c>
      <c r="L45" s="290" t="s">
        <v>14</v>
      </c>
      <c r="M45" s="104" t="str">
        <f>IFERROR(VLOOKUP(L$45,Auswahlfelder!$I$3:$I$15,1,FALSE),VLOOKUP(L$45,Auswahlfelder!$H$3:$I$15,2,FALSE))</f>
        <v>Deutschland</v>
      </c>
      <c r="N45" s="132"/>
      <c r="O45" s="290" t="s">
        <v>17</v>
      </c>
      <c r="P45" s="104" t="str">
        <f>IFERROR(VLOOKUP(O$45,Auswahlfelder!$I$3:$I$15,1,FALSE),VLOOKUP(O$45,Auswahlfelder!$H$3:$I$15,2,FALSE))</f>
        <v>Polen</v>
      </c>
      <c r="Q45" s="132"/>
      <c r="R45" s="290" t="s">
        <v>14</v>
      </c>
      <c r="S45" s="104" t="str">
        <f>IFERROR(VLOOKUP(R$45,Auswahlfelder!$I$3:$I$15,1,FALSE),VLOOKUP(R$45,Auswahlfelder!$H$3:$I$15,2,FALSE))</f>
        <v>Deutschland</v>
      </c>
      <c r="T45" s="850"/>
      <c r="V45" t="s">
        <v>33</v>
      </c>
    </row>
    <row r="46" spans="1:22" ht="15" thickBot="1" x14ac:dyDescent="0.25">
      <c r="A46" s="26"/>
      <c r="B46" s="319">
        <v>31</v>
      </c>
      <c r="C46" s="318" t="s">
        <v>4</v>
      </c>
      <c r="D46" s="318" t="s">
        <v>88</v>
      </c>
      <c r="E46" s="333"/>
      <c r="F46" s="334"/>
      <c r="G46" s="237" t="str">
        <f>INDEX(AW_Schichtmodel,Auswahlfelder!C6,1)</f>
        <v>2-Schicht</v>
      </c>
      <c r="H46" s="17"/>
      <c r="I46" s="18" t="str">
        <f t="shared" si="11"/>
        <v>Schichtmodel</v>
      </c>
      <c r="J46" s="4"/>
      <c r="K46" s="39" t="str">
        <f>VLOOKUP(L46,Auswahlfelder!$B$7:$C$9,2,FALSE)</f>
        <v>2 shifts</v>
      </c>
      <c r="L46" s="290" t="s">
        <v>20</v>
      </c>
      <c r="M46" s="104" t="str">
        <f>IFERROR(VLOOKUP(L$46,Auswahlfelder!$D$7:$D$9,1,FALSE),VLOOKUP(L$46,Auswahlfelder!$C$7:$D$9,2,FALSE))</f>
        <v>2-Schicht</v>
      </c>
      <c r="N46" s="132"/>
      <c r="O46" s="290" t="s">
        <v>20</v>
      </c>
      <c r="P46" s="104" t="str">
        <f>IFERROR(VLOOKUP(O$46,Auswahlfelder!$D$7:$D$9,1,FALSE),VLOOKUP(O$46,Auswahlfelder!$C$7:$D$9,2,FALSE))</f>
        <v>2-Schicht</v>
      </c>
      <c r="Q46" s="132"/>
      <c r="R46" s="290" t="s">
        <v>20</v>
      </c>
      <c r="S46" s="104" t="str">
        <f>IFERROR(VLOOKUP(R$46,Auswahlfelder!$D$7:$D$9,1,FALSE),VLOOKUP(R$46,Auswahlfelder!$C$7:$D$9,2,FALSE))</f>
        <v>2-Schicht</v>
      </c>
      <c r="T46" s="850"/>
      <c r="V46" t="s">
        <v>33</v>
      </c>
    </row>
    <row r="47" spans="1:22" ht="15" thickBot="1" x14ac:dyDescent="0.25">
      <c r="A47" s="26"/>
      <c r="B47" s="319"/>
      <c r="C47" s="318" t="s">
        <v>52</v>
      </c>
      <c r="D47" s="318" t="s">
        <v>85</v>
      </c>
      <c r="E47" s="333">
        <v>4</v>
      </c>
      <c r="F47" s="334">
        <v>7</v>
      </c>
      <c r="G47" s="237">
        <v>5</v>
      </c>
      <c r="H47" s="125"/>
      <c r="I47" s="18" t="str">
        <f t="shared" si="11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850"/>
      <c r="V47" t="s">
        <v>33</v>
      </c>
    </row>
    <row r="48" spans="1:22" ht="15" thickBot="1" x14ac:dyDescent="0.25">
      <c r="A48" s="26"/>
      <c r="B48" s="319"/>
      <c r="C48" s="318" t="s">
        <v>53</v>
      </c>
      <c r="D48" s="318" t="s">
        <v>86</v>
      </c>
      <c r="E48" s="333">
        <v>40</v>
      </c>
      <c r="F48" s="334">
        <v>50</v>
      </c>
      <c r="G48" s="237">
        <v>48</v>
      </c>
      <c r="H48" s="125"/>
      <c r="I48" s="18" t="str">
        <f t="shared" si="11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850"/>
      <c r="V48" t="s">
        <v>33</v>
      </c>
    </row>
    <row r="49" spans="1:22" ht="15" thickBot="1" x14ac:dyDescent="0.25">
      <c r="A49" s="26"/>
      <c r="B49" s="321">
        <v>16</v>
      </c>
      <c r="C49" s="318" t="s">
        <v>95</v>
      </c>
      <c r="D49" s="318" t="s">
        <v>117</v>
      </c>
      <c r="E49" s="333"/>
      <c r="F49" s="334"/>
      <c r="G49" s="237" t="str">
        <f>INDEX(AW_Größe,Auswahlfelder!C25,1)</f>
        <v>mittel</v>
      </c>
      <c r="H49" s="125"/>
      <c r="I49" s="18" t="str">
        <f t="shared" si="11"/>
        <v>Firmengröße</v>
      </c>
      <c r="J49" s="10"/>
      <c r="K49" s="39" t="str">
        <f>VLOOKUP(L49,Auswahlfelder!$B$26:$G$28,2,FALSE)</f>
        <v>mid size</v>
      </c>
      <c r="L49" s="290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850"/>
      <c r="V49" t="s">
        <v>33</v>
      </c>
    </row>
    <row r="50" spans="1:22" ht="15" thickBot="1" x14ac:dyDescent="0.25">
      <c r="A50" s="26"/>
      <c r="B50" s="321">
        <v>30</v>
      </c>
      <c r="C50" s="318" t="s">
        <v>584</v>
      </c>
      <c r="D50" s="318" t="s">
        <v>185</v>
      </c>
      <c r="E50" s="333">
        <v>0.5</v>
      </c>
      <c r="F50" s="334">
        <v>1</v>
      </c>
      <c r="G50" s="239">
        <f>'Länder-DB'!I31</f>
        <v>0.8</v>
      </c>
      <c r="H50" s="125"/>
      <c r="I50" s="18" t="str">
        <f t="shared" si="11"/>
        <v>Mittl. Maschinennutzung (%)</v>
      </c>
      <c r="J50" s="10"/>
      <c r="K50" s="111">
        <f>L50</f>
        <v>0.8</v>
      </c>
      <c r="L50" s="297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850"/>
      <c r="V50" t="s">
        <v>33</v>
      </c>
    </row>
    <row r="51" spans="1:22" ht="12.75" customHeight="1" thickBot="1" x14ac:dyDescent="0.25">
      <c r="A51" s="26"/>
      <c r="B51" s="319"/>
      <c r="C51" s="318" t="s">
        <v>5</v>
      </c>
      <c r="D51" s="318" t="s">
        <v>91</v>
      </c>
      <c r="E51" s="333"/>
      <c r="F51" s="334"/>
      <c r="G51" s="237"/>
      <c r="H51" s="17"/>
      <c r="I51" s="258" t="str">
        <f t="shared" si="11"/>
        <v>Zielpreis Bauteil</v>
      </c>
      <c r="J51" s="648" t="str">
        <f>CONCATENATE("FY ",RIGHT(YEAR(L$34-110),2),"/",RIGHT(YEAR(L$34-110)+1,2))</f>
        <v>FY 18/19</v>
      </c>
      <c r="K51" s="112"/>
      <c r="L51" s="938"/>
      <c r="M51" s="231" t="str">
        <f ca="1">$C$37</f>
        <v>FY 21/22</v>
      </c>
      <c r="N51" s="232"/>
      <c r="O51" s="661"/>
      <c r="P51" s="231" t="str">
        <f ca="1">$C$37</f>
        <v>FY 21/22</v>
      </c>
      <c r="Q51" s="232"/>
      <c r="R51" s="661"/>
      <c r="S51" s="231" t="str">
        <f ca="1">$C$37</f>
        <v>FY 21/22</v>
      </c>
      <c r="T51" s="850"/>
      <c r="V51" t="s">
        <v>33</v>
      </c>
    </row>
    <row r="52" spans="1:22" ht="14.25" customHeight="1" thickBot="1" x14ac:dyDescent="0.25">
      <c r="A52" s="26"/>
      <c r="B52" s="319"/>
      <c r="C52" s="318" t="str">
        <f t="shared" ref="C52:D56" ca="1" si="12">C37</f>
        <v>FY 21/22</v>
      </c>
      <c r="D52" s="318" t="str">
        <f t="shared" ca="1" si="12"/>
        <v>FY 21/22</v>
      </c>
      <c r="E52" s="333">
        <v>0.1</v>
      </c>
      <c r="F52" s="334"/>
      <c r="G52" s="237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3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850"/>
      <c r="V52" t="s">
        <v>33</v>
      </c>
    </row>
    <row r="53" spans="1:22" ht="15" thickBot="1" x14ac:dyDescent="0.25">
      <c r="A53" s="26"/>
      <c r="B53" s="319"/>
      <c r="C53" s="318" t="str">
        <f t="shared" ca="1" si="12"/>
        <v>FY 22/23</v>
      </c>
      <c r="D53" s="318" t="str">
        <f t="shared" ca="1" si="12"/>
        <v>FY 22/23</v>
      </c>
      <c r="E53" s="333">
        <v>0.1</v>
      </c>
      <c r="F53" s="334"/>
      <c r="G53" s="237"/>
      <c r="H53" s="17"/>
      <c r="I53" s="20" t="str">
        <f ca="1">IF($G$2,C53,D53)</f>
        <v>FY 22/23</v>
      </c>
      <c r="J53" s="18"/>
      <c r="K53" s="478" t="str">
        <f>TEXT(M53,"0,00")</f>
        <v>55,00</v>
      </c>
      <c r="L53" s="293"/>
      <c r="M53" s="39">
        <f>IF(L$53&lt;&gt;"",L$53,M$52)</f>
        <v>55</v>
      </c>
      <c r="N53" s="478" t="str">
        <f>TEXT(P53,"0,00")</f>
        <v>55,00</v>
      </c>
      <c r="O53" s="293"/>
      <c r="P53" s="39">
        <f>IF(O$53&lt;&gt;"",O$53,P$52)</f>
        <v>55</v>
      </c>
      <c r="Q53" s="478" t="str">
        <f>TEXT(S53,"0,00")</f>
        <v>55,00</v>
      </c>
      <c r="R53" s="293"/>
      <c r="S53" s="39">
        <f>IF(R$53&lt;&gt;"",R$53,S$52)</f>
        <v>55</v>
      </c>
      <c r="T53" s="850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23/24</v>
      </c>
      <c r="D54" s="318" t="str">
        <f t="shared" ca="1" si="12"/>
        <v>FY 23/24</v>
      </c>
      <c r="E54" s="333">
        <v>0.1</v>
      </c>
      <c r="F54" s="334"/>
      <c r="G54" s="237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3"/>
      <c r="M54" s="39">
        <f>IF(L$54&lt;&gt;"",L$54,M$53)</f>
        <v>55</v>
      </c>
      <c r="N54" s="134" t="str">
        <f>TEXT(P54,"0,00")</f>
        <v>55,00</v>
      </c>
      <c r="O54" s="293"/>
      <c r="P54" s="39">
        <f>IF(O$54&lt;&gt;"",O$54,P$53)</f>
        <v>55</v>
      </c>
      <c r="Q54" s="134" t="str">
        <f>TEXT(S54,"0,00")</f>
        <v>55,00</v>
      </c>
      <c r="R54" s="293"/>
      <c r="S54" s="39">
        <f>IF(R$54&lt;&gt;"",R$54,S$53)</f>
        <v>55</v>
      </c>
      <c r="T54" s="850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24/25</v>
      </c>
      <c r="D55" s="318" t="str">
        <f t="shared" ca="1" si="12"/>
        <v>FY 24/25</v>
      </c>
      <c r="E55" s="333">
        <v>0.1</v>
      </c>
      <c r="F55" s="334"/>
      <c r="G55" s="237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50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25/26</v>
      </c>
      <c r="D56" s="318" t="str">
        <f t="shared" ca="1" si="12"/>
        <v>FY 25/26</v>
      </c>
      <c r="E56" s="333">
        <v>0.1</v>
      </c>
      <c r="F56" s="334"/>
      <c r="G56" s="237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50"/>
      <c r="V56" t="s">
        <v>33</v>
      </c>
    </row>
    <row r="57" spans="1:22" ht="15" thickBot="1" x14ac:dyDescent="0.25">
      <c r="A57" s="26"/>
      <c r="B57" s="319"/>
      <c r="C57" s="318" t="s">
        <v>777</v>
      </c>
      <c r="D57" s="318" t="s">
        <v>235</v>
      </c>
      <c r="E57" s="333">
        <v>0</v>
      </c>
      <c r="F57" s="334"/>
      <c r="G57" s="43" t="s">
        <v>69</v>
      </c>
      <c r="H57" s="17"/>
      <c r="I57" s="21" t="str">
        <f t="shared" ref="I57:I84" si="13">IF($G$2,C57,D57)</f>
        <v>Modellkosten</v>
      </c>
      <c r="J57" s="18"/>
      <c r="K57" s="39">
        <f>L57</f>
        <v>10000</v>
      </c>
      <c r="L57" s="298">
        <v>10000</v>
      </c>
      <c r="M57" s="651">
        <f>L$57</f>
        <v>10000</v>
      </c>
      <c r="N57" s="39"/>
      <c r="O57" s="188">
        <v>5600</v>
      </c>
      <c r="P57" s="651">
        <f>O$57</f>
        <v>5600</v>
      </c>
      <c r="Q57" s="39"/>
      <c r="R57" s="188">
        <v>7500</v>
      </c>
      <c r="S57" s="651">
        <f t="shared" ref="S57" si="14">R$57</f>
        <v>7500</v>
      </c>
      <c r="T57" s="850"/>
      <c r="V57" t="s">
        <v>33</v>
      </c>
    </row>
    <row r="58" spans="1:22" ht="15" thickBot="1" x14ac:dyDescent="0.25">
      <c r="A58" s="26"/>
      <c r="B58" s="323"/>
      <c r="C58" s="324" t="s">
        <v>778</v>
      </c>
      <c r="D58" s="324" t="s">
        <v>776</v>
      </c>
      <c r="E58" s="337">
        <v>0</v>
      </c>
      <c r="F58" s="338"/>
      <c r="G58" s="241" t="s">
        <v>69</v>
      </c>
      <c r="H58" s="17"/>
      <c r="I58" s="21" t="str">
        <f t="shared" ref="I58" si="15">IF($G$2,C58,D58)</f>
        <v>Kosten Kernkästen</v>
      </c>
      <c r="J58" s="18"/>
      <c r="K58" s="39">
        <f>L58</f>
        <v>500</v>
      </c>
      <c r="L58" s="298">
        <v>500</v>
      </c>
      <c r="M58" s="651">
        <f>IF(M23=Auswahlfelder!$D$49,0,L$58)</f>
        <v>500</v>
      </c>
      <c r="N58" s="39"/>
      <c r="O58" s="188">
        <v>400</v>
      </c>
      <c r="P58" s="651">
        <f>IF(P23=Auswahlfelder!$D$49,0,O$58)</f>
        <v>400</v>
      </c>
      <c r="Q58" s="39"/>
      <c r="R58" s="188">
        <v>550</v>
      </c>
      <c r="S58" s="651">
        <f>IF(S23=Auswahlfelder!$D$49,0,R$58)</f>
        <v>0</v>
      </c>
      <c r="T58" s="850"/>
      <c r="V58" t="s">
        <v>33</v>
      </c>
    </row>
    <row r="59" spans="1:22" ht="15" hidden="1" thickBot="1" x14ac:dyDescent="0.25">
      <c r="A59" s="26"/>
      <c r="B59" s="321">
        <v>15</v>
      </c>
      <c r="C59" s="325" t="s">
        <v>227</v>
      </c>
      <c r="D59" s="325" t="s">
        <v>168</v>
      </c>
      <c r="E59" s="339">
        <v>0.01</v>
      </c>
      <c r="F59" s="340">
        <v>0.09</v>
      </c>
      <c r="G59" s="238" t="s">
        <v>186</v>
      </c>
      <c r="H59" s="17"/>
      <c r="I59" s="21" t="str">
        <f t="shared" si="13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3">
        <f>Refkalkulation!H$16</f>
        <v>5.5500000000000001E-2</v>
      </c>
      <c r="N59" s="233"/>
      <c r="O59" s="135">
        <f>P$59</f>
        <v>5.5500000000000001E-2</v>
      </c>
      <c r="P59" s="233">
        <f>Refkalkulation!K$16</f>
        <v>5.5500000000000001E-2</v>
      </c>
      <c r="Q59" s="233"/>
      <c r="R59" s="135">
        <f>S$59</f>
        <v>5.5500000000000001E-2</v>
      </c>
      <c r="S59" s="233">
        <f>[2]Refkalkulation!N$16</f>
        <v>5.5500000000000001E-2</v>
      </c>
      <c r="T59" s="850"/>
    </row>
    <row r="60" spans="1:22" ht="15" hidden="1" thickBot="1" x14ac:dyDescent="0.25">
      <c r="A60" s="26"/>
      <c r="B60" s="321">
        <v>42</v>
      </c>
      <c r="C60" s="318" t="s">
        <v>98</v>
      </c>
      <c r="D60" s="318" t="s">
        <v>822</v>
      </c>
      <c r="E60" s="335">
        <v>0.05</v>
      </c>
      <c r="F60" s="336">
        <v>0.12</v>
      </c>
      <c r="G60" s="238" t="s">
        <v>186</v>
      </c>
      <c r="H60" s="17"/>
      <c r="I60" s="21" t="str">
        <f t="shared" si="13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3">
        <f>Refkalkulation!H$24</f>
        <v>7.0000000000000007E-2</v>
      </c>
      <c r="N60" s="233"/>
      <c r="O60" s="135">
        <f>P$60</f>
        <v>7.0000000000000007E-2</v>
      </c>
      <c r="P60" s="233">
        <f>Refkalkulation!K$24</f>
        <v>7.0000000000000007E-2</v>
      </c>
      <c r="Q60" s="233"/>
      <c r="R60" s="135">
        <f>S$60</f>
        <v>7.0000000000000007E-2</v>
      </c>
      <c r="S60" s="233">
        <f>[2]Refkalkulation!N$24</f>
        <v>7.0000000000000007E-2</v>
      </c>
      <c r="T60" s="850"/>
    </row>
    <row r="61" spans="1:22" ht="15" hidden="1" thickBot="1" x14ac:dyDescent="0.25">
      <c r="A61" s="26"/>
      <c r="B61" s="321" t="s">
        <v>69</v>
      </c>
      <c r="C61" s="318" t="s">
        <v>811</v>
      </c>
      <c r="D61" s="318" t="s">
        <v>810</v>
      </c>
      <c r="E61" s="335"/>
      <c r="F61" s="336"/>
      <c r="G61" s="760" t="str">
        <f>Auswahlfelder!$B$71</f>
        <v>Gas</v>
      </c>
      <c r="H61" s="17"/>
      <c r="I61" s="21" t="str">
        <f t="shared" si="13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3" t="str">
        <f>Refkalkulation!I32</f>
        <v>Gas</v>
      </c>
      <c r="N61" s="233"/>
      <c r="O61" s="135" t="str">
        <f>VLOOKUP(VLOOKUP(P$61,Auswahlfelder!$D$71:$E$73,2,FALSE),Auswahlfelder!$A$71:$B$73,2,FALSE)</f>
        <v>Gas</v>
      </c>
      <c r="P61" s="233" t="str">
        <f>Refkalkulation!L32</f>
        <v>Gas</v>
      </c>
      <c r="Q61" s="233"/>
      <c r="R61" s="135" t="str">
        <f>VLOOKUP(VLOOKUP(S$61,Auswahlfelder!$D$71:$E$73,2,FALSE),Auswahlfelder!$A$71:$B$73,2,FALSE)</f>
        <v>Gas</v>
      </c>
      <c r="S61" s="233" t="str">
        <f>[2]Refkalkulation!O32</f>
        <v>Gas</v>
      </c>
      <c r="T61" s="850"/>
      <c r="V61" t="s">
        <v>33</v>
      </c>
    </row>
    <row r="62" spans="1:22" ht="15" hidden="1" thickBot="1" x14ac:dyDescent="0.25">
      <c r="A62" s="26"/>
      <c r="B62" s="321">
        <v>20</v>
      </c>
      <c r="C62" s="318" t="s">
        <v>908</v>
      </c>
      <c r="D62" s="318" t="s">
        <v>909</v>
      </c>
      <c r="E62" s="335"/>
      <c r="F62" s="336"/>
      <c r="G62" s="1026">
        <v>0</v>
      </c>
      <c r="H62" s="17"/>
      <c r="I62" s="21" t="str">
        <f t="shared" ref="I62" si="16">IF($G$2,C62,D62)</f>
        <v>Ofenleistung</v>
      </c>
      <c r="J62" s="18"/>
      <c r="K62" s="111"/>
      <c r="L62" s="187">
        <f>M$62</f>
        <v>2000</v>
      </c>
      <c r="M62" s="233">
        <f>Refkalkulation!H$31</f>
        <v>2000</v>
      </c>
      <c r="N62" s="233"/>
      <c r="O62" s="187">
        <f>P$62</f>
        <v>2000</v>
      </c>
      <c r="P62" s="233">
        <f>Refkalkulation!K$31</f>
        <v>2000</v>
      </c>
      <c r="Q62" s="233"/>
      <c r="R62" s="187">
        <f t="shared" ref="R62" si="17">S$62</f>
        <v>2000</v>
      </c>
      <c r="S62" s="233">
        <f>[2]Refkalkulation!N$31</f>
        <v>2000</v>
      </c>
      <c r="T62" s="850"/>
      <c r="V62" t="s">
        <v>33</v>
      </c>
    </row>
    <row r="63" spans="1:22" ht="15" hidden="1" thickBot="1" x14ac:dyDescent="0.25">
      <c r="A63" s="26"/>
      <c r="B63" s="321">
        <v>4</v>
      </c>
      <c r="C63" s="318" t="s">
        <v>380</v>
      </c>
      <c r="D63" s="318" t="s">
        <v>381</v>
      </c>
      <c r="E63" s="333">
        <v>1</v>
      </c>
      <c r="F63" s="334">
        <v>12</v>
      </c>
      <c r="G63" s="238" t="s">
        <v>186</v>
      </c>
      <c r="H63" s="17"/>
      <c r="I63" s="21" t="str">
        <f t="shared" si="13"/>
        <v>Modelle/Platte</v>
      </c>
      <c r="J63" s="18"/>
      <c r="K63" s="120">
        <f>Refkalkulation!H$50</f>
        <v>1</v>
      </c>
      <c r="L63" s="187">
        <f>M$63</f>
        <v>1</v>
      </c>
      <c r="M63" s="272">
        <f>Refkalkulation!H$50</f>
        <v>1</v>
      </c>
      <c r="N63" s="273"/>
      <c r="O63" s="187">
        <f>P$63</f>
        <v>1</v>
      </c>
      <c r="P63" s="272">
        <f>Refkalkulation!K$50</f>
        <v>1</v>
      </c>
      <c r="Q63" s="273"/>
      <c r="R63" s="187">
        <f>S$63</f>
        <v>1</v>
      </c>
      <c r="S63" s="272">
        <f>[2]Refkalkulation!N$50</f>
        <v>1</v>
      </c>
      <c r="T63" s="850"/>
    </row>
    <row r="64" spans="1:22" ht="15" hidden="1" thickBot="1" x14ac:dyDescent="0.25">
      <c r="A64" s="26"/>
      <c r="B64" s="321">
        <v>25</v>
      </c>
      <c r="C64" s="318" t="s">
        <v>249</v>
      </c>
      <c r="D64" s="318" t="s">
        <v>250</v>
      </c>
      <c r="E64" s="333">
        <v>1</v>
      </c>
      <c r="F64" s="334"/>
      <c r="G64" s="238" t="s">
        <v>186</v>
      </c>
      <c r="H64" s="17"/>
      <c r="I64" s="21" t="str">
        <f t="shared" si="13"/>
        <v>Maschine Nr.</v>
      </c>
      <c r="J64" s="18"/>
      <c r="K64" s="120"/>
      <c r="L64" s="187">
        <f>M$64</f>
        <v>9</v>
      </c>
      <c r="M64" s="272">
        <f>Refkalkulation!H$52</f>
        <v>9</v>
      </c>
      <c r="N64" s="273"/>
      <c r="O64" s="187">
        <f>P$64</f>
        <v>3</v>
      </c>
      <c r="P64" s="272">
        <f>Refkalkulation!K$52</f>
        <v>3</v>
      </c>
      <c r="Q64" s="273"/>
      <c r="R64" s="187">
        <f>S$64</f>
        <v>3</v>
      </c>
      <c r="S64" s="272">
        <f>[2]Refkalkulation!N$52</f>
        <v>3</v>
      </c>
      <c r="T64" s="850"/>
    </row>
    <row r="65" spans="1:22" ht="15" hidden="1" thickBot="1" x14ac:dyDescent="0.25">
      <c r="A65" s="26"/>
      <c r="B65" s="321">
        <v>62</v>
      </c>
      <c r="C65" s="318" t="s">
        <v>565</v>
      </c>
      <c r="D65" s="318" t="s">
        <v>566</v>
      </c>
      <c r="E65" s="333"/>
      <c r="F65" s="341"/>
      <c r="G65" s="760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684" t="str">
        <f>VLOOKUP(VLOOKUP(M65,Auswahlfelder!$D$65:$E$68,2,FALSE),Auswahlfelder!$A$65:$B$68,2,FALSE)</f>
        <v>ohne</v>
      </c>
      <c r="M65" s="272" t="str">
        <f>Refkalkulation!I$59</f>
        <v>ohne</v>
      </c>
      <c r="N65" s="273"/>
      <c r="O65" s="684" t="str">
        <f>VLOOKUP(VLOOKUP(P65,Auswahlfelder!$D$65:$E$68,2,FALSE),Auswahlfelder!$A$65:$B$68,2,FALSE)</f>
        <v>ohne</v>
      </c>
      <c r="P65" s="272" t="str">
        <f>Refkalkulation!L$59</f>
        <v>ohne</v>
      </c>
      <c r="Q65" s="273"/>
      <c r="R65" s="684" t="str">
        <f>VLOOKUP(VLOOKUP(S65,Auswahlfelder!$D$65:$E$68,2,FALSE),Auswahlfelder!$A$65:$B$68,2,FALSE)</f>
        <v>ohne</v>
      </c>
      <c r="S65" s="272" t="str">
        <f>[2]Refkalkulation!O$59</f>
        <v>ohne</v>
      </c>
      <c r="T65" s="850"/>
    </row>
    <row r="66" spans="1:22" ht="15" hidden="1" thickBot="1" x14ac:dyDescent="0.25">
      <c r="A66" s="26"/>
      <c r="B66" s="321">
        <v>10</v>
      </c>
      <c r="C66" s="318" t="s">
        <v>97</v>
      </c>
      <c r="D66" s="318" t="s">
        <v>190</v>
      </c>
      <c r="E66" s="333">
        <v>1</v>
      </c>
      <c r="F66" s="341">
        <v>10000</v>
      </c>
      <c r="G66" s="238" t="s">
        <v>186</v>
      </c>
      <c r="H66" s="17"/>
      <c r="I66" s="21" t="str">
        <f t="shared" si="13"/>
        <v>Fertigungslosgröße</v>
      </c>
      <c r="J66" s="18"/>
      <c r="K66" s="120"/>
      <c r="L66" s="187">
        <f>M$66</f>
        <v>100</v>
      </c>
      <c r="M66" s="272">
        <f>Refkalkulation!H$61</f>
        <v>100</v>
      </c>
      <c r="N66" s="273"/>
      <c r="O66" s="187">
        <f>P$66</f>
        <v>100</v>
      </c>
      <c r="P66" s="272">
        <f>Refkalkulation!K$61</f>
        <v>100</v>
      </c>
      <c r="Q66" s="273"/>
      <c r="R66" s="187">
        <f>S$66</f>
        <v>100</v>
      </c>
      <c r="S66" s="272">
        <f>[2]Refkalkulation!N$61</f>
        <v>100</v>
      </c>
      <c r="T66" s="850"/>
    </row>
    <row r="67" spans="1:22" ht="15" hidden="1" thickBot="1" x14ac:dyDescent="0.25">
      <c r="A67" s="26"/>
      <c r="B67" s="321">
        <v>52</v>
      </c>
      <c r="C67" s="318" t="s">
        <v>356</v>
      </c>
      <c r="D67" s="318" t="s">
        <v>357</v>
      </c>
      <c r="E67" s="333">
        <v>0</v>
      </c>
      <c r="F67" s="341">
        <v>60</v>
      </c>
      <c r="G67" s="238" t="s">
        <v>186</v>
      </c>
      <c r="H67" s="17"/>
      <c r="I67" s="21" t="str">
        <f t="shared" si="13"/>
        <v>Kernvolumen (l)</v>
      </c>
      <c r="J67" s="18"/>
      <c r="K67" s="120"/>
      <c r="L67" s="187">
        <f>M$67</f>
        <v>20</v>
      </c>
      <c r="M67" s="272">
        <f>Refkalkulation!H$67</f>
        <v>20</v>
      </c>
      <c r="N67" s="273"/>
      <c r="O67" s="187">
        <f>P$67</f>
        <v>0</v>
      </c>
      <c r="P67" s="272">
        <f>Refkalkulation!K$67</f>
        <v>0</v>
      </c>
      <c r="Q67" s="273"/>
      <c r="R67" s="187">
        <f>S$67</f>
        <v>0</v>
      </c>
      <c r="S67" s="272">
        <f>[2]Refkalkulation!N$67</f>
        <v>0</v>
      </c>
      <c r="T67" s="850"/>
    </row>
    <row r="68" spans="1:22" ht="15" hidden="1" thickBot="1" x14ac:dyDescent="0.25">
      <c r="A68" s="26"/>
      <c r="B68" s="321">
        <v>37</v>
      </c>
      <c r="C68" s="318" t="s">
        <v>835</v>
      </c>
      <c r="D68" s="318" t="s">
        <v>836</v>
      </c>
      <c r="E68" s="335">
        <v>0</v>
      </c>
      <c r="F68" s="336">
        <v>0.08</v>
      </c>
      <c r="G68" s="238" t="s">
        <v>186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3">
        <f>Refkalkulation!H$70</f>
        <v>0</v>
      </c>
      <c r="N68" s="273"/>
      <c r="O68" s="135">
        <f>P$68</f>
        <v>0</v>
      </c>
      <c r="P68" s="233">
        <f>Refkalkulation!K$70</f>
        <v>0</v>
      </c>
      <c r="Q68" s="273"/>
      <c r="R68" s="135">
        <f>S$68</f>
        <v>0</v>
      </c>
      <c r="S68" s="233">
        <f>[2]Refkalkulation!N$70</f>
        <v>0</v>
      </c>
      <c r="T68" s="850"/>
    </row>
    <row r="69" spans="1:22" ht="15" hidden="1" thickBot="1" x14ac:dyDescent="0.25">
      <c r="A69" s="26"/>
      <c r="B69" s="321"/>
      <c r="C69" s="318" t="s">
        <v>832</v>
      </c>
      <c r="D69" s="318" t="s">
        <v>831</v>
      </c>
      <c r="E69" s="333">
        <v>0</v>
      </c>
      <c r="F69" s="341">
        <v>60</v>
      </c>
      <c r="G69" s="238" t="s">
        <v>186</v>
      </c>
      <c r="H69" s="17"/>
      <c r="I69" s="21" t="str">
        <f t="shared" ref="I69" si="18">IF($G$2,C69,D69)</f>
        <v>Zeit Auspacken (min)</v>
      </c>
      <c r="J69" s="18"/>
      <c r="K69" s="120"/>
      <c r="L69" s="923">
        <f>M$69</f>
        <v>0</v>
      </c>
      <c r="M69" s="272">
        <f>Refkalkulation!H$74</f>
        <v>0</v>
      </c>
      <c r="N69" s="273"/>
      <c r="O69" s="923">
        <f>P$69</f>
        <v>0</v>
      </c>
      <c r="P69" s="272">
        <f>Refkalkulation!K$74</f>
        <v>0</v>
      </c>
      <c r="Q69" s="273"/>
      <c r="R69" s="923">
        <f t="shared" ref="R69" si="19">S$69</f>
        <v>0</v>
      </c>
      <c r="S69" s="272">
        <f>[2]Refkalkulation!N$74</f>
        <v>0</v>
      </c>
      <c r="T69" s="850"/>
    </row>
    <row r="70" spans="1:22" ht="15" hidden="1" thickBot="1" x14ac:dyDescent="0.25">
      <c r="A70" s="26"/>
      <c r="B70" s="321"/>
      <c r="C70" s="318" t="s">
        <v>833</v>
      </c>
      <c r="D70" s="318" t="s">
        <v>834</v>
      </c>
      <c r="E70" s="333">
        <v>0</v>
      </c>
      <c r="F70" s="341">
        <v>60</v>
      </c>
      <c r="G70" s="238" t="s">
        <v>186</v>
      </c>
      <c r="H70" s="17"/>
      <c r="I70" s="21" t="str">
        <f t="shared" ref="I70" si="20">IF($G$2,C70,D70)</f>
        <v>Anschnitt trennen (min)</v>
      </c>
      <c r="J70" s="18"/>
      <c r="K70" s="120"/>
      <c r="L70" s="923">
        <f>M$70</f>
        <v>60</v>
      </c>
      <c r="M70" s="272">
        <f>Refkalkulation!H$75</f>
        <v>60</v>
      </c>
      <c r="N70" s="273"/>
      <c r="O70" s="923">
        <f>P$70</f>
        <v>5</v>
      </c>
      <c r="P70" s="272">
        <f>Refkalkulation!K$75</f>
        <v>5</v>
      </c>
      <c r="Q70" s="273"/>
      <c r="R70" s="923">
        <f>S$70</f>
        <v>5</v>
      </c>
      <c r="S70" s="272">
        <f>[2]Refkalkulation!N$75</f>
        <v>5</v>
      </c>
      <c r="T70" s="850"/>
    </row>
    <row r="71" spans="1:22" ht="15" hidden="1" thickBot="1" x14ac:dyDescent="0.25">
      <c r="A71" s="26"/>
      <c r="B71" s="644">
        <v>13</v>
      </c>
      <c r="C71" s="318" t="s">
        <v>293</v>
      </c>
      <c r="D71" s="318" t="s">
        <v>297</v>
      </c>
      <c r="E71" s="333">
        <v>0</v>
      </c>
      <c r="F71" s="334">
        <v>2</v>
      </c>
      <c r="G71" s="238" t="s">
        <v>186</v>
      </c>
      <c r="H71" s="17"/>
      <c r="I71" s="21" t="str">
        <f>IF($G$2,C71,D71)</f>
        <v>Wärmebehandlung</v>
      </c>
      <c r="J71" s="18"/>
      <c r="K71" s="112"/>
      <c r="L71" s="924">
        <f>M$71</f>
        <v>0.7</v>
      </c>
      <c r="M71" s="122">
        <f>Refkalkulation!H$90</f>
        <v>0.7</v>
      </c>
      <c r="N71" s="122"/>
      <c r="O71" s="924">
        <f>P$71</f>
        <v>0.4</v>
      </c>
      <c r="P71" s="122">
        <f>Refkalkulation!K$90</f>
        <v>0.4</v>
      </c>
      <c r="Q71" s="273"/>
      <c r="R71" s="924">
        <f>S$71</f>
        <v>0</v>
      </c>
      <c r="S71" s="122">
        <f>[2]Refkalkulation!N$84</f>
        <v>0</v>
      </c>
      <c r="T71" s="850"/>
      <c r="V71" t="s">
        <v>33</v>
      </c>
    </row>
    <row r="72" spans="1:22" ht="15" hidden="1" thickBot="1" x14ac:dyDescent="0.25">
      <c r="A72" s="26"/>
      <c r="B72" s="321">
        <v>37</v>
      </c>
      <c r="C72" s="318" t="s">
        <v>837</v>
      </c>
      <c r="D72" s="318" t="s">
        <v>838</v>
      </c>
      <c r="E72" s="335">
        <v>0</v>
      </c>
      <c r="F72" s="336">
        <v>0.04</v>
      </c>
      <c r="G72" s="238" t="s">
        <v>186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3">
        <f>Refkalkulation!H$92</f>
        <v>0.02</v>
      </c>
      <c r="N72" s="273"/>
      <c r="O72" s="135">
        <f>P$72</f>
        <v>0.02</v>
      </c>
      <c r="P72" s="233">
        <f>Refkalkulation!K$92</f>
        <v>0.02</v>
      </c>
      <c r="Q72" s="273"/>
      <c r="R72" s="135">
        <f t="shared" ref="R72" si="21">S$72</f>
        <v>0.02</v>
      </c>
      <c r="S72" s="233">
        <f>[2]Refkalkulation!N$86</f>
        <v>0.02</v>
      </c>
      <c r="T72" s="850"/>
    </row>
    <row r="73" spans="1:22" ht="15" hidden="1" thickBot="1" x14ac:dyDescent="0.25">
      <c r="A73" s="26"/>
      <c r="B73" s="321">
        <v>60</v>
      </c>
      <c r="C73" s="318" t="s">
        <v>991</v>
      </c>
      <c r="D73" s="318" t="s">
        <v>992</v>
      </c>
      <c r="E73" s="333">
        <v>0</v>
      </c>
      <c r="F73" s="341">
        <v>20000</v>
      </c>
      <c r="G73" s="238" t="s">
        <v>186</v>
      </c>
      <c r="H73" s="17"/>
      <c r="I73" s="21" t="str">
        <f t="shared" si="13"/>
        <v>VT Prüfzeit/Teil (sec)</v>
      </c>
      <c r="J73" s="18"/>
      <c r="K73" s="120"/>
      <c r="L73" s="187">
        <f>M$73</f>
        <v>400</v>
      </c>
      <c r="M73" s="272">
        <f>Refkalkulation!H$95</f>
        <v>400</v>
      </c>
      <c r="N73" s="273"/>
      <c r="O73" s="187">
        <f>P$73</f>
        <v>300</v>
      </c>
      <c r="P73" s="272">
        <f>Refkalkulation!K$95</f>
        <v>300</v>
      </c>
      <c r="Q73" s="273"/>
      <c r="R73" s="187">
        <f t="shared" ref="R73" si="22">S$73</f>
        <v>300</v>
      </c>
      <c r="S73" s="272">
        <f>[2]Refkalkulation!N$89</f>
        <v>300</v>
      </c>
      <c r="T73" s="850"/>
    </row>
    <row r="74" spans="1:22" ht="15" hidden="1" thickBot="1" x14ac:dyDescent="0.25">
      <c r="A74" s="26"/>
      <c r="B74" s="321">
        <v>39</v>
      </c>
      <c r="C74" s="318" t="s">
        <v>607</v>
      </c>
      <c r="D74" s="318" t="s">
        <v>608</v>
      </c>
      <c r="E74" s="333"/>
      <c r="F74" s="341"/>
      <c r="G74" s="760">
        <v>0</v>
      </c>
      <c r="H74" s="17"/>
      <c r="I74" s="21" t="str">
        <f>IF($G$2,C74,D74)</f>
        <v>Kosten US-Prüfung</v>
      </c>
      <c r="J74" s="18"/>
      <c r="K74" s="120"/>
      <c r="L74" s="924">
        <f>M$74</f>
        <v>0.41742621527777779</v>
      </c>
      <c r="M74" s="272">
        <f>Refkalkulation!H$101</f>
        <v>0.41742621527777779</v>
      </c>
      <c r="N74" s="273"/>
      <c r="O74" s="924">
        <f>P$74</f>
        <v>0.30864583333333334</v>
      </c>
      <c r="P74" s="272">
        <f>Refkalkulation!K$101</f>
        <v>0.30864583333333334</v>
      </c>
      <c r="Q74" s="273"/>
      <c r="R74" s="924">
        <f t="shared" ref="R74" si="23">S$74</f>
        <v>0</v>
      </c>
      <c r="S74" s="272">
        <f>[2]Refkalkulation!N$91</f>
        <v>0</v>
      </c>
      <c r="T74" s="850"/>
    </row>
    <row r="75" spans="1:22" ht="15" hidden="1" thickBot="1" x14ac:dyDescent="0.25">
      <c r="A75" s="26"/>
      <c r="B75" s="321">
        <v>39</v>
      </c>
      <c r="C75" s="318" t="s">
        <v>609</v>
      </c>
      <c r="D75" s="318" t="s">
        <v>610</v>
      </c>
      <c r="E75" s="335">
        <v>0</v>
      </c>
      <c r="F75" s="336">
        <v>0.12</v>
      </c>
      <c r="G75" s="760">
        <v>0</v>
      </c>
      <c r="H75" s="17"/>
      <c r="I75" s="21" t="str">
        <f t="shared" ref="I75:I76" si="24">IF($G$2,C75,D75)</f>
        <v>Kosten FE-Prüfung</v>
      </c>
      <c r="J75" s="18"/>
      <c r="K75" s="120"/>
      <c r="L75" s="924">
        <f>M$75</f>
        <v>0.37082465277777776</v>
      </c>
      <c r="M75" s="233">
        <f>Refkalkulation!H$105</f>
        <v>0.37082465277777776</v>
      </c>
      <c r="N75" s="273"/>
      <c r="O75" s="924">
        <f>P$75</f>
        <v>0.34611111111111109</v>
      </c>
      <c r="P75" s="233">
        <f>Refkalkulation!K$105</f>
        <v>0.34611111111111109</v>
      </c>
      <c r="Q75" s="273"/>
      <c r="R75" s="924">
        <f t="shared" ref="R75" si="25">S$75</f>
        <v>0</v>
      </c>
      <c r="S75" s="233">
        <f>[2]Refkalkulation!N$92</f>
        <v>0</v>
      </c>
      <c r="T75" s="850"/>
    </row>
    <row r="76" spans="1:22" ht="15" hidden="1" thickBot="1" x14ac:dyDescent="0.25">
      <c r="A76" s="26"/>
      <c r="B76" s="321">
        <v>39</v>
      </c>
      <c r="C76" s="318" t="s">
        <v>611</v>
      </c>
      <c r="D76" s="318" t="s">
        <v>612</v>
      </c>
      <c r="E76" s="335"/>
      <c r="F76" s="336"/>
      <c r="G76" s="760">
        <v>0</v>
      </c>
      <c r="H76" s="17"/>
      <c r="I76" s="21" t="str">
        <f t="shared" si="24"/>
        <v>Kosten X-Prüfung</v>
      </c>
      <c r="J76" s="18"/>
      <c r="K76" s="120"/>
      <c r="L76" s="924">
        <f>M$76</f>
        <v>1.8357928240740744</v>
      </c>
      <c r="M76" s="233">
        <f>Refkalkulation!H$108</f>
        <v>1.8357928240740744</v>
      </c>
      <c r="N76" s="273"/>
      <c r="O76" s="924">
        <f>P$76</f>
        <v>1.7619212962962969</v>
      </c>
      <c r="P76" s="233">
        <f>Refkalkulation!K$108</f>
        <v>1.7619212962962969</v>
      </c>
      <c r="Q76" s="273"/>
      <c r="R76" s="924">
        <f t="shared" ref="R76" si="26">S$76</f>
        <v>0</v>
      </c>
      <c r="S76" s="233">
        <f>[2]Refkalkulation!N$93</f>
        <v>0</v>
      </c>
      <c r="T76" s="850"/>
    </row>
    <row r="77" spans="1:22" ht="15" hidden="1" thickBot="1" x14ac:dyDescent="0.25">
      <c r="A77" s="26"/>
      <c r="B77" s="321">
        <v>39</v>
      </c>
      <c r="C77" s="318" t="s">
        <v>625</v>
      </c>
      <c r="D77" s="318" t="s">
        <v>626</v>
      </c>
      <c r="E77" s="335">
        <v>0</v>
      </c>
      <c r="F77" s="336">
        <v>1</v>
      </c>
      <c r="G77" s="761">
        <v>0.5</v>
      </c>
      <c r="H77" s="17"/>
      <c r="I77" s="21" t="str">
        <f>IF($G$2,C77,D77)</f>
        <v>Anteil Nachprüfung</v>
      </c>
      <c r="J77" s="18"/>
      <c r="K77" s="120"/>
      <c r="L77" s="762">
        <f>M$77</f>
        <v>0.5</v>
      </c>
      <c r="M77" s="233">
        <f>Refkalkulation!H$111</f>
        <v>0.5</v>
      </c>
      <c r="N77" s="273"/>
      <c r="O77" s="762">
        <f>P$77</f>
        <v>0.5</v>
      </c>
      <c r="P77" s="233">
        <f>Refkalkulation!K$111</f>
        <v>0.5</v>
      </c>
      <c r="Q77" s="273"/>
      <c r="R77" s="762">
        <f>S$77</f>
        <v>0.5</v>
      </c>
      <c r="S77" s="233">
        <f>[2]Refkalkulation!N$96</f>
        <v>0.5</v>
      </c>
      <c r="T77" s="850"/>
    </row>
    <row r="78" spans="1:22" ht="15" hidden="1" thickBot="1" x14ac:dyDescent="0.25">
      <c r="A78" s="26"/>
      <c r="B78" s="644">
        <v>13</v>
      </c>
      <c r="C78" s="318" t="s">
        <v>552</v>
      </c>
      <c r="D78" s="318" t="s">
        <v>553</v>
      </c>
      <c r="E78" s="333">
        <v>0</v>
      </c>
      <c r="F78" s="652">
        <v>0.5</v>
      </c>
      <c r="G78" s="761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Refkalkulation!H$110</f>
        <v>0</v>
      </c>
      <c r="N78" s="122"/>
      <c r="O78" s="135">
        <f>P$78</f>
        <v>0</v>
      </c>
      <c r="P78" s="122">
        <f>Refkalkulation!K$110</f>
        <v>0</v>
      </c>
      <c r="Q78" s="273"/>
      <c r="R78" s="135">
        <f>S$78</f>
        <v>0</v>
      </c>
      <c r="S78" s="122">
        <f>[2]Refkalkulation!N$95</f>
        <v>0</v>
      </c>
      <c r="T78" s="850"/>
      <c r="V78" t="s">
        <v>33</v>
      </c>
    </row>
    <row r="79" spans="1:22" ht="15" hidden="1" thickBot="1" x14ac:dyDescent="0.25">
      <c r="A79" s="26"/>
      <c r="B79" s="321">
        <v>43</v>
      </c>
      <c r="C79" s="318" t="s">
        <v>129</v>
      </c>
      <c r="D79" s="318" t="s">
        <v>246</v>
      </c>
      <c r="E79" s="335">
        <v>0.05</v>
      </c>
      <c r="F79" s="336">
        <v>0.3</v>
      </c>
      <c r="G79" s="238" t="s">
        <v>186</v>
      </c>
      <c r="H79" s="17"/>
      <c r="I79" s="21" t="str">
        <f t="shared" si="13"/>
        <v>Fertigungsgemeinkosten</v>
      </c>
      <c r="J79" s="18"/>
      <c r="K79" s="120"/>
      <c r="L79" s="135">
        <f>M$79</f>
        <v>0.1</v>
      </c>
      <c r="M79" s="233">
        <f>Refkalkulation!H$117</f>
        <v>0.1</v>
      </c>
      <c r="N79" s="273"/>
      <c r="O79" s="135">
        <f>P$79</f>
        <v>0.1</v>
      </c>
      <c r="P79" s="233">
        <f>Refkalkulation!K$117</f>
        <v>0.1</v>
      </c>
      <c r="Q79" s="273"/>
      <c r="R79" s="135">
        <f>S$79</f>
        <v>0.1</v>
      </c>
      <c r="S79" s="233">
        <f>[2]Refkalkulation!N$102</f>
        <v>0.1</v>
      </c>
      <c r="T79" s="850"/>
    </row>
    <row r="80" spans="1:22" ht="15" hidden="1" thickBot="1" x14ac:dyDescent="0.25">
      <c r="A80" s="26"/>
      <c r="B80" s="321"/>
      <c r="C80" s="318" t="s">
        <v>830</v>
      </c>
      <c r="D80" s="318" t="s">
        <v>829</v>
      </c>
      <c r="E80" s="335">
        <v>0</v>
      </c>
      <c r="F80" s="336">
        <v>0.2</v>
      </c>
      <c r="G80" s="761">
        <f>'Länder-DB'!$I$33</f>
        <v>0.12</v>
      </c>
      <c r="H80" s="17"/>
      <c r="I80" s="21" t="str">
        <f t="shared" ref="I80" si="27">IF($G$2,C80,D80)</f>
        <v>Vertriebs- und Verw. GK satz</v>
      </c>
      <c r="J80" s="18"/>
      <c r="K80" s="120"/>
      <c r="L80" s="135">
        <f>M$80</f>
        <v>0.12</v>
      </c>
      <c r="M80" s="233">
        <f>Refkalkulation!H$123</f>
        <v>0.12</v>
      </c>
      <c r="N80" s="273"/>
      <c r="O80" s="135">
        <f>P$80</f>
        <v>0.12</v>
      </c>
      <c r="P80" s="233">
        <f>Refkalkulation!K$123</f>
        <v>0.12</v>
      </c>
      <c r="Q80" s="273"/>
      <c r="R80" s="135">
        <f t="shared" ref="R80" si="28">S$80</f>
        <v>0.12</v>
      </c>
      <c r="S80" s="233">
        <f>[2]Refkalkulation!N$108</f>
        <v>0.12</v>
      </c>
      <c r="T80" s="850"/>
    </row>
    <row r="81" spans="1:22" ht="15" hidden="1" thickBot="1" x14ac:dyDescent="0.25">
      <c r="A81" s="26"/>
      <c r="B81" s="321">
        <v>32</v>
      </c>
      <c r="C81" s="318" t="s">
        <v>236</v>
      </c>
      <c r="D81" s="318" t="s">
        <v>247</v>
      </c>
      <c r="E81" s="335">
        <v>0</v>
      </c>
      <c r="F81" s="336">
        <v>0.12</v>
      </c>
      <c r="G81" s="761">
        <f>'Länder-DB'!I25</f>
        <v>0</v>
      </c>
      <c r="H81" s="17"/>
      <c r="I81" s="21" t="str">
        <f t="shared" si="13"/>
        <v>Gewinn auf Material</v>
      </c>
      <c r="J81" s="18"/>
      <c r="K81" s="120"/>
      <c r="L81" s="135">
        <f>M$81</f>
        <v>0</v>
      </c>
      <c r="M81" s="233">
        <f>Refkalkulation!H$127</f>
        <v>0</v>
      </c>
      <c r="N81" s="273"/>
      <c r="O81" s="135">
        <f>P$81</f>
        <v>0</v>
      </c>
      <c r="P81" s="233">
        <f>Refkalkulation!K$127</f>
        <v>0</v>
      </c>
      <c r="Q81" s="273"/>
      <c r="R81" s="135">
        <f t="shared" ref="R81" si="29">S$81</f>
        <v>0</v>
      </c>
      <c r="S81" s="233">
        <f>[2]Refkalkulation!N$112</f>
        <v>0</v>
      </c>
      <c r="T81" s="850"/>
    </row>
    <row r="82" spans="1:22" ht="15" hidden="1" thickBot="1" x14ac:dyDescent="0.25">
      <c r="A82" s="26"/>
      <c r="B82" s="321">
        <v>32</v>
      </c>
      <c r="C82" s="318" t="s">
        <v>232</v>
      </c>
      <c r="D82" s="318" t="s">
        <v>248</v>
      </c>
      <c r="E82" s="335">
        <v>0</v>
      </c>
      <c r="F82" s="336">
        <v>0.12</v>
      </c>
      <c r="G82" s="238" t="s">
        <v>186</v>
      </c>
      <c r="H82" s="17"/>
      <c r="I82" s="21" t="str">
        <f t="shared" si="13"/>
        <v>Gewinn auf Wertschöpfung</v>
      </c>
      <c r="J82" s="18"/>
      <c r="K82" s="120"/>
      <c r="L82" s="135">
        <f>M$82</f>
        <v>0</v>
      </c>
      <c r="M82" s="233">
        <f>Refkalkulation!H$128</f>
        <v>0</v>
      </c>
      <c r="N82" s="273"/>
      <c r="O82" s="135">
        <f>P$82</f>
        <v>0</v>
      </c>
      <c r="P82" s="233">
        <f>Refkalkulation!K$128</f>
        <v>0</v>
      </c>
      <c r="Q82" s="273"/>
      <c r="R82" s="135">
        <f>S$82</f>
        <v>0</v>
      </c>
      <c r="S82" s="233">
        <f>[2]Refkalkulation!N$113</f>
        <v>0</v>
      </c>
      <c r="T82" s="850"/>
    </row>
    <row r="83" spans="1:22" ht="39" hidden="1" customHeight="1" thickBot="1" x14ac:dyDescent="0.25">
      <c r="A83" s="26"/>
      <c r="B83" s="319"/>
      <c r="C83" s="318" t="str">
        <f>C3</f>
        <v>Bearbeiter</v>
      </c>
      <c r="D83" s="318" t="str">
        <f>D3</f>
        <v>user</v>
      </c>
      <c r="E83" s="333"/>
      <c r="F83" s="334"/>
      <c r="G83" s="238" t="s">
        <v>186</v>
      </c>
      <c r="H83" s="17"/>
      <c r="I83" s="21" t="str">
        <f>IF($G$2,C83,D83)</f>
        <v>Bearbeiter</v>
      </c>
      <c r="J83" s="18"/>
      <c r="K83" s="1027" t="str">
        <f>L83</f>
        <v>P. Pawar</v>
      </c>
      <c r="L83" s="135" t="s">
        <v>881</v>
      </c>
      <c r="M83" s="1028" t="str">
        <f>$L$3</f>
        <v>Dr.P. Pawar</v>
      </c>
      <c r="N83" s="1028"/>
      <c r="O83" s="135" t="str">
        <f>P$83</f>
        <v>Dr.P. Pawar</v>
      </c>
      <c r="P83" s="1028" t="str">
        <f>$L$3</f>
        <v>Dr.P. Pawar</v>
      </c>
      <c r="Q83" s="1028"/>
      <c r="R83" s="135" t="str">
        <f>S$83</f>
        <v>Dr.P. Pawar</v>
      </c>
      <c r="S83" s="1028" t="str">
        <f>$L$3</f>
        <v>Dr.P. Pawar</v>
      </c>
      <c r="T83" s="850"/>
      <c r="V83" t="s">
        <v>33</v>
      </c>
    </row>
    <row r="84" spans="1:22" ht="6.75" customHeight="1" thickBot="1" x14ac:dyDescent="0.25">
      <c r="A84" s="26"/>
      <c r="B84" s="326"/>
      <c r="C84" s="327"/>
      <c r="D84" s="327"/>
      <c r="E84" s="27"/>
      <c r="F84" s="27"/>
      <c r="G84" s="32"/>
      <c r="H84" s="242"/>
      <c r="I84" s="352">
        <f t="shared" si="13"/>
        <v>0</v>
      </c>
      <c r="J84" s="27"/>
      <c r="K84" s="27"/>
      <c r="L84" s="274"/>
      <c r="M84" s="274"/>
      <c r="N84" s="274"/>
      <c r="O84" s="274"/>
      <c r="P84" s="87"/>
      <c r="Q84" s="87"/>
      <c r="R84" s="274"/>
      <c r="S84" s="87"/>
      <c r="T84" s="1202"/>
    </row>
    <row r="85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88" priority="65" stopIfTrue="1">
      <formula>VALUE(L12="Materialdatenbank")</formula>
    </cfRule>
  </conditionalFormatting>
  <conditionalFormatting sqref="O36 R36 L36">
    <cfRule type="cellIs" dxfId="187" priority="66" stopIfTrue="1" operator="notBetween">
      <formula>$E$36</formula>
      <formula>$F$36</formula>
    </cfRule>
  </conditionalFormatting>
  <conditionalFormatting sqref="L11 L20 O20 R20 O11 R11">
    <cfRule type="expression" dxfId="186" priority="70" stopIfTrue="1">
      <formula>K$11=0</formula>
    </cfRule>
  </conditionalFormatting>
  <conditionalFormatting sqref="L44">
    <cfRule type="cellIs" dxfId="185" priority="71" stopIfTrue="1" operator="lessThan">
      <formula>$E44</formula>
    </cfRule>
  </conditionalFormatting>
  <conditionalFormatting sqref="R37:R43 O37:O43 L37:L43">
    <cfRule type="cellIs" dxfId="184" priority="72" stopIfTrue="1" operator="greaterThan">
      <formula>M$36</formula>
    </cfRule>
  </conditionalFormatting>
  <conditionalFormatting sqref="O8:O9 R8:R9 L9">
    <cfRule type="cellIs" dxfId="183" priority="73" operator="equal">
      <formula>"?"</formula>
    </cfRule>
  </conditionalFormatting>
  <conditionalFormatting sqref="X4:X5">
    <cfRule type="cellIs" dxfId="182" priority="74" operator="equal">
      <formula>FALSE</formula>
    </cfRule>
  </conditionalFormatting>
  <conditionalFormatting sqref="L13 O13 R13">
    <cfRule type="cellIs" dxfId="181" priority="431" operator="notBetween">
      <formula>$E13</formula>
      <formula>$F13</formula>
    </cfRule>
  </conditionalFormatting>
  <conditionalFormatting sqref="L28">
    <cfRule type="expression" dxfId="180" priority="60" stopIfTrue="1">
      <formula>VALUE(#REF!="Materialdatenbank")</formula>
    </cfRule>
  </conditionalFormatting>
  <conditionalFormatting sqref="L29">
    <cfRule type="expression" dxfId="179" priority="59" stopIfTrue="1">
      <formula>VALUE(#REF!="Materialdatenbank")</formula>
    </cfRule>
  </conditionalFormatting>
  <conditionalFormatting sqref="L30">
    <cfRule type="expression" dxfId="178" priority="58" stopIfTrue="1">
      <formula>VALUE(#REF!="Materialdatenbank")</formula>
    </cfRule>
  </conditionalFormatting>
  <conditionalFormatting sqref="O28">
    <cfRule type="expression" dxfId="177" priority="57" stopIfTrue="1">
      <formula>VALUE(#REF!="Materialdatenbank")</formula>
    </cfRule>
  </conditionalFormatting>
  <conditionalFormatting sqref="O29">
    <cfRule type="expression" dxfId="176" priority="56" stopIfTrue="1">
      <formula>VALUE(#REF!="Materialdatenbank")</formula>
    </cfRule>
  </conditionalFormatting>
  <conditionalFormatting sqref="O30">
    <cfRule type="expression" dxfId="175" priority="55" stopIfTrue="1">
      <formula>VALUE(#REF!="Materialdatenbank")</formula>
    </cfRule>
  </conditionalFormatting>
  <conditionalFormatting sqref="R28">
    <cfRule type="expression" dxfId="174" priority="42" stopIfTrue="1">
      <formula>VALUE(#REF!="Materialdatenbank")</formula>
    </cfRule>
  </conditionalFormatting>
  <conditionalFormatting sqref="R29">
    <cfRule type="expression" dxfId="173" priority="41" stopIfTrue="1">
      <formula>VALUE(#REF!="Materialdatenbank")</formula>
    </cfRule>
  </conditionalFormatting>
  <conditionalFormatting sqref="R30">
    <cfRule type="expression" dxfId="172" priority="40" stopIfTrue="1">
      <formula>VALUE(#REF!="Materialdatenbank")</formula>
    </cfRule>
  </conditionalFormatting>
  <conditionalFormatting sqref="L25">
    <cfRule type="expression" dxfId="171" priority="23" stopIfTrue="1">
      <formula>VALUE(#REF!="Materialdatenbank")</formula>
    </cfRule>
  </conditionalFormatting>
  <conditionalFormatting sqref="O25">
    <cfRule type="expression" dxfId="170" priority="22" stopIfTrue="1">
      <formula>VALUE(#REF!="Materialdatenbank")</formula>
    </cfRule>
  </conditionalFormatting>
  <conditionalFormatting sqref="R25">
    <cfRule type="expression" dxfId="169" priority="21" stopIfTrue="1">
      <formula>VALUE(#REF!="Materialdatenbank")</formula>
    </cfRule>
  </conditionalFormatting>
  <conditionalFormatting sqref="L26">
    <cfRule type="expression" dxfId="168" priority="17" stopIfTrue="1">
      <formula>VALUE(#REF!="Materialdatenbank")</formula>
    </cfRule>
  </conditionalFormatting>
  <conditionalFormatting sqref="O26">
    <cfRule type="expression" dxfId="167" priority="16" stopIfTrue="1">
      <formula>VALUE(#REF!="Materialdatenbank")</formula>
    </cfRule>
  </conditionalFormatting>
  <conditionalFormatting sqref="R26">
    <cfRule type="expression" dxfId="166" priority="15" stopIfTrue="1">
      <formula>VALUE(#REF!="Materialdatenbank")</formula>
    </cfRule>
  </conditionalFormatting>
  <conditionalFormatting sqref="L27">
    <cfRule type="expression" dxfId="165" priority="11" stopIfTrue="1">
      <formula>VALUE(#REF!="Materialdatenbank")</formula>
    </cfRule>
  </conditionalFormatting>
  <conditionalFormatting sqref="O27">
    <cfRule type="expression" dxfId="164" priority="10" stopIfTrue="1">
      <formula>VALUE(#REF!="Materialdatenbank")</formula>
    </cfRule>
  </conditionalFormatting>
  <conditionalFormatting sqref="R27">
    <cfRule type="expression" dxfId="163" priority="9" stopIfTrue="1">
      <formula>VALUE(#REF!="Materialdatenbank")</formula>
    </cfRule>
  </conditionalFormatting>
  <conditionalFormatting sqref="L8">
    <cfRule type="cellIs" dxfId="162" priority="1" operator="equal">
      <formula>"?"</formula>
    </cfRule>
  </conditionalFormatting>
  <dataValidations count="27">
    <dataValidation type="whole" allowBlank="1" showInputMessage="1" showErrorMessage="1" sqref="L35 O35 R35" xr:uid="{00000000-0002-0000-0200-000000000000}">
      <formula1>2</formula1>
      <formula2>$F35</formula2>
    </dataValidation>
    <dataValidation type="list" allowBlank="1" showInputMessage="1" showErrorMessage="1" sqref="L46 R46 O46" xr:uid="{00000000-0002-0000-0200-000001000000}">
      <formula1>AW_Schichtmodel</formula1>
    </dataValidation>
    <dataValidation type="list" allowBlank="1" showInputMessage="1" showErrorMessage="1" sqref="L49 R49 O49" xr:uid="{00000000-0002-0000-0200-000002000000}">
      <formula1>AW_Größe</formula1>
    </dataValidation>
    <dataValidation type="list" allowBlank="1" showInputMessage="1" showErrorMessage="1" sqref="L45 O45 R45" xr:uid="{00000000-0002-0000-0200-000003000000}">
      <formula1>AW_Produktionsregion</formula1>
    </dataValidation>
    <dataValidation type="list" allowBlank="1" showInputMessage="1" showErrorMessage="1" sqref="L31 O31 R31" xr:uid="{00000000-0002-0000-0200-000004000000}">
      <formula1>AW_Prüfbescheinigung</formula1>
    </dataValidation>
    <dataValidation type="list" allowBlank="1" showInputMessage="1" showErrorMessage="1" sqref="R25:R30 O25:O30 L25:L30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2 O32 R32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list" allowBlank="1" showInputMessage="1" showErrorMessage="1" sqref="O23 R23 L23" xr:uid="{00000000-0002-0000-0200-00000D000000}">
      <formula1>AW_Einlegekerne</formula1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3 O33 R33" xr:uid="{00000000-0002-0000-0200-000013000000}">
      <formula1>AW_Reparaturschweißen</formula1>
    </dataValidation>
    <dataValidation type="whole" allowBlank="1" showInputMessage="1" showErrorMessage="1" sqref="L47 O47 R47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4 O24 R24" xr:uid="{00000000-0002-0000-02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4"/>
  <sheetViews>
    <sheetView tabSelected="1" zoomScaleNormal="100" workbookViewId="0">
      <pane xSplit="6" ySplit="8" topLeftCell="G99" activePane="bottomRight" state="frozenSplit"/>
      <selection activeCell="L30" sqref="L30"/>
      <selection pane="topRight" activeCell="L30" sqref="L30"/>
      <selection pane="bottomLeft" activeCell="L30" sqref="L30"/>
      <selection pane="bottomRight" activeCell="N128" sqref="N128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71" t="b">
        <f ca="1">'Länder-DB'!$E$27</f>
        <v>1</v>
      </c>
      <c r="D1" s="212" t="b">
        <f>Deutsch</f>
        <v>1</v>
      </c>
      <c r="E1" s="664" t="s">
        <v>33</v>
      </c>
      <c r="F1" s="665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AL - Sandguss</v>
      </c>
      <c r="N1" s="266"/>
      <c r="O1" s="66"/>
      <c r="P1" s="66"/>
      <c r="Q1" s="66"/>
      <c r="R1" s="66"/>
      <c r="S1" s="66"/>
      <c r="T1" s="66"/>
      <c r="U1" s="66"/>
      <c r="V1" s="66"/>
      <c r="W1" s="1193" t="str">
        <f>CONCATENATE('Quick Input'!AA2,'Quick Input'!AA3," ",'Quick Input'!AA4)</f>
        <v>Version V3.1 16.07.2017</v>
      </c>
      <c r="X1" s="354"/>
      <c r="Y1" s="78"/>
    </row>
    <row r="2" spans="1:25" ht="6.75" customHeight="1" thickBot="1" x14ac:dyDescent="0.25">
      <c r="A2" s="55" t="e">
        <f>#REF!&lt;100</f>
        <v>#REF!</v>
      </c>
      <c r="D2" s="71"/>
      <c r="E2" s="666"/>
      <c r="F2" s="667"/>
      <c r="G2" s="67"/>
      <c r="H2" s="376" t="b">
        <f>OR(ISERROR(H131),H5="?",H5=0,H12=0,H16=0,H24=0)</f>
        <v>0</v>
      </c>
      <c r="I2" s="67"/>
      <c r="J2" s="67"/>
      <c r="K2" s="376" t="b">
        <f>OR(ISERROR(K131),K5="?",K5=0,K12=0,K16=0,K24=0)</f>
        <v>0</v>
      </c>
      <c r="L2" s="67"/>
      <c r="M2" s="67"/>
      <c r="N2" s="376" t="b">
        <f>OR(ISERROR(N131),N5="?",N5=0,N12=0,N16=0,N24=0)</f>
        <v>0</v>
      </c>
      <c r="O2" s="67"/>
      <c r="P2" s="67"/>
      <c r="Q2" s="67"/>
      <c r="R2" s="67"/>
      <c r="S2" s="67"/>
      <c r="T2" s="67"/>
      <c r="U2" s="67"/>
      <c r="V2" s="67"/>
      <c r="W2" s="1194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7" t="b">
        <f>H2</f>
        <v>0</v>
      </c>
      <c r="I3" s="67"/>
      <c r="J3" s="67"/>
      <c r="K3" s="917" t="b">
        <f>K2</f>
        <v>0</v>
      </c>
      <c r="L3" s="67"/>
      <c r="M3" s="67"/>
      <c r="N3" s="377" t="b">
        <f>N2</f>
        <v>0</v>
      </c>
      <c r="O3" s="67"/>
      <c r="P3" s="67"/>
      <c r="Q3" s="67"/>
      <c r="R3" s="67"/>
      <c r="S3" s="67"/>
      <c r="T3" s="67"/>
      <c r="U3" s="67"/>
      <c r="V3" s="67"/>
      <c r="W3" s="1194"/>
      <c r="X3" s="69"/>
      <c r="Y3" s="78"/>
    </row>
    <row r="4" spans="1:25" ht="6.75" customHeight="1" thickBot="1" x14ac:dyDescent="0.25">
      <c r="D4" s="375"/>
      <c r="E4" s="90"/>
      <c r="F4" s="90"/>
      <c r="G4" s="90"/>
      <c r="H4" s="378" t="b">
        <f>H3</f>
        <v>0</v>
      </c>
      <c r="I4" s="90"/>
      <c r="J4" s="90"/>
      <c r="K4" s="378" t="b">
        <f>K3</f>
        <v>0</v>
      </c>
      <c r="L4" s="90"/>
      <c r="M4" s="90"/>
      <c r="N4" s="378" t="b">
        <f>N3</f>
        <v>0</v>
      </c>
      <c r="O4" s="90"/>
      <c r="P4" s="90"/>
      <c r="Q4" s="90"/>
      <c r="R4" s="90"/>
      <c r="S4" s="90"/>
      <c r="T4" s="90"/>
      <c r="U4" s="90"/>
      <c r="V4" s="90"/>
      <c r="W4" s="1195">
        <f>W3</f>
        <v>0</v>
      </c>
      <c r="X4" s="356"/>
      <c r="Y4" s="78"/>
    </row>
    <row r="5" spans="1:25" ht="15.75" customHeight="1" thickBot="1" x14ac:dyDescent="0.25">
      <c r="D5" s="1223" t="str">
        <f>IF(Deutsch,"Artikel (Nr.  /  Bezeichnung)","part (no. / name)")</f>
        <v>Artikel (Nr.  /  Bezeichnung)</v>
      </c>
      <c r="E5" s="1224"/>
      <c r="F5" s="1225"/>
      <c r="G5" s="610"/>
      <c r="H5" s="773">
        <f>'Quick Input'!M$8</f>
        <v>58622</v>
      </c>
      <c r="I5" s="618" t="s">
        <v>285</v>
      </c>
      <c r="J5" s="618"/>
      <c r="K5" s="773">
        <f>'Quick Input'!P$8</f>
        <v>58622</v>
      </c>
      <c r="L5" s="618" t="s">
        <v>285</v>
      </c>
      <c r="M5" s="618"/>
      <c r="N5" s="773">
        <f>'Quick Input'!S$8</f>
        <v>58622</v>
      </c>
      <c r="O5" s="489" t="s">
        <v>285</v>
      </c>
      <c r="Y5" s="55" t="s">
        <v>33</v>
      </c>
    </row>
    <row r="6" spans="1:25" ht="15" thickBot="1" x14ac:dyDescent="0.25">
      <c r="D6" s="1226"/>
      <c r="E6" s="1227"/>
      <c r="F6" s="1228"/>
      <c r="G6" s="611"/>
      <c r="H6" s="68" t="str">
        <f>'Quick Input'!M$9</f>
        <v>Housing</v>
      </c>
      <c r="I6" s="619" t="s">
        <v>285</v>
      </c>
      <c r="J6" s="619"/>
      <c r="K6" s="70" t="str">
        <f>'Quick Input'!P9</f>
        <v>Housing</v>
      </c>
      <c r="L6" s="503" t="s">
        <v>750</v>
      </c>
      <c r="M6" s="78"/>
      <c r="N6" s="70" t="str">
        <f>'Quick Input'!S9</f>
        <v>Housing</v>
      </c>
      <c r="O6" s="1188" t="s">
        <v>750</v>
      </c>
      <c r="Y6" s="55" t="s">
        <v>33</v>
      </c>
    </row>
    <row r="7" spans="1:25" ht="15.75" customHeight="1" thickBot="1" x14ac:dyDescent="0.25">
      <c r="D7" s="1243" t="str">
        <f>'Quick Input'!$I$45</f>
        <v>Produktionsregion</v>
      </c>
      <c r="E7" s="1244"/>
      <c r="F7" s="1245"/>
      <c r="G7" s="611"/>
      <c r="H7" s="68" t="str">
        <f>VLOOKUP('Quick Input'!M$45,DB_Länder,IF(Deutsch,1,2),FALSE)</f>
        <v>Deutschland</v>
      </c>
      <c r="I7" s="619" t="s">
        <v>750</v>
      </c>
      <c r="J7" s="619"/>
      <c r="K7" s="68" t="str">
        <f>VLOOKUP('Quick Input'!P$45,DB_Länder,IF(Deutsch,1,2),FALSE)</f>
        <v>Polen</v>
      </c>
      <c r="L7" s="78" t="s">
        <v>285</v>
      </c>
      <c r="M7" s="78"/>
      <c r="N7" s="68" t="str">
        <f>VLOOKUP('Quick Input'!S$45,DB_Länder,IF(Deutsch,1,2),FALSE)</f>
        <v>Deutschland</v>
      </c>
      <c r="O7" s="1188" t="s">
        <v>285</v>
      </c>
      <c r="Y7" s="55" t="s">
        <v>33</v>
      </c>
    </row>
    <row r="8" spans="1:25" ht="16.5" customHeight="1" thickBot="1" x14ac:dyDescent="0.25">
      <c r="D8" s="1246" t="str">
        <f>'Quick Input'!$I$4</f>
        <v>Datum</v>
      </c>
      <c r="E8" s="1247"/>
      <c r="F8" s="1248"/>
      <c r="G8" s="615"/>
      <c r="H8" s="663">
        <f>'Quick Input'!M$34</f>
        <v>43531</v>
      </c>
      <c r="I8" s="625" t="s">
        <v>285</v>
      </c>
      <c r="J8" s="625"/>
      <c r="K8" s="663">
        <f>'Quick Input'!P$34</f>
        <v>43531</v>
      </c>
      <c r="L8" s="87" t="s">
        <v>285</v>
      </c>
      <c r="M8" s="87"/>
      <c r="N8" s="663">
        <f>'Quick Input'!S$34</f>
        <v>43531</v>
      </c>
      <c r="O8" s="1188" t="s">
        <v>285</v>
      </c>
      <c r="Y8" s="55" t="s">
        <v>33</v>
      </c>
    </row>
    <row r="9" spans="1:25" ht="14.25" customHeight="1" thickBot="1" x14ac:dyDescent="0.25">
      <c r="D9" s="1240" t="str">
        <f>IF(Deutsch,"Materialien","materials")</f>
        <v>Materialien</v>
      </c>
      <c r="E9" s="1241"/>
      <c r="F9" s="1242"/>
      <c r="G9" s="611"/>
      <c r="H9" s="662" t="str">
        <f>'Quick Input'!M$10</f>
        <v>EN AC-46100</v>
      </c>
      <c r="I9" s="619" t="s">
        <v>285</v>
      </c>
      <c r="J9" s="619"/>
      <c r="K9" s="662" t="str">
        <f>'Quick Input'!P$10</f>
        <v>EN AC-43100</v>
      </c>
      <c r="L9" s="503" t="s">
        <v>285</v>
      </c>
      <c r="M9" s="78"/>
      <c r="N9" s="1190" t="str">
        <f>'Quick Input'!S$10</f>
        <v>EN AC-43100</v>
      </c>
      <c r="O9" s="1191" t="s">
        <v>285</v>
      </c>
      <c r="Y9" s="55" t="s">
        <v>33</v>
      </c>
    </row>
    <row r="10" spans="1:25" ht="13.5" customHeight="1" thickBot="1" x14ac:dyDescent="0.25">
      <c r="D10" s="1240"/>
      <c r="E10" s="1241"/>
      <c r="F10" s="1242"/>
      <c r="G10" s="611"/>
      <c r="H10" s="662" t="str">
        <f>'Quick Input'!M$11</f>
        <v>Al Si10Cu2(Fe)</v>
      </c>
      <c r="I10" s="619" t="s">
        <v>750</v>
      </c>
      <c r="J10" s="619"/>
      <c r="K10" s="662" t="str">
        <f>'Quick Input'!P$11</f>
        <v>Al Si10Mg(b)</v>
      </c>
      <c r="L10" s="869" t="s">
        <v>750</v>
      </c>
      <c r="M10" s="78"/>
      <c r="N10" s="662" t="str">
        <f>'Quick Input'!S$11</f>
        <v>Al Si10Mg(b)</v>
      </c>
      <c r="O10" s="1188" t="s">
        <v>750</v>
      </c>
      <c r="Y10" s="55" t="s">
        <v>33</v>
      </c>
    </row>
    <row r="11" spans="1:25" ht="13.5" customHeight="1" thickBot="1" x14ac:dyDescent="0.25">
      <c r="D11" s="1232"/>
      <c r="E11" s="1233"/>
      <c r="F11" s="1234"/>
      <c r="G11" s="611"/>
      <c r="H11" s="662" t="str">
        <f>IFERROR(VLOOKUP(H$9,DB_Material,4,FALSE),"")</f>
        <v>LM2, L-2640</v>
      </c>
      <c r="I11" s="619" t="s">
        <v>285</v>
      </c>
      <c r="J11" s="619"/>
      <c r="K11" s="662" t="str">
        <f>IFERROR(VLOOKUP(K$9,DB_Material,4,FALSE),"")</f>
        <v>L239 (b)</v>
      </c>
      <c r="L11" s="78" t="s">
        <v>285</v>
      </c>
      <c r="M11" s="78"/>
      <c r="N11" s="662" t="str">
        <f>IFERROR(VLOOKUP(N$9,DB_Material,4,FALSE),"")</f>
        <v>L239 (b)</v>
      </c>
      <c r="O11" s="1188" t="s">
        <v>285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81"/>
      <c r="F12" s="485"/>
      <c r="G12" s="611"/>
      <c r="H12" s="872">
        <f>'Quick Input'!M$13</f>
        <v>2.0002526724975707</v>
      </c>
      <c r="I12" s="619" t="s">
        <v>285</v>
      </c>
      <c r="J12" s="619"/>
      <c r="K12" s="872">
        <f>'Quick Input'!P$13</f>
        <v>1.9670528580208975</v>
      </c>
      <c r="L12" s="78" t="s">
        <v>285</v>
      </c>
      <c r="M12" s="78"/>
      <c r="N12" s="872">
        <f>'Quick Input'!S$13</f>
        <v>1.9670528580208975</v>
      </c>
      <c r="O12" s="1188" t="s">
        <v>285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611"/>
      <c r="H13" s="279" t="str">
        <f>IF('Quick Input'!M$12=Auswahlfelder!$D$13,'Material-DB'!$G$1,VLOOKUP(VLOOKUP('Quick Input'!M$12,Auswahlfelder!$D$12:$E$13,2,FALSE),Auswahlfelder!$A$12:$B$13,2,FALSE))</f>
        <v>manuell</v>
      </c>
      <c r="I13" s="619" t="s">
        <v>285</v>
      </c>
      <c r="J13" s="619"/>
      <c r="K13" s="279" t="str">
        <f>IF('Quick Input'!P$12=Auswahlfelder!$D$13,'Material-DB'!$G$1,VLOOKUP(VLOOKUP('Quick Input'!P$12,Auswahlfelder!$D$12:$E$13,2,FALSE),Auswahlfelder!$A$12:$B$13,2,FALSE))</f>
        <v>manuell</v>
      </c>
      <c r="L13" s="619" t="s">
        <v>285</v>
      </c>
      <c r="M13" s="619"/>
      <c r="N13" s="279" t="str">
        <f>IF('Quick Input'!S$12=Auswahlfelder!$D$13,'Material-DB'!$G$1,VLOOKUP(VLOOKUP('Quick Input'!S$12,Auswahlfelder!$D$12:$E$13,2,FALSE),Auswahlfelder!$A$12:$B$13,2,FALSE))</f>
        <v>manuell</v>
      </c>
      <c r="O13" s="1188" t="s">
        <v>285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611"/>
      <c r="H14" s="579">
        <f>'Quick Input'!M$19</f>
        <v>40</v>
      </c>
      <c r="I14" s="619" t="s">
        <v>285</v>
      </c>
      <c r="J14" s="619"/>
      <c r="K14" s="579">
        <f>'Quick Input'!P$19</f>
        <v>5</v>
      </c>
      <c r="L14" s="78" t="s">
        <v>285</v>
      </c>
      <c r="M14" s="78"/>
      <c r="N14" s="579">
        <f>'Quick Input'!S$19</f>
        <v>5</v>
      </c>
      <c r="O14" s="1188" t="s">
        <v>285</v>
      </c>
      <c r="T14" s="689"/>
      <c r="Y14" s="55" t="s">
        <v>33</v>
      </c>
    </row>
    <row r="15" spans="1:25" ht="15" thickBot="1" x14ac:dyDescent="0.25">
      <c r="A15" s="689" t="s">
        <v>33</v>
      </c>
      <c r="D15" s="76" t="str">
        <f>IF(Deutsch,"Materialkosten Rohteil","material cost raw part")</f>
        <v>Materialkosten Rohteil</v>
      </c>
      <c r="E15" s="73"/>
      <c r="F15" s="75"/>
      <c r="G15" s="611"/>
      <c r="H15" s="74">
        <f>H$14*H$12</f>
        <v>80.010106899902823</v>
      </c>
      <c r="I15" s="619" t="s">
        <v>285</v>
      </c>
      <c r="J15" s="619"/>
      <c r="K15" s="74">
        <f>K$14*K$12</f>
        <v>9.8352642901044867</v>
      </c>
      <c r="L15" s="78" t="s">
        <v>285</v>
      </c>
      <c r="M15" s="78"/>
      <c r="N15" s="74">
        <f>N$14*N$12</f>
        <v>9.8352642901044867</v>
      </c>
      <c r="O15" s="1188" t="s">
        <v>285</v>
      </c>
      <c r="Y15" s="55" t="s">
        <v>33</v>
      </c>
    </row>
    <row r="16" spans="1:25" ht="15" thickBot="1" x14ac:dyDescent="0.25">
      <c r="B16" s="55" t="s">
        <v>127</v>
      </c>
      <c r="D16" s="72" t="str">
        <f>'Quick Input'!I59</f>
        <v>Schmelzverlust in %</v>
      </c>
      <c r="E16" s="73"/>
      <c r="F16" s="75"/>
      <c r="G16" s="611"/>
      <c r="H16" s="119">
        <v>5.5500000000000001E-2</v>
      </c>
      <c r="I16" s="620"/>
      <c r="J16" s="620"/>
      <c r="K16" s="119">
        <v>5.5500000000000001E-2</v>
      </c>
      <c r="L16" s="870"/>
      <c r="M16" s="355"/>
      <c r="N16" s="119">
        <v>5.5500000000000001E-2</v>
      </c>
      <c r="O16" s="1188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611"/>
      <c r="H17" s="74">
        <f>H$15*(1+Parametrikber!F$42)*H$16</f>
        <v>6.4096901742807058</v>
      </c>
      <c r="I17" s="619" t="s">
        <v>285</v>
      </c>
      <c r="J17" s="619"/>
      <c r="K17" s="74">
        <f>K$15*(1+Parametrikber!I$42)*K$16</f>
        <v>0.79784922319733242</v>
      </c>
      <c r="L17" s="78" t="s">
        <v>285</v>
      </c>
      <c r="M17" s="78"/>
      <c r="N17" s="74">
        <f>N$15*(1+Parametrikber!L$42)*N$16</f>
        <v>0.79784922319733242</v>
      </c>
      <c r="O17" s="1188" t="s">
        <v>285</v>
      </c>
      <c r="Y17" s="55" t="s">
        <v>33</v>
      </c>
    </row>
    <row r="18" spans="1:25" ht="15" thickBot="1" x14ac:dyDescent="0.25">
      <c r="A18" s="689" t="s">
        <v>33</v>
      </c>
      <c r="D18" s="919" t="str">
        <f>IF(Deutsch,"Materialkosten Aluminium (€/Stk.)","material cost aluminium (€/pc.)")</f>
        <v>Materialkosten Aluminium (€/Stk.)</v>
      </c>
      <c r="E18" s="73"/>
      <c r="F18" s="75"/>
      <c r="G18" s="611"/>
      <c r="H18" s="85">
        <f>H15+H17</f>
        <v>86.419797074183535</v>
      </c>
      <c r="I18" s="619" t="s">
        <v>285</v>
      </c>
      <c r="J18" s="619"/>
      <c r="K18" s="85">
        <f>K15+K17</f>
        <v>10.633113513301819</v>
      </c>
      <c r="L18" s="619" t="s">
        <v>285</v>
      </c>
      <c r="M18" s="619"/>
      <c r="N18" s="85">
        <f>N15+N17</f>
        <v>10.633113513301819</v>
      </c>
      <c r="O18" s="1188" t="s">
        <v>285</v>
      </c>
      <c r="Y18" s="55" t="s">
        <v>33</v>
      </c>
    </row>
    <row r="19" spans="1:25" ht="15" thickBot="1" x14ac:dyDescent="0.25">
      <c r="D19" s="76" t="str">
        <f>IF(Deutsch,"Formsand (kg/Stk.)","moulding sand (kg/pc.)")</f>
        <v>Formsand (kg/Stk.)</v>
      </c>
      <c r="E19" s="73"/>
      <c r="F19" s="75"/>
      <c r="G19" s="611"/>
      <c r="H19" s="579">
        <f>Parametrikber!F$75</f>
        <v>605.25346382895225</v>
      </c>
      <c r="I19" s="619" t="s">
        <v>285</v>
      </c>
      <c r="J19" s="619"/>
      <c r="K19" s="579">
        <f>Parametrikber!I$75</f>
        <v>173.96295869697622</v>
      </c>
      <c r="L19" s="619" t="s">
        <v>285</v>
      </c>
      <c r="M19" s="619"/>
      <c r="N19" s="579">
        <f>Parametrikber!L$75</f>
        <v>173.96295869697622</v>
      </c>
      <c r="O19" s="1188" t="s">
        <v>285</v>
      </c>
      <c r="Y19" s="55" t="s">
        <v>33</v>
      </c>
    </row>
    <row r="20" spans="1:25" ht="15" thickBot="1" x14ac:dyDescent="0.25">
      <c r="D20" s="76" t="str">
        <f>CONCATENATE('Länder-DB'!$M$23*100,"% ",IF(Deutsch,"Neusand Kosten","new moulding sand cost"))</f>
        <v>10% Neusand Kosten</v>
      </c>
      <c r="E20" s="73"/>
      <c r="F20" s="75"/>
      <c r="G20" s="611"/>
      <c r="H20" s="74">
        <f>H$19*('Länder-DB'!$M$23*'Länder-DB'!$M$25/1000+Parametrikber!F$79)</f>
        <v>4.4717924104088675</v>
      </c>
      <c r="I20" s="619" t="s">
        <v>285</v>
      </c>
      <c r="J20" s="619"/>
      <c r="K20" s="74">
        <f>K$19*('Länder-DB'!$M$23*'Länder-DB'!$M$25/1000+Parametrikber!I$79)</f>
        <v>1.0933571954104957</v>
      </c>
      <c r="L20" s="619" t="s">
        <v>285</v>
      </c>
      <c r="M20" s="619"/>
      <c r="N20" s="74">
        <f>N$19*('Länder-DB'!$M$23*'Länder-DB'!$M$25/1000+Parametrikber!L$79)</f>
        <v>1.0933571954104957</v>
      </c>
      <c r="O20" s="1188" t="s">
        <v>285</v>
      </c>
      <c r="Y20" s="55" t="s">
        <v>33</v>
      </c>
    </row>
    <row r="21" spans="1:25" ht="15" thickBot="1" x14ac:dyDescent="0.25">
      <c r="D21" s="76" t="str">
        <f>IF(Deutsch,"Material Schmelzebehandlung","cost for cleaning salt")</f>
        <v>Material Schmelzebehandlung</v>
      </c>
      <c r="E21" s="581"/>
      <c r="F21" s="75"/>
      <c r="G21" s="611"/>
      <c r="H21" s="74">
        <f>'Länder-DB'!$M$39*H$33/1000*(1+Parametrikber!F224)</f>
        <v>0.53496399482785384</v>
      </c>
      <c r="I21" s="619" t="s">
        <v>285</v>
      </c>
      <c r="J21" s="619"/>
      <c r="K21" s="74">
        <f>'Länder-DB'!$M$39*K$33/1000*(1+Parametrikber!I224)</f>
        <v>0.11667090394258404</v>
      </c>
      <c r="L21" s="503" t="s">
        <v>285</v>
      </c>
      <c r="M21" s="503"/>
      <c r="N21" s="74">
        <f>'Länder-DB'!$M$39*N$33/1000*(1+Parametrikber!L224)</f>
        <v>0.11667090394258404</v>
      </c>
      <c r="O21" s="1188" t="s">
        <v>285</v>
      </c>
      <c r="Y21" s="55" t="s">
        <v>33</v>
      </c>
    </row>
    <row r="22" spans="1:25" ht="15" thickBot="1" x14ac:dyDescent="0.25">
      <c r="C22" s="78"/>
      <c r="D22" s="72" t="str">
        <f>IF(Deutsch,"Kühleisenkosten (per Stk.)","cooling plates cost (ea. pc.)")</f>
        <v>Kühleisenkosten (per Stk.)</v>
      </c>
      <c r="E22" s="73"/>
      <c r="F22" s="75"/>
      <c r="G22" s="611"/>
      <c r="H22" s="74">
        <f>Parametrikber!F$205</f>
        <v>0</v>
      </c>
      <c r="I22" s="619" t="s">
        <v>285</v>
      </c>
      <c r="J22" s="607"/>
      <c r="K22" s="74">
        <f>Parametrikber!I$205</f>
        <v>0</v>
      </c>
      <c r="L22" s="503" t="s">
        <v>285</v>
      </c>
      <c r="M22" s="166"/>
      <c r="N22" s="74">
        <f>Parametrikber!L$205</f>
        <v>0</v>
      </c>
      <c r="O22" s="1188" t="s">
        <v>285</v>
      </c>
      <c r="Y22" s="55" t="s">
        <v>33</v>
      </c>
    </row>
    <row r="23" spans="1:25" ht="15" thickBot="1" x14ac:dyDescent="0.25">
      <c r="D23" s="919" t="str">
        <f>IF(Deutsch,"Kosten Hilfsstoffe (€/Stk.)","cost sum auxiliaries (€/pc.)")</f>
        <v>Kosten Hilfsstoffe (€/Stk.)</v>
      </c>
      <c r="E23" s="73"/>
      <c r="F23" s="75"/>
      <c r="G23" s="611"/>
      <c r="H23" s="85">
        <f>H$20+H$21+H$22</f>
        <v>5.0067564052367217</v>
      </c>
      <c r="I23" s="619" t="s">
        <v>285</v>
      </c>
      <c r="J23" s="619"/>
      <c r="K23" s="85">
        <f>K$20+K$21+K$22</f>
        <v>1.2100280993530796</v>
      </c>
      <c r="L23" s="619" t="s">
        <v>285</v>
      </c>
      <c r="M23" s="619"/>
      <c r="N23" s="85">
        <f t="shared" ref="N23" si="0">N$20+N$21+N$22</f>
        <v>1.2100280993530796</v>
      </c>
      <c r="O23" s="1188" t="s">
        <v>285</v>
      </c>
      <c r="Y23" s="55" t="s">
        <v>33</v>
      </c>
    </row>
    <row r="24" spans="1:25" ht="15" thickBot="1" x14ac:dyDescent="0.25">
      <c r="B24" s="55" t="s">
        <v>127</v>
      </c>
      <c r="D24" s="72" t="str">
        <f>'Quick Input'!I60</f>
        <v>Materialgemeinkostensatz</v>
      </c>
      <c r="E24" s="73"/>
      <c r="F24" s="75"/>
      <c r="G24" s="611"/>
      <c r="H24" s="119">
        <v>7.0000000000000007E-2</v>
      </c>
      <c r="I24" s="620"/>
      <c r="J24" s="620"/>
      <c r="K24" s="119">
        <v>7.0000000000000007E-2</v>
      </c>
      <c r="L24" s="355"/>
      <c r="M24" s="355"/>
      <c r="N24" s="119">
        <v>7.0000000000000007E-2</v>
      </c>
      <c r="O24" s="1188"/>
      <c r="Y24" s="55" t="s">
        <v>33</v>
      </c>
    </row>
    <row r="25" spans="1:25" ht="15" thickBot="1" x14ac:dyDescent="0.25">
      <c r="D25" s="76" t="str">
        <f>IF(Deutsch,"Materialgemeinkosten","material overhead")</f>
        <v>Materialgemeinkosten</v>
      </c>
      <c r="E25" s="73"/>
      <c r="F25" s="75"/>
      <c r="G25" s="611"/>
      <c r="H25" s="85">
        <f>(H$18+H$23)*H$24</f>
        <v>6.3998587435594176</v>
      </c>
      <c r="I25" s="619" t="s">
        <v>285</v>
      </c>
      <c r="J25" s="619"/>
      <c r="K25" s="85">
        <f>(K$18+K$23)*K$24</f>
        <v>0.82901991288584298</v>
      </c>
      <c r="L25" s="619" t="s">
        <v>285</v>
      </c>
      <c r="M25" s="619"/>
      <c r="N25" s="85">
        <f t="shared" ref="N25" si="1">(N$18+N$23)*N$24</f>
        <v>0.82901991288584298</v>
      </c>
      <c r="O25" s="1188" t="s">
        <v>285</v>
      </c>
      <c r="Y25" s="55" t="s">
        <v>33</v>
      </c>
    </row>
    <row r="26" spans="1:25" ht="15" thickBot="1" x14ac:dyDescent="0.25">
      <c r="D26" s="116" t="str">
        <f>IF(Deutsch,"Materialkosten gesamt","material cost total")</f>
        <v>Materialkosten gesamt</v>
      </c>
      <c r="E26" s="73"/>
      <c r="F26" s="75"/>
      <c r="G26" s="856"/>
      <c r="H26" s="77">
        <f>H$18+H$23+H$25</f>
        <v>97.82641222297967</v>
      </c>
      <c r="I26" s="857" t="s">
        <v>285</v>
      </c>
      <c r="J26" s="858"/>
      <c r="K26" s="77">
        <f>K$18+K$23+K$25</f>
        <v>12.672161525540741</v>
      </c>
      <c r="L26" s="857" t="s">
        <v>285</v>
      </c>
      <c r="M26" s="858"/>
      <c r="N26" s="77">
        <f>N$18+N$23+N$25</f>
        <v>12.672161525540741</v>
      </c>
      <c r="O26" s="1188" t="s">
        <v>285</v>
      </c>
      <c r="Y26" s="55" t="s">
        <v>33</v>
      </c>
    </row>
    <row r="27" spans="1:25" ht="6" customHeight="1" thickBot="1" x14ac:dyDescent="0.25">
      <c r="C27" s="87"/>
      <c r="D27" s="88"/>
      <c r="E27" s="87"/>
      <c r="F27" s="89"/>
      <c r="G27" s="615"/>
      <c r="H27" s="852"/>
      <c r="I27" s="625" t="s">
        <v>285</v>
      </c>
      <c r="J27" s="625"/>
      <c r="K27" s="852"/>
      <c r="L27" s="87" t="s">
        <v>285</v>
      </c>
      <c r="M27" s="87"/>
      <c r="N27" s="852"/>
      <c r="O27" s="1192" t="s">
        <v>285</v>
      </c>
      <c r="Y27" s="55" t="s">
        <v>33</v>
      </c>
    </row>
    <row r="28" spans="1:25" ht="14.25" customHeight="1" thickBot="1" x14ac:dyDescent="0.25">
      <c r="D28" s="1229" t="str">
        <f>IF(Deutsch,"Prozess Schmelzen","melting process")</f>
        <v>Prozess Schmelzen</v>
      </c>
      <c r="E28" s="1235"/>
      <c r="F28" s="1236"/>
      <c r="G28" s="900"/>
      <c r="H28" s="901" t="str">
        <f>CONCATENATE(VLOOKUP(Parametrikber!F$98,DB_Ofen,11,FALSE),"-",IF(Deutsch,"Ofen","oven"))</f>
        <v>Schacht-Ofen</v>
      </c>
      <c r="I28" s="618" t="s">
        <v>285</v>
      </c>
      <c r="J28" s="618"/>
      <c r="K28" s="901" t="str">
        <f>CONCATENATE(VLOOKUP(Parametrikber!I$98,DB_Ofen,11,FALSE),"-",IF(Deutsch,"Ofen","oven"))</f>
        <v>Schacht-Ofen</v>
      </c>
      <c r="L28" s="266" t="s">
        <v>285</v>
      </c>
      <c r="M28" s="266"/>
      <c r="N28" s="901" t="str">
        <f>CONCATENATE(VLOOKUP(Parametrikber!L$98,DB_Ofen,11,FALSE),"-",IF(Deutsch,"Ofen","oven"))</f>
        <v>Schacht-Ofen</v>
      </c>
      <c r="O28" s="1189" t="s">
        <v>285</v>
      </c>
      <c r="Y28" s="55" t="s">
        <v>33</v>
      </c>
    </row>
    <row r="29" spans="1:25" ht="12.75" customHeight="1" thickBot="1" x14ac:dyDescent="0.25">
      <c r="D29" s="1237"/>
      <c r="E29" s="1238"/>
      <c r="F29" s="1239"/>
      <c r="G29" s="859"/>
      <c r="H29" s="576" t="str">
        <f>CONCATENATE(VLOOKUP(Parametrikber!F98,DB_Ofen,5,FALSE)," kg / ",VLOOKUP(Parametrikber!F$98,DB_Ofen,2,FALSE))</f>
        <v>3000 kg / Gas</v>
      </c>
      <c r="I29" s="619" t="s">
        <v>285</v>
      </c>
      <c r="J29" s="619"/>
      <c r="K29" s="576" t="str">
        <f>CONCATENATE(VLOOKUP(Parametrikber!I98,DB_Ofen,5,FALSE)," kg / ",VLOOKUP(Parametrikber!I$98,DB_Ofen,2,FALSE))</f>
        <v>3000 kg / Gas</v>
      </c>
      <c r="L29" s="619" t="s">
        <v>285</v>
      </c>
      <c r="M29" s="619"/>
      <c r="N29" s="576" t="str">
        <f>CONCATENATE(VLOOKUP(Parametrikber!L98,DB_Ofen,5,FALSE)," kg / ",VLOOKUP(Parametrikber!L$98,DB_Ofen,2,FALSE))</f>
        <v>3000 kg / Gas</v>
      </c>
      <c r="O29" s="1188" t="s">
        <v>285</v>
      </c>
      <c r="Y29" s="55" t="s">
        <v>33</v>
      </c>
    </row>
    <row r="30" spans="1:25" ht="14.25" customHeight="1" thickBot="1" x14ac:dyDescent="0.25">
      <c r="C30" s="78"/>
      <c r="D30" s="72" t="str">
        <f>IF(Deutsch,"Schmelzenergie","melting energy")</f>
        <v>Schmelzenergie</v>
      </c>
      <c r="E30" s="73"/>
      <c r="F30" s="75"/>
      <c r="G30" s="902">
        <f>Parametrikber!F$114</f>
        <v>1.7777777777777777</v>
      </c>
      <c r="H30" s="678" t="s">
        <v>110</v>
      </c>
      <c r="I30" s="355"/>
      <c r="J30" s="622"/>
      <c r="K30" s="678" t="s">
        <v>110</v>
      </c>
      <c r="L30" s="355"/>
      <c r="M30" s="622"/>
      <c r="N30" s="678" t="s">
        <v>110</v>
      </c>
      <c r="O30" s="1188"/>
      <c r="Y30" s="55" t="s">
        <v>33</v>
      </c>
    </row>
    <row r="31" spans="1:25" ht="14.25" customHeight="1" thickBot="1" x14ac:dyDescent="0.25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02"/>
      <c r="H31" s="121">
        <v>2000</v>
      </c>
      <c r="I31" s="78"/>
      <c r="J31" s="609"/>
      <c r="K31" s="121">
        <v>2000</v>
      </c>
      <c r="L31" s="78"/>
      <c r="M31" s="609"/>
      <c r="N31" s="121">
        <v>2000</v>
      </c>
      <c r="O31" s="1188"/>
    </row>
    <row r="32" spans="1:25" ht="15" customHeight="1" thickBot="1" x14ac:dyDescent="0.25">
      <c r="D32" s="72" t="str">
        <f>CONCATENATE(IF(Deutsch,"Schmelzleistung","melting rate")," (kg/h)")</f>
        <v>Schmelzleistung (kg/h)</v>
      </c>
      <c r="E32" s="73"/>
      <c r="F32" s="75"/>
      <c r="G32" s="859"/>
      <c r="H32" s="80">
        <f>VLOOKUP(Parametrikber!F$98,DB_Ofen,7,FALSE)</f>
        <v>2000</v>
      </c>
      <c r="I32" s="683" t="str">
        <f>IFERROR(VLOOKUP(H$30,Auswahlfelder!$D$71:$D$73,1,FALSE),VLOOKUP(H$30,Auswahlfelder!$C$71:$D$73,2,FALSE))</f>
        <v>Gas</v>
      </c>
      <c r="J32" s="619"/>
      <c r="K32" s="80">
        <f>VLOOKUP(Parametrikber!I$98,DB_Ofen,7,FALSE)</f>
        <v>2000</v>
      </c>
      <c r="L32" s="683" t="str">
        <f>IFERROR(VLOOKUP(K$30,Auswahlfelder!$D$71:$D$73,1,FALSE),VLOOKUP(K$30,Auswahlfelder!$C$71:$D$73,2,FALSE))</f>
        <v>Gas</v>
      </c>
      <c r="M32" s="619"/>
      <c r="N32" s="80">
        <f>VLOOKUP(Parametrikber!L$98,DB_Ofen,7,FALSE)</f>
        <v>2000</v>
      </c>
      <c r="O32" s="1188"/>
    </row>
    <row r="33" spans="2:15" ht="15" thickBot="1" x14ac:dyDescent="0.25">
      <c r="D33" s="72" t="str">
        <f>CONCATENATE('Quick Input'!I19,IF(Deutsch," (incl. Anguß)"," (with sprue)"))</f>
        <v>Rohteilgewicht AL (kg) (incl. Anguß)</v>
      </c>
      <c r="E33" s="73"/>
      <c r="F33" s="75"/>
      <c r="G33" s="859"/>
      <c r="H33" s="493">
        <f>Parametrikber!F$40/H$50*(1+H$16)</f>
        <v>60.942102415579491</v>
      </c>
      <c r="I33" s="619" t="s">
        <v>285</v>
      </c>
      <c r="J33" s="619"/>
      <c r="K33" s="493">
        <f>Parametrikber!I$40/K$50*(1+K$16)</f>
        <v>7.7138297735908372</v>
      </c>
      <c r="L33" s="78" t="s">
        <v>285</v>
      </c>
      <c r="M33" s="78"/>
      <c r="N33" s="493">
        <f>Parametrikber!L$40/N$50*(1+N$16)</f>
        <v>7.7138297735908372</v>
      </c>
      <c r="O33" s="1188" t="s">
        <v>285</v>
      </c>
    </row>
    <row r="34" spans="2:15" ht="15" thickBot="1" x14ac:dyDescent="0.25">
      <c r="D34" s="72" t="str">
        <f>CONCATENATE(IF(Deutsch,"Zykluszeit Ofen","cycle time melting")," (min)")</f>
        <v>Zykluszeit Ofen (min)</v>
      </c>
      <c r="E34" s="73"/>
      <c r="F34" s="75"/>
      <c r="G34" s="859"/>
      <c r="H34" s="114">
        <f>Parametrikber!F$101/H32*60+VLOOKUP(Parametrikber!F$98,DB_Ofen,14,FALSE)</f>
        <v>117</v>
      </c>
      <c r="I34" s="619" t="s">
        <v>285</v>
      </c>
      <c r="J34" s="619"/>
      <c r="K34" s="114">
        <f>Parametrikber!I$101/K32*60+VLOOKUP(Parametrikber!I$98,DB_Ofen,14,FALSE)</f>
        <v>117</v>
      </c>
      <c r="L34" s="78" t="s">
        <v>285</v>
      </c>
      <c r="M34" s="78"/>
      <c r="N34" s="114">
        <f>Parametrikber!L$101/N32*60+VLOOKUP(Parametrikber!L$98,DB_Ofen,14,FALSE)</f>
        <v>117</v>
      </c>
      <c r="O34" s="1188" t="s">
        <v>285</v>
      </c>
    </row>
    <row r="35" spans="2:15" ht="15" thickBot="1" x14ac:dyDescent="0.25">
      <c r="D35" s="72" t="str">
        <f>CONCATENATE(IF(Deutsch,"Stundensatz Ofen","rate oven")," (€/h)")</f>
        <v>Stundensatz Ofen (€/h)</v>
      </c>
      <c r="E35" s="73"/>
      <c r="F35" s="75"/>
      <c r="G35" s="859"/>
      <c r="H35" s="136">
        <f>Parametrikber!F$108</f>
        <v>12.513528138528136</v>
      </c>
      <c r="I35" s="619" t="s">
        <v>285</v>
      </c>
      <c r="J35" s="619"/>
      <c r="K35" s="136">
        <f>Parametrikber!I$108</f>
        <v>15.245912447257387</v>
      </c>
      <c r="L35" s="78" t="s">
        <v>285</v>
      </c>
      <c r="M35" s="78"/>
      <c r="N35" s="136">
        <f>Parametrikber!L$108</f>
        <v>22.671568627450977</v>
      </c>
      <c r="O35" s="1188" t="s">
        <v>285</v>
      </c>
    </row>
    <row r="36" spans="2:15" ht="15" thickBot="1" x14ac:dyDescent="0.25">
      <c r="D36" s="82" t="str">
        <f>IF(Deutsch,"Prozesskosten Ofen (€/Stk.)","process cost ovfen (€/pc.)")</f>
        <v>Prozesskosten Ofen (€/Stk.)</v>
      </c>
      <c r="E36" s="73"/>
      <c r="F36" s="75"/>
      <c r="G36" s="859"/>
      <c r="H36" s="85">
        <f>H$34/60*H$33/Parametrikber!F$101*H$35</f>
        <v>0.51278323831962547</v>
      </c>
      <c r="I36" s="619" t="s">
        <v>285</v>
      </c>
      <c r="J36" s="619"/>
      <c r="K36" s="85">
        <f>K$34/60*K$33/Parametrikber!I$101*K$35</f>
        <v>7.907880277736748E-2</v>
      </c>
      <c r="L36" s="619" t="s">
        <v>285</v>
      </c>
      <c r="M36" s="619"/>
      <c r="N36" s="85">
        <f>N$34/60*N$33/Parametrikber!L$101*N$35</f>
        <v>0.11759483142422641</v>
      </c>
      <c r="O36" s="1188" t="s">
        <v>285</v>
      </c>
    </row>
    <row r="37" spans="2:15" ht="15" thickBot="1" x14ac:dyDescent="0.25">
      <c r="D37" s="72" t="str">
        <f>IF(Deutsch,"Energieverbrauch (kWh/kg)","energy rate (kWh/kg)")</f>
        <v>Energieverbrauch (kWh/kg)</v>
      </c>
      <c r="E37" s="73"/>
      <c r="F37" s="75"/>
      <c r="G37" s="859"/>
      <c r="H37" s="80">
        <f>VLOOKUP(Parametrikber!F$98,DB_Ofen,12,FALSE)</f>
        <v>0.68700000000000006</v>
      </c>
      <c r="I37" s="619" t="s">
        <v>285</v>
      </c>
      <c r="J37" s="619"/>
      <c r="K37" s="80">
        <f>VLOOKUP(Parametrikber!I$98,DB_Ofen,12,FALSE)</f>
        <v>0.68700000000000006</v>
      </c>
      <c r="L37" s="619" t="s">
        <v>285</v>
      </c>
      <c r="M37" s="619"/>
      <c r="N37" s="80">
        <f>VLOOKUP(Parametrikber!L$98,DB_Ofen,12,FALSE)</f>
        <v>0.68700000000000006</v>
      </c>
      <c r="O37" s="1188" t="s">
        <v>285</v>
      </c>
    </row>
    <row r="38" spans="2:15" ht="15" thickBot="1" x14ac:dyDescent="0.25">
      <c r="D38" s="72" t="str">
        <f>IF(Deutsch,"Energiekosten (€/kWh ","energy price (€/kWh)")</f>
        <v xml:space="preserve">Energiekosten (€/kWh </v>
      </c>
      <c r="E38" s="73"/>
      <c r="F38" s="75"/>
      <c r="G38" s="859"/>
      <c r="H38" s="101">
        <f>Parametrikber!F$210</f>
        <v>5.2999999999999999E-2</v>
      </c>
      <c r="I38" s="619" t="s">
        <v>285</v>
      </c>
      <c r="J38" s="619"/>
      <c r="K38" s="101">
        <f>Parametrikber!I$210</f>
        <v>0.1237</v>
      </c>
      <c r="L38" s="619" t="s">
        <v>285</v>
      </c>
      <c r="M38" s="619"/>
      <c r="N38" s="101">
        <f>Parametrikber!L$210</f>
        <v>5.2999999999999999E-2</v>
      </c>
      <c r="O38" s="1188" t="s">
        <v>285</v>
      </c>
    </row>
    <row r="39" spans="2:15" ht="15" thickBot="1" x14ac:dyDescent="0.25">
      <c r="D39" s="72" t="str">
        <f>IF(Deutsch,"Energiekosten (€/Stk.)","energy cost (€/pc.)")</f>
        <v>Energiekosten (€/Stk.)</v>
      </c>
      <c r="E39" s="73"/>
      <c r="F39" s="75"/>
      <c r="G39" s="859"/>
      <c r="H39" s="85">
        <f>H$33*H$37*H$38</f>
        <v>2.218962891053665</v>
      </c>
      <c r="I39" s="619" t="s">
        <v>285</v>
      </c>
      <c r="J39" s="619"/>
      <c r="K39" s="85">
        <f>K$33*K$37*K$38</f>
        <v>0.6555359104363192</v>
      </c>
      <c r="L39" s="78" t="s">
        <v>285</v>
      </c>
      <c r="M39" s="78"/>
      <c r="N39" s="85">
        <f>N$33*N$37*N$38</f>
        <v>0.28086825588621595</v>
      </c>
      <c r="O39" s="1188" t="s">
        <v>285</v>
      </c>
    </row>
    <row r="40" spans="2:15" ht="15" thickBot="1" x14ac:dyDescent="0.25">
      <c r="D40" s="72" t="str">
        <f>IF(Deutsch,"Bediener pro Ofen","operator per oven)")</f>
        <v>Bediener pro Ofen</v>
      </c>
      <c r="E40" s="73"/>
      <c r="F40" s="75"/>
      <c r="G40" s="859"/>
      <c r="H40" s="81">
        <f>Parametrikber!F$133</f>
        <v>0.7</v>
      </c>
      <c r="I40" s="619" t="s">
        <v>285</v>
      </c>
      <c r="J40" s="619"/>
      <c r="K40" s="81">
        <f>Parametrikber!I$133</f>
        <v>0.7</v>
      </c>
      <c r="L40" s="78" t="s">
        <v>285</v>
      </c>
      <c r="M40" s="78"/>
      <c r="N40" s="81">
        <f>Parametrikber!L$133</f>
        <v>0.7</v>
      </c>
      <c r="O40" s="1188" t="s">
        <v>285</v>
      </c>
    </row>
    <row r="41" spans="2:15" ht="15" thickBot="1" x14ac:dyDescent="0.25">
      <c r="D41" s="72" t="str">
        <f>CONCATENATE(IF(Deutsch,"Personalkosten Ofenbediener","personal cost operator")," (€/h)")</f>
        <v>Personalkosten Ofenbediener (€/h)</v>
      </c>
      <c r="E41" s="73"/>
      <c r="F41" s="75"/>
      <c r="G41" s="859"/>
      <c r="H41" s="136">
        <f>Parametrikber!F$21</f>
        <v>29.420724999999997</v>
      </c>
      <c r="I41" s="619" t="s">
        <v>285</v>
      </c>
      <c r="J41" s="619"/>
      <c r="K41" s="136">
        <f>Parametrikber!I$21</f>
        <v>7.4557889999999984</v>
      </c>
      <c r="L41" s="78" t="s">
        <v>285</v>
      </c>
      <c r="M41" s="78"/>
      <c r="N41" s="136">
        <f>Parametrikber!L$21</f>
        <v>29.420724999999997</v>
      </c>
      <c r="O41" s="1188" t="s">
        <v>285</v>
      </c>
    </row>
    <row r="42" spans="2:15" ht="15" thickBot="1" x14ac:dyDescent="0.25">
      <c r="D42" s="82" t="str">
        <f>IF(Deutsch,"Personalkosten (€/Stk.)","stuff cost (€/pc.)")</f>
        <v>Personalkosten (€/Stk.)</v>
      </c>
      <c r="E42" s="73"/>
      <c r="F42" s="75"/>
      <c r="G42" s="859"/>
      <c r="H42" s="85">
        <f>H$33*(1+H$16)/Parametrikber!F$101*H$34/60*H$40*H$41</f>
        <v>0.89076612820820789</v>
      </c>
      <c r="I42" s="619" t="s">
        <v>285</v>
      </c>
      <c r="J42" s="619"/>
      <c r="K42" s="85">
        <f>K$33*(1+K$16)/Parametrikber!I$101*K$34/60*K$40*K$41</f>
        <v>2.8573046686490366E-2</v>
      </c>
      <c r="L42" s="78" t="s">
        <v>285</v>
      </c>
      <c r="M42" s="78"/>
      <c r="N42" s="85">
        <f>N$33*(1+N$16)/Parametrikber!L$101*N$34/60*N$40*N$41</f>
        <v>0.11274993819908186</v>
      </c>
      <c r="O42" s="1188" t="s">
        <v>285</v>
      </c>
    </row>
    <row r="43" spans="2:15" ht="15" thickBot="1" x14ac:dyDescent="0.25">
      <c r="D43" s="72" t="str">
        <f>IF(Deutsch,"Schmelze entgasen/reinigen (min)","cleaning time (min)")</f>
        <v>Schmelze entgasen/reinigen (min)</v>
      </c>
      <c r="E43" s="73"/>
      <c r="F43" s="75"/>
      <c r="G43" s="859"/>
      <c r="H43" s="81">
        <f>Parametrikber!F223</f>
        <v>14.8</v>
      </c>
      <c r="I43" s="619" t="s">
        <v>285</v>
      </c>
      <c r="J43" s="619"/>
      <c r="K43" s="81">
        <f>Parametrikber!I223</f>
        <v>25.4</v>
      </c>
      <c r="L43" s="78" t="s">
        <v>285</v>
      </c>
      <c r="M43" s="78"/>
      <c r="N43" s="81">
        <f>Parametrikber!L223</f>
        <v>25.4</v>
      </c>
      <c r="O43" s="1188" t="s">
        <v>285</v>
      </c>
    </row>
    <row r="44" spans="2:15" ht="15" thickBot="1" x14ac:dyDescent="0.25">
      <c r="D44" s="72" t="str">
        <f>CONCATENATE(IF(Deutsch,"Reinigungskosten","process cost cleaning")," (€/h)")</f>
        <v>Reinigungskosten (€/h)</v>
      </c>
      <c r="E44" s="73"/>
      <c r="F44" s="75"/>
      <c r="G44" s="859"/>
      <c r="H44" s="136">
        <f>Parametrikber!F220</f>
        <v>13.884145</v>
      </c>
      <c r="I44" s="619" t="s">
        <v>285</v>
      </c>
      <c r="J44" s="619"/>
      <c r="K44" s="136">
        <f>Parametrikber!I220</f>
        <v>9.4911577999999999</v>
      </c>
      <c r="L44" s="78" t="s">
        <v>285</v>
      </c>
      <c r="M44" s="78"/>
      <c r="N44" s="136">
        <f>Parametrikber!L220</f>
        <v>13.884145</v>
      </c>
      <c r="O44" s="1188" t="s">
        <v>285</v>
      </c>
    </row>
    <row r="45" spans="2:15" ht="15" thickBot="1" x14ac:dyDescent="0.25">
      <c r="D45" s="82" t="str">
        <f>IF(Deutsch,"Schmelzebehandlung (€/Stk.)","molten metal treatment (€/pc.)")</f>
        <v>Schmelzebehandlung (€/Stk.)</v>
      </c>
      <c r="E45" s="581"/>
      <c r="F45" s="75"/>
      <c r="G45" s="859"/>
      <c r="H45" s="85">
        <f>H$43/60*H$44*H$33/Parametrikber!F$101</f>
        <v>7.1969591958809129E-2</v>
      </c>
      <c r="I45" s="619" t="s">
        <v>285</v>
      </c>
      <c r="J45" s="619"/>
      <c r="K45" s="85">
        <f>K$43/60*K$44*K$33/Parametrikber!I$101</f>
        <v>1.0687440579520794E-2</v>
      </c>
      <c r="L45" s="78" t="s">
        <v>285</v>
      </c>
      <c r="M45" s="78"/>
      <c r="N45" s="85">
        <f>N$43/60*N$44*N$33/Parametrikber!L$101</f>
        <v>1.563412787056925E-2</v>
      </c>
      <c r="O45" s="1188" t="s">
        <v>285</v>
      </c>
    </row>
    <row r="46" spans="2:15" ht="15" thickBot="1" x14ac:dyDescent="0.25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11"/>
      <c r="H46" s="918">
        <f>H$70+H$92</f>
        <v>0.02</v>
      </c>
      <c r="I46" s="620"/>
      <c r="J46" s="620"/>
      <c r="K46" s="918">
        <f>K$70+K$92</f>
        <v>0.02</v>
      </c>
      <c r="L46" s="620"/>
      <c r="M46" s="620"/>
      <c r="N46" s="918">
        <f>N$70+N$92</f>
        <v>0.02</v>
      </c>
      <c r="O46" s="1188"/>
    </row>
    <row r="47" spans="2:15" ht="16.5" customHeight="1" thickBot="1" x14ac:dyDescent="0.25">
      <c r="D47" s="1018" t="str">
        <f>IF(Deutsch,"Schmelzkosten pro Stück","melting cost per part")</f>
        <v>Schmelzkosten pro Stück</v>
      </c>
      <c r="E47" s="164"/>
      <c r="F47" s="165"/>
      <c r="G47" s="855"/>
      <c r="H47" s="1019">
        <f>(H42+H36+H39+H45)*(1+H46)</f>
        <v>3.7683714865311138</v>
      </c>
      <c r="I47" s="1020" t="s">
        <v>285</v>
      </c>
      <c r="J47" s="1020"/>
      <c r="K47" s="1019">
        <f>(K42+K36+K39+K45)*(1+K46)</f>
        <v>0.78935270448929185</v>
      </c>
      <c r="L47" s="1021" t="s">
        <v>285</v>
      </c>
      <c r="M47" s="1021"/>
      <c r="N47" s="1019">
        <f>(N42+N36+N39+N45)*(1+N46)</f>
        <v>0.53738409644769536</v>
      </c>
      <c r="O47" s="1192" t="s">
        <v>285</v>
      </c>
    </row>
    <row r="48" spans="2:15" ht="24.75" thickBot="1" x14ac:dyDescent="0.25">
      <c r="D48" s="1237" t="str">
        <f>IF(Deutsch,"Prozess Formen","sand forming process")</f>
        <v>Prozess Formen</v>
      </c>
      <c r="E48" s="1238"/>
      <c r="F48" s="1239"/>
      <c r="G48" s="611"/>
      <c r="H48" s="914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13" t="s">
        <v>285</v>
      </c>
      <c r="J48" s="913"/>
      <c r="K48" s="914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13" t="s">
        <v>285</v>
      </c>
      <c r="M48" s="913"/>
      <c r="N48" s="914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1189" t="s">
        <v>285</v>
      </c>
    </row>
    <row r="49" spans="2:15" ht="13.5" customHeight="1" thickBot="1" x14ac:dyDescent="0.25">
      <c r="C49" s="78"/>
      <c r="D49" s="72" t="str">
        <f>IF(Deutsch,"Modelle / Platte berechnet","caculated cavities")</f>
        <v>Modelle / Platte berechnet</v>
      </c>
      <c r="E49" s="73"/>
      <c r="F49" s="75"/>
      <c r="G49" s="611">
        <f>Parametrikber!F70</f>
        <v>9</v>
      </c>
      <c r="H49" s="114">
        <f>IFERROR(Parametrikber!F$131,1)</f>
        <v>3</v>
      </c>
      <c r="I49" s="619" t="s">
        <v>285</v>
      </c>
      <c r="J49" s="619"/>
      <c r="K49" s="114">
        <f>IFERROR(Parametrikber!I$131,1)</f>
        <v>1</v>
      </c>
      <c r="L49" s="78" t="s">
        <v>285</v>
      </c>
      <c r="M49" s="78"/>
      <c r="N49" s="114">
        <f>IFERROR(Parametrikber!L$131,1)</f>
        <v>1</v>
      </c>
      <c r="O49" s="1188" t="s">
        <v>285</v>
      </c>
    </row>
    <row r="50" spans="2:15" ht="15" thickBot="1" x14ac:dyDescent="0.25">
      <c r="B50" s="55" t="s">
        <v>127</v>
      </c>
      <c r="C50" s="78"/>
      <c r="D50" s="72" t="str">
        <f>'Quick Input'!I63</f>
        <v>Modelle/Platte</v>
      </c>
      <c r="E50" s="73"/>
      <c r="F50" s="75"/>
      <c r="G50" s="611"/>
      <c r="H50" s="121">
        <v>1</v>
      </c>
      <c r="I50" s="620"/>
      <c r="J50" s="620"/>
      <c r="K50" s="121">
        <v>1</v>
      </c>
      <c r="L50" s="355"/>
      <c r="M50" s="355"/>
      <c r="N50" s="121">
        <v>1</v>
      </c>
      <c r="O50" s="1188"/>
    </row>
    <row r="51" spans="2:15" ht="15" thickBot="1" x14ac:dyDescent="0.25">
      <c r="C51" s="78"/>
      <c r="D51" s="72" t="str">
        <f>IF(Deutsch,"Vorgeschlagene Maschine","caculated maschine")</f>
        <v>Vorgeschlagene Maschine</v>
      </c>
      <c r="E51" s="73"/>
      <c r="F51" s="75"/>
      <c r="G51" s="611">
        <f>Parametrikber!F$61</f>
        <v>9</v>
      </c>
      <c r="H51" s="114">
        <f>Parametrikber!F$70</f>
        <v>9</v>
      </c>
      <c r="I51" s="619" t="s">
        <v>285</v>
      </c>
      <c r="J51" s="619"/>
      <c r="K51" s="114">
        <f>Parametrikber!I$70</f>
        <v>12</v>
      </c>
      <c r="L51" s="619" t="s">
        <v>285</v>
      </c>
      <c r="M51" s="619"/>
      <c r="N51" s="114">
        <f>Parametrikber!L$70</f>
        <v>12</v>
      </c>
      <c r="O51" s="1188" t="s">
        <v>285</v>
      </c>
    </row>
    <row r="52" spans="2:15" ht="15" thickBot="1" x14ac:dyDescent="0.25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12"/>
      <c r="H52" s="121">
        <v>9</v>
      </c>
      <c r="I52" s="621"/>
      <c r="J52" s="621"/>
      <c r="K52" s="121">
        <v>3</v>
      </c>
      <c r="L52" s="479"/>
      <c r="M52" s="479"/>
      <c r="N52" s="121">
        <v>3</v>
      </c>
      <c r="O52" s="1188"/>
    </row>
    <row r="53" spans="2:15" ht="15" thickBot="1" x14ac:dyDescent="0.25">
      <c r="C53" s="78"/>
      <c r="D53" s="566" t="str">
        <f>IF(Deutsch,"Kastengröße","box size")</f>
        <v>Kastengröße</v>
      </c>
      <c r="E53" s="73"/>
      <c r="F53" s="75"/>
      <c r="G53" s="611"/>
      <c r="H53" s="279" t="str">
        <f>CONCATENATE(VLOOKUP(H$52,DB_Maschinen,5,FALSE)/10,"x",VLOOKUP(H$52,DB_Maschinen,6,FALSE)/10,"x",VLOOKUP(H$52,DB_Maschinen,7,FALSE)/10," cm")</f>
        <v>130x130x80 cm</v>
      </c>
      <c r="I53" s="619" t="s">
        <v>285</v>
      </c>
      <c r="J53" s="619"/>
      <c r="K53" s="279" t="str">
        <f>CONCATENATE(VLOOKUP(K$52,DB_Maschinen,5,FALSE)/10,"x",VLOOKUP(K$52,DB_Maschinen,6,FALSE)/10,"x",VLOOKUP(K$52,DB_Maschinen,7,FALSE)/10," cm")</f>
        <v>80x60x60 cm</v>
      </c>
      <c r="L53" s="619" t="s">
        <v>285</v>
      </c>
      <c r="M53" s="619"/>
      <c r="N53" s="279" t="str">
        <f>CONCATENATE(VLOOKUP(N$52,DB_Maschinen,5,FALSE)/10,"x",VLOOKUP(N$52,DB_Maschinen,6,FALSE)/10,"x",VLOOKUP(N$52,DB_Maschinen,7,FALSE)/10," cm")</f>
        <v>80x60x60 cm</v>
      </c>
      <c r="O53" s="1188" t="s">
        <v>285</v>
      </c>
    </row>
    <row r="54" spans="2:15" ht="15" thickBot="1" x14ac:dyDescent="0.25">
      <c r="C54" s="78"/>
      <c r="D54" s="72" t="str">
        <f>IF(Deutsch,"Maschinenstundensatz","machine rate")</f>
        <v>Maschinenstundensatz</v>
      </c>
      <c r="E54" s="73"/>
      <c r="F54" s="75"/>
      <c r="G54" s="611"/>
      <c r="H54" s="74">
        <f>Parametrikber!F$137</f>
        <v>157.42587560386471</v>
      </c>
      <c r="I54" s="619" t="s">
        <v>285</v>
      </c>
      <c r="J54" s="619"/>
      <c r="K54" s="74">
        <f>Parametrikber!I$137</f>
        <v>472.359713826242</v>
      </c>
      <c r="L54" s="78" t="s">
        <v>285</v>
      </c>
      <c r="M54" s="67"/>
      <c r="N54" s="74">
        <f>Parametrikber!L$137</f>
        <v>704.84528985507234</v>
      </c>
      <c r="O54" s="1188" t="s">
        <v>285</v>
      </c>
    </row>
    <row r="55" spans="2:15" ht="15" thickBot="1" x14ac:dyDescent="0.25">
      <c r="C55" s="78"/>
      <c r="D55" s="72" t="str">
        <f>IF(Deutsch,"Bediener pro Maschine","stuff per machine")</f>
        <v>Bediener pro Maschine</v>
      </c>
      <c r="E55" s="73"/>
      <c r="F55" s="75"/>
      <c r="G55" s="611"/>
      <c r="H55" s="262">
        <f>Parametrikber!F$135</f>
        <v>5</v>
      </c>
      <c r="I55" s="619" t="s">
        <v>285</v>
      </c>
      <c r="J55" s="619"/>
      <c r="K55" s="262">
        <f>Parametrikber!I$135</f>
        <v>4</v>
      </c>
      <c r="L55" s="78" t="s">
        <v>285</v>
      </c>
      <c r="M55" s="67"/>
      <c r="N55" s="262">
        <f>Parametrikber!L$135</f>
        <v>3</v>
      </c>
      <c r="O55" s="1188" t="s">
        <v>285</v>
      </c>
    </row>
    <row r="56" spans="2:15" ht="15" thickBot="1" x14ac:dyDescent="0.25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11"/>
      <c r="H56" s="74">
        <f>Parametrikber!F$21</f>
        <v>29.420724999999997</v>
      </c>
      <c r="I56" s="619" t="s">
        <v>285</v>
      </c>
      <c r="J56" s="619"/>
      <c r="K56" s="74">
        <f>Parametrikber!I21</f>
        <v>7.4557889999999984</v>
      </c>
      <c r="L56" s="78" t="s">
        <v>285</v>
      </c>
      <c r="M56" s="67"/>
      <c r="N56" s="74">
        <f>Parametrikber!L21</f>
        <v>29.420724999999997</v>
      </c>
      <c r="O56" s="1188" t="s">
        <v>285</v>
      </c>
    </row>
    <row r="57" spans="2:15" ht="15" thickBot="1" x14ac:dyDescent="0.25">
      <c r="C57" s="78"/>
      <c r="D57" s="72" t="str">
        <f>IF(Deutsch,"Prozesskosten pro Stunde","process cost per h")</f>
        <v>Prozesskosten pro Stunde</v>
      </c>
      <c r="E57" s="73"/>
      <c r="F57" s="75"/>
      <c r="G57" s="611"/>
      <c r="H57" s="74">
        <f>H$54+H$55*H$56</f>
        <v>304.52950060386468</v>
      </c>
      <c r="I57" s="619" t="s">
        <v>285</v>
      </c>
      <c r="J57" s="619"/>
      <c r="K57" s="74">
        <f>K$54+K$55*K$56</f>
        <v>502.18286982624198</v>
      </c>
      <c r="L57" s="619" t="s">
        <v>285</v>
      </c>
      <c r="M57" s="607"/>
      <c r="N57" s="74">
        <f t="shared" ref="N57" si="2">N$54+N$55*N$56</f>
        <v>793.10746485507229</v>
      </c>
      <c r="O57" s="1188" t="s">
        <v>285</v>
      </c>
    </row>
    <row r="58" spans="2:15" ht="14.25" customHeight="1" thickBot="1" x14ac:dyDescent="0.25">
      <c r="C58" s="78"/>
      <c r="D58" s="72" t="str">
        <f>'Quick Input'!$I$65</f>
        <v>Anteil Kühleisen Volumen</v>
      </c>
      <c r="E58" s="73"/>
      <c r="F58" s="75"/>
      <c r="G58" s="614">
        <f>Parametrikber!F$114</f>
        <v>1.7777777777777777</v>
      </c>
      <c r="H58" s="678" t="s">
        <v>262</v>
      </c>
      <c r="I58" s="479"/>
      <c r="J58" s="622"/>
      <c r="K58" s="678" t="s">
        <v>262</v>
      </c>
      <c r="L58" s="476"/>
      <c r="M58" s="477"/>
      <c r="N58" s="678" t="s">
        <v>262</v>
      </c>
      <c r="O58" s="1188"/>
    </row>
    <row r="59" spans="2:15" ht="15" thickBot="1" x14ac:dyDescent="0.25">
      <c r="C59" s="78"/>
      <c r="D59" s="72" t="str">
        <f>IF(Deutsch,"Zykluszeit in Sec","cycle time (s)")</f>
        <v>Zykluszeit in Sec</v>
      </c>
      <c r="E59" s="73"/>
      <c r="F59" s="75"/>
      <c r="G59" s="611"/>
      <c r="H59" s="140">
        <f>ROUND(Parametrikber!F$156,0)</f>
        <v>466</v>
      </c>
      <c r="I59" s="683" t="str">
        <f>IFERROR(VLOOKUP(H$58,Auswahlfelder!$D$65:$D$68,1),VLOOKUP(H$58,Auswahlfelder!$C$65:$D$68,2,FALSE))</f>
        <v>ohne</v>
      </c>
      <c r="J59" s="607"/>
      <c r="K59" s="140">
        <f>ROUND(Parametrikber!I$156,0)</f>
        <v>40</v>
      </c>
      <c r="L59" s="683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1188"/>
    </row>
    <row r="60" spans="2:15" ht="15" thickBot="1" x14ac:dyDescent="0.25">
      <c r="C60" s="78"/>
      <c r="D60" s="82" t="str">
        <f>IF(Deutsch,"Formkosten pro Bauteil","forming cost per part")</f>
        <v>Formkosten pro Bauteil</v>
      </c>
      <c r="E60" s="83"/>
      <c r="F60" s="84"/>
      <c r="G60" s="613">
        <f>H$50</f>
        <v>1</v>
      </c>
      <c r="H60" s="85">
        <f>H$57/3600*H$59/H$50</f>
        <v>39.419652022611373</v>
      </c>
      <c r="I60" s="619" t="s">
        <v>285</v>
      </c>
      <c r="J60" s="608">
        <f>K$50</f>
        <v>1</v>
      </c>
      <c r="K60" s="85">
        <f>K$57/3600*K$59/K$50</f>
        <v>5.5798096647360218</v>
      </c>
      <c r="L60" s="78" t="s">
        <v>285</v>
      </c>
      <c r="M60" s="584">
        <f>N$50</f>
        <v>1</v>
      </c>
      <c r="N60" s="85">
        <f>N$57/3600*N$59/N$50</f>
        <v>8.8123051650563582</v>
      </c>
      <c r="O60" s="1188" t="s">
        <v>285</v>
      </c>
    </row>
    <row r="61" spans="2:15" ht="15" thickBot="1" x14ac:dyDescent="0.25">
      <c r="B61" s="55" t="s">
        <v>127</v>
      </c>
      <c r="C61" s="78"/>
      <c r="D61" s="72" t="str">
        <f>'Quick Input'!I66</f>
        <v>Fertigungslosgröße</v>
      </c>
      <c r="E61" s="73"/>
      <c r="F61" s="75"/>
      <c r="G61" s="611"/>
      <c r="H61" s="121">
        <v>100</v>
      </c>
      <c r="I61" s="620"/>
      <c r="J61" s="909"/>
      <c r="K61" s="121">
        <v>100</v>
      </c>
      <c r="L61" s="355"/>
      <c r="M61" s="288"/>
      <c r="N61" s="121">
        <v>100</v>
      </c>
      <c r="O61" s="1188"/>
    </row>
    <row r="62" spans="2:15" ht="15" thickBot="1" x14ac:dyDescent="0.25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11"/>
      <c r="H62" s="114">
        <f>Parametrikber!F$109</f>
        <v>56</v>
      </c>
      <c r="J62" s="607"/>
      <c r="K62" s="114">
        <f>Parametrikber!I$109</f>
        <v>56.406745185862235</v>
      </c>
      <c r="M62" s="67"/>
      <c r="N62" s="114">
        <f>Parametrikber!L$109</f>
        <v>50.406745185862235</v>
      </c>
      <c r="O62" s="1188"/>
    </row>
    <row r="63" spans="2:15" ht="15" thickBot="1" x14ac:dyDescent="0.25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11"/>
      <c r="H63" s="114">
        <f>Parametrikber!F$136</f>
        <v>0</v>
      </c>
      <c r="I63" s="619" t="s">
        <v>285</v>
      </c>
      <c r="J63" s="607"/>
      <c r="K63" s="114">
        <f>Parametrikber!I$136</f>
        <v>0</v>
      </c>
      <c r="L63" s="78" t="s">
        <v>285</v>
      </c>
      <c r="M63" s="67"/>
      <c r="N63" s="114">
        <f>Parametrikber!L$136</f>
        <v>0</v>
      </c>
      <c r="O63" s="1188" t="s">
        <v>285</v>
      </c>
    </row>
    <row r="64" spans="2:15" ht="15" thickBot="1" x14ac:dyDescent="0.25">
      <c r="C64" s="78"/>
      <c r="D64" s="72" t="str">
        <f>IF(Deutsch,"Personalkosten Einrichter","cost fitter (€(h)")</f>
        <v>Personalkosten Einrichter</v>
      </c>
      <c r="E64" s="73"/>
      <c r="F64" s="75"/>
      <c r="G64" s="611"/>
      <c r="H64" s="74">
        <f>Parametrikber!F$22</f>
        <v>33.535694999999997</v>
      </c>
      <c r="I64" s="619" t="s">
        <v>285</v>
      </c>
      <c r="J64" s="607"/>
      <c r="K64" s="74">
        <f>Parametrikber!I$22</f>
        <v>10.008107999999998</v>
      </c>
      <c r="L64" s="78" t="s">
        <v>285</v>
      </c>
      <c r="M64" s="67"/>
      <c r="N64" s="74">
        <f>Parametrikber!L$22</f>
        <v>33.535694999999997</v>
      </c>
      <c r="O64" s="1188" t="s">
        <v>285</v>
      </c>
    </row>
    <row r="65" spans="2:15" ht="15" thickBot="1" x14ac:dyDescent="0.25">
      <c r="C65" s="78"/>
      <c r="D65" s="72" t="str">
        <f>IF(Deutsch,"Rüstkosten pro Vorgang","set up cost")</f>
        <v>Rüstkosten pro Vorgang</v>
      </c>
      <c r="E65" s="73"/>
      <c r="F65" s="75"/>
      <c r="G65" s="611"/>
      <c r="H65" s="74">
        <f>H$62/60*(H$57+H$63*H$64)</f>
        <v>284.22753389694037</v>
      </c>
      <c r="I65" s="619" t="s">
        <v>285</v>
      </c>
      <c r="J65" s="607"/>
      <c r="K65" s="74">
        <f>K$62/60*(K$57+K$63*K$64)</f>
        <v>472.10835291656423</v>
      </c>
      <c r="L65" s="78" t="s">
        <v>285</v>
      </c>
      <c r="M65" s="67"/>
      <c r="N65" s="74">
        <f>N$62/60*(N$57+N$63*N$64)</f>
        <v>666.29943143258026</v>
      </c>
      <c r="O65" s="1188" t="s">
        <v>285</v>
      </c>
    </row>
    <row r="66" spans="2:15" ht="15" thickBot="1" x14ac:dyDescent="0.25">
      <c r="C66" s="78"/>
      <c r="D66" s="82" t="str">
        <f>IF(Deutsch,"Rüstkosten pro Bauteil","set up cost per part")</f>
        <v>Rüstkosten pro Bauteil</v>
      </c>
      <c r="E66" s="83"/>
      <c r="F66" s="84"/>
      <c r="G66" s="611"/>
      <c r="H66" s="85">
        <f>H$65/ROUNDUP(H$61,0)</f>
        <v>2.8422753389694035</v>
      </c>
      <c r="I66" s="619" t="s">
        <v>285</v>
      </c>
      <c r="J66" s="607"/>
      <c r="K66" s="85">
        <f>K$65/ROUNDUP(K$61,0)</f>
        <v>4.7210835291656421</v>
      </c>
      <c r="L66" s="619" t="s">
        <v>285</v>
      </c>
      <c r="M66" s="607"/>
      <c r="N66" s="85">
        <f>N$65/ROUNDUP(N$61,0)</f>
        <v>6.662994314325803</v>
      </c>
      <c r="O66" s="1188" t="s">
        <v>285</v>
      </c>
    </row>
    <row r="67" spans="2:15" ht="14.25" customHeight="1" thickBot="1" x14ac:dyDescent="0.25">
      <c r="C67" s="78"/>
      <c r="D67" s="72" t="str">
        <f>IF(Deutsch,"Kernvolumen (ltr)","core volume (ltr)")</f>
        <v>Kernvolumen (ltr)</v>
      </c>
      <c r="E67" s="73"/>
      <c r="F67" s="75"/>
      <c r="G67" s="612"/>
      <c r="H67" s="904">
        <v>20</v>
      </c>
      <c r="I67" s="910"/>
      <c r="J67" s="944"/>
      <c r="K67" s="904">
        <v>0</v>
      </c>
      <c r="L67" s="945"/>
      <c r="M67" s="946"/>
      <c r="N67" s="904">
        <v>0</v>
      </c>
      <c r="O67" s="1188"/>
    </row>
    <row r="68" spans="2:15" ht="15" customHeight="1" thickBot="1" x14ac:dyDescent="0.25">
      <c r="D68" s="72" t="str">
        <f>IF(Deutsch,"Sandkerne (€/ltr)","cores €/ltr.")</f>
        <v>Sandkerne (€/ltr)</v>
      </c>
      <c r="E68" s="457"/>
      <c r="F68" s="75"/>
      <c r="G68" s="614">
        <f>Parametrikber!F$114</f>
        <v>1.7777777777777777</v>
      </c>
      <c r="H68" s="74">
        <f>Parametrikber!F$117</f>
        <v>0.18317759151905527</v>
      </c>
      <c r="I68" s="609">
        <f>Parametrikber!F$115</f>
        <v>21.185185185185187</v>
      </c>
      <c r="J68" s="609">
        <f>Parametrikber!I$114</f>
        <v>0.22172949002217293</v>
      </c>
      <c r="K68" s="74">
        <f>Parametrikber!I$117</f>
        <v>0</v>
      </c>
      <c r="L68" s="470">
        <f>Parametrikber!I115</f>
        <v>30.552254249815224</v>
      </c>
      <c r="M68" s="470">
        <f>Parametrikber!L114</f>
        <v>0</v>
      </c>
      <c r="N68" s="74">
        <f>Parametrikber!L$117</f>
        <v>0</v>
      </c>
      <c r="O68" s="1188"/>
    </row>
    <row r="69" spans="2:15" ht="15" customHeight="1" thickBot="1" x14ac:dyDescent="0.25">
      <c r="D69" s="82" t="str">
        <f>IF(Deutsch,"Kernkosten pro Bauteil","core cost per part")</f>
        <v>Kernkosten pro Bauteil</v>
      </c>
      <c r="E69" s="457"/>
      <c r="F69" s="75"/>
      <c r="G69" s="614"/>
      <c r="H69" s="85">
        <f>H$67*H$68</f>
        <v>3.6635518303811052</v>
      </c>
      <c r="I69" s="609"/>
      <c r="J69" s="609"/>
      <c r="K69" s="85">
        <f>K$67*K$68</f>
        <v>0</v>
      </c>
      <c r="L69" s="609"/>
      <c r="M69" s="609"/>
      <c r="N69" s="85">
        <f t="shared" ref="N69" si="3">N$67*N$68</f>
        <v>0</v>
      </c>
      <c r="O69" s="1188"/>
    </row>
    <row r="70" spans="2:15" ht="15" thickBot="1" x14ac:dyDescent="0.25">
      <c r="B70" s="55" t="s">
        <v>127</v>
      </c>
      <c r="C70" s="78"/>
      <c r="D70" s="236" t="str">
        <f>'Quick Input'!I68</f>
        <v>Fertigungsausschuss Formen</v>
      </c>
      <c r="E70" s="73"/>
      <c r="F70" s="75"/>
      <c r="G70" s="611"/>
      <c r="H70" s="119">
        <v>0</v>
      </c>
      <c r="I70" s="620"/>
      <c r="J70" s="620"/>
      <c r="K70" s="119">
        <v>0</v>
      </c>
      <c r="L70" s="355"/>
      <c r="M70" s="355"/>
      <c r="N70" s="119">
        <v>0</v>
      </c>
      <c r="O70" s="1188"/>
    </row>
    <row r="71" spans="2:15" ht="15" thickBot="1" x14ac:dyDescent="0.25">
      <c r="C71" s="78"/>
      <c r="D71" s="236" t="str">
        <f>CONCATENATE(D70,IF(Deutsch," (€/Stk.)"," (€/pc.)"))</f>
        <v>Fertigungsausschuss Formen (€/Stk.)</v>
      </c>
      <c r="E71" s="73"/>
      <c r="F71" s="75"/>
      <c r="G71" s="611"/>
      <c r="H71" s="74">
        <f t="shared" ref="H71" si="4">H$70*H$60</f>
        <v>0</v>
      </c>
      <c r="I71" s="619" t="s">
        <v>285</v>
      </c>
      <c r="J71" s="619"/>
      <c r="K71" s="74">
        <f t="shared" ref="K71" si="5">K$70*K$60</f>
        <v>0</v>
      </c>
      <c r="L71" s="619" t="s">
        <v>285</v>
      </c>
      <c r="M71" s="619"/>
      <c r="N71" s="74">
        <f t="shared" ref="N71" si="6">N$70*N$60</f>
        <v>0</v>
      </c>
      <c r="O71" s="1188" t="s">
        <v>285</v>
      </c>
    </row>
    <row r="72" spans="2:1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15"/>
      <c r="H72" s="853">
        <f>H$60+H$66+H$69+H$71</f>
        <v>45.925479191961877</v>
      </c>
      <c r="I72" s="625" t="s">
        <v>285</v>
      </c>
      <c r="J72" s="854"/>
      <c r="K72" s="853">
        <f>K$60+K$66+K$69+K$71</f>
        <v>10.300893193901665</v>
      </c>
      <c r="L72" s="625" t="s">
        <v>285</v>
      </c>
      <c r="M72" s="854"/>
      <c r="N72" s="853">
        <f t="shared" ref="N72" si="7">N$60+N$66+N$69+N$71</f>
        <v>15.475299479382162</v>
      </c>
      <c r="O72" s="1192" t="s">
        <v>285</v>
      </c>
    </row>
    <row r="73" spans="2:15" ht="33" customHeight="1" thickBot="1" x14ac:dyDescent="0.25">
      <c r="D73" s="1249" t="str">
        <f>IF(Deutsch,"Nachbehandlung","after care")</f>
        <v>Nachbehandlung</v>
      </c>
      <c r="E73" s="1250"/>
      <c r="F73" s="1251"/>
      <c r="G73" s="611"/>
      <c r="H73" s="908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 Gleitschleifen</v>
      </c>
      <c r="I73" s="619" t="s">
        <v>285</v>
      </c>
      <c r="J73" s="619"/>
      <c r="K73" s="908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 Gleitschleifen</v>
      </c>
      <c r="L73" s="619" t="s">
        <v>285</v>
      </c>
      <c r="M73" s="619"/>
      <c r="N73" s="908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 Gleitschleifen</v>
      </c>
      <c r="O73" s="1189" t="s">
        <v>285</v>
      </c>
    </row>
    <row r="74" spans="2:15" ht="15" thickBot="1" x14ac:dyDescent="0.25">
      <c r="C74" s="78"/>
      <c r="D74" s="72" t="str">
        <f>IF(Deutsch,"Auspacken/Entkernen (min/Stk.)","unpacking (min/pc.)")</f>
        <v>Auspacken/Entkernen (min/Stk.)</v>
      </c>
      <c r="E74" s="73"/>
      <c r="F74" s="75"/>
      <c r="G74" s="611"/>
      <c r="H74" s="904">
        <v>0</v>
      </c>
      <c r="I74" s="910"/>
      <c r="J74" s="910"/>
      <c r="K74" s="904">
        <v>0</v>
      </c>
      <c r="L74" s="911"/>
      <c r="M74" s="911"/>
      <c r="N74" s="904">
        <v>0</v>
      </c>
      <c r="O74" s="1188"/>
    </row>
    <row r="75" spans="2:15" ht="15" thickBot="1" x14ac:dyDescent="0.25">
      <c r="C75" s="78"/>
      <c r="D75" s="72" t="str">
        <f>IF(Deutsch,"Anschnitt trennen (min/Stk.)","sprue cutting (min/pc.)")</f>
        <v>Anschnitt trennen (min/Stk.)</v>
      </c>
      <c r="E75" s="73"/>
      <c r="F75" s="75"/>
      <c r="G75" s="611"/>
      <c r="H75" s="1201">
        <v>60</v>
      </c>
      <c r="I75" s="910"/>
      <c r="J75" s="910"/>
      <c r="K75" s="904">
        <v>5</v>
      </c>
      <c r="L75" s="911"/>
      <c r="M75" s="911"/>
      <c r="N75" s="904">
        <v>5</v>
      </c>
      <c r="O75" s="1188"/>
    </row>
    <row r="76" spans="2:15" ht="15" thickBot="1" x14ac:dyDescent="0.25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11"/>
      <c r="H76" s="74">
        <f>Parametrikber!F$20</f>
        <v>24.820870000000003</v>
      </c>
      <c r="I76" s="619" t="s">
        <v>285</v>
      </c>
      <c r="J76" s="619"/>
      <c r="K76" s="74">
        <f>Parametrikber!I$20</f>
        <v>5.4818280000000001</v>
      </c>
      <c r="L76" s="78" t="s">
        <v>285</v>
      </c>
      <c r="M76" s="78"/>
      <c r="N76" s="74">
        <f>Parametrikber!L$20</f>
        <v>24.820870000000003</v>
      </c>
      <c r="O76" s="1188" t="s">
        <v>285</v>
      </c>
    </row>
    <row r="77" spans="2:15" ht="15" thickBot="1" x14ac:dyDescent="0.25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11"/>
      <c r="H77" s="85">
        <f>(H74+H75)/60*H76</f>
        <v>24.820870000000003</v>
      </c>
      <c r="I77" s="619" t="s">
        <v>285</v>
      </c>
      <c r="J77" s="619"/>
      <c r="K77" s="85">
        <f>(K74+K75)/60*K76</f>
        <v>0.45681899999999998</v>
      </c>
      <c r="L77" s="619" t="s">
        <v>285</v>
      </c>
      <c r="M77" s="619"/>
      <c r="N77" s="85">
        <f t="shared" ref="N77" si="8">(N74+N75)/60*N76</f>
        <v>2.0684058333333333</v>
      </c>
      <c r="O77" s="1188" t="s">
        <v>285</v>
      </c>
    </row>
    <row r="78" spans="2:15" ht="15" thickBot="1" x14ac:dyDescent="0.25">
      <c r="C78" s="78"/>
      <c r="D78" s="1206" t="str">
        <f>IF(Deutsch,"Prozesszeit Strahlen (sec)","process time sand blasting (sec)")</f>
        <v>Prozesszeit Strahlen (sec)</v>
      </c>
      <c r="E78" s="1207"/>
      <c r="F78" s="1205"/>
      <c r="G78" s="611"/>
      <c r="H78" s="140">
        <f>Parametrikber!F$235</f>
        <v>34.941609682128771</v>
      </c>
      <c r="I78" s="619" t="s">
        <v>285</v>
      </c>
      <c r="J78" s="619"/>
      <c r="K78" s="140">
        <f>Parametrikber!I$235</f>
        <v>26.139248634013285</v>
      </c>
      <c r="L78" s="619" t="s">
        <v>285</v>
      </c>
      <c r="M78" s="619"/>
      <c r="N78" s="140">
        <f>Parametrikber!L$235</f>
        <v>26.139248634013285</v>
      </c>
      <c r="O78" s="1188" t="s">
        <v>285</v>
      </c>
    </row>
    <row r="79" spans="2:15" ht="15" thickBot="1" x14ac:dyDescent="0.25">
      <c r="C79" s="78"/>
      <c r="D79" s="1206" t="str">
        <f>IF(Deutsch,"Strahlkosten (€/Std.)","blasting costs (€/h)")</f>
        <v>Strahlkosten (€/Std.)</v>
      </c>
      <c r="E79" s="1207"/>
      <c r="F79" s="1205"/>
      <c r="G79" s="611"/>
      <c r="H79" s="74">
        <f>H80/H78*3600</f>
        <v>32.157354374999997</v>
      </c>
      <c r="I79" s="619"/>
      <c r="J79" s="619"/>
      <c r="K79" s="74">
        <f>K80/K78*3600</f>
        <v>12.232374875</v>
      </c>
      <c r="L79" s="619"/>
      <c r="M79" s="619"/>
      <c r="N79" s="74">
        <f>N80/N78*3600</f>
        <v>32.157354374999997</v>
      </c>
      <c r="O79" s="1188"/>
    </row>
    <row r="80" spans="2:15" ht="15" thickBot="1" x14ac:dyDescent="0.25">
      <c r="C80" s="78"/>
      <c r="D80" s="1206" t="str">
        <f>IF(Deutsch,"Strahlkosten (€/Stk.)","blasting costs (€/Stk.)")</f>
        <v>Strahlkosten (€/Stk.)</v>
      </c>
      <c r="E80" s="1207"/>
      <c r="F80" s="1205"/>
      <c r="G80" s="611"/>
      <c r="H80" s="85">
        <f>IF('Quick Input'!L25="ja",(H$78/3600*H$76)+'Maschinen-DB'!E72*(1+'Maschinen-DB'!F72)/'Länder-DB'!I27/Parametrikber!F146/3600*H78+'Maschinen-DB'!G72/3600*H78*VLOOKUP('Quick Input'!M$45,DB_Länder,7,FALSE) + 'Maschinen-DB'!H72*VLOOKUP('Quick Input'!M$45,DB_Länder,8,FALSE)*12/Parametrikber!F146/3600*H78,0)</f>
        <v>0.31211936805031831</v>
      </c>
      <c r="I80" s="619"/>
      <c r="J80" s="619"/>
      <c r="K80" s="85">
        <f>IF('Quick Input'!O25="ja",(K$78/3600*K$76)+'Maschinen-DB'!E72*(1+'Maschinen-DB'!F72)/'Länder-DB'!I27/Parametrikber!I146/3600*K78+'Maschinen-DB'!G72/3600*K78*VLOOKUP('Quick Input'!P$45,DB_Länder,7,FALSE) + 'Maschinen-DB'!H72*VLOOKUP('Quick Input'!P$45,DB_Länder,8,FALSE)*12/Parametrikber!I146/3600*K78,0)</f>
        <v>8.881808006724505E-2</v>
      </c>
      <c r="L80" s="619"/>
      <c r="M80" s="619"/>
      <c r="N80" s="85">
        <f>IF('Quick Input'!R25="ja",(N$78/3600*N$76)+'Maschinen-DB'!E72*(1+'Maschinen-DB'!F72)/'Länder-DB'!I27/Parametrikber!L146/3600*N78+'Maschinen-DB'!G72/3600*N78*VLOOKUP('Quick Input'!S$45,DB_Länder,7,FALSE) + 'Maschinen-DB'!H72*VLOOKUP('Quick Input'!S$45,DB_Länder,8,FALSE)*12/Parametrikber!L146/3600*N78,0)</f>
        <v>0.23349141150561109</v>
      </c>
      <c r="O80" s="1188"/>
    </row>
    <row r="81" spans="2:23" ht="15" thickBot="1" x14ac:dyDescent="0.25">
      <c r="C81" s="78"/>
      <c r="D81" s="1206" t="str">
        <f>IF(Deutsch,"Prozesszeit Gleitschleifen (sec)","process time Slide grinding (sec)")</f>
        <v>Prozesszeit Gleitschleifen (sec)</v>
      </c>
      <c r="E81" s="1207"/>
      <c r="F81" s="1205"/>
      <c r="G81" s="611"/>
      <c r="H81" s="140">
        <f>Parametrikber!F240/Parametrikber!F242*60</f>
        <v>1320</v>
      </c>
      <c r="I81" s="619"/>
      <c r="J81" s="619"/>
      <c r="K81" s="140">
        <f>Parametrikber!I240/Parametrikber!I242*60</f>
        <v>220</v>
      </c>
      <c r="L81" s="619"/>
      <c r="M81" s="619"/>
      <c r="N81" s="140">
        <f>Parametrikber!L240/Parametrikber!L242*60</f>
        <v>220</v>
      </c>
      <c r="O81" s="1188"/>
    </row>
    <row r="82" spans="2:23" ht="15" thickBot="1" x14ac:dyDescent="0.25">
      <c r="C82" s="78"/>
      <c r="D82" s="1206" t="str">
        <f>IF(Deutsch,"Kosten Gleitschleifen (€/Std.)","costs Slide grinding (€/h)")</f>
        <v>Kosten Gleitschleifen (€/Std.)</v>
      </c>
      <c r="E82" s="1207"/>
      <c r="F82" s="1205"/>
      <c r="G82" s="611"/>
      <c r="H82" s="74">
        <f>H83/H81*3600</f>
        <v>31.055713750000002</v>
      </c>
      <c r="I82" s="619"/>
      <c r="J82" s="619"/>
      <c r="K82" s="74">
        <f>K83/K81*3600</f>
        <v>11.49604675</v>
      </c>
      <c r="L82" s="619"/>
      <c r="M82" s="619"/>
      <c r="N82" s="74">
        <f>N83/N81*3600</f>
        <v>31.055713750000006</v>
      </c>
      <c r="O82" s="1188"/>
    </row>
    <row r="83" spans="2:23" ht="15" thickBot="1" x14ac:dyDescent="0.25">
      <c r="C83" s="78"/>
      <c r="D83" s="1206" t="str">
        <f>IF(Deutsch,"Kosten Gleitschleifen (€/Stk.)","costs Slide grinding (€/Stk.)")</f>
        <v>Kosten Gleitschleifen (€/Stk.)</v>
      </c>
      <c r="E83" s="1207"/>
      <c r="F83" s="1205"/>
      <c r="G83" s="611"/>
      <c r="H83" s="85">
        <f>IF('Quick Input'!L26="ja",(H$81/3600*H$76)+'Maschinen-DB'!E73*(1+'Maschinen-DB'!F73)/'Länder-DB'!I27/Parametrikber!F146/3600*H81+'Maschinen-DB'!G73/3600*H81*VLOOKUP('Quick Input'!M$45,DB_Länder,7,FALSE) + 'Maschinen-DB'!H73*VLOOKUP('Quick Input'!M$45,DB_Länder,8,FALSE)*12/Parametrikber!F146/3600*H81,0)</f>
        <v>11.387095041666667</v>
      </c>
      <c r="I83" s="683"/>
      <c r="J83" s="683"/>
      <c r="K83" s="85">
        <f>IF('Quick Input'!L26="ja",(K$81/3600*K$76)+'Maschinen-DB'!E73*(1+'Maschinen-DB'!F73)/'Länder-DB'!I27/Parametrikber!I146/3600*K81+'Maschinen-DB'!G73/3600*K81*VLOOKUP('Quick Input'!P$45,DB_Länder,7,FALSE) + 'Maschinen-DB'!H73*VLOOKUP('Quick Input'!P$45,DB_Länder,8,FALSE)*12/Parametrikber!F146/3600*K81,0)</f>
        <v>0.70253619027777769</v>
      </c>
      <c r="L83" s="683"/>
      <c r="M83" s="683"/>
      <c r="N83" s="85">
        <f>IF('Quick Input'!R26="ja",(N$81/3600*N$76)+'Maschinen-DB'!E73*(1+'Maschinen-DB'!F73)/'Länder-DB'!I27/Parametrikber!F146/3600*N81+'Maschinen-DB'!G73/3600*N81*VLOOKUP('Quick Input'!S$45,DB_Länder,7,FALSE) + 'Maschinen-DB'!H73*VLOOKUP('Quick Input'!S$45,DB_Länder,8,FALSE)*12/Parametrikber!F146/3600*N81,0)</f>
        <v>1.8978491736111114</v>
      </c>
      <c r="O83" s="1188"/>
    </row>
    <row r="84" spans="2:23" ht="15" thickBot="1" x14ac:dyDescent="0.25">
      <c r="C84" s="78"/>
      <c r="D84" s="72" t="str">
        <f>IF(Deutsch,"Prozesszeit Feinputzen (sec)","process time fine grinding (sec)")</f>
        <v>Prozesszeit Feinputzen (sec)</v>
      </c>
      <c r="E84" s="73"/>
      <c r="F84" s="75"/>
      <c r="G84" s="611"/>
      <c r="H84" s="140">
        <f>Parametrikber!F$243</f>
        <v>0</v>
      </c>
      <c r="I84" s="619" t="s">
        <v>285</v>
      </c>
      <c r="J84" s="619"/>
      <c r="K84" s="140">
        <f>Parametrikber!I$243</f>
        <v>0</v>
      </c>
      <c r="L84" s="619" t="s">
        <v>285</v>
      </c>
      <c r="M84" s="619"/>
      <c r="N84" s="140">
        <f>Parametrikber!L$243</f>
        <v>0</v>
      </c>
      <c r="O84" s="1188" t="s">
        <v>285</v>
      </c>
    </row>
    <row r="85" spans="2:23" ht="15" thickBot="1" x14ac:dyDescent="0.25">
      <c r="C85" s="78"/>
      <c r="D85" s="1206" t="str">
        <f>IF(Deutsch,"Kosten Feinputzen (€/Std.)"," costs fine grinding (€/h)")</f>
        <v>Kosten Feinputzen (€/Std.)</v>
      </c>
      <c r="E85" s="1207"/>
      <c r="F85" s="1205"/>
      <c r="G85" s="611"/>
      <c r="H85" s="1200">
        <f>IF(H84&gt;0,H86/H84*3600,0)</f>
        <v>0</v>
      </c>
      <c r="I85" s="619"/>
      <c r="J85" s="619"/>
      <c r="K85" s="1200">
        <f>IF(K84&gt;0,K86/K84*3600,0)</f>
        <v>0</v>
      </c>
      <c r="L85" s="619"/>
      <c r="M85" s="619"/>
      <c r="N85" s="1200">
        <f>IF(N84&gt;0,N86/N84*3600,0)</f>
        <v>0</v>
      </c>
      <c r="O85" s="1188"/>
    </row>
    <row r="86" spans="2:23" ht="15" thickBot="1" x14ac:dyDescent="0.25">
      <c r="C86" s="78"/>
      <c r="D86" s="1206" t="str">
        <f>IF(Deutsch,"Kosten Feinputzen (€/Stk.)"," costs fine grinding (€/pc.)")</f>
        <v>Kosten Feinputzen (€/Stk.)</v>
      </c>
      <c r="E86" s="1207"/>
      <c r="F86" s="1205"/>
      <c r="G86" s="611"/>
      <c r="H86" s="1200">
        <f>'Maschinen-DB'!E75*(1+'Maschinen-DB'!F75)/'Länder-DB'!I27/Parametrikber!F146/3600*H84+'Maschinen-DB'!G75/3600*H84*VLOOKUP('Quick Input'!M$45,DB_Länder,7,FALSE)
+'Maschinen-DB'!H75*VLOOKUP('Quick Input'!M$45,DB_Länder,8,FALSE)*12/Parametrikber!F146/3600*H84</f>
        <v>0</v>
      </c>
      <c r="I86" s="619"/>
      <c r="J86" s="619"/>
      <c r="K86" s="1200">
        <f>'Maschinen-DB'!E75*(1+'Maschinen-DB'!F75)/'Länder-DB'!I27/Parametrikber!I146/3600*K84+'Maschinen-DB'!G75/3600*K84*VLOOKUP('Quick Input'!P$45,DB_Länder,7,FALSE)
+'Maschinen-DB'!H75*VLOOKUP('Quick Input'!P$45,DB_Länder,8,FALSE)*12/Parametrikber!I146/3600*K84</f>
        <v>0</v>
      </c>
      <c r="L86" s="619"/>
      <c r="M86" s="619"/>
      <c r="N86" s="1200">
        <f>'Maschinen-DB'!E75*(1+'Maschinen-DB'!F75)/'Länder-DB'!I27/Parametrikber!L146/3600*N84+'Maschinen-DB'!G75/3600*N84*VLOOKUP('Quick Input'!S$45,DB_Länder,7,FALSE)
+'Maschinen-DB'!H75*VLOOKUP('Quick Input'!S$45,DB_Länder,8,FALSE)*12/Parametrikber!L146/3600*N84</f>
        <v>0</v>
      </c>
      <c r="O86" s="1188"/>
    </row>
    <row r="87" spans="2:23" ht="15" thickBot="1" x14ac:dyDescent="0.25">
      <c r="C87" s="78"/>
      <c r="D87" s="82" t="str">
        <f>IF(Deutsch,"Oberflächenkosten (€/Stk.)","surfaces cost (€/pc.)")</f>
        <v>Oberflächenkosten (€/Stk.)</v>
      </c>
      <c r="E87" s="73"/>
      <c r="F87" s="75"/>
      <c r="G87" s="611"/>
      <c r="H87" s="85">
        <f>H$80+H$83+H86+(H$84/3600*H$76)</f>
        <v>11.699214409716985</v>
      </c>
      <c r="I87" s="619" t="s">
        <v>285</v>
      </c>
      <c r="J87" s="619"/>
      <c r="K87" s="85">
        <f>K$80+K$83+(K$84/3600*K$76)</f>
        <v>0.7913542703450227</v>
      </c>
      <c r="L87" s="619" t="s">
        <v>285</v>
      </c>
      <c r="M87" s="619"/>
      <c r="N87" s="85">
        <f>N$80+N$83+(N$84/3600*N$76)</f>
        <v>2.1313405851167224</v>
      </c>
      <c r="O87" s="1188" t="s">
        <v>285</v>
      </c>
      <c r="T87" s="1211"/>
    </row>
    <row r="88" spans="2:23" ht="15" thickBot="1" x14ac:dyDescent="0.25">
      <c r="C88" s="78"/>
      <c r="D88" s="72" t="str">
        <f>IF(Deutsch,"Sandaufbereitung (€/t)","sand regeneration (€/to)")</f>
        <v>Sandaufbereitung (€/t)</v>
      </c>
      <c r="E88" s="73"/>
      <c r="F88" s="75"/>
      <c r="G88" s="611"/>
      <c r="H88" s="74">
        <f>Parametrikber!F$122</f>
        <v>1.4142135623730949</v>
      </c>
      <c r="I88" s="619" t="s">
        <v>285</v>
      </c>
      <c r="J88" s="619"/>
      <c r="K88" s="74">
        <f>Parametrikber!I$122</f>
        <v>1.2477080261564104</v>
      </c>
      <c r="L88" s="78" t="s">
        <v>285</v>
      </c>
      <c r="M88" s="78"/>
      <c r="N88" s="74">
        <f>Parametrikber!L$122</f>
        <v>1.4142135623730949</v>
      </c>
      <c r="O88" s="1188" t="s">
        <v>285</v>
      </c>
      <c r="W88" s="689"/>
    </row>
    <row r="89" spans="2:23" ht="15" thickBot="1" x14ac:dyDescent="0.25">
      <c r="C89" s="78"/>
      <c r="D89" s="82" t="str">
        <f>IF(Deutsch,"Sandaufbereitung (€/Stk.)","sand regeneration (€/pc.)")</f>
        <v>Sandaufbereitung (€/Stk.)</v>
      </c>
      <c r="E89" s="73"/>
      <c r="F89" s="75"/>
      <c r="G89" s="611"/>
      <c r="H89" s="85">
        <f>H$88*Parametrikber!F$75/1000</f>
        <v>0.85595765722019768</v>
      </c>
      <c r="I89" s="619" t="s">
        <v>285</v>
      </c>
      <c r="J89" s="619"/>
      <c r="K89" s="85">
        <f>K$88*Parametrikber!I$75/1000</f>
        <v>0.21705497982013336</v>
      </c>
      <c r="L89" s="78" t="s">
        <v>285</v>
      </c>
      <c r="M89" s="78"/>
      <c r="N89" s="85">
        <f>N$88*Parametrikber!L$75/1000</f>
        <v>0.2460207755398143</v>
      </c>
      <c r="O89" s="1188" t="s">
        <v>285</v>
      </c>
    </row>
    <row r="90" spans="2:23" ht="15" thickBot="1" x14ac:dyDescent="0.25">
      <c r="C90" s="78"/>
      <c r="D90" s="1206" t="str">
        <f>CONCATENATE(IF(Deutsch,'Quick Input'!C71,'Quick Input'!D71)," (€/kg)")</f>
        <v>Wärmebehandlung (€/kg)</v>
      </c>
      <c r="E90" s="1208"/>
      <c r="F90" s="1209"/>
      <c r="G90" s="611"/>
      <c r="H90" s="74">
        <f>VLOOKUP('Quick Input'!L32,Auswahlfelder!B41:F46,5,FALSE)</f>
        <v>0.7</v>
      </c>
      <c r="I90" s="620"/>
      <c r="J90" s="620"/>
      <c r="K90" s="74">
        <f>VLOOKUP('Quick Input'!O32,Auswahlfelder!B41:F46,5,FALSE)</f>
        <v>0.4</v>
      </c>
      <c r="L90" s="355"/>
      <c r="M90" s="355"/>
      <c r="N90" s="74">
        <f>VLOOKUP('Quick Input'!R32,Auswahlfelder!B41:F46,5,FALSE)</f>
        <v>0.5</v>
      </c>
      <c r="O90" s="1188"/>
    </row>
    <row r="91" spans="2:23" ht="15" thickBot="1" x14ac:dyDescent="0.25">
      <c r="C91" s="78"/>
      <c r="D91" s="82" t="str">
        <f>IF(Deutsch,"Wärmebehandlung (€/Stk.)","heat treatment (€/pc.")</f>
        <v>Wärmebehandlung (€/Stk.)</v>
      </c>
      <c r="E91" s="73"/>
      <c r="F91" s="75"/>
      <c r="G91" s="611"/>
      <c r="H91" s="85">
        <f>H$90*H$14</f>
        <v>28</v>
      </c>
      <c r="I91" s="619"/>
      <c r="J91" s="619"/>
      <c r="K91" s="85">
        <f>K$90*K$14</f>
        <v>2</v>
      </c>
      <c r="L91" s="78"/>
      <c r="M91" s="78"/>
      <c r="N91" s="85">
        <f>N$90*N$14</f>
        <v>2.5</v>
      </c>
      <c r="O91" s="1188"/>
    </row>
    <row r="92" spans="2:23" ht="15" thickBot="1" x14ac:dyDescent="0.25">
      <c r="B92" s="55" t="s">
        <v>127</v>
      </c>
      <c r="C92" s="78"/>
      <c r="D92" s="236" t="str">
        <f>'Quick Input'!I72</f>
        <v>Fertigungsausschuss 2</v>
      </c>
      <c r="E92" s="73"/>
      <c r="F92" s="75"/>
      <c r="G92" s="611"/>
      <c r="H92" s="119">
        <v>0.02</v>
      </c>
      <c r="I92" s="620"/>
      <c r="J92" s="620"/>
      <c r="K92" s="119">
        <v>0.02</v>
      </c>
      <c r="L92" s="355"/>
      <c r="M92" s="355"/>
      <c r="N92" s="119">
        <v>0.02</v>
      </c>
      <c r="O92" s="1188"/>
    </row>
    <row r="93" spans="2:23" ht="15" thickBot="1" x14ac:dyDescent="0.25">
      <c r="C93" s="78"/>
      <c r="D93" s="116" t="str">
        <f>IF(Deutsch,"Prozesskosten pro Stück","process cost per part")</f>
        <v>Prozesskosten pro Stück</v>
      </c>
      <c r="E93" s="73"/>
      <c r="F93" s="75"/>
      <c r="G93" s="855"/>
      <c r="H93" s="853">
        <f>(1+H92)*(H77+H87+H$89+H$91)</f>
        <v>66.683562908275917</v>
      </c>
      <c r="I93" s="625" t="s">
        <v>285</v>
      </c>
      <c r="J93" s="625"/>
      <c r="K93" s="853">
        <f>(1+K92)*(K77+K87+K$89+K$91)</f>
        <v>3.534532815168459</v>
      </c>
      <c r="L93" s="625" t="s">
        <v>285</v>
      </c>
      <c r="M93" s="625"/>
      <c r="N93" s="853">
        <f>(1+N92)*(N77+N87+N$89+N$91)</f>
        <v>7.0846825378696678</v>
      </c>
      <c r="O93" s="1192" t="s">
        <v>285</v>
      </c>
    </row>
    <row r="94" spans="2:23" ht="28.5" customHeight="1" thickBot="1" x14ac:dyDescent="0.25">
      <c r="C94" s="78"/>
      <c r="D94" s="1249" t="str">
        <f>IF(Deutsch,"Prüfen","testing")</f>
        <v>Prüfen</v>
      </c>
      <c r="E94" s="1250"/>
      <c r="F94" s="1251"/>
      <c r="G94" s="611"/>
      <c r="H94" s="912" t="str">
        <f>Parametrikber!F$253</f>
        <v>US PT Röntgen prüfen</v>
      </c>
      <c r="I94" s="913" t="s">
        <v>285</v>
      </c>
      <c r="J94" s="913"/>
      <c r="K94" s="912" t="str">
        <f>Parametrikber!I$253</f>
        <v>US PT Röntgen prüfen</v>
      </c>
      <c r="L94" s="913" t="s">
        <v>285</v>
      </c>
      <c r="M94" s="913"/>
      <c r="N94" s="912" t="str">
        <f>Parametrikber!L$253</f>
        <v>US PT Röntgen prüfen</v>
      </c>
      <c r="O94" s="1189" t="s">
        <v>285</v>
      </c>
      <c r="T94" s="1210"/>
    </row>
    <row r="95" spans="2:23" ht="15" thickBot="1" x14ac:dyDescent="0.25">
      <c r="B95" s="55" t="s">
        <v>127</v>
      </c>
      <c r="C95" s="78"/>
      <c r="D95" s="72" t="str">
        <f>'Quick Input'!I73</f>
        <v>VT Prüfzeit/Teil (sec)</v>
      </c>
      <c r="E95" s="73"/>
      <c r="F95" s="75"/>
      <c r="G95" s="611"/>
      <c r="H95" s="121">
        <v>400</v>
      </c>
      <c r="I95" s="620"/>
      <c r="J95" s="620"/>
      <c r="K95" s="121">
        <v>300</v>
      </c>
      <c r="L95" s="355"/>
      <c r="M95" s="355"/>
      <c r="N95" s="121">
        <v>300</v>
      </c>
      <c r="O95" s="1188"/>
    </row>
    <row r="96" spans="2:23" ht="15" thickBot="1" x14ac:dyDescent="0.25">
      <c r="C96" s="78"/>
      <c r="D96" s="1206" t="str">
        <f>IF(Deutsch,"VT Prüfung (€/Std.)","vt testing (€/h)")</f>
        <v>VT Prüfung (€/Std.)</v>
      </c>
      <c r="E96" s="1205"/>
      <c r="F96" s="1205"/>
      <c r="G96" s="611"/>
      <c r="H96" s="1199">
        <f>H97/H95*3600</f>
        <v>1.21171875</v>
      </c>
      <c r="I96" s="619"/>
      <c r="J96" s="619"/>
      <c r="K96" s="1199">
        <f>K97/K95*3600</f>
        <v>1.0840625000000002</v>
      </c>
      <c r="L96" s="619"/>
      <c r="M96" s="619"/>
      <c r="N96" s="1199">
        <f>N97/N95*3600</f>
        <v>1.2117187500000002</v>
      </c>
      <c r="O96" s="1188"/>
    </row>
    <row r="97" spans="3:20" ht="15" thickBot="1" x14ac:dyDescent="0.25">
      <c r="C97" s="78"/>
      <c r="D97" s="1206" t="str">
        <f>IF(Deutsch,"VT Prüfung (€/Stk.)","vt testing (€/pc.)")</f>
        <v>VT Prüfung (€/Stk.)</v>
      </c>
      <c r="E97" s="1207"/>
      <c r="F97" s="1205"/>
      <c r="G97" s="611"/>
      <c r="H97" s="1199">
        <f>'Maschinen-DB'!E74*(1+'Maschinen-DB'!F74)/'Länder-DB'!I27/Parametrikber!F146/3600*H95+'Maschinen-DB'!G74/3600*H95*VLOOKUP('Quick Input'!M$45,DB_Länder,7,FALSE) + 'Maschinen-DB'!H74*VLOOKUP('Quick Input'!M$45,DB_Länder,8,FALSE)*12/Parametrikber!F146/3600*H95</f>
        <v>0.13463541666666667</v>
      </c>
      <c r="I97" s="620"/>
      <c r="J97" s="620"/>
      <c r="K97" s="1199">
        <f>'Maschinen-DB'!E74*(1+'Maschinen-DB'!F74)/'Länder-DB'!I27/Parametrikber!I146/3600*K95+'Maschinen-DB'!G74/3600*K95*VLOOKUP('Quick Input'!P$45,DB_Länder,7,FALSE) + 'Maschinen-DB'!H74*VLOOKUP('Quick Input'!P$45,DB_Länder,8,FALSE)*12/Parametrikber!I146/3600*K95</f>
        <v>9.0338541666666675E-2</v>
      </c>
      <c r="L97" s="355"/>
      <c r="M97" s="355"/>
      <c r="N97" s="1198">
        <f>'Maschinen-DB'!E74*(1+'Maschinen-DB'!F74)/'Länder-DB'!I27/Parametrikber!L146/3600*N95+'Maschinen-DB'!G74/3600*N95*VLOOKUP('Quick Input'!S$45,DB_Länder,7,FALSE)
+ 'Maschinen-DB'!H74*VLOOKUP('Quick Input'!S$45,DB_Länder,8,FALSE)*12/Parametrikber!L146/3600*N95</f>
        <v>0.10097656250000002</v>
      </c>
      <c r="O97" s="1188"/>
      <c r="T97" s="1211"/>
    </row>
    <row r="98" spans="3:20" ht="15" thickBot="1" x14ac:dyDescent="0.25">
      <c r="C98" s="78"/>
      <c r="D98" s="72" t="str">
        <f>IF(Deutsch,"Personalkosten Prüfer","personal cost testing")</f>
        <v>Personalkosten Prüfer</v>
      </c>
      <c r="E98" s="73"/>
      <c r="F98" s="75"/>
      <c r="G98" s="611"/>
      <c r="H98" s="74">
        <f>Parametrikber!F$22</f>
        <v>33.535694999999997</v>
      </c>
      <c r="I98" s="619" t="s">
        <v>285</v>
      </c>
      <c r="J98" s="619"/>
      <c r="K98" s="74">
        <f>Parametrikber!I$22</f>
        <v>10.008107999999998</v>
      </c>
      <c r="L98" s="78" t="s">
        <v>285</v>
      </c>
      <c r="M98" s="78"/>
      <c r="N98" s="74">
        <f>Parametrikber!L$22</f>
        <v>33.535694999999997</v>
      </c>
      <c r="O98" s="1188" t="s">
        <v>285</v>
      </c>
    </row>
    <row r="99" spans="3:20" ht="15" thickBot="1" x14ac:dyDescent="0.25">
      <c r="C99" s="78"/>
      <c r="D99" s="1206" t="str">
        <f>IF(Deutsch,"Ultraschall Prüfzeit (sec)","ultrasonic testing time (sec)")</f>
        <v>Ultraschall Prüfzeit (sec)</v>
      </c>
      <c r="E99" s="1205"/>
      <c r="F99" s="1205"/>
      <c r="G99" s="611"/>
      <c r="H99" s="121">
        <v>500</v>
      </c>
      <c r="I99" s="619"/>
      <c r="J99" s="619"/>
      <c r="K99" s="121">
        <v>400</v>
      </c>
      <c r="L99" s="78"/>
      <c r="M99" s="78"/>
      <c r="N99" s="121">
        <v>400</v>
      </c>
      <c r="O99" s="1188"/>
    </row>
    <row r="100" spans="3:20" ht="15" thickBot="1" x14ac:dyDescent="0.25">
      <c r="C100" s="78"/>
      <c r="D100" s="1206" t="str">
        <f>IF(Deutsch,"Ultraschall Prüfung (€/Std.)","ultrasonic testing (€/h)")</f>
        <v>Ultraschall Prüfung (€/Std.)</v>
      </c>
      <c r="E100" s="1205"/>
      <c r="F100" s="1205"/>
      <c r="G100" s="611"/>
      <c r="H100" s="1199">
        <f>H101/H99*3600</f>
        <v>3.0054687499999999</v>
      </c>
      <c r="I100" s="619"/>
      <c r="J100" s="619"/>
      <c r="K100" s="1199">
        <f>K101/K99*3600</f>
        <v>2.7778125</v>
      </c>
      <c r="L100" s="619"/>
      <c r="M100" s="619"/>
      <c r="N100" s="1199">
        <f>N101/N99*3600</f>
        <v>3.0054687499999999</v>
      </c>
      <c r="O100" s="1188"/>
    </row>
    <row r="101" spans="3:20" ht="15" thickBot="1" x14ac:dyDescent="0.25">
      <c r="C101" s="78"/>
      <c r="D101" s="1206" t="str">
        <f>IF(Deutsch,"Ultraschall Prüfung (€/Stk.)","ultrasonic testing (€/pc.)")</f>
        <v>Ultraschall Prüfung (€/Stk.)</v>
      </c>
      <c r="E101" s="1205"/>
      <c r="F101" s="1205"/>
      <c r="G101" s="611"/>
      <c r="H101" s="1199">
        <f>IF('Quick Input'!L28="ja",'Maschinen-DB'!E66*(1+'Maschinen-DB'!F66)/'Länder-DB'!I27/Parametrikber!F146/3600*H99+'Maschinen-DB'!G66/3600*H99*VLOOKUP('Quick Input'!M$45,DB_Länder,7,FALSE) + 'Maschinen-DB'!H66*VLOOKUP('Quick Input'!M$45,DB_Länder,8,FALSE)*12/Parametrikber!F146/3600*H99,0)</f>
        <v>0.41742621527777779</v>
      </c>
      <c r="I101" s="620"/>
      <c r="J101" s="620"/>
      <c r="K101" s="1199">
        <f>IF('Quick Input'!O28="ja",'Maschinen-DB'!E66*(1+'Maschinen-DB'!F66)/'Länder-DB'!I27/Parametrikber!I146/3600*K99+'Maschinen-DB'!G66/3600*K99*VLOOKUP('Quick Input'!P$45,DB_Länder,7,FALSE) + 'Maschinen-DB'!H66*VLOOKUP('Quick Input'!P$45,DB_Länder,8,FALSE)*12/Parametrikber!I146/3600*K99,0)</f>
        <v>0.30864583333333334</v>
      </c>
      <c r="L101" s="355"/>
      <c r="M101" s="355"/>
      <c r="N101" s="1199">
        <f>IF('Quick Input'!R28="ja",'Maschinen-DB'!E66*(1+'Maschinen-DB'!F66)/'Länder-DB'!I27/Parametrikber!L146/3600*N99+'Maschinen-DB'!G66/3600*N99*VLOOKUP('Quick Input'!S$45,DB_Länder,7,FALSE) + 'Maschinen-DB'!H66*VLOOKUP('Quick Input'!S$45,DB_Länder,8,FALSE)*12/Parametrikber!L146/3600*N99,0)</f>
        <v>0.33394097222222224</v>
      </c>
      <c r="O101" s="1188"/>
    </row>
    <row r="102" spans="3:20" ht="15" thickBot="1" x14ac:dyDescent="0.25">
      <c r="C102" s="78"/>
      <c r="D102" s="1206" t="str">
        <f>IF(Deutsch,"Farbeindring (Anlage)","PT (system)")</f>
        <v>Farbeindring (Anlage)</v>
      </c>
      <c r="E102" s="1205"/>
      <c r="F102" s="1205"/>
      <c r="G102" s="611"/>
      <c r="H102" s="342" t="s">
        <v>993</v>
      </c>
      <c r="I102" s="620"/>
      <c r="J102" s="620"/>
      <c r="K102" s="342" t="s">
        <v>993</v>
      </c>
      <c r="L102" s="355"/>
      <c r="M102" s="355"/>
      <c r="N102" s="342" t="s">
        <v>993</v>
      </c>
      <c r="O102" s="1188"/>
    </row>
    <row r="103" spans="3:20" ht="15" thickBot="1" x14ac:dyDescent="0.25">
      <c r="C103" s="78"/>
      <c r="D103" s="1206" t="str">
        <f>IF(Deutsch,"Farbeindring Prüfzeit (sec)","PT testing time (sec)")</f>
        <v>Farbeindring Prüfzeit (sec)</v>
      </c>
      <c r="E103" s="1205"/>
      <c r="F103" s="1205"/>
      <c r="G103" s="611"/>
      <c r="H103" s="121">
        <v>600</v>
      </c>
      <c r="I103" s="620"/>
      <c r="J103" s="620"/>
      <c r="K103" s="121">
        <v>600</v>
      </c>
      <c r="L103" s="355"/>
      <c r="M103" s="355"/>
      <c r="N103" s="121">
        <v>400</v>
      </c>
      <c r="O103" s="1188"/>
    </row>
    <row r="104" spans="3:20" ht="15" thickBot="1" x14ac:dyDescent="0.25">
      <c r="C104" s="78"/>
      <c r="D104" s="1206" t="str">
        <f>IF(Deutsch,"Farbeindring Prüfung (€/Std.)","PT testing (€/h)")</f>
        <v>Farbeindring Prüfung (€/Std.)</v>
      </c>
      <c r="E104" s="1205"/>
      <c r="F104" s="1205"/>
      <c r="G104" s="611"/>
      <c r="H104" s="1199">
        <f>H105/H103*3600</f>
        <v>2.2249479166666664</v>
      </c>
      <c r="I104" s="620"/>
      <c r="J104" s="620"/>
      <c r="K104" s="1199">
        <f>K105/K103*3600</f>
        <v>2.0766666666666667</v>
      </c>
      <c r="L104" s="355"/>
      <c r="M104" s="355"/>
      <c r="N104" s="1199">
        <f>N105/N103*3600</f>
        <v>2.2249479166666664</v>
      </c>
      <c r="O104" s="1188"/>
    </row>
    <row r="105" spans="3:20" ht="15" thickBot="1" x14ac:dyDescent="0.25">
      <c r="C105" s="78"/>
      <c r="D105" s="1206" t="str">
        <f>IF(Deutsch,"Farbeindring Prüfung (€/Stk.)","PT testing (€/pc.)")</f>
        <v>Farbeindring Prüfung (€/Stk.)</v>
      </c>
      <c r="E105" s="1205"/>
      <c r="F105" s="1205"/>
      <c r="G105" s="611"/>
      <c r="H105" s="1199">
        <f>IF('Quick Input'!L29="ja",VLOOKUP(Refkalkulation!H102,'Maschinen-DB'!B67:H69,4,FALSE)*(1+VLOOKUP(Refkalkulation!H102,'Maschinen-DB'!B67:H69,5,FALSE))/'Länder-DB'!I27/Parametrikber!F146/3600*H103+VLOOKUP(Refkalkulation!H102,'Maschinen-DB'!B67:H69,6,FALSE)/3600*H103*VLOOKUP('Quick Input'!M$45,DB_Länder,7,FALSE) + VLOOKUP(Refkalkulation!H102,'Maschinen-DB'!B67:H69,7,FALSE)*VLOOKUP('Quick Input'!M$45,DB_Länder,8,FALSE)*12/Parametrikber!F146/3600*H103,0)</f>
        <v>0.37082465277777776</v>
      </c>
      <c r="I105" s="620"/>
      <c r="J105" s="620"/>
      <c r="K105" s="1199">
        <f>IF('Quick Input'!O29="ja",VLOOKUP(Refkalkulation!K102,'Maschinen-DB'!B67:K69,4,FALSE)*(1+VLOOKUP(Refkalkulation!K102,'Maschinen-DB'!B67:K69,5,FALSE))/'Länder-DB'!I27/Parametrikber!I146/3600*K103+VLOOKUP(Refkalkulation!K102,'Maschinen-DB'!B67:K69,6,FALSE)/3600*K103*VLOOKUP('Quick Input'!P$45,DB_Länder,7,FALSE) + VLOOKUP(Refkalkulation!K102,'Maschinen-DB'!B67:K69,7,FALSE)*VLOOKUP('Quick Input'!P$45,DB_Länder,8,FALSE)*12/Parametrikber!I146/3600*K103,0)</f>
        <v>0.34611111111111109</v>
      </c>
      <c r="L105" s="355"/>
      <c r="M105" s="355"/>
      <c r="N105" s="1199">
        <f>IF('Quick Input'!R29="ja",VLOOKUP(Refkalkulation!N102,'Maschinen-DB'!B67:N69,4,FALSE)*(1+VLOOKUP(Refkalkulation!N102,'Maschinen-DB'!B67:N69,5,FALSE))/'Länder-DB'!I27/Parametrikber!L146/3600*N103+VLOOKUP(Refkalkulation!N102,'Maschinen-DB'!B67:N69,6,FALSE)/3600*N103*VLOOKUP('Quick Input'!S$45,DB_Länder,7,FALSE) + VLOOKUP(Refkalkulation!N102,'Maschinen-DB'!B67:N69,7,FALSE)*VLOOKUP('Quick Input'!S$45,DB_Länder,8,FALSE)*12/Parametrikber!L146/3600*N103,0)</f>
        <v>0.24721643518518516</v>
      </c>
      <c r="O105" s="1188"/>
    </row>
    <row r="106" spans="3:20" ht="15" thickBot="1" x14ac:dyDescent="0.25">
      <c r="C106" s="78"/>
      <c r="D106" s="1206" t="str">
        <f>IF(Deutsch,"Röntgen Prüfzeit (sec)","X-ray testing time (sec)")</f>
        <v>Röntgen Prüfzeit (sec)</v>
      </c>
      <c r="E106" s="1205"/>
      <c r="F106" s="1205"/>
      <c r="G106" s="611"/>
      <c r="H106" s="121">
        <v>1000</v>
      </c>
      <c r="I106" s="620"/>
      <c r="J106" s="620"/>
      <c r="K106" s="121">
        <v>1000</v>
      </c>
      <c r="L106" s="355"/>
      <c r="M106" s="355"/>
      <c r="N106" s="121">
        <v>600</v>
      </c>
      <c r="O106" s="1188"/>
    </row>
    <row r="107" spans="3:20" ht="15" thickBot="1" x14ac:dyDescent="0.25">
      <c r="C107" s="78"/>
      <c r="D107" s="1206" t="str">
        <f>IF(Deutsch,"Röntgen Prüfung (€/Std.)","X-ray testing (€/h)")</f>
        <v>Röntgen Prüfung (€/Std.)</v>
      </c>
      <c r="E107" s="1205"/>
      <c r="F107" s="1205"/>
      <c r="G107" s="611"/>
      <c r="H107" s="1199">
        <f>H108/H106*3600</f>
        <v>6.6088541666666671</v>
      </c>
      <c r="I107" s="620"/>
      <c r="J107" s="620"/>
      <c r="K107" s="1199">
        <f>K108/K106*3600</f>
        <v>6.3429166666666683</v>
      </c>
      <c r="L107" s="355"/>
      <c r="M107" s="355"/>
      <c r="N107" s="1199">
        <f>N108/N106*3600</f>
        <v>6.6088541666666689</v>
      </c>
      <c r="O107" s="1188"/>
    </row>
    <row r="108" spans="3:20" ht="15" thickBot="1" x14ac:dyDescent="0.25">
      <c r="C108" s="78"/>
      <c r="D108" s="1206" t="str">
        <f>IF(Deutsch,"Röntgen Prüfung (€/Stk.)","X-ray testing (€/pc.)")</f>
        <v>Röntgen Prüfung (€/Stk.)</v>
      </c>
      <c r="E108" s="1205"/>
      <c r="F108" s="1205"/>
      <c r="G108" s="611"/>
      <c r="H108" s="1199">
        <f>IF('Quick Input'!L30="ja",'Maschinen-DB'!E63*(1+'Maschinen-DB'!F63)/'Länder-DB'!I27/Parametrikber!F146/3600*H106+'Maschinen-DB'!G63/3600*H106*VLOOKUP('Quick Input'!M$45,DB_Länder,7,FALSE) + 'Maschinen-DB'!H63*VLOOKUP('Quick Input'!M$45,DB_Länder,8,FALSE)*12/Parametrikber!F146/3600*H106,0)</f>
        <v>1.8357928240740744</v>
      </c>
      <c r="I108" s="620"/>
      <c r="J108" s="620"/>
      <c r="K108" s="1199">
        <f>IF('Quick Input'!O30="ja",'Maschinen-DB'!E63*(1+'Maschinen-DB'!F63)/'Länder-DB'!I27/Parametrikber!F146/3600*K106+'Maschinen-DB'!G63/3600*K106*VLOOKUP('Quick Input'!P$45,DB_Länder,7,FALSE) + 'Maschinen-DB'!H63*VLOOKUP('Quick Input'!P$45,DB_Länder,8,FALSE)*12/Parametrikber!F146/3600*K106,0)</f>
        <v>1.7619212962962969</v>
      </c>
      <c r="L108" s="355"/>
      <c r="M108" s="355"/>
      <c r="N108" s="1199">
        <f>IF('Quick Input'!R30="ja",'Maschinen-DB'!E63*(1+'Maschinen-DB'!F63)/'Länder-DB'!I27/Parametrikber!F146/3600*N106+'Maschinen-DB'!G63/3600*N106*VLOOKUP('Quick Input'!S$45,DB_Länder,7,FALSE) + 'Maschinen-DB'!H63*VLOOKUP('Quick Input'!S$45,DB_Länder,8,FALSE)*12/Parametrikber!F146/3600*N106,0)</f>
        <v>1.1014756944444448</v>
      </c>
      <c r="O108" s="1188"/>
    </row>
    <row r="109" spans="3:20" ht="15" thickBot="1" x14ac:dyDescent="0.25">
      <c r="C109" s="78"/>
      <c r="D109" s="72" t="str">
        <f>IF(Deutsch,Auswahlfelder!$B$59,Auswahlfelder!$D$59)</f>
        <v>Reparaturschweißen</v>
      </c>
      <c r="E109" s="73"/>
      <c r="F109" s="75"/>
      <c r="G109" s="611"/>
      <c r="H109" s="80" t="str">
        <f>'Quick Input'!L$33</f>
        <v>ohne</v>
      </c>
      <c r="I109" s="619"/>
      <c r="J109" s="619"/>
      <c r="K109" s="80" t="str">
        <f>'Quick Input'!O$33</f>
        <v>ohne</v>
      </c>
      <c r="L109" s="78"/>
      <c r="M109" s="78"/>
      <c r="N109" s="80" t="str">
        <f>'Quick Input'!R$33</f>
        <v>ohne</v>
      </c>
      <c r="O109" s="1188"/>
    </row>
    <row r="110" spans="3:20" ht="15" thickBot="1" x14ac:dyDescent="0.25">
      <c r="C110" s="78"/>
      <c r="D110" s="72" t="str">
        <f>IF(Deutsch,"Reparaturanteil (%)","repair proportion (%)")</f>
        <v>Reparaturanteil (%)</v>
      </c>
      <c r="E110" s="73"/>
      <c r="F110" s="75"/>
      <c r="G110" s="611"/>
      <c r="H110" s="534">
        <v>0</v>
      </c>
      <c r="I110" s="620"/>
      <c r="J110" s="620"/>
      <c r="K110" s="534">
        <v>0</v>
      </c>
      <c r="L110" s="355"/>
      <c r="M110" s="355"/>
      <c r="N110" s="534">
        <v>0</v>
      </c>
      <c r="O110" s="1188"/>
    </row>
    <row r="111" spans="3:20" ht="15" thickBot="1" x14ac:dyDescent="0.25">
      <c r="C111" s="78"/>
      <c r="D111" s="72" t="str">
        <f>'Quick Input'!$I$77</f>
        <v>Anteil Nachprüfung</v>
      </c>
      <c r="E111" s="73"/>
      <c r="F111" s="75"/>
      <c r="G111" s="611"/>
      <c r="H111" s="688">
        <v>0.5</v>
      </c>
      <c r="I111" s="620"/>
      <c r="J111" s="620"/>
      <c r="K111" s="688">
        <v>0.5</v>
      </c>
      <c r="L111" s="355"/>
      <c r="M111" s="355"/>
      <c r="N111" s="688">
        <v>0.5</v>
      </c>
      <c r="O111" s="1188"/>
    </row>
    <row r="112" spans="3:20" ht="15" thickBot="1" x14ac:dyDescent="0.25">
      <c r="C112" s="78"/>
      <c r="D112" s="72" t="str">
        <f>IF(Deutsch,"Kosten je Reparatur (€)","cost per repair (€)")</f>
        <v>Kosten je Reparatur (€)</v>
      </c>
      <c r="E112" s="73"/>
      <c r="F112" s="75"/>
      <c r="G112" s="611"/>
      <c r="H112" s="85">
        <f>IF('Quick Input'!M$33=Auswahlfelder!$D$60,0,Parametrikber!F$187)</f>
        <v>0</v>
      </c>
      <c r="I112" s="619"/>
      <c r="J112" s="619"/>
      <c r="K112" s="85">
        <f>IF('Quick Input'!P$33=Auswahlfelder!$D$60,0,Parametrikber!I$187)</f>
        <v>0</v>
      </c>
      <c r="L112" s="78"/>
      <c r="M112" s="78"/>
      <c r="N112" s="85">
        <f>IF('Quick Input'!S$33=Auswahlfelder!$D$60,0,Parametrikber!L$187)</f>
        <v>0</v>
      </c>
      <c r="O112" s="1188"/>
    </row>
    <row r="113" spans="2:15" ht="15" thickBot="1" x14ac:dyDescent="0.25">
      <c r="C113" s="78"/>
      <c r="D113" s="116" t="str">
        <f>IF(Deutsch,"Prüfkosten pro Stück","testing cost per part")</f>
        <v>Prüfkosten pro Stück</v>
      </c>
      <c r="E113" s="73"/>
      <c r="F113" s="75"/>
      <c r="G113" s="855"/>
      <c r="H113" s="853">
        <f>H$95/3600*H$98+(H$101+H$105+H$108)*(1+H$111*H$110)+H$110*H$112</f>
        <v>6.3502320254629634</v>
      </c>
      <c r="I113" s="625" t="s">
        <v>285</v>
      </c>
      <c r="J113" s="625"/>
      <c r="K113" s="853">
        <f>K$95/3600*K$98+(K$101+K$105+K$108)*(1+K$111*K$110)+K$110*K$112</f>
        <v>3.2506872407407412</v>
      </c>
      <c r="L113" s="625" t="s">
        <v>285</v>
      </c>
      <c r="M113" s="625"/>
      <c r="N113" s="853">
        <f>N$95/3600*N$98+(N$101+N$105+N$108)*(1+N$111*N$110)+N$110*N$112</f>
        <v>4.4772743518518521</v>
      </c>
      <c r="O113" s="1192" t="s">
        <v>285</v>
      </c>
    </row>
    <row r="114" spans="2:15" ht="11.25" customHeight="1" thickBot="1" x14ac:dyDescent="0.25">
      <c r="C114" s="78"/>
      <c r="D114" s="1229" t="str">
        <f>IF(Deutsch,"Fertigungsnebenkosten","production cost")</f>
        <v>Fertigungsnebenkosten</v>
      </c>
      <c r="E114" s="1230"/>
      <c r="F114" s="1231"/>
      <c r="G114" s="611"/>
      <c r="H114" s="79"/>
      <c r="I114" s="619" t="s">
        <v>285</v>
      </c>
      <c r="J114" s="619"/>
      <c r="K114" s="79"/>
      <c r="L114" s="78" t="s">
        <v>285</v>
      </c>
      <c r="M114" s="78"/>
      <c r="N114" s="79"/>
      <c r="O114" s="1189" t="s">
        <v>285</v>
      </c>
    </row>
    <row r="115" spans="2:15" ht="14.25" customHeight="1" thickBot="1" x14ac:dyDescent="0.25">
      <c r="C115" s="78"/>
      <c r="D115" s="1232"/>
      <c r="E115" s="1233"/>
      <c r="F115" s="1234"/>
      <c r="G115" s="611"/>
      <c r="H115" s="928">
        <f>H$47+H$72+H93+H$113</f>
        <v>122.72764561223187</v>
      </c>
      <c r="I115" s="619" t="s">
        <v>285</v>
      </c>
      <c r="J115" s="619"/>
      <c r="K115" s="928">
        <f>K$47+K$72+K93+K$113</f>
        <v>17.875465954300157</v>
      </c>
      <c r="L115" s="619" t="s">
        <v>285</v>
      </c>
      <c r="M115" s="619"/>
      <c r="N115" s="928">
        <f>N$47+N$72+N93+N$113</f>
        <v>27.574640465551376</v>
      </c>
      <c r="O115" s="1188" t="s">
        <v>285</v>
      </c>
    </row>
    <row r="116" spans="2:15" ht="15" thickBot="1" x14ac:dyDescent="0.25">
      <c r="C116" s="78"/>
      <c r="D116" s="72" t="str">
        <f>CONCATENATE(IF(Deutsch,'Quick Input'!C31,'Quick Input'!D31)," (per lot)")</f>
        <v>Materialprüfzertifikat (per lot)</v>
      </c>
      <c r="E116" s="73"/>
      <c r="F116" s="75"/>
      <c r="G116" s="611"/>
      <c r="H116" s="74">
        <f>Parametrikber!F$192</f>
        <v>0</v>
      </c>
      <c r="I116" s="619" t="s">
        <v>285</v>
      </c>
      <c r="J116" s="619"/>
      <c r="K116" s="74">
        <f>Parametrikber!I$192</f>
        <v>0</v>
      </c>
      <c r="L116" s="619" t="s">
        <v>285</v>
      </c>
      <c r="M116" s="619"/>
      <c r="N116" s="74">
        <f>Parametrikber!L$192</f>
        <v>0</v>
      </c>
      <c r="O116" s="1188" t="s">
        <v>285</v>
      </c>
    </row>
    <row r="117" spans="2:15" ht="14.25" customHeight="1" thickBot="1" x14ac:dyDescent="0.25">
      <c r="B117" s="55" t="s">
        <v>127</v>
      </c>
      <c r="C117" s="78"/>
      <c r="D117" s="236" t="str">
        <f>'Quick Input'!I79</f>
        <v>Fertigungsgemeinkosten</v>
      </c>
      <c r="E117" s="73"/>
      <c r="F117" s="75"/>
      <c r="G117" s="611"/>
      <c r="H117" s="119">
        <v>0.1</v>
      </c>
      <c r="I117" s="620"/>
      <c r="J117" s="620"/>
      <c r="K117" s="119">
        <v>0.1</v>
      </c>
      <c r="L117" s="355"/>
      <c r="M117" s="355"/>
      <c r="N117" s="119">
        <v>0.1</v>
      </c>
      <c r="O117" s="1188"/>
    </row>
    <row r="118" spans="2:15" ht="15" thickBot="1" x14ac:dyDescent="0.25">
      <c r="C118" s="78"/>
      <c r="D118" s="236" t="str">
        <f>IF(Deutsch,'Quick Input'!C79,'Quick Input'!D79)</f>
        <v>Fertigungsgemeinkosten</v>
      </c>
      <c r="E118" s="73"/>
      <c r="F118" s="75"/>
      <c r="G118" s="611"/>
      <c r="H118" s="74">
        <f>H$117*H$115</f>
        <v>12.272764561223187</v>
      </c>
      <c r="I118" s="619" t="s">
        <v>285</v>
      </c>
      <c r="J118" s="619"/>
      <c r="K118" s="74">
        <f>K$117*K$115</f>
        <v>1.7875465954300158</v>
      </c>
      <c r="L118" s="78" t="s">
        <v>285</v>
      </c>
      <c r="M118" s="78"/>
      <c r="N118" s="74">
        <f>N$117*N$115</f>
        <v>2.7574640465551377</v>
      </c>
      <c r="O118" s="1188" t="s">
        <v>285</v>
      </c>
    </row>
    <row r="119" spans="2:15" ht="15" customHeight="1" thickBot="1" x14ac:dyDescent="0.25">
      <c r="C119" s="78"/>
      <c r="D119" s="116" t="str">
        <f>IF(Deutsch,"Fertigungskosten gesamt","manufacturing cost total")</f>
        <v>Fertigungskosten gesamt</v>
      </c>
      <c r="E119" s="73"/>
      <c r="F119" s="75"/>
      <c r="G119" s="611"/>
      <c r="H119" s="113">
        <f>H$115+H$116/H$61+H$118</f>
        <v>135.00041017345507</v>
      </c>
      <c r="I119" s="619" t="s">
        <v>285</v>
      </c>
      <c r="J119" s="619"/>
      <c r="K119" s="113">
        <f>K$115+K$116/K$61+K$118</f>
        <v>19.663012549730173</v>
      </c>
      <c r="L119" s="619" t="s">
        <v>285</v>
      </c>
      <c r="M119" s="619"/>
      <c r="N119" s="113">
        <f>N$115+N$116/N$61+N$118</f>
        <v>30.332104512106515</v>
      </c>
      <c r="O119" s="1188" t="s">
        <v>285</v>
      </c>
    </row>
    <row r="120" spans="2:15" ht="4.5" customHeight="1" thickBot="1" x14ac:dyDescent="0.25">
      <c r="C120" s="87"/>
      <c r="D120" s="88"/>
      <c r="E120" s="87"/>
      <c r="F120" s="89"/>
      <c r="G120" s="611"/>
      <c r="H120" s="91"/>
      <c r="I120" s="619" t="s">
        <v>285</v>
      </c>
      <c r="J120" s="619"/>
      <c r="K120" s="91"/>
      <c r="L120" s="78" t="s">
        <v>285</v>
      </c>
      <c r="M120" s="78"/>
      <c r="N120" s="91"/>
      <c r="O120" s="1192" t="s">
        <v>285</v>
      </c>
    </row>
    <row r="121" spans="2:15" ht="7.5" customHeight="1" thickBot="1" x14ac:dyDescent="0.25">
      <c r="D121" s="1229" t="str">
        <f>IF(Deutsch,"Gemeinkosten &amp; Gewinn","common cost &amp; profit")</f>
        <v>Gemeinkosten &amp; Gewinn</v>
      </c>
      <c r="E121" s="1230"/>
      <c r="F121" s="1231"/>
      <c r="G121" s="611"/>
      <c r="H121" s="79"/>
      <c r="I121" s="619" t="s">
        <v>285</v>
      </c>
      <c r="J121" s="619"/>
      <c r="K121" s="79"/>
      <c r="L121" s="78" t="s">
        <v>285</v>
      </c>
      <c r="M121" s="78"/>
      <c r="N121" s="79"/>
      <c r="O121" s="1189" t="s">
        <v>285</v>
      </c>
    </row>
    <row r="122" spans="2:15" ht="15" thickBot="1" x14ac:dyDescent="0.25">
      <c r="D122" s="1232"/>
      <c r="E122" s="1233"/>
      <c r="F122" s="1234"/>
      <c r="G122" s="611"/>
      <c r="H122" s="74">
        <f>H$26+H$119</f>
        <v>232.82682239643475</v>
      </c>
      <c r="I122" s="619" t="s">
        <v>285</v>
      </c>
      <c r="J122" s="619"/>
      <c r="K122" s="85">
        <f>K$26+K$119</f>
        <v>32.335174075270913</v>
      </c>
      <c r="L122" s="619" t="s">
        <v>285</v>
      </c>
      <c r="M122" s="619"/>
      <c r="N122" s="85">
        <f>N$26+N$119</f>
        <v>43.004266037647255</v>
      </c>
      <c r="O122" s="1188" t="s">
        <v>285</v>
      </c>
    </row>
    <row r="123" spans="2:15" ht="15" thickBot="1" x14ac:dyDescent="0.25">
      <c r="B123" s="55" t="s">
        <v>127</v>
      </c>
      <c r="D123" s="72" t="str">
        <f>IF(Deutsch,"Vertriebs- und Verw.-gemeinkostensatz","administration cost rate")</f>
        <v>Vertriebs- und Verw.-gemeinkostensatz</v>
      </c>
      <c r="E123" s="67"/>
      <c r="F123" s="75"/>
      <c r="G123" s="611"/>
      <c r="H123" s="119">
        <v>0.12</v>
      </c>
      <c r="I123" s="620"/>
      <c r="J123" s="620"/>
      <c r="K123" s="119">
        <v>0.12</v>
      </c>
      <c r="L123" s="355"/>
      <c r="M123" s="355"/>
      <c r="N123" s="119">
        <v>0.12</v>
      </c>
      <c r="O123" s="1188"/>
    </row>
    <row r="124" spans="2:15" ht="15" thickBot="1" x14ac:dyDescent="0.25">
      <c r="D124" s="72" t="str">
        <f>IF(Deutsch,"Vertriebs- und Verw.-gemeinkosten","administration costs")</f>
        <v>Vertriebs- und Verw.-gemeinkosten</v>
      </c>
      <c r="E124" s="67"/>
      <c r="F124" s="75"/>
      <c r="G124" s="611"/>
      <c r="H124" s="74">
        <f>H$122*H123</f>
        <v>27.939218687572168</v>
      </c>
      <c r="I124" s="619" t="s">
        <v>285</v>
      </c>
      <c r="J124" s="619"/>
      <c r="K124" s="74">
        <f>K$122*K123</f>
        <v>3.8802208890325094</v>
      </c>
      <c r="L124" s="619" t="s">
        <v>285</v>
      </c>
      <c r="M124" s="619"/>
      <c r="N124" s="74">
        <f t="shared" ref="N124" si="9">N$122*N123</f>
        <v>5.16051192451767</v>
      </c>
      <c r="O124" s="1188" t="s">
        <v>285</v>
      </c>
    </row>
    <row r="125" spans="2:15" ht="15" thickBot="1" x14ac:dyDescent="0.25">
      <c r="D125" s="72" t="str">
        <f>CONCATENATE(IF(Deutsch,"F&amp;E- Kosten (","design and development cost ("),'Länder-DB'!I35*100,"%)")</f>
        <v>F&amp;E- Kosten (8%)</v>
      </c>
      <c r="E125" s="67"/>
      <c r="F125" s="75"/>
      <c r="G125" s="611"/>
      <c r="H125" s="74">
        <f>H$119*'Länder-DB'!$I$35</f>
        <v>10.800032813876406</v>
      </c>
      <c r="I125" s="619" t="s">
        <v>285</v>
      </c>
      <c r="J125" s="619"/>
      <c r="K125" s="74">
        <f>K$119*'Länder-DB'!$I$35</f>
        <v>1.573041003978414</v>
      </c>
      <c r="L125" s="78" t="s">
        <v>285</v>
      </c>
      <c r="M125" s="78"/>
      <c r="N125" s="74">
        <f>N$119*'Länder-DB'!$I$35</f>
        <v>2.4265683609685214</v>
      </c>
      <c r="O125" s="1188" t="s">
        <v>285</v>
      </c>
    </row>
    <row r="126" spans="2:15" ht="15" thickBot="1" x14ac:dyDescent="0.25">
      <c r="D126" s="82" t="str">
        <f>IF(Deutsch,"Gesamtgemeinkosten","administration cost total")</f>
        <v>Gesamtgemeinkosten</v>
      </c>
      <c r="E126" s="67"/>
      <c r="F126" s="75"/>
      <c r="G126" s="611"/>
      <c r="H126" s="1031">
        <f>H$124+H$125</f>
        <v>38.739251501448578</v>
      </c>
      <c r="I126" s="619" t="s">
        <v>285</v>
      </c>
      <c r="J126" s="619"/>
      <c r="K126" s="1031">
        <f>K$124+K$125</f>
        <v>5.4532618930109233</v>
      </c>
      <c r="L126" s="619" t="s">
        <v>285</v>
      </c>
      <c r="M126" s="619"/>
      <c r="N126" s="1031">
        <f t="shared" ref="N126" si="10">N$124+N$125</f>
        <v>7.5870802854861914</v>
      </c>
      <c r="O126" s="1188" t="s">
        <v>285</v>
      </c>
    </row>
    <row r="127" spans="2:15" ht="15" thickBot="1" x14ac:dyDescent="0.25">
      <c r="B127" s="55" t="s">
        <v>127</v>
      </c>
      <c r="D127" s="72" t="str">
        <f>'Quick Input'!I81</f>
        <v>Gewinn auf Material</v>
      </c>
      <c r="E127" s="67"/>
      <c r="F127" s="75"/>
      <c r="G127" s="611"/>
      <c r="H127" s="119">
        <v>0</v>
      </c>
      <c r="I127" s="620"/>
      <c r="J127" s="620"/>
      <c r="K127" s="119">
        <v>0</v>
      </c>
      <c r="L127" s="620"/>
      <c r="M127" s="620"/>
      <c r="N127" s="119">
        <v>0</v>
      </c>
      <c r="O127" s="1188"/>
    </row>
    <row r="128" spans="2:15" ht="15" thickBot="1" x14ac:dyDescent="0.25">
      <c r="B128" s="55" t="s">
        <v>127</v>
      </c>
      <c r="D128" s="72" t="str">
        <f>'Quick Input'!I82</f>
        <v>Gewinn auf Wertschöpfung</v>
      </c>
      <c r="E128" s="67"/>
      <c r="F128" s="75"/>
      <c r="G128" s="611"/>
      <c r="H128" s="119">
        <v>0</v>
      </c>
      <c r="I128" s="620"/>
      <c r="J128" s="620"/>
      <c r="K128" s="119">
        <v>0</v>
      </c>
      <c r="L128" s="620"/>
      <c r="M128" s="620"/>
      <c r="N128" s="119">
        <v>0</v>
      </c>
      <c r="O128" s="1188"/>
    </row>
    <row r="129" spans="2:15" ht="15" thickBot="1" x14ac:dyDescent="0.25">
      <c r="D129" s="82" t="str">
        <f>IF(Deutsch,"Gesamtgewinn","profit total")</f>
        <v>Gesamtgewinn</v>
      </c>
      <c r="E129" s="67"/>
      <c r="F129" s="75"/>
      <c r="G129" s="611"/>
      <c r="H129" s="1030">
        <f>H$127*H$26+H$128*H$115</f>
        <v>0</v>
      </c>
      <c r="I129" s="619" t="s">
        <v>285</v>
      </c>
      <c r="J129" s="619"/>
      <c r="K129" s="1030">
        <f>K$127*K$26+K$128*K$115</f>
        <v>0</v>
      </c>
      <c r="L129" s="619" t="s">
        <v>285</v>
      </c>
      <c r="M129" s="619"/>
      <c r="N129" s="1030">
        <f>N$127*N$26+N$128*N$115</f>
        <v>0</v>
      </c>
      <c r="O129" s="1188" t="s">
        <v>285</v>
      </c>
    </row>
    <row r="130" spans="2:15" ht="6" customHeight="1" thickBot="1" x14ac:dyDescent="0.25">
      <c r="D130" s="72"/>
      <c r="E130" s="67"/>
      <c r="F130" s="75"/>
      <c r="G130" s="611"/>
      <c r="H130" s="86"/>
      <c r="I130" s="619" t="s">
        <v>285</v>
      </c>
      <c r="J130" s="619"/>
      <c r="K130" s="86"/>
      <c r="L130" s="78" t="s">
        <v>285</v>
      </c>
      <c r="M130" s="78"/>
      <c r="N130" s="86"/>
      <c r="O130" s="1188" t="s">
        <v>285</v>
      </c>
    </row>
    <row r="131" spans="2:15" ht="15" thickBot="1" x14ac:dyDescent="0.25">
      <c r="D131" s="776" t="str">
        <f>IF(Deutsch,"Bauteilpreis gesamt","part cost total")</f>
        <v>Bauteilpreis gesamt</v>
      </c>
      <c r="E131" s="67"/>
      <c r="F131" s="75"/>
      <c r="G131" s="611"/>
      <c r="H131" s="1032">
        <f>H$122+H$126+H$129</f>
        <v>271.56607389788331</v>
      </c>
      <c r="I131" s="619" t="s">
        <v>285</v>
      </c>
      <c r="J131" s="619"/>
      <c r="K131" s="1032">
        <f>K$122+K$126+K$129</f>
        <v>37.788435968281838</v>
      </c>
      <c r="L131" s="619" t="s">
        <v>285</v>
      </c>
      <c r="M131" s="619"/>
      <c r="N131" s="1032">
        <f>N$122+N$126+N$129</f>
        <v>50.59134632313345</v>
      </c>
      <c r="O131" s="1188" t="s">
        <v>285</v>
      </c>
    </row>
    <row r="132" spans="2:15" ht="6" customHeight="1" thickBot="1" x14ac:dyDescent="0.25">
      <c r="D132" s="82"/>
      <c r="E132" s="67"/>
      <c r="F132" s="75"/>
      <c r="G132" s="611"/>
      <c r="H132" s="92"/>
      <c r="I132" s="619" t="s">
        <v>285</v>
      </c>
      <c r="J132" s="619"/>
      <c r="K132" s="92"/>
      <c r="L132" s="78" t="s">
        <v>285</v>
      </c>
      <c r="M132" s="78"/>
      <c r="N132" s="92"/>
      <c r="O132" s="1192" t="s">
        <v>285</v>
      </c>
    </row>
    <row r="133" spans="2:15" ht="14.25" customHeight="1" thickBot="1" x14ac:dyDescent="0.25">
      <c r="D133" s="1229" t="str">
        <f>IF(Deutsch,"Potenziabschätzung","estimation potential")</f>
        <v>Potenziabschätzung</v>
      </c>
      <c r="E133" s="1230"/>
      <c r="F133" s="1231"/>
      <c r="G133" s="611"/>
      <c r="H133" s="280" t="e">
        <f>IF(H50=Parametrikber!F126,IF(H51=#REF!,TRUE,FALSE),FALSE)</f>
        <v>#REF!</v>
      </c>
      <c r="I133" s="619" t="s">
        <v>285</v>
      </c>
      <c r="J133" s="619"/>
      <c r="K133" s="280" t="e">
        <f>IF(K50=Parametrikber!I126,IF(K51=#REF!,TRUE,FALSE),FALSE)</f>
        <v>#REF!</v>
      </c>
      <c r="L133" s="78" t="s">
        <v>285</v>
      </c>
      <c r="M133" s="357"/>
      <c r="N133" s="280" t="e">
        <f>IF(N50=Parametrikber!L126,IF(N51=#REF!,TRUE,FALSE),FALSE)</f>
        <v>#REF!</v>
      </c>
      <c r="O133" s="1189" t="s">
        <v>285</v>
      </c>
    </row>
    <row r="134" spans="2:15" ht="15" thickBot="1" x14ac:dyDescent="0.25">
      <c r="D134" s="1232"/>
      <c r="E134" s="1233"/>
      <c r="F134" s="1234"/>
      <c r="G134" s="611"/>
      <c r="H134" s="143"/>
      <c r="I134" s="619" t="s">
        <v>285</v>
      </c>
      <c r="J134" s="623"/>
      <c r="K134" s="143"/>
      <c r="L134" s="78" t="s">
        <v>285</v>
      </c>
      <c r="M134" s="144"/>
      <c r="N134" s="143"/>
      <c r="O134" s="1188" t="s">
        <v>285</v>
      </c>
    </row>
    <row r="135" spans="2:15" ht="15" thickBot="1" x14ac:dyDescent="0.25">
      <c r="B135" s="55" t="s">
        <v>127</v>
      </c>
      <c r="D135" s="72" t="str">
        <f>'Quick Input'!I51</f>
        <v>Zielpreis Bauteil</v>
      </c>
      <c r="E135" s="73"/>
      <c r="F135" s="75"/>
      <c r="G135" s="611"/>
      <c r="H135" s="85">
        <f>AVERAGE('Quick Input'!M$52:M$56)</f>
        <v>55</v>
      </c>
      <c r="I135" s="619" t="s">
        <v>285</v>
      </c>
      <c r="J135" s="623"/>
      <c r="K135" s="85">
        <f>AVERAGE('Quick Input'!P52:P56)</f>
        <v>55</v>
      </c>
      <c r="L135" s="78" t="s">
        <v>285</v>
      </c>
      <c r="M135" s="358"/>
      <c r="N135" s="85">
        <f>AVERAGE('Quick Input'!S52:S56)</f>
        <v>55</v>
      </c>
      <c r="O135" s="1188" t="s">
        <v>285</v>
      </c>
    </row>
    <row r="136" spans="2:15" ht="15" thickBot="1" x14ac:dyDescent="0.25">
      <c r="D136" s="72" t="str">
        <f>IF(Deutsch,"Potenzial pro Bauteil","earning per part")</f>
        <v>Potenzial pro Bauteil</v>
      </c>
      <c r="E136" s="73"/>
      <c r="F136" s="75"/>
      <c r="G136" s="611"/>
      <c r="H136" s="85">
        <f>H$135-H$131</f>
        <v>-216.56607389788331</v>
      </c>
      <c r="I136" s="619" t="s">
        <v>285</v>
      </c>
      <c r="J136" s="619"/>
      <c r="K136" s="85">
        <f>K135-K131</f>
        <v>17.211564031718162</v>
      </c>
      <c r="L136" s="78" t="s">
        <v>285</v>
      </c>
      <c r="M136" s="78"/>
      <c r="N136" s="85">
        <f>N135-N131</f>
        <v>4.4086536768665496</v>
      </c>
      <c r="O136" s="1188" t="s">
        <v>285</v>
      </c>
    </row>
    <row r="137" spans="2:15" ht="15" thickBot="1" x14ac:dyDescent="0.25">
      <c r="D137" s="72" t="str">
        <f>IF(Deutsch,"Potenzial über Lebenszyklus","earnig per live time")</f>
        <v>Potenzial über Lebenszyklus</v>
      </c>
      <c r="E137" s="73"/>
      <c r="F137" s="75"/>
      <c r="G137" s="611"/>
      <c r="H137" s="93">
        <f>IF(H$136&gt;0,H$136*'Quick Input'!M$44,0)</f>
        <v>0</v>
      </c>
      <c r="I137" s="619" t="s">
        <v>285</v>
      </c>
      <c r="J137" s="619"/>
      <c r="K137" s="93">
        <f>IF(K136&gt;0,K136*'Quick Input'!P44,0)</f>
        <v>516346.92095154483</v>
      </c>
      <c r="L137" s="78" t="s">
        <v>285</v>
      </c>
      <c r="M137" s="78"/>
      <c r="N137" s="93">
        <f>IF(N136&gt;0,N136*'Quick Input'!S44,0)</f>
        <v>132259.6103059965</v>
      </c>
      <c r="O137" s="1188" t="s">
        <v>285</v>
      </c>
    </row>
    <row r="138" spans="2:15" ht="15" thickBot="1" x14ac:dyDescent="0.25">
      <c r="D138" s="72" t="str">
        <f>IF(Deutsch,"Anzahl notwendiger Gieß-WKZ","tool sets")</f>
        <v>Anzahl notwendiger Gieß-WKZ</v>
      </c>
      <c r="E138" s="73"/>
      <c r="F138" s="75"/>
      <c r="G138" s="611"/>
      <c r="H138" s="140" t="str">
        <f>CONCATENATE(Parametrikber!F$260," x ",Parametrikber!F$259)</f>
        <v>2 x Alu</v>
      </c>
      <c r="I138" s="619" t="s">
        <v>285</v>
      </c>
      <c r="J138" s="619"/>
      <c r="K138" s="140" t="str">
        <f>CONCATENATE(Parametrikber!I$260," x ",Parametrikber!I$259)</f>
        <v>2 x Alu</v>
      </c>
      <c r="L138" s="78" t="s">
        <v>285</v>
      </c>
      <c r="M138" s="78"/>
      <c r="N138" s="140" t="str">
        <f>CONCATENATE(Parametrikber!L$260," x ",Parametrikber!L$259)</f>
        <v>2 x Alu</v>
      </c>
      <c r="O138" s="1188" t="s">
        <v>285</v>
      </c>
    </row>
    <row r="139" spans="2:15" ht="15" thickBot="1" x14ac:dyDescent="0.25">
      <c r="D139" s="72" t="str">
        <f>IF(Deutsch,"Werkzeuginvest geschätzt","tool invest - calculated")</f>
        <v>Werkzeuginvest geschätzt</v>
      </c>
      <c r="E139" s="73"/>
      <c r="F139" s="75"/>
      <c r="G139" s="611"/>
      <c r="H139" s="93">
        <f>Parametrikber!F$264</f>
        <v>10600</v>
      </c>
      <c r="I139" s="619" t="s">
        <v>285</v>
      </c>
      <c r="J139" s="619"/>
      <c r="K139" s="93">
        <f>Parametrikber!I$264</f>
        <v>8800</v>
      </c>
      <c r="L139" s="619" t="s">
        <v>285</v>
      </c>
      <c r="M139" s="619"/>
      <c r="N139" s="93">
        <f>Parametrikber!L$264</f>
        <v>10100</v>
      </c>
      <c r="O139" s="1188" t="s">
        <v>285</v>
      </c>
    </row>
    <row r="140" spans="2:15" ht="15" thickBot="1" x14ac:dyDescent="0.25">
      <c r="D140" s="72" t="str">
        <f>IF(Deutsch,"Kernkasteninvest geschätzt","tool invest - calculated")</f>
        <v>Kernkasteninvest geschätzt</v>
      </c>
      <c r="E140" s="73"/>
      <c r="F140" s="75"/>
      <c r="G140" s="611"/>
      <c r="H140" s="93">
        <f>Parametrikber!F$269</f>
        <v>2300</v>
      </c>
      <c r="I140" s="619" t="s">
        <v>285</v>
      </c>
      <c r="J140" s="619"/>
      <c r="K140" s="93">
        <f>Parametrikber!I$269</f>
        <v>1100</v>
      </c>
      <c r="L140" s="619" t="s">
        <v>285</v>
      </c>
      <c r="M140" s="619"/>
      <c r="N140" s="93">
        <f>Parametrikber!L$269</f>
        <v>0</v>
      </c>
      <c r="O140" s="1188" t="s">
        <v>285</v>
      </c>
    </row>
    <row r="141" spans="2:15" ht="15" thickBot="1" x14ac:dyDescent="0.25">
      <c r="D141" s="775" t="str">
        <f>IF(Deutsch,"Modellkosten Angebot","tool invest - supplier")</f>
        <v>Modellkosten Angebot</v>
      </c>
      <c r="E141" s="94"/>
      <c r="F141" s="89"/>
      <c r="G141" s="615"/>
      <c r="H141" s="359">
        <f>'Quick Input'!M57+'Quick Input'!M58</f>
        <v>10500</v>
      </c>
      <c r="I141" s="624" t="s">
        <v>285</v>
      </c>
      <c r="J141" s="625"/>
      <c r="K141" s="359">
        <f>'Quick Input'!P57+'Quick Input'!P58</f>
        <v>6000</v>
      </c>
      <c r="L141" s="624" t="s">
        <v>285</v>
      </c>
      <c r="M141" s="625"/>
      <c r="N141" s="359">
        <f>'Quick Input'!S57+'Quick Input'!S58</f>
        <v>7500</v>
      </c>
      <c r="O141" s="1192" t="s">
        <v>285</v>
      </c>
    </row>
    <row r="142" spans="2:15" ht="9" customHeight="1" thickBot="1" x14ac:dyDescent="0.25">
      <c r="G142" s="271"/>
    </row>
    <row r="143" spans="2:15" ht="11.25" customHeight="1" x14ac:dyDescent="0.2">
      <c r="D143" s="1217" t="str">
        <f>IF(Deutsch,"Empfehlungen / Info"," suggestion, infos")</f>
        <v>Empfehlungen / Info</v>
      </c>
      <c r="E143" s="1218"/>
      <c r="F143" s="1219"/>
      <c r="G143" s="190"/>
    </row>
    <row r="144" spans="2:15" ht="9.75" customHeight="1" thickBot="1" x14ac:dyDescent="0.25">
      <c r="D144" s="1220"/>
      <c r="E144" s="1221"/>
      <c r="F144" s="1222"/>
      <c r="G144" s="190"/>
      <c r="O144" s="87"/>
    </row>
    <row r="145" spans="2:15" ht="26.25" customHeight="1" thickBot="1" x14ac:dyDescent="0.25">
      <c r="B145" s="55" t="s">
        <v>127</v>
      </c>
      <c r="D145" s="588" t="str">
        <f>IF(Deutsch,"Parameter","parameter")</f>
        <v>Parameter</v>
      </c>
      <c r="E145" s="585"/>
      <c r="F145" s="586"/>
      <c r="G145" s="616"/>
      <c r="H145" s="675" t="str">
        <f>VLOOKUP(1,Parametrikber!E$276:$X$292,IF(Deutsch,19,20),FALSE)</f>
        <v>Empfehlung Formverfahren</v>
      </c>
      <c r="I145" s="266" t="s">
        <v>285</v>
      </c>
      <c r="J145" s="587"/>
      <c r="K145" s="675" t="str">
        <f>VLOOKUP(1,Parametrikber!H$276:$X$292,IF(Deutsch,16,17),FALSE)</f>
        <v>Empfehlung Formverfahren</v>
      </c>
      <c r="L145" s="266" t="s">
        <v>285</v>
      </c>
      <c r="M145" s="587"/>
      <c r="N145" s="675" t="str">
        <f>VLOOKUP(1,Parametrikber!K$276:$X$292,IF(Deutsch,13,14),FALSE)</f>
        <v>Empfehlung Formverfahren</v>
      </c>
      <c r="O145" s="1189" t="s">
        <v>285</v>
      </c>
    </row>
    <row r="146" spans="2:15" ht="15" thickBot="1" x14ac:dyDescent="0.25">
      <c r="D146" s="142"/>
      <c r="E146" s="94"/>
      <c r="F146" s="89"/>
      <c r="G146" s="617"/>
      <c r="H146" s="692" t="str">
        <f>VLOOKUP(2,Parametrikber!E$276:$X$293,2,FALSE)</f>
        <v>automatisch</v>
      </c>
      <c r="I146" s="87" t="s">
        <v>285</v>
      </c>
      <c r="J146" s="87"/>
      <c r="K146" s="676" t="str">
        <f>VLOOKUP(2,Parametrikber!H$276:$X$293,2,FALSE)</f>
        <v>automatisch</v>
      </c>
      <c r="L146" s="87" t="s">
        <v>285</v>
      </c>
      <c r="M146" s="87"/>
      <c r="N146" s="676" t="str">
        <f>VLOOKUP(2,Parametrikber!K$276:$X$293,2,FALSE)</f>
        <v>automatisch</v>
      </c>
      <c r="O146" s="1192" t="s">
        <v>285</v>
      </c>
    </row>
    <row r="147" spans="2:15" ht="25.5" customHeight="1" thickBot="1" x14ac:dyDescent="0.25">
      <c r="D147" s="588" t="str">
        <f>IF(Deutsch,"Parameter","parameter")</f>
        <v>Parameter</v>
      </c>
      <c r="E147" s="585"/>
      <c r="F147" s="586"/>
      <c r="G147" s="616"/>
      <c r="H147" s="675" t="str">
        <f>VLOOKUP(3,Parametrikber!E$276:$X$292,IF(Deutsch,19,20),FALSE)</f>
        <v>Kastenausnutzung (Volumen)</v>
      </c>
      <c r="I147" s="266" t="s">
        <v>285</v>
      </c>
      <c r="J147" s="587"/>
      <c r="K147" s="675" t="str">
        <f>VLOOKUP(3,Parametrikber!H$276:$X$292,IF(Deutsch,16,17),FALSE)</f>
        <v>Kastenausnutzung (Volumen)</v>
      </c>
      <c r="L147" s="266" t="s">
        <v>285</v>
      </c>
      <c r="M147" s="587"/>
      <c r="N147" s="675" t="str">
        <f>VLOOKUP(3,Parametrikber!K$276:$X$292,IF(Deutsch,13,14),FALSE)</f>
        <v>Kastenausnutzung (Volumen)</v>
      </c>
      <c r="O147" s="1189" t="s">
        <v>285</v>
      </c>
    </row>
    <row r="148" spans="2:15" ht="15" thickBot="1" x14ac:dyDescent="0.25">
      <c r="D148" s="142"/>
      <c r="E148" s="94"/>
      <c r="F148" s="89"/>
      <c r="G148" s="617"/>
      <c r="H148" s="691" t="str">
        <f>VLOOKUP(4,Parametrikber!E$276:$X$293,2,FALSE)</f>
        <v>2%</v>
      </c>
      <c r="I148" s="87" t="s">
        <v>285</v>
      </c>
      <c r="J148" s="87"/>
      <c r="K148" s="691" t="str">
        <f>VLOOKUP(4,Parametrikber!H$276:$X$293,2,FALSE)</f>
        <v>1%</v>
      </c>
      <c r="L148" s="87" t="s">
        <v>285</v>
      </c>
      <c r="M148" s="87"/>
      <c r="N148" s="691" t="str">
        <f>VLOOKUP(4,Parametrikber!K$276:$X$293,2,FALSE)</f>
        <v>1%</v>
      </c>
      <c r="O148" s="1192" t="s">
        <v>285</v>
      </c>
    </row>
    <row r="149" spans="2:15" ht="26.25" customHeight="1" thickBot="1" x14ac:dyDescent="0.25">
      <c r="D149" s="588" t="str">
        <f>IF(Deutsch,"Parameter","parameter")</f>
        <v>Parameter</v>
      </c>
      <c r="E149" s="585"/>
      <c r="F149" s="586"/>
      <c r="G149" s="616"/>
      <c r="H149" s="675" t="str">
        <f>VLOOKUP(5,Parametrikber!E$276:$X$292,IF(Deutsch,19,20),FALSE)</f>
        <v>Anzahl Modelle &gt;1</v>
      </c>
      <c r="I149" s="266" t="s">
        <v>285</v>
      </c>
      <c r="J149" s="587"/>
      <c r="K149" s="675" t="str">
        <f>VLOOKUP(5,Parametrikber!H$276:$X$292,IF(Deutsch,16,17),FALSE)</f>
        <v>Anteil Rüstzeit zu Prod.-Zeit</v>
      </c>
      <c r="L149" s="266" t="s">
        <v>285</v>
      </c>
      <c r="M149" s="587"/>
      <c r="N149" s="675" t="str">
        <f>VLOOKUP(5,Parametrikber!K$276:$X$292,IF(Deutsch,13,14),FALSE)</f>
        <v>Anteil Rüstzeit zu Prod.-Zeit</v>
      </c>
      <c r="O149" s="1189" t="s">
        <v>285</v>
      </c>
    </row>
    <row r="150" spans="2:15" ht="15" thickBot="1" x14ac:dyDescent="0.25">
      <c r="D150" s="142"/>
      <c r="E150" s="94"/>
      <c r="F150" s="89"/>
      <c r="G150" s="617"/>
      <c r="H150" s="676" t="str">
        <f>VLOOKUP(6,Parametrikber!E$276:$X$293,2,FALSE)</f>
        <v>2 WKZ aus Alu</v>
      </c>
      <c r="I150" s="87" t="s">
        <v>285</v>
      </c>
      <c r="J150" s="87"/>
      <c r="K150" s="676" t="str">
        <f>VLOOKUP(6,Parametrikber!H$276:$X$293,2,FALSE)</f>
        <v>45,8 %</v>
      </c>
      <c r="L150" s="87" t="s">
        <v>285</v>
      </c>
      <c r="M150" s="87"/>
      <c r="N150" s="676" t="str">
        <f>VLOOKUP(6,Parametrikber!K$276:$X$293,2,FALSE)</f>
        <v>43,1 %</v>
      </c>
      <c r="O150" s="1192" t="s">
        <v>285</v>
      </c>
    </row>
    <row r="151" spans="2:15" x14ac:dyDescent="0.2">
      <c r="G151" s="67"/>
    </row>
    <row r="152" spans="2:15" x14ac:dyDescent="0.2">
      <c r="G152" s="67"/>
    </row>
    <row r="153" spans="2:15" x14ac:dyDescent="0.2">
      <c r="G153" s="67"/>
    </row>
    <row r="154" spans="2:15" x14ac:dyDescent="0.2">
      <c r="G154" s="67"/>
    </row>
    <row r="155" spans="2:15" x14ac:dyDescent="0.2">
      <c r="G155" s="67"/>
    </row>
    <row r="156" spans="2:15" x14ac:dyDescent="0.2">
      <c r="G156" s="67"/>
    </row>
    <row r="157" spans="2:15" x14ac:dyDescent="0.2">
      <c r="G157" s="67"/>
    </row>
    <row r="158" spans="2:15" x14ac:dyDescent="0.2">
      <c r="G158" s="67"/>
    </row>
    <row r="159" spans="2:15" x14ac:dyDescent="0.2">
      <c r="G159" s="67"/>
    </row>
    <row r="160" spans="2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  <row r="251" spans="7:7" x14ac:dyDescent="0.2">
      <c r="G251" s="67"/>
    </row>
    <row r="252" spans="7:7" x14ac:dyDescent="0.2">
      <c r="G252" s="67"/>
    </row>
    <row r="253" spans="7:7" x14ac:dyDescent="0.2">
      <c r="G253" s="67"/>
    </row>
    <row r="254" spans="7:7" x14ac:dyDescent="0.2">
      <c r="G254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43:F144"/>
    <mergeCell ref="D5:F6"/>
    <mergeCell ref="D133:F134"/>
    <mergeCell ref="D28:F29"/>
    <mergeCell ref="D121:F122"/>
    <mergeCell ref="D9:F11"/>
    <mergeCell ref="D7:F7"/>
    <mergeCell ref="D8:F8"/>
    <mergeCell ref="D48:F48"/>
    <mergeCell ref="D114:F115"/>
    <mergeCell ref="D73:F73"/>
    <mergeCell ref="D94:F94"/>
  </mergeCells>
  <phoneticPr fontId="4" type="noConversion"/>
  <conditionalFormatting sqref="N132 K132 H15 H65 H132 K15 N15 H124 K124 N124 H47">
    <cfRule type="expression" dxfId="157" priority="485" stopIfTrue="1">
      <formula>VALUE(H16="Materialdatenbank")</formula>
    </cfRule>
  </conditionalFormatting>
  <conditionalFormatting sqref="H130 K130 N130 K54 N54 H54">
    <cfRule type="expression" dxfId="156" priority="486" stopIfTrue="1">
      <formula>VALUE(H56="Materialdatenbank")</formula>
    </cfRule>
  </conditionalFormatting>
  <conditionalFormatting sqref="N60 K60">
    <cfRule type="expression" dxfId="155" priority="488" stopIfTrue="1">
      <formula>VALUE(K128="Materialdatenbank")</formula>
    </cfRule>
  </conditionalFormatting>
  <conditionalFormatting sqref="H34">
    <cfRule type="expression" dxfId="154" priority="490" stopIfTrue="1">
      <formula>VALUE(H33="Materialdatenbank")</formula>
    </cfRule>
  </conditionalFormatting>
  <conditionalFormatting sqref="H56 K56 N56">
    <cfRule type="expression" dxfId="153" priority="491" stopIfTrue="1">
      <formula>VALUE(#REF!="Materialdatenbank")</formula>
    </cfRule>
  </conditionalFormatting>
  <conditionalFormatting sqref="H60">
    <cfRule type="expression" dxfId="152" priority="492" stopIfTrue="1">
      <formula>VALUE(H128="Materialdatenbank")</formula>
    </cfRule>
  </conditionalFormatting>
  <conditionalFormatting sqref="K76 N76 H76">
    <cfRule type="expression" dxfId="151" priority="493" stopIfTrue="1">
      <formula>VALUE(H66="Materialdatenbank")</formula>
    </cfRule>
  </conditionalFormatting>
  <conditionalFormatting sqref="H131 H98 H33 N98 K131 N131 H91 H116 K91 K116 N90:N91 N116 K98 H101:H102 K101:K102 N101:N102">
    <cfRule type="expression" dxfId="150" priority="494" stopIfTrue="1">
      <formula>VALUE(#REF!="Materialdatenbank")</formula>
    </cfRule>
  </conditionalFormatting>
  <conditionalFormatting sqref="H134:H137 K134:K137 N134:N137 H139 H57 H25 H68 K14 N14 K68 N68 H9:H12 K9:K12 N9:N12 K25 N25 K57 N57 K141 H141 K139 N139 N141 H14">
    <cfRule type="expression" dxfId="149" priority="495" stopIfTrue="1">
      <formula>VALUE(#REF!="Materialdatenbank")</formula>
    </cfRule>
  </conditionalFormatting>
  <conditionalFormatting sqref="H122 K122 N122">
    <cfRule type="expression" dxfId="148" priority="497" stopIfTrue="1">
      <formula>VALUE(#REF!="Materialdatenbank")</formula>
    </cfRule>
  </conditionalFormatting>
  <conditionalFormatting sqref="H42">
    <cfRule type="expression" dxfId="147" priority="498" stopIfTrue="1">
      <formula>VALUE(#REF!="Materialdatenbank")</formula>
    </cfRule>
  </conditionalFormatting>
  <conditionalFormatting sqref="H37">
    <cfRule type="expression" dxfId="146" priority="499" stopIfTrue="1">
      <formula>VALUE(#REF!="Materialdatenbank")</formula>
    </cfRule>
  </conditionalFormatting>
  <conditionalFormatting sqref="K2:K4 N2:N4 W4 H2:H4">
    <cfRule type="cellIs" dxfId="145" priority="500" operator="equal">
      <formula>FALSE</formula>
    </cfRule>
  </conditionalFormatting>
  <conditionalFormatting sqref="H17">
    <cfRule type="expression" dxfId="144" priority="501" stopIfTrue="1">
      <formula>VALUE(H24="Materialdatenbank")</formula>
    </cfRule>
  </conditionalFormatting>
  <conditionalFormatting sqref="H20">
    <cfRule type="expression" dxfId="143" priority="481" stopIfTrue="1">
      <formula>VALUE(H26="Materialdatenbank")</formula>
    </cfRule>
  </conditionalFormatting>
  <conditionalFormatting sqref="H21">
    <cfRule type="expression" dxfId="142" priority="480" stopIfTrue="1">
      <formula>VALUE(H25="Materialdatenbank")</formula>
    </cfRule>
  </conditionalFormatting>
  <conditionalFormatting sqref="K17">
    <cfRule type="expression" dxfId="141" priority="453" stopIfTrue="1">
      <formula>VALUE(K24="Materialdatenbank")</formula>
    </cfRule>
  </conditionalFormatting>
  <conditionalFormatting sqref="H112 H110 K112 K110 N112 N110">
    <cfRule type="expression" dxfId="140" priority="464" stopIfTrue="1">
      <formula>VALUE(#REF!="Materialdatenbank")</formula>
    </cfRule>
  </conditionalFormatting>
  <conditionalFormatting sqref="H36">
    <cfRule type="expression" dxfId="139" priority="502" stopIfTrue="1">
      <formula>VALUE(#REF!="Materialdatenbank")</formula>
    </cfRule>
  </conditionalFormatting>
  <conditionalFormatting sqref="H40">
    <cfRule type="expression" dxfId="138" priority="508" stopIfTrue="1">
      <formula>VALUE(H34="Materialdatenbank")</formula>
    </cfRule>
  </conditionalFormatting>
  <conditionalFormatting sqref="N17">
    <cfRule type="expression" dxfId="137" priority="452" stopIfTrue="1">
      <formula>VALUE(N24="Materialdatenbank")</formula>
    </cfRule>
  </conditionalFormatting>
  <conditionalFormatting sqref="H39 K39">
    <cfRule type="expression" dxfId="136" priority="437" stopIfTrue="1">
      <formula>VALUE(H47="Materialdatenbank")</formula>
    </cfRule>
  </conditionalFormatting>
  <conditionalFormatting sqref="K40">
    <cfRule type="expression" dxfId="135" priority="443" stopIfTrue="1">
      <formula>VALUE(K34="Materialdatenbank")</formula>
    </cfRule>
  </conditionalFormatting>
  <conditionalFormatting sqref="N40">
    <cfRule type="expression" dxfId="134" priority="435" stopIfTrue="1">
      <formula>VALUE(N34="Materialdatenbank")</formula>
    </cfRule>
  </conditionalFormatting>
  <conditionalFormatting sqref="K42">
    <cfRule type="expression" dxfId="133" priority="393" stopIfTrue="1">
      <formula>VALUE(#REF!="Materialdatenbank")</formula>
    </cfRule>
  </conditionalFormatting>
  <conditionalFormatting sqref="N42">
    <cfRule type="expression" dxfId="132" priority="392" stopIfTrue="1">
      <formula>VALUE(#REF!="Materialdatenbank")</formula>
    </cfRule>
  </conditionalFormatting>
  <conditionalFormatting sqref="K65">
    <cfRule type="expression" dxfId="131" priority="385" stopIfTrue="1">
      <formula>VALUE(K66="Materialdatenbank")</formula>
    </cfRule>
  </conditionalFormatting>
  <conditionalFormatting sqref="N65">
    <cfRule type="expression" dxfId="130" priority="383" stopIfTrue="1">
      <formula>VALUE(N66="Materialdatenbank")</formula>
    </cfRule>
  </conditionalFormatting>
  <conditionalFormatting sqref="K146">
    <cfRule type="expression" dxfId="129" priority="267" stopIfTrue="1">
      <formula>K146=" "</formula>
    </cfRule>
  </conditionalFormatting>
  <conditionalFormatting sqref="K145">
    <cfRule type="expression" dxfId="128" priority="266" stopIfTrue="1">
      <formula>K145=" "</formula>
    </cfRule>
  </conditionalFormatting>
  <conditionalFormatting sqref="N145">
    <cfRule type="expression" dxfId="127" priority="253" stopIfTrue="1">
      <formula>N145=" "</formula>
    </cfRule>
  </conditionalFormatting>
  <conditionalFormatting sqref="K150">
    <cfRule type="expression" dxfId="126" priority="262" stopIfTrue="1">
      <formula>K150=" "</formula>
    </cfRule>
  </conditionalFormatting>
  <conditionalFormatting sqref="N148">
    <cfRule type="expression" dxfId="125" priority="252" stopIfTrue="1">
      <formula>N148=" "</formula>
    </cfRule>
  </conditionalFormatting>
  <conditionalFormatting sqref="H146">
    <cfRule type="expression" dxfId="124" priority="260" stopIfTrue="1">
      <formula>H146=" "</formula>
    </cfRule>
  </conditionalFormatting>
  <conditionalFormatting sqref="H145">
    <cfRule type="expression" dxfId="123" priority="259" stopIfTrue="1">
      <formula>H145=" "</formula>
    </cfRule>
  </conditionalFormatting>
  <conditionalFormatting sqref="H150">
    <cfRule type="expression" dxfId="122" priority="256" stopIfTrue="1">
      <formula>H150=" "</formula>
    </cfRule>
  </conditionalFormatting>
  <conditionalFormatting sqref="N146">
    <cfRule type="expression" dxfId="121" priority="254" stopIfTrue="1">
      <formula>N146=" "</formula>
    </cfRule>
  </conditionalFormatting>
  <conditionalFormatting sqref="N150">
    <cfRule type="expression" dxfId="120" priority="250" stopIfTrue="1">
      <formula>N150=" "</formula>
    </cfRule>
  </conditionalFormatting>
  <conditionalFormatting sqref="H22">
    <cfRule type="expression" dxfId="119" priority="230" stopIfTrue="1">
      <formula>VALUE(H131="Materialdatenbank")</formula>
    </cfRule>
  </conditionalFormatting>
  <conditionalFormatting sqref="K22">
    <cfRule type="expression" dxfId="118" priority="219" stopIfTrue="1">
      <formula>VALUE(K131="Materialdatenbank")</formula>
    </cfRule>
  </conditionalFormatting>
  <conditionalFormatting sqref="N22">
    <cfRule type="expression" dxfId="117" priority="218" stopIfTrue="1">
      <formula>VALUE(N131="Materialdatenbank")</formula>
    </cfRule>
  </conditionalFormatting>
  <conditionalFormatting sqref="H147">
    <cfRule type="expression" dxfId="116" priority="213" stopIfTrue="1">
      <formula>H147=" "</formula>
    </cfRule>
  </conditionalFormatting>
  <conditionalFormatting sqref="H149">
    <cfRule type="expression" dxfId="115" priority="212" stopIfTrue="1">
      <formula>H149=" "</formula>
    </cfRule>
  </conditionalFormatting>
  <conditionalFormatting sqref="K147">
    <cfRule type="expression" dxfId="114" priority="211" stopIfTrue="1">
      <formula>K147=" "</formula>
    </cfRule>
  </conditionalFormatting>
  <conditionalFormatting sqref="K149">
    <cfRule type="expression" dxfId="113" priority="210" stopIfTrue="1">
      <formula>K149=" "</formula>
    </cfRule>
  </conditionalFormatting>
  <conditionalFormatting sqref="N147">
    <cfRule type="expression" dxfId="112" priority="209" stopIfTrue="1">
      <formula>N147=" "</formula>
    </cfRule>
  </conditionalFormatting>
  <conditionalFormatting sqref="N149">
    <cfRule type="expression" dxfId="111" priority="208" stopIfTrue="1">
      <formula>N149=" "</formula>
    </cfRule>
  </conditionalFormatting>
  <conditionalFormatting sqref="H111 K111 N111">
    <cfRule type="expression" dxfId="110" priority="201" stopIfTrue="1">
      <formula>VALUE(#REF!="Materialdatenbank")</formula>
    </cfRule>
  </conditionalFormatting>
  <conditionalFormatting sqref="H148">
    <cfRule type="expression" dxfId="109" priority="193" stopIfTrue="1">
      <formula>H148=" "</formula>
    </cfRule>
  </conditionalFormatting>
  <conditionalFormatting sqref="K148">
    <cfRule type="expression" dxfId="108" priority="191" stopIfTrue="1">
      <formula>K148=" "</formula>
    </cfRule>
  </conditionalFormatting>
  <conditionalFormatting sqref="H105 K105">
    <cfRule type="expression" dxfId="107" priority="185" stopIfTrue="1">
      <formula>VALUE(#REF!="Materialdatenbank")</formula>
    </cfRule>
  </conditionalFormatting>
  <conditionalFormatting sqref="H108 K108 N108">
    <cfRule type="expression" dxfId="106" priority="184" stopIfTrue="1">
      <formula>VALUE(#REF!="Materialdatenbank")</formula>
    </cfRule>
  </conditionalFormatting>
  <conditionalFormatting sqref="K33">
    <cfRule type="expression" dxfId="105" priority="179" stopIfTrue="1">
      <formula>VALUE(#REF!="Materialdatenbank")</formula>
    </cfRule>
  </conditionalFormatting>
  <conditionalFormatting sqref="N33">
    <cfRule type="expression" dxfId="104" priority="177" stopIfTrue="1">
      <formula>VALUE(#REF!="Materialdatenbank")</formula>
    </cfRule>
  </conditionalFormatting>
  <conditionalFormatting sqref="K37 N37">
    <cfRule type="expression" dxfId="103" priority="169" stopIfTrue="1">
      <formula>VALUE(#REF!="Materialdatenbank")</formula>
    </cfRule>
  </conditionalFormatting>
  <conditionalFormatting sqref="K34">
    <cfRule type="expression" dxfId="102" priority="166" stopIfTrue="1">
      <formula>VALUE(K33="Materialdatenbank")</formula>
    </cfRule>
  </conditionalFormatting>
  <conditionalFormatting sqref="N34">
    <cfRule type="expression" dxfId="101" priority="165" stopIfTrue="1">
      <formula>VALUE(N33="Materialdatenbank")</formula>
    </cfRule>
  </conditionalFormatting>
  <conditionalFormatting sqref="H45">
    <cfRule type="expression" dxfId="100" priority="160" stopIfTrue="1">
      <formula>VALUE(#REF!="Materialdatenbank")</formula>
    </cfRule>
  </conditionalFormatting>
  <conditionalFormatting sqref="H43">
    <cfRule type="expression" dxfId="99" priority="161" stopIfTrue="1">
      <formula>VALUE(H37="Materialdatenbank")</formula>
    </cfRule>
  </conditionalFormatting>
  <conditionalFormatting sqref="K43">
    <cfRule type="expression" dxfId="98" priority="139" stopIfTrue="1">
      <formula>VALUE(K37="Materialdatenbank")</formula>
    </cfRule>
  </conditionalFormatting>
  <conditionalFormatting sqref="N43">
    <cfRule type="expression" dxfId="97" priority="138" stopIfTrue="1">
      <formula>VALUE(N37="Materialdatenbank")</formula>
    </cfRule>
  </conditionalFormatting>
  <conditionalFormatting sqref="K21">
    <cfRule type="expression" dxfId="96" priority="124" stopIfTrue="1">
      <formula>VALUE(K25="Materialdatenbank")</formula>
    </cfRule>
  </conditionalFormatting>
  <conditionalFormatting sqref="N21">
    <cfRule type="expression" dxfId="95" priority="123" stopIfTrue="1">
      <formula>VALUE(N25="Materialdatenbank")</formula>
    </cfRule>
  </conditionalFormatting>
  <conditionalFormatting sqref="K115 H115 N115">
    <cfRule type="expression" dxfId="94" priority="111" stopIfTrue="1">
      <formula>VALUE(H118="Materialdatenbank")</formula>
    </cfRule>
  </conditionalFormatting>
  <conditionalFormatting sqref="H26 K26 N26">
    <cfRule type="expression" dxfId="93" priority="510" stopIfTrue="1">
      <formula>VALUE(#REF!="Materialdatenbank")</formula>
    </cfRule>
  </conditionalFormatting>
  <conditionalFormatting sqref="H18 N18 K18">
    <cfRule type="expression" dxfId="92" priority="108" stopIfTrue="1">
      <formula>VALUE(H21="Materialdatenbank")</formula>
    </cfRule>
  </conditionalFormatting>
  <conditionalFormatting sqref="H23">
    <cfRule type="expression" dxfId="91" priority="107" stopIfTrue="1">
      <formula>VALUE(H27="Materialdatenbank")</formula>
    </cfRule>
  </conditionalFormatting>
  <conditionalFormatting sqref="H19">
    <cfRule type="expression" dxfId="90" priority="94" stopIfTrue="1">
      <formula>VALUE(#REF!="Materialdatenbank")</formula>
    </cfRule>
  </conditionalFormatting>
  <conditionalFormatting sqref="K19 N19">
    <cfRule type="expression" dxfId="89" priority="93" stopIfTrue="1">
      <formula>VALUE(#REF!="Materialdatenbank")</formula>
    </cfRule>
  </conditionalFormatting>
  <conditionalFormatting sqref="K20 N20">
    <cfRule type="expression" dxfId="88" priority="92" stopIfTrue="1">
      <formula>VALUE(K26="Materialdatenbank")</formula>
    </cfRule>
  </conditionalFormatting>
  <conditionalFormatting sqref="K23 N23">
    <cfRule type="expression" dxfId="87" priority="91" stopIfTrue="1">
      <formula>VALUE(K27="Materialdatenbank")</formula>
    </cfRule>
  </conditionalFormatting>
  <conditionalFormatting sqref="K45">
    <cfRule type="expression" dxfId="86" priority="90" stopIfTrue="1">
      <formula>VALUE(#REF!="Materialdatenbank")</formula>
    </cfRule>
  </conditionalFormatting>
  <conditionalFormatting sqref="N45">
    <cfRule type="expression" dxfId="85" priority="89" stopIfTrue="1">
      <formula>VALUE(#REF!="Materialdatenbank")</formula>
    </cfRule>
  </conditionalFormatting>
  <conditionalFormatting sqref="K36 N36">
    <cfRule type="expression" dxfId="84" priority="86" stopIfTrue="1">
      <formula>VALUE(#REF!="Materialdatenbank")</formula>
    </cfRule>
  </conditionalFormatting>
  <conditionalFormatting sqref="N39">
    <cfRule type="expression" dxfId="83" priority="85" stopIfTrue="1">
      <formula>VALUE(N47="Materialdatenbank")</formula>
    </cfRule>
  </conditionalFormatting>
  <conditionalFormatting sqref="K93 N93 H93">
    <cfRule type="expression" dxfId="82" priority="517" stopIfTrue="1">
      <formula>VALUE(H65="Materialdatenbank")</formula>
    </cfRule>
  </conditionalFormatting>
  <conditionalFormatting sqref="H64 K64 N64">
    <cfRule type="expression" dxfId="81" priority="529" stopIfTrue="1">
      <formula>VALUE(H53="Materialdatenbank")</formula>
    </cfRule>
  </conditionalFormatting>
  <conditionalFormatting sqref="H89 K89 N89">
    <cfRule type="expression" dxfId="80" priority="531" stopIfTrue="1">
      <formula>VALUE(H63="Materialdatenbank")</formula>
    </cfRule>
  </conditionalFormatting>
  <conditionalFormatting sqref="K66 N66 H66 N69">
    <cfRule type="expression" dxfId="79" priority="79" stopIfTrue="1">
      <formula>VALUE(H132="Materialdatenbank")</formula>
    </cfRule>
  </conditionalFormatting>
  <conditionalFormatting sqref="H125 K125 N125">
    <cfRule type="expression" dxfId="78" priority="533" stopIfTrue="1">
      <formula>VALUE(#REF!="Materialdatenbank")</formula>
    </cfRule>
  </conditionalFormatting>
  <conditionalFormatting sqref="N126">
    <cfRule type="expression" dxfId="77" priority="556" stopIfTrue="1">
      <formula>VALUE(N113="Materialdatenbank")</formula>
    </cfRule>
  </conditionalFormatting>
  <conditionalFormatting sqref="K118 N118 H118">
    <cfRule type="expression" dxfId="76" priority="557" stopIfTrue="1">
      <formula>VALUE(H70="Materialdatenbank")</formula>
    </cfRule>
  </conditionalFormatting>
  <conditionalFormatting sqref="K47">
    <cfRule type="expression" dxfId="75" priority="71" stopIfTrue="1">
      <formula>VALUE(K48="Materialdatenbank")</formula>
    </cfRule>
  </conditionalFormatting>
  <conditionalFormatting sqref="N47">
    <cfRule type="expression" dxfId="74" priority="70" stopIfTrue="1">
      <formula>VALUE(N48="Materialdatenbank")</formula>
    </cfRule>
  </conditionalFormatting>
  <conditionalFormatting sqref="H72">
    <cfRule type="expression" dxfId="73" priority="62" stopIfTrue="1">
      <formula>VALUE(H68="Materialdatenbank")</formula>
    </cfRule>
  </conditionalFormatting>
  <conditionalFormatting sqref="H126">
    <cfRule type="expression" dxfId="72" priority="59" stopIfTrue="1">
      <formula>VALUE(H113="Materialdatenbank")</formula>
    </cfRule>
  </conditionalFormatting>
  <conditionalFormatting sqref="H129">
    <cfRule type="expression" dxfId="71" priority="58" stopIfTrue="1">
      <formula>VALUE(H116="Materialdatenbank")</formula>
    </cfRule>
  </conditionalFormatting>
  <conditionalFormatting sqref="K126">
    <cfRule type="expression" dxfId="70" priority="56" stopIfTrue="1">
      <formula>VALUE(K113="Materialdatenbank")</formula>
    </cfRule>
  </conditionalFormatting>
  <conditionalFormatting sqref="N71 K71 H71">
    <cfRule type="expression" dxfId="69" priority="562" stopIfTrue="1">
      <formula>VALUE(#REF!="Materialdatenbank")</formula>
    </cfRule>
  </conditionalFormatting>
  <conditionalFormatting sqref="H119">
    <cfRule type="expression" dxfId="68" priority="54" stopIfTrue="1">
      <formula>VALUE(H122="Materialdatenbank")</formula>
    </cfRule>
  </conditionalFormatting>
  <conditionalFormatting sqref="K119 N119">
    <cfRule type="expression" dxfId="67" priority="53" stopIfTrue="1">
      <formula>VALUE(K122="Materialdatenbank")</formula>
    </cfRule>
  </conditionalFormatting>
  <conditionalFormatting sqref="H88 K88 N88">
    <cfRule type="expression" dxfId="66" priority="586" stopIfTrue="1">
      <formula>VALUE(H64="Materialdatenbank")</formula>
    </cfRule>
  </conditionalFormatting>
  <conditionalFormatting sqref="H113 K113 N113">
    <cfRule type="expression" dxfId="65" priority="591" stopIfTrue="1">
      <formula>VALUE(H76="Materialdatenbank")</formula>
    </cfRule>
  </conditionalFormatting>
  <conditionalFormatting sqref="H77 N77">
    <cfRule type="expression" dxfId="64" priority="52" stopIfTrue="1">
      <formula>VALUE(H60="Materialdatenbank")</formula>
    </cfRule>
  </conditionalFormatting>
  <conditionalFormatting sqref="K77">
    <cfRule type="expression" dxfId="63" priority="51" stopIfTrue="1">
      <formula>VALUE(K60="Materialdatenbank")</formula>
    </cfRule>
  </conditionalFormatting>
  <conditionalFormatting sqref="H87 N87">
    <cfRule type="expression" dxfId="62" priority="48" stopIfTrue="1">
      <formula>VALUE(H64="Materialdatenbank")</formula>
    </cfRule>
  </conditionalFormatting>
  <conditionalFormatting sqref="K87">
    <cfRule type="expression" dxfId="61" priority="40" stopIfTrue="1">
      <formula>VALUE(K64="Materialdatenbank")</formula>
    </cfRule>
  </conditionalFormatting>
  <conditionalFormatting sqref="H69">
    <cfRule type="expression" dxfId="60" priority="38" stopIfTrue="1">
      <formula>VALUE(H135="Materialdatenbank")</formula>
    </cfRule>
  </conditionalFormatting>
  <conditionalFormatting sqref="K69">
    <cfRule type="expression" dxfId="59" priority="37" stopIfTrue="1">
      <formula>VALUE(K135="Materialdatenbank")</formula>
    </cfRule>
  </conditionalFormatting>
  <conditionalFormatting sqref="K72 N72">
    <cfRule type="expression" dxfId="58" priority="36" stopIfTrue="1">
      <formula>VALUE(K68="Materialdatenbank")</formula>
    </cfRule>
  </conditionalFormatting>
  <conditionalFormatting sqref="K129 N129">
    <cfRule type="expression" dxfId="57" priority="35" stopIfTrue="1">
      <formula>VALUE(K116="Materialdatenbank")</formula>
    </cfRule>
  </conditionalFormatting>
  <conditionalFormatting sqref="H140 K140 N140">
    <cfRule type="expression" dxfId="56" priority="34" stopIfTrue="1">
      <formula>VALUE(#REF!="Materialdatenbank")</formula>
    </cfRule>
  </conditionalFormatting>
  <conditionalFormatting sqref="H80">
    <cfRule type="expression" dxfId="55" priority="33" stopIfTrue="1">
      <formula>VALUE(H62="Materialdatenbank")</formula>
    </cfRule>
  </conditionalFormatting>
  <conditionalFormatting sqref="K80">
    <cfRule type="expression" dxfId="54" priority="32" stopIfTrue="1">
      <formula>VALUE(K62="Materialdatenbank")</formula>
    </cfRule>
  </conditionalFormatting>
  <conditionalFormatting sqref="N80">
    <cfRule type="expression" dxfId="53" priority="31" stopIfTrue="1">
      <formula>VALUE(N62="Materialdatenbank")</formula>
    </cfRule>
  </conditionalFormatting>
  <conditionalFormatting sqref="H83">
    <cfRule type="expression" dxfId="52" priority="30" stopIfTrue="1">
      <formula>VALUE(H64="Materialdatenbank")</formula>
    </cfRule>
  </conditionalFormatting>
  <conditionalFormatting sqref="K83">
    <cfRule type="expression" dxfId="51" priority="29" stopIfTrue="1">
      <formula>VALUE(K64="Materialdatenbank")</formula>
    </cfRule>
  </conditionalFormatting>
  <conditionalFormatting sqref="N83">
    <cfRule type="expression" dxfId="50" priority="28" stopIfTrue="1">
      <formula>VALUE(N64="Materialdatenbank")</formula>
    </cfRule>
  </conditionalFormatting>
  <conditionalFormatting sqref="H97">
    <cfRule type="expression" dxfId="49" priority="27" stopIfTrue="1">
      <formula>VALUE(#REF!="Materialdatenbank")</formula>
    </cfRule>
  </conditionalFormatting>
  <conditionalFormatting sqref="K97">
    <cfRule type="expression" dxfId="48" priority="26" stopIfTrue="1">
      <formula>VALUE(#REF!="Materialdatenbank")</formula>
    </cfRule>
  </conditionalFormatting>
  <conditionalFormatting sqref="H90">
    <cfRule type="expression" dxfId="47" priority="24" stopIfTrue="1">
      <formula>VALUE(H64="Materialdatenbank")</formula>
    </cfRule>
  </conditionalFormatting>
  <conditionalFormatting sqref="K90">
    <cfRule type="expression" dxfId="46" priority="23" stopIfTrue="1">
      <formula>VALUE(K64="Materialdatenbank")</formula>
    </cfRule>
  </conditionalFormatting>
  <conditionalFormatting sqref="H100 K100 N100">
    <cfRule type="expression" dxfId="45" priority="22" stopIfTrue="1">
      <formula>VALUE(#REF!="Materialdatenbank")</formula>
    </cfRule>
  </conditionalFormatting>
  <conditionalFormatting sqref="N105">
    <cfRule type="expression" dxfId="44" priority="21" stopIfTrue="1">
      <formula>VALUE(#REF!="Materialdatenbank")</formula>
    </cfRule>
  </conditionalFormatting>
  <conditionalFormatting sqref="H104">
    <cfRule type="expression" dxfId="43" priority="20" stopIfTrue="1">
      <formula>VALUE(#REF!="Materialdatenbank")</formula>
    </cfRule>
  </conditionalFormatting>
  <conditionalFormatting sqref="K104">
    <cfRule type="expression" dxfId="42" priority="17" stopIfTrue="1">
      <formula>VALUE(#REF!="Materialdatenbank")</formula>
    </cfRule>
  </conditionalFormatting>
  <conditionalFormatting sqref="N104">
    <cfRule type="expression" dxfId="41" priority="16" stopIfTrue="1">
      <formula>VALUE(#REF!="Materialdatenbank")</formula>
    </cfRule>
  </conditionalFormatting>
  <conditionalFormatting sqref="H107">
    <cfRule type="expression" dxfId="40" priority="15" stopIfTrue="1">
      <formula>VALUE(#REF!="Materialdatenbank")</formula>
    </cfRule>
  </conditionalFormatting>
  <conditionalFormatting sqref="K107">
    <cfRule type="expression" dxfId="39" priority="12" stopIfTrue="1">
      <formula>VALUE(#REF!="Materialdatenbank")</formula>
    </cfRule>
  </conditionalFormatting>
  <conditionalFormatting sqref="N107">
    <cfRule type="expression" dxfId="38" priority="11" stopIfTrue="1">
      <formula>VALUE(#REF!="Materialdatenbank")</formula>
    </cfRule>
  </conditionalFormatting>
  <conditionalFormatting sqref="H79">
    <cfRule type="expression" dxfId="37" priority="10" stopIfTrue="1">
      <formula>VALUE(H61="Materialdatenbank")</formula>
    </cfRule>
  </conditionalFormatting>
  <conditionalFormatting sqref="K79">
    <cfRule type="expression" dxfId="36" priority="9" stopIfTrue="1">
      <formula>VALUE(K61="Materialdatenbank")</formula>
    </cfRule>
  </conditionalFormatting>
  <conditionalFormatting sqref="N79">
    <cfRule type="expression" dxfId="35" priority="8" stopIfTrue="1">
      <formula>VALUE(N61="Materialdatenbank")</formula>
    </cfRule>
  </conditionalFormatting>
  <conditionalFormatting sqref="H82">
    <cfRule type="expression" dxfId="34" priority="7" stopIfTrue="1">
      <formula>VALUE(H63="Materialdatenbank")</formula>
    </cfRule>
  </conditionalFormatting>
  <conditionalFormatting sqref="K82">
    <cfRule type="expression" dxfId="33" priority="6" stopIfTrue="1">
      <formula>VALUE(K63="Materialdatenbank")</formula>
    </cfRule>
  </conditionalFormatting>
  <conditionalFormatting sqref="N82">
    <cfRule type="expression" dxfId="32" priority="5" stopIfTrue="1">
      <formula>VALUE(N63="Materialdatenbank")</formula>
    </cfRule>
  </conditionalFormatting>
  <conditionalFormatting sqref="H96 K96 N96">
    <cfRule type="expression" dxfId="31" priority="1" stopIfTrue="1">
      <formula>VALUE(#REF!="Materialdatenbank")</formula>
    </cfRule>
  </conditionalFormatting>
  <dataValidations count="9">
    <dataValidation type="whole" allowBlank="1" showInputMessage="1" showErrorMessage="1" sqref="K50 H50 N50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" xr:uid="{00000000-0002-0000-03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K52 H52 N52" xr:uid="{00000000-0002-0000-03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K58 N58" xr:uid="{00000000-0002-0000-0300-000004000000}">
      <formula1>AW_Kühleisen</formula1>
    </dataValidation>
    <dataValidation type="decimal" allowBlank="1" showInputMessage="1" showErrorMessage="1" sqref="K110 N110 H110" xr:uid="{00000000-0002-0000-0300-000005000000}">
      <formula1>0</formula1>
      <formula2>1</formula2>
    </dataValidation>
    <dataValidation type="decimal" allowBlank="1" showInputMessage="1" showErrorMessage="1" sqref="H111 K111 N111" xr:uid="{00000000-0002-0000-0300-000006000000}">
      <formula1>0</formula1>
      <formula2>2</formula2>
    </dataValidation>
    <dataValidation type="whole" allowBlank="1" showInputMessage="1" showErrorMessage="1" sqref="H61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30 K30 N30" xr:uid="{00000000-0002-0000-03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6:N106 I101:J101 H109:N111 I108:J108 H114:N114 H112:M113 H132:N132 H115:M131 I97:J97 I105:J105 H103:J103 I102:J102 L97:M97 L105:M105 H98:M99 L102:M103 L101:M101 L108:M108" unlockedFormula="1"/>
    <ignoredError sqref="N92:N95 H135:N141 N145:N150 N8:N16 N87:N89 N20:N78 N81" evalError="1"/>
    <ignoredError sqref="N112:N113 N115:N131 H133:N134 N103 N98:N99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N102 H102 K102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Parametrikber!F$216:F$219</xm:f>
          </x14:formula1>
          <xm:sqref>H31 N31 K31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4" t="b">
        <f>OR(D21="?",D21="",D7="")</f>
        <v>0</v>
      </c>
    </row>
    <row r="3" spans="1:11" ht="18.75" thickBot="1" x14ac:dyDescent="0.3">
      <c r="B3" s="218"/>
      <c r="C3" s="219" t="s">
        <v>431</v>
      </c>
      <c r="D3" s="220"/>
      <c r="E3" s="220"/>
      <c r="F3" s="220"/>
      <c r="G3" s="220"/>
      <c r="H3" s="220"/>
      <c r="I3" s="221"/>
      <c r="K3" s="385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8"/>
      <c r="F6" s="389"/>
      <c r="G6" s="288"/>
      <c r="H6" s="288"/>
      <c r="I6" s="11"/>
    </row>
    <row r="7" spans="1:11" ht="15" x14ac:dyDescent="0.25">
      <c r="B7" s="9"/>
      <c r="C7" s="414" t="s">
        <v>191</v>
      </c>
      <c r="D7" s="415" t="str">
        <f>CONCATENATE('Quick Input'!U3,"_",'Quick Input'!U4)</f>
        <v>MGG_DI MC</v>
      </c>
      <c r="E7" s="388"/>
      <c r="F7" s="389"/>
      <c r="G7" s="392" t="s">
        <v>192</v>
      </c>
      <c r="H7" s="393">
        <f>'Quick Input'!L4</f>
        <v>43993</v>
      </c>
      <c r="I7" s="11"/>
    </row>
    <row r="8" spans="1:11" ht="15" x14ac:dyDescent="0.25">
      <c r="B8" s="9"/>
      <c r="C8" s="390" t="s">
        <v>193</v>
      </c>
      <c r="D8" s="394"/>
      <c r="E8" s="388"/>
      <c r="F8" s="389"/>
      <c r="G8" s="288"/>
      <c r="H8" s="288"/>
      <c r="I8" s="11"/>
    </row>
    <row r="9" spans="1:11" ht="15" x14ac:dyDescent="0.25">
      <c r="B9" s="9"/>
      <c r="C9" s="390"/>
      <c r="D9" s="395"/>
      <c r="E9" s="388"/>
      <c r="F9" s="389"/>
      <c r="G9" s="288"/>
      <c r="H9" s="288"/>
      <c r="I9" s="11"/>
    </row>
    <row r="10" spans="1:11" ht="15" x14ac:dyDescent="0.25">
      <c r="B10" s="9"/>
      <c r="C10" s="390" t="s">
        <v>194</v>
      </c>
      <c r="D10" s="391"/>
      <c r="E10" s="388"/>
      <c r="F10" s="389"/>
      <c r="G10" s="288"/>
      <c r="H10" s="288"/>
      <c r="I10" s="11"/>
    </row>
    <row r="11" spans="1:11" ht="15" x14ac:dyDescent="0.25">
      <c r="B11" s="9"/>
      <c r="C11" s="396"/>
      <c r="D11" s="397"/>
      <c r="E11" s="388"/>
      <c r="F11" s="389"/>
      <c r="G11" s="288"/>
      <c r="H11" s="288"/>
      <c r="I11" s="11"/>
    </row>
    <row r="12" spans="1:11" ht="15" x14ac:dyDescent="0.25">
      <c r="B12" s="9"/>
      <c r="C12" s="390" t="s">
        <v>195</v>
      </c>
      <c r="D12" s="865" t="str">
        <f>'Quick Input'!U5</f>
        <v>JM_PUC AL</v>
      </c>
      <c r="E12" s="388"/>
      <c r="F12" s="389"/>
      <c r="G12" s="288"/>
      <c r="H12" s="288"/>
      <c r="I12" s="11"/>
    </row>
    <row r="13" spans="1:11" ht="15" x14ac:dyDescent="0.25">
      <c r="B13" s="9"/>
      <c r="C13" s="390" t="s">
        <v>196</v>
      </c>
      <c r="D13" s="391"/>
      <c r="E13" s="388"/>
      <c r="F13" s="389"/>
      <c r="G13" s="288"/>
      <c r="H13" s="288"/>
      <c r="I13" s="11"/>
    </row>
    <row r="14" spans="1:11" ht="15" x14ac:dyDescent="0.25">
      <c r="B14" s="9"/>
      <c r="C14" s="390" t="s">
        <v>197</v>
      </c>
      <c r="D14" s="391"/>
      <c r="E14" s="388"/>
      <c r="F14" s="389"/>
      <c r="G14" s="288"/>
      <c r="H14" s="288"/>
      <c r="I14" s="11"/>
    </row>
    <row r="15" spans="1:11" ht="15" thickBot="1" x14ac:dyDescent="0.25">
      <c r="B15" s="12"/>
      <c r="C15" s="398"/>
      <c r="D15" s="399"/>
      <c r="E15" s="400"/>
      <c r="F15" s="401"/>
      <c r="G15" s="399"/>
      <c r="H15" s="399"/>
      <c r="I15" s="126"/>
      <c r="K15" s="222"/>
    </row>
    <row r="16" spans="1:11" x14ac:dyDescent="0.2">
      <c r="B16" s="6"/>
      <c r="C16" s="402"/>
      <c r="D16" s="402"/>
      <c r="E16" s="403"/>
      <c r="F16" s="402"/>
      <c r="G16" s="402"/>
      <c r="H16" s="402"/>
      <c r="I16" s="8"/>
    </row>
    <row r="17" spans="2:9" ht="15" x14ac:dyDescent="0.25">
      <c r="B17" s="9"/>
      <c r="C17" s="404" t="s">
        <v>198</v>
      </c>
      <c r="D17" s="355"/>
      <c r="E17" s="388"/>
      <c r="F17" s="288"/>
      <c r="G17" s="390" t="s">
        <v>199</v>
      </c>
      <c r="H17" s="355"/>
      <c r="I17" s="11"/>
    </row>
    <row r="18" spans="2:9" x14ac:dyDescent="0.2">
      <c r="B18" s="9"/>
      <c r="C18" s="288"/>
      <c r="D18" s="288"/>
      <c r="E18" s="388"/>
      <c r="F18" s="288"/>
      <c r="G18" s="288"/>
      <c r="H18" s="288"/>
      <c r="I18" s="11"/>
    </row>
    <row r="19" spans="2:9" x14ac:dyDescent="0.2">
      <c r="B19" s="9"/>
      <c r="C19" s="405" t="s">
        <v>200</v>
      </c>
      <c r="D19" s="391" t="str">
        <f>CONCATENATE("Siemens ",'Quick Input'!U2)</f>
        <v>Siemens Erlangen</v>
      </c>
      <c r="E19" s="388"/>
      <c r="F19" s="288"/>
      <c r="G19" s="405" t="s">
        <v>201</v>
      </c>
      <c r="H19" s="406"/>
      <c r="I19" s="11"/>
    </row>
    <row r="20" spans="2:9" x14ac:dyDescent="0.2">
      <c r="B20" s="9"/>
      <c r="C20" s="405" t="s">
        <v>202</v>
      </c>
      <c r="D20" s="391" t="str">
        <f>Refkalkulation!H6</f>
        <v>Housing</v>
      </c>
      <c r="E20" s="388"/>
      <c r="F20" s="288"/>
      <c r="G20" s="405" t="s">
        <v>203</v>
      </c>
      <c r="H20" s="406"/>
      <c r="I20" s="11"/>
    </row>
    <row r="21" spans="2:9" x14ac:dyDescent="0.2">
      <c r="B21" s="9"/>
      <c r="C21" s="73" t="s">
        <v>204</v>
      </c>
      <c r="D21" s="527">
        <f>Refkalkulation!H5</f>
        <v>58622</v>
      </c>
      <c r="E21" s="388"/>
      <c r="F21" s="288"/>
      <c r="G21" s="405" t="s">
        <v>274</v>
      </c>
      <c r="H21" s="406"/>
      <c r="I21" s="11"/>
    </row>
    <row r="22" spans="2:9" x14ac:dyDescent="0.2">
      <c r="B22" s="9"/>
      <c r="C22" s="73" t="s">
        <v>345</v>
      </c>
      <c r="D22" s="444" t="str">
        <f>Refkalkulation!H11</f>
        <v>LM2, L-2640</v>
      </c>
      <c r="E22" s="388"/>
      <c r="F22" s="288"/>
      <c r="G22" s="405" t="s">
        <v>205</v>
      </c>
      <c r="H22" s="406"/>
      <c r="I22" s="11"/>
    </row>
    <row r="23" spans="2:9" x14ac:dyDescent="0.2">
      <c r="B23" s="9"/>
      <c r="C23" s="73" t="s">
        <v>346</v>
      </c>
      <c r="D23" s="444"/>
      <c r="E23" s="388"/>
      <c r="F23" s="288"/>
      <c r="G23" s="288"/>
      <c r="H23" s="288"/>
      <c r="I23" s="11"/>
    </row>
    <row r="24" spans="2:9" x14ac:dyDescent="0.2">
      <c r="B24" s="9"/>
      <c r="C24" s="73" t="s">
        <v>355</v>
      </c>
      <c r="D24" s="469">
        <f>'Quick Input'!M36</f>
        <v>5000</v>
      </c>
      <c r="E24" s="388"/>
      <c r="F24" s="389"/>
      <c r="G24" s="288"/>
      <c r="H24" s="288"/>
      <c r="I24" s="11"/>
    </row>
    <row r="25" spans="2:9" ht="15" thickBot="1" x14ac:dyDescent="0.25">
      <c r="B25" s="12"/>
      <c r="C25" s="399"/>
      <c r="D25" s="399"/>
      <c r="E25" s="400"/>
      <c r="F25" s="399"/>
      <c r="G25" s="399"/>
      <c r="H25" s="399"/>
      <c r="I25" s="126"/>
    </row>
    <row r="26" spans="2:9" x14ac:dyDescent="0.2">
      <c r="B26" s="6"/>
      <c r="C26" s="402"/>
      <c r="D26" s="402"/>
      <c r="E26" s="403"/>
      <c r="F26" s="407"/>
      <c r="G26" s="402"/>
      <c r="H26" s="402"/>
      <c r="I26" s="8"/>
    </row>
    <row r="27" spans="2:9" ht="15" x14ac:dyDescent="0.25">
      <c r="B27" s="9"/>
      <c r="C27" s="404" t="s">
        <v>206</v>
      </c>
      <c r="D27" s="355"/>
      <c r="E27" s="388"/>
      <c r="F27" s="389"/>
      <c r="G27" s="404" t="s">
        <v>207</v>
      </c>
      <c r="H27" s="355"/>
      <c r="I27" s="11"/>
    </row>
    <row r="28" spans="2:9" x14ac:dyDescent="0.2">
      <c r="B28" s="9"/>
      <c r="D28" s="288"/>
      <c r="E28" s="388"/>
      <c r="F28" s="389"/>
      <c r="G28" s="288"/>
      <c r="H28" s="288"/>
      <c r="I28" s="11"/>
    </row>
    <row r="29" spans="2:9" x14ac:dyDescent="0.2">
      <c r="B29" s="9"/>
      <c r="C29" s="405" t="s">
        <v>546</v>
      </c>
      <c r="D29" s="406"/>
      <c r="E29" s="388"/>
      <c r="F29" s="389"/>
      <c r="G29" s="405" t="s">
        <v>275</v>
      </c>
      <c r="H29" s="406">
        <f>'Quick Input'!J22</f>
        <v>0</v>
      </c>
      <c r="I29" s="11"/>
    </row>
    <row r="30" spans="2:9" x14ac:dyDescent="0.2">
      <c r="B30" s="9"/>
      <c r="C30" s="405" t="s">
        <v>209</v>
      </c>
      <c r="D30" s="408"/>
      <c r="E30" s="388"/>
      <c r="F30" s="389"/>
      <c r="G30" s="405" t="s">
        <v>547</v>
      </c>
      <c r="H30" s="406"/>
      <c r="I30" s="11"/>
    </row>
    <row r="31" spans="2:9" x14ac:dyDescent="0.2">
      <c r="B31" s="9"/>
      <c r="C31" s="405" t="s">
        <v>658</v>
      </c>
      <c r="D31" s="408"/>
      <c r="E31" s="388"/>
      <c r="F31" s="389"/>
      <c r="G31" s="405" t="s">
        <v>547</v>
      </c>
      <c r="H31" s="406"/>
      <c r="I31" s="11"/>
    </row>
    <row r="32" spans="2:9" x14ac:dyDescent="0.2">
      <c r="B32" s="9"/>
      <c r="C32" s="405" t="s">
        <v>432</v>
      </c>
      <c r="D32" s="409"/>
      <c r="E32" s="388"/>
      <c r="F32" s="389"/>
      <c r="G32" s="405" t="s">
        <v>354</v>
      </c>
      <c r="H32" s="406"/>
      <c r="I32" s="11"/>
    </row>
    <row r="33" spans="2:9" x14ac:dyDescent="0.2">
      <c r="B33" s="9"/>
      <c r="C33" s="405" t="s">
        <v>659</v>
      </c>
      <c r="D33" s="406"/>
      <c r="E33" s="388"/>
      <c r="F33" s="389"/>
      <c r="G33" s="405" t="s">
        <v>354</v>
      </c>
      <c r="H33" s="406"/>
      <c r="I33" s="11"/>
    </row>
    <row r="34" spans="2:9" ht="15" thickBot="1" x14ac:dyDescent="0.25">
      <c r="B34" s="12"/>
      <c r="C34" s="399"/>
      <c r="D34" s="399"/>
      <c r="E34" s="400"/>
      <c r="F34" s="401"/>
      <c r="G34" s="399"/>
      <c r="H34" s="399"/>
      <c r="I34" s="126"/>
    </row>
    <row r="35" spans="2:9" x14ac:dyDescent="0.2">
      <c r="B35" s="6"/>
      <c r="C35" s="402"/>
      <c r="D35" s="402"/>
      <c r="E35" s="402"/>
      <c r="F35" s="407"/>
      <c r="G35" s="402"/>
      <c r="H35" s="402"/>
      <c r="I35" s="8"/>
    </row>
    <row r="36" spans="2:9" ht="15" x14ac:dyDescent="0.25">
      <c r="B36" s="9"/>
      <c r="C36" s="404" t="s">
        <v>273</v>
      </c>
      <c r="D36" s="355"/>
      <c r="E36" s="288"/>
      <c r="F36" s="389"/>
      <c r="G36" s="404" t="s">
        <v>210</v>
      </c>
      <c r="H36" s="355"/>
      <c r="I36" s="11"/>
    </row>
    <row r="37" spans="2:9" x14ac:dyDescent="0.2">
      <c r="B37" s="9"/>
      <c r="C37" s="288"/>
      <c r="D37" s="288"/>
      <c r="E37" s="288"/>
      <c r="F37" s="389"/>
      <c r="G37" s="288"/>
      <c r="H37" s="288"/>
      <c r="I37" s="11"/>
    </row>
    <row r="38" spans="2:9" x14ac:dyDescent="0.2">
      <c r="B38" s="9"/>
      <c r="C38" s="405" t="s">
        <v>549</v>
      </c>
      <c r="D38" s="391"/>
      <c r="E38" s="288"/>
      <c r="F38" s="389"/>
      <c r="G38" s="410" t="s">
        <v>660</v>
      </c>
      <c r="H38" s="411"/>
      <c r="I38" s="11"/>
    </row>
    <row r="39" spans="2:9" x14ac:dyDescent="0.2">
      <c r="B39" s="9"/>
      <c r="C39" s="405" t="s">
        <v>548</v>
      </c>
      <c r="D39" s="391"/>
      <c r="E39" s="288"/>
      <c r="F39" s="389"/>
      <c r="G39" s="410" t="s">
        <v>661</v>
      </c>
      <c r="H39" s="411"/>
      <c r="I39" s="11"/>
    </row>
    <row r="40" spans="2:9" x14ac:dyDescent="0.2">
      <c r="B40" s="9"/>
      <c r="C40" s="405" t="s">
        <v>550</v>
      </c>
      <c r="D40" s="391"/>
      <c r="E40" s="288"/>
      <c r="F40" s="389"/>
      <c r="G40" s="410" t="s">
        <v>662</v>
      </c>
      <c r="H40" s="411"/>
      <c r="I40" s="11"/>
    </row>
    <row r="41" spans="2:9" x14ac:dyDescent="0.2">
      <c r="B41" s="9"/>
      <c r="C41" s="405" t="s">
        <v>211</v>
      </c>
      <c r="D41" s="391"/>
      <c r="E41" s="288"/>
      <c r="F41" s="389"/>
      <c r="G41" s="410" t="s">
        <v>663</v>
      </c>
      <c r="H41" s="411"/>
      <c r="I41" s="11"/>
    </row>
    <row r="42" spans="2:9" x14ac:dyDescent="0.2">
      <c r="B42" s="9"/>
      <c r="C42" s="405"/>
      <c r="D42" s="288"/>
      <c r="E42" s="288"/>
      <c r="F42" s="389"/>
      <c r="G42" s="410"/>
      <c r="H42" s="411"/>
      <c r="I42" s="11"/>
    </row>
    <row r="43" spans="2:9" ht="15" thickBot="1" x14ac:dyDescent="0.25">
      <c r="B43" s="12"/>
      <c r="C43" s="399"/>
      <c r="D43" s="399"/>
      <c r="E43" s="399"/>
      <c r="F43" s="389"/>
      <c r="G43" s="410"/>
      <c r="H43" s="411"/>
      <c r="I43" s="11"/>
    </row>
    <row r="44" spans="2:9" x14ac:dyDescent="0.2">
      <c r="B44" s="6"/>
      <c r="C44" s="402"/>
      <c r="D44" s="402"/>
      <c r="E44" s="403"/>
      <c r="F44" s="389"/>
      <c r="G44" s="410"/>
      <c r="H44" s="411"/>
      <c r="I44" s="11"/>
    </row>
    <row r="45" spans="2:9" ht="15" x14ac:dyDescent="0.25">
      <c r="B45" s="9"/>
      <c r="C45" s="404" t="s">
        <v>212</v>
      </c>
      <c r="D45" s="355"/>
      <c r="E45" s="388"/>
      <c r="F45" s="389"/>
      <c r="G45" s="410"/>
      <c r="H45" s="411"/>
      <c r="I45" s="11"/>
    </row>
    <row r="46" spans="2:9" x14ac:dyDescent="0.2">
      <c r="B46" s="9"/>
      <c r="C46" s="288"/>
      <c r="D46" s="288"/>
      <c r="E46" s="388"/>
      <c r="F46" s="389"/>
      <c r="G46" s="410"/>
      <c r="H46" s="411"/>
      <c r="I46" s="11"/>
    </row>
    <row r="47" spans="2:9" x14ac:dyDescent="0.2">
      <c r="B47" s="9"/>
      <c r="C47" s="405" t="s">
        <v>277</v>
      </c>
      <c r="D47" s="406"/>
      <c r="E47" s="388"/>
      <c r="F47" s="389"/>
      <c r="G47" s="288"/>
      <c r="H47" s="412"/>
      <c r="I47" s="11"/>
    </row>
    <row r="48" spans="2:9" x14ac:dyDescent="0.2">
      <c r="B48" s="9"/>
      <c r="C48" s="405" t="s">
        <v>276</v>
      </c>
      <c r="D48" s="406"/>
      <c r="E48" s="388"/>
      <c r="F48" s="389"/>
      <c r="G48" s="410" t="s">
        <v>664</v>
      </c>
      <c r="H48" s="413">
        <f>SUM(H38:H46)</f>
        <v>0</v>
      </c>
      <c r="I48" s="11"/>
    </row>
    <row r="49" spans="1:11" x14ac:dyDescent="0.2">
      <c r="B49" s="9"/>
      <c r="C49" s="405" t="s">
        <v>278</v>
      </c>
      <c r="D49" s="406"/>
      <c r="E49" s="388"/>
      <c r="F49" s="389"/>
      <c r="G49" s="288"/>
      <c r="H49" s="288"/>
      <c r="I49" s="11"/>
    </row>
    <row r="50" spans="1:11" x14ac:dyDescent="0.2">
      <c r="B50" s="9"/>
      <c r="C50" s="288"/>
      <c r="D50" s="288"/>
      <c r="E50" s="388"/>
      <c r="F50" s="389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213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214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215</v>
      </c>
      <c r="H101" s="26"/>
      <c r="I101" s="26"/>
      <c r="J101" s="26"/>
    </row>
    <row r="102" spans="1:10" x14ac:dyDescent="0.2">
      <c r="A102" t="s">
        <v>208</v>
      </c>
      <c r="C102" t="s">
        <v>208</v>
      </c>
      <c r="D102" t="s">
        <v>208</v>
      </c>
      <c r="H102" s="26"/>
      <c r="I102" s="26"/>
      <c r="J102" s="26"/>
    </row>
    <row r="103" spans="1:10" x14ac:dyDescent="0.2">
      <c r="A103" t="s">
        <v>216</v>
      </c>
      <c r="C103" t="s">
        <v>217</v>
      </c>
      <c r="D103" s="26" t="s">
        <v>218</v>
      </c>
      <c r="H103" s="26"/>
      <c r="I103" s="26"/>
      <c r="J103" s="26"/>
    </row>
    <row r="104" spans="1:10" x14ac:dyDescent="0.2">
      <c r="A104" t="s">
        <v>219</v>
      </c>
      <c r="B104" s="1"/>
      <c r="C104" t="s">
        <v>220</v>
      </c>
      <c r="D104" s="26" t="s">
        <v>221</v>
      </c>
      <c r="H104" s="26"/>
      <c r="I104" s="26"/>
      <c r="J104" s="26"/>
    </row>
    <row r="105" spans="1:10" x14ac:dyDescent="0.2">
      <c r="A105" t="s">
        <v>222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223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224</v>
      </c>
      <c r="B107" s="1"/>
      <c r="C107" t="s">
        <v>225</v>
      </c>
    </row>
    <row r="108" spans="1:10" x14ac:dyDescent="0.2">
      <c r="C108" t="s">
        <v>226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79"/>
  <sheetViews>
    <sheetView zoomScale="75" workbookViewId="0">
      <selection activeCell="F41" sqref="F4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41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19">
        <v>1</v>
      </c>
      <c r="G3" s="717" t="str">
        <f>IF(C$2,'Länder-DB'!A2,'Länder-DB'!B2)</f>
        <v>Deutschland</v>
      </c>
      <c r="H3" s="735" t="str">
        <f>'Länder-DB'!B2</f>
        <v>Germany</v>
      </c>
      <c r="I3" s="735" t="str">
        <f>'Länder-DB'!A2</f>
        <v>Deutschland</v>
      </c>
      <c r="J3" s="61">
        <f t="shared" ref="J3:J15" si="0">F3</f>
        <v>1</v>
      </c>
      <c r="L3" s="511"/>
    </row>
    <row r="4" spans="1:12" ht="15" thickBot="1" x14ac:dyDescent="0.25">
      <c r="B4" s="46"/>
      <c r="C4" s="32"/>
      <c r="D4" s="32"/>
      <c r="F4" s="720">
        <v>2</v>
      </c>
      <c r="G4" s="717" t="str">
        <f>IF(C$2,'Länder-DB'!A3,'Länder-DB'!B3)</f>
        <v>Frankreich</v>
      </c>
      <c r="H4" s="735" t="str">
        <f>'Länder-DB'!B3</f>
        <v>France</v>
      </c>
      <c r="I4" s="735" t="str">
        <f>'Länder-DB'!A3</f>
        <v>Frankreich</v>
      </c>
      <c r="J4" s="61">
        <f t="shared" si="0"/>
        <v>2</v>
      </c>
    </row>
    <row r="5" spans="1:12" ht="15" thickBot="1" x14ac:dyDescent="0.25">
      <c r="F5" s="720">
        <v>3</v>
      </c>
      <c r="G5" s="717" t="str">
        <f>IF(C$2,'Länder-DB'!A4,'Länder-DB'!B4)</f>
        <v>Italien</v>
      </c>
      <c r="H5" s="735" t="str">
        <f>'Länder-DB'!B4</f>
        <v>Italy</v>
      </c>
      <c r="I5" s="735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41">
        <v>2</v>
      </c>
      <c r="D6" s="37" t="str">
        <f>'Quick Input'!D46</f>
        <v>shift model</v>
      </c>
      <c r="E6" s="28"/>
      <c r="F6" s="720">
        <v>4</v>
      </c>
      <c r="G6" s="717" t="str">
        <f>IF(C$2,'Länder-DB'!A5,'Länder-DB'!B5)</f>
        <v>Tschechien</v>
      </c>
      <c r="H6" s="735" t="str">
        <f>'Länder-DB'!B5</f>
        <v>Czech Republic</v>
      </c>
      <c r="I6" s="735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15">
        <f>A7</f>
        <v>1</v>
      </c>
      <c r="F7" s="720">
        <v>5</v>
      </c>
      <c r="G7" s="717" t="str">
        <f>IF(C$2,'Länder-DB'!A6,'Länder-DB'!B6)</f>
        <v>Polen</v>
      </c>
      <c r="H7" s="735" t="str">
        <f>'Länder-DB'!B6</f>
        <v>Poland</v>
      </c>
      <c r="I7" s="735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15">
        <f>A8</f>
        <v>2</v>
      </c>
      <c r="F8" s="720">
        <v>6</v>
      </c>
      <c r="G8" s="717" t="str">
        <f>IF(C$2,'Länder-DB'!A7,'Länder-DB'!B7)</f>
        <v>Bulgarien</v>
      </c>
      <c r="H8" s="735" t="str">
        <f>'Länder-DB'!B7</f>
        <v>Bulgaria</v>
      </c>
      <c r="I8" s="735" t="str">
        <f>'Länder-DB'!A7</f>
        <v>Bulgarien</v>
      </c>
      <c r="J8" s="61">
        <f t="shared" si="0"/>
        <v>6</v>
      </c>
    </row>
    <row r="9" spans="1:12" ht="15" thickBot="1" x14ac:dyDescent="0.25">
      <c r="A9" s="714">
        <v>3</v>
      </c>
      <c r="B9" s="416" t="str">
        <f>IF(C$2,D9,C9)</f>
        <v>3-Schicht</v>
      </c>
      <c r="C9" s="32" t="s">
        <v>63</v>
      </c>
      <c r="D9" s="32" t="s">
        <v>21</v>
      </c>
      <c r="E9" s="716">
        <v>3</v>
      </c>
      <c r="F9" s="720">
        <v>7</v>
      </c>
      <c r="G9" s="717" t="str">
        <f>IF(C$2,'Länder-DB'!A8,'Länder-DB'!B8)</f>
        <v>Rumänien</v>
      </c>
      <c r="H9" s="735" t="str">
        <f>'Länder-DB'!B8</f>
        <v>Romania</v>
      </c>
      <c r="I9" s="735" t="str">
        <f>'Länder-DB'!A8</f>
        <v>Rumänien</v>
      </c>
      <c r="J9" s="61">
        <f t="shared" si="0"/>
        <v>7</v>
      </c>
    </row>
    <row r="10" spans="1:12" ht="15" thickBot="1" x14ac:dyDescent="0.25">
      <c r="F10" s="720">
        <v>8</v>
      </c>
      <c r="G10" s="717" t="str">
        <f>IF(C$2,'Länder-DB'!A9,'Länder-DB'!B9)</f>
        <v>Türkei</v>
      </c>
      <c r="H10" s="735" t="str">
        <f>'Länder-DB'!B9</f>
        <v>Turkey</v>
      </c>
      <c r="I10" s="735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582</v>
      </c>
      <c r="C11" s="37"/>
      <c r="D11" s="37" t="str">
        <f>'Quick Input'!D12</f>
        <v>pricing source</v>
      </c>
      <c r="E11" s="141"/>
      <c r="F11" s="720">
        <v>9</v>
      </c>
      <c r="G11" s="717" t="str">
        <f>IF(C$2,'Länder-DB'!A10,'Länder-DB'!B10)</f>
        <v>Indien</v>
      </c>
      <c r="H11" s="735" t="str">
        <f>'Länder-DB'!B10</f>
        <v>India</v>
      </c>
      <c r="I11" s="735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30" t="str">
        <f>IF(C$2,D12,C12)</f>
        <v>manuell</v>
      </c>
      <c r="C12" s="5" t="s">
        <v>177</v>
      </c>
      <c r="D12" s="5" t="s">
        <v>77</v>
      </c>
      <c r="E12" s="61">
        <f t="shared" ref="E12:E68" si="1">A12</f>
        <v>1</v>
      </c>
      <c r="F12" s="720">
        <v>10</v>
      </c>
      <c r="G12" s="717" t="str">
        <f>IF(C$2,'Länder-DB'!A11,'Länder-DB'!B11)</f>
        <v>China</v>
      </c>
      <c r="H12" s="735" t="str">
        <f>'Länder-DB'!B11</f>
        <v>China</v>
      </c>
      <c r="I12" s="735" t="str">
        <f>'Länder-DB'!A11</f>
        <v>China</v>
      </c>
      <c r="J12" s="61">
        <f t="shared" si="0"/>
        <v>10</v>
      </c>
    </row>
    <row r="13" spans="1:12" ht="15.75" thickBot="1" x14ac:dyDescent="0.3">
      <c r="A13" s="714">
        <v>2</v>
      </c>
      <c r="B13" s="575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20">
        <v>11</v>
      </c>
      <c r="G13" s="717" t="str">
        <f>IF(C$2,'Länder-DB'!A12,'Länder-DB'!B12)</f>
        <v>USA - Illinois</v>
      </c>
      <c r="H13" s="735" t="str">
        <f>'Länder-DB'!B12</f>
        <v>USA - Illinois</v>
      </c>
      <c r="I13" s="735" t="str">
        <f>'Länder-DB'!A12</f>
        <v>USA - Illinois</v>
      </c>
      <c r="J13" s="61">
        <f t="shared" si="0"/>
        <v>11</v>
      </c>
    </row>
    <row r="14" spans="1:12" ht="15" thickBot="1" x14ac:dyDescent="0.25">
      <c r="F14" s="720">
        <v>12</v>
      </c>
      <c r="G14" s="717" t="str">
        <f>IF(C$2,'Länder-DB'!A13,'Länder-DB'!B13)</f>
        <v>Spanien</v>
      </c>
      <c r="H14" s="735" t="str">
        <f>'Länder-DB'!B13</f>
        <v>Spain</v>
      </c>
      <c r="I14" s="735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41">
        <v>2</v>
      </c>
      <c r="D15" s="37" t="str">
        <f>'Quick Input'!D21</f>
        <v>part complexity</v>
      </c>
      <c r="E15" s="37"/>
      <c r="F15" s="721">
        <v>13</v>
      </c>
      <c r="G15" s="718" t="str">
        <f>IF(C$2,'Länder-DB'!A14,'Länder-DB'!B14)</f>
        <v>Mexiko</v>
      </c>
      <c r="H15" s="736" t="str">
        <f>'Länder-DB'!B14</f>
        <v>Mexico</v>
      </c>
      <c r="I15" s="736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486" t="s">
        <v>435</v>
      </c>
      <c r="D16" s="486" t="s">
        <v>433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486" t="s">
        <v>438</v>
      </c>
      <c r="D17" s="486" t="s">
        <v>434</v>
      </c>
      <c r="E17" s="31">
        <f t="shared" si="1"/>
        <v>2</v>
      </c>
      <c r="G17" s="511"/>
    </row>
    <row r="18" spans="1:7" x14ac:dyDescent="0.2">
      <c r="A18" s="146">
        <v>3</v>
      </c>
      <c r="B18" s="45" t="str">
        <f>IF(C$2,D18,C18)</f>
        <v>schwierig</v>
      </c>
      <c r="C18" s="486" t="s">
        <v>440</v>
      </c>
      <c r="D18" s="486" t="s">
        <v>437</v>
      </c>
      <c r="E18" s="31">
        <f t="shared" si="1"/>
        <v>3</v>
      </c>
    </row>
    <row r="19" spans="1:7" ht="15" thickBot="1" x14ac:dyDescent="0.25">
      <c r="A19" s="714">
        <v>4</v>
      </c>
      <c r="B19" s="46" t="str">
        <f>IF(C$2,D19,C19)</f>
        <v>komplex</v>
      </c>
      <c r="C19" s="487" t="s">
        <v>439</v>
      </c>
      <c r="D19" s="487" t="s">
        <v>436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11"/>
    </row>
    <row r="23" spans="1:7" ht="15" thickBot="1" x14ac:dyDescent="0.25">
      <c r="A23" s="714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229</v>
      </c>
      <c r="C25" s="441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6" t="s">
        <v>821</v>
      </c>
      <c r="D26" s="5" t="s">
        <v>118</v>
      </c>
      <c r="E26" s="31">
        <f t="shared" si="1"/>
        <v>1</v>
      </c>
      <c r="G26" s="511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14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455</v>
      </c>
      <c r="C30" s="441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261</v>
      </c>
      <c r="D31" s="5" t="s">
        <v>262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486" t="s">
        <v>442</v>
      </c>
      <c r="D32" s="486" t="s">
        <v>444</v>
      </c>
      <c r="E32" s="31">
        <f t="shared" si="1"/>
        <v>2</v>
      </c>
    </row>
    <row r="33" spans="1:7" ht="15" thickBot="1" x14ac:dyDescent="0.25">
      <c r="A33" s="714">
        <v>3</v>
      </c>
      <c r="B33" s="46" t="str">
        <f>IF(C$2,D33,C33)</f>
        <v>Abnahmeprüfzeugnis 3.1</v>
      </c>
      <c r="C33" s="488" t="s">
        <v>443</v>
      </c>
      <c r="D33" s="487" t="s">
        <v>441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267</v>
      </c>
      <c r="C35" s="441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30" t="str">
        <f>IF(C$2,D36,C36)</f>
        <v>Handformen</v>
      </c>
      <c r="C36" s="486" t="s">
        <v>370</v>
      </c>
      <c r="D36" s="486" t="s">
        <v>369</v>
      </c>
      <c r="E36" s="61">
        <f t="shared" si="1"/>
        <v>1</v>
      </c>
      <c r="G36" s="511"/>
    </row>
    <row r="37" spans="1:7" x14ac:dyDescent="0.2">
      <c r="A37" s="146">
        <v>2</v>
      </c>
      <c r="B37" s="60" t="str">
        <f>IF(C$2,D37,C37)</f>
        <v>halbautomatisch</v>
      </c>
      <c r="C37" s="486" t="s">
        <v>469</v>
      </c>
      <c r="D37" s="486" t="s">
        <v>468</v>
      </c>
      <c r="E37" s="31">
        <f t="shared" si="1"/>
        <v>2</v>
      </c>
    </row>
    <row r="38" spans="1:7" ht="15.75" thickBot="1" x14ac:dyDescent="0.3">
      <c r="A38" s="714">
        <v>3</v>
      </c>
      <c r="B38" s="575" t="str">
        <f>IF(C$2,D38,C38)</f>
        <v>automatisch</v>
      </c>
      <c r="C38" s="488" t="s">
        <v>471</v>
      </c>
      <c r="D38" s="487" t="s">
        <v>470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293</v>
      </c>
      <c r="C40" s="441">
        <v>1</v>
      </c>
      <c r="D40" s="37" t="s">
        <v>297</v>
      </c>
      <c r="E40" s="141"/>
      <c r="F40" s="1215" t="s">
        <v>1001</v>
      </c>
    </row>
    <row r="41" spans="1:7" ht="15" x14ac:dyDescent="0.25">
      <c r="A41" s="141">
        <v>1</v>
      </c>
      <c r="B41" s="59" t="str">
        <f t="shared" ref="B41:B46" si="2">IF(C$2,D41,C41)</f>
        <v>ohne (F)</v>
      </c>
      <c r="C41" s="486" t="s">
        <v>570</v>
      </c>
      <c r="D41" s="486" t="s">
        <v>569</v>
      </c>
      <c r="E41" s="61">
        <f t="shared" si="1"/>
        <v>1</v>
      </c>
      <c r="F41" s="1216">
        <v>0</v>
      </c>
      <c r="G41" s="511"/>
    </row>
    <row r="42" spans="1:7" x14ac:dyDescent="0.2">
      <c r="A42" s="146">
        <v>2</v>
      </c>
      <c r="B42" s="45" t="str">
        <f t="shared" si="2"/>
        <v>T5</v>
      </c>
      <c r="C42" s="486" t="s">
        <v>568</v>
      </c>
      <c r="D42" s="486" t="s">
        <v>568</v>
      </c>
      <c r="E42" s="31">
        <f t="shared" si="1"/>
        <v>2</v>
      </c>
      <c r="F42" s="1216">
        <v>0.5</v>
      </c>
    </row>
    <row r="43" spans="1:7" x14ac:dyDescent="0.2">
      <c r="A43" s="146">
        <v>3</v>
      </c>
      <c r="B43" s="45" t="str">
        <f t="shared" si="2"/>
        <v>T4</v>
      </c>
      <c r="C43" s="486" t="s">
        <v>294</v>
      </c>
      <c r="D43" s="486" t="s">
        <v>294</v>
      </c>
      <c r="E43" s="31">
        <f t="shared" si="1"/>
        <v>3</v>
      </c>
      <c r="F43" s="1216">
        <v>0.4</v>
      </c>
    </row>
    <row r="44" spans="1:7" x14ac:dyDescent="0.2">
      <c r="A44" s="146">
        <v>4</v>
      </c>
      <c r="B44" s="45" t="str">
        <f t="shared" si="2"/>
        <v>T6</v>
      </c>
      <c r="C44" s="475" t="s">
        <v>296</v>
      </c>
      <c r="D44" s="5" t="s">
        <v>296</v>
      </c>
      <c r="E44" s="31">
        <f t="shared" si="1"/>
        <v>4</v>
      </c>
      <c r="F44" s="1216">
        <v>0.6</v>
      </c>
    </row>
    <row r="45" spans="1:7" x14ac:dyDescent="0.2">
      <c r="A45" s="146">
        <v>5</v>
      </c>
      <c r="B45" s="45" t="str">
        <f t="shared" si="2"/>
        <v>T64</v>
      </c>
      <c r="C45" s="5" t="s">
        <v>295</v>
      </c>
      <c r="D45" s="5" t="s">
        <v>295</v>
      </c>
      <c r="E45" s="31">
        <f t="shared" si="1"/>
        <v>5</v>
      </c>
      <c r="F45" s="1216">
        <v>0.64</v>
      </c>
    </row>
    <row r="46" spans="1:7" ht="15" thickBot="1" x14ac:dyDescent="0.25">
      <c r="A46" s="714">
        <v>6</v>
      </c>
      <c r="B46" s="46" t="str">
        <f t="shared" si="2"/>
        <v>T7</v>
      </c>
      <c r="C46" s="487" t="s">
        <v>567</v>
      </c>
      <c r="D46" s="487" t="s">
        <v>567</v>
      </c>
      <c r="E46" s="62">
        <f t="shared" si="1"/>
        <v>6</v>
      </c>
      <c r="F46" s="1216">
        <v>0.7</v>
      </c>
    </row>
    <row r="47" spans="1:7" ht="6" customHeight="1" thickBot="1" x14ac:dyDescent="0.25"/>
    <row r="48" spans="1:7" ht="15" thickBot="1" x14ac:dyDescent="0.25">
      <c r="B48" s="35" t="s">
        <v>348</v>
      </c>
      <c r="C48" s="441">
        <v>1</v>
      </c>
      <c r="D48" s="489" t="s">
        <v>373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261</v>
      </c>
      <c r="D49" s="5" t="s">
        <v>262</v>
      </c>
      <c r="E49" s="61">
        <f t="shared" si="1"/>
        <v>1</v>
      </c>
      <c r="G49" s="511"/>
    </row>
    <row r="50" spans="1:7" x14ac:dyDescent="0.2">
      <c r="A50" s="146">
        <v>2</v>
      </c>
      <c r="B50" s="45" t="str">
        <f>IF(C$2,D50,C50)</f>
        <v>Kernschießen</v>
      </c>
      <c r="C50" s="486" t="s">
        <v>375</v>
      </c>
      <c r="D50" s="486" t="s">
        <v>372</v>
      </c>
      <c r="E50" s="31">
        <f t="shared" si="1"/>
        <v>2</v>
      </c>
    </row>
    <row r="51" spans="1:7" ht="15" thickBot="1" x14ac:dyDescent="0.25">
      <c r="A51" s="714">
        <v>3</v>
      </c>
      <c r="B51" s="46" t="str">
        <f>IF(C$2,D51,C51)</f>
        <v>Handformkern</v>
      </c>
      <c r="C51" s="487" t="s">
        <v>370</v>
      </c>
      <c r="D51" s="487" t="s">
        <v>371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759</v>
      </c>
      <c r="C53" s="441">
        <v>1</v>
      </c>
      <c r="D53" s="489" t="s">
        <v>760</v>
      </c>
      <c r="E53" s="141"/>
      <c r="G53" s="511"/>
    </row>
    <row r="54" spans="1:7" ht="15" x14ac:dyDescent="0.25">
      <c r="A54" s="141">
        <v>1</v>
      </c>
      <c r="B54" s="59" t="str">
        <f>IF(C$2,D54,C54)</f>
        <v>Cold Box</v>
      </c>
      <c r="C54" s="486" t="s">
        <v>764</v>
      </c>
      <c r="D54" s="486" t="s">
        <v>763</v>
      </c>
      <c r="E54" s="61">
        <f t="shared" ref="E54:E57" si="3">A54</f>
        <v>1</v>
      </c>
      <c r="G54" s="511"/>
    </row>
    <row r="55" spans="1:7" x14ac:dyDescent="0.2">
      <c r="A55" s="146">
        <v>2</v>
      </c>
      <c r="B55" s="681" t="str">
        <f>IF(C$2,D55,C55)</f>
        <v>Hot Box</v>
      </c>
      <c r="C55" s="679" t="s">
        <v>762</v>
      </c>
      <c r="D55" s="679" t="s">
        <v>761</v>
      </c>
      <c r="E55" s="31">
        <f t="shared" si="3"/>
        <v>2</v>
      </c>
    </row>
    <row r="56" spans="1:7" x14ac:dyDescent="0.2">
      <c r="A56" s="146">
        <v>3</v>
      </c>
      <c r="B56" s="681" t="str">
        <f>IF(C$2,D56,C56)</f>
        <v>Co2-Kerne</v>
      </c>
      <c r="C56" s="679" t="s">
        <v>769</v>
      </c>
      <c r="D56" s="679" t="s">
        <v>768</v>
      </c>
      <c r="E56" s="31">
        <f t="shared" si="3"/>
        <v>3</v>
      </c>
    </row>
    <row r="57" spans="1:7" ht="15" thickBot="1" x14ac:dyDescent="0.25">
      <c r="A57" s="714">
        <v>4</v>
      </c>
      <c r="B57" s="682" t="str">
        <f>IF(C$2,D57,C57)</f>
        <v>BeachBox</v>
      </c>
      <c r="C57" s="680" t="s">
        <v>765</v>
      </c>
      <c r="D57" s="680" t="s">
        <v>765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450</v>
      </c>
      <c r="C59" s="441">
        <v>1</v>
      </c>
      <c r="D59" s="489" t="s">
        <v>451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6" t="s">
        <v>261</v>
      </c>
      <c r="D60" s="486" t="s">
        <v>262</v>
      </c>
      <c r="E60" s="31">
        <f t="shared" si="1"/>
        <v>1</v>
      </c>
      <c r="G60" s="511"/>
    </row>
    <row r="61" spans="1:7" x14ac:dyDescent="0.2">
      <c r="A61" s="146">
        <v>2</v>
      </c>
      <c r="B61" s="530" t="str">
        <f>IF(C$2,D61,C61)</f>
        <v>MIG/WIG</v>
      </c>
      <c r="C61" s="486" t="str">
        <f>D61</f>
        <v>MIG/WIG</v>
      </c>
      <c r="D61" s="486" t="s">
        <v>452</v>
      </c>
      <c r="E61" s="31">
        <f t="shared" si="1"/>
        <v>2</v>
      </c>
    </row>
    <row r="62" spans="1:7" ht="15" thickBot="1" x14ac:dyDescent="0.25">
      <c r="A62" s="714">
        <v>3</v>
      </c>
      <c r="B62" s="46" t="str">
        <f>IF(C$2,D62,C62)</f>
        <v>AGL</v>
      </c>
      <c r="C62" s="487" t="str">
        <f>D62</f>
        <v>AGL</v>
      </c>
      <c r="D62" s="487" t="s">
        <v>453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561</v>
      </c>
      <c r="C64" s="441">
        <v>1</v>
      </c>
      <c r="D64" s="489" t="s">
        <v>562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261</v>
      </c>
      <c r="D65" s="5" t="s">
        <v>262</v>
      </c>
      <c r="E65" s="61">
        <f t="shared" si="1"/>
        <v>1</v>
      </c>
      <c r="G65" s="511"/>
    </row>
    <row r="66" spans="1:7" x14ac:dyDescent="0.2">
      <c r="A66" s="146">
        <v>2</v>
      </c>
      <c r="B66" s="681">
        <f>IF(C$2,D66,C66)</f>
        <v>0.05</v>
      </c>
      <c r="C66" s="679">
        <v>0.05</v>
      </c>
      <c r="D66" s="679">
        <v>0.05</v>
      </c>
      <c r="E66" s="31">
        <f t="shared" si="1"/>
        <v>2</v>
      </c>
    </row>
    <row r="67" spans="1:7" x14ac:dyDescent="0.2">
      <c r="A67" s="146">
        <v>3</v>
      </c>
      <c r="B67" s="681">
        <f>IF(C$2,D67,C67)</f>
        <v>0.1</v>
      </c>
      <c r="C67" s="679">
        <v>0.1</v>
      </c>
      <c r="D67" s="679">
        <v>0.1</v>
      </c>
      <c r="E67" s="31">
        <f t="shared" si="1"/>
        <v>3</v>
      </c>
    </row>
    <row r="68" spans="1:7" ht="15" thickBot="1" x14ac:dyDescent="0.25">
      <c r="A68" s="714">
        <v>4</v>
      </c>
      <c r="B68" s="682">
        <f>IF(C$2,D68,C68)</f>
        <v>0.15</v>
      </c>
      <c r="C68" s="680">
        <v>0.15</v>
      </c>
      <c r="D68" s="680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811</v>
      </c>
      <c r="C70" s="441">
        <v>2</v>
      </c>
      <c r="D70" s="489" t="s">
        <v>810</v>
      </c>
      <c r="E70" s="37"/>
      <c r="G70" s="511"/>
    </row>
    <row r="71" spans="1:7" x14ac:dyDescent="0.2">
      <c r="A71" s="141">
        <v>1</v>
      </c>
      <c r="B71" s="60" t="str">
        <f>IF(C$2,D71,C71)</f>
        <v>Gas</v>
      </c>
      <c r="C71" s="486" t="s">
        <v>806</v>
      </c>
      <c r="D71" s="486" t="s">
        <v>110</v>
      </c>
      <c r="E71" s="31">
        <f>A71</f>
        <v>1</v>
      </c>
      <c r="G71" s="511"/>
    </row>
    <row r="72" spans="1:7" ht="15" x14ac:dyDescent="0.25">
      <c r="A72" s="146">
        <v>2</v>
      </c>
      <c r="B72" s="59" t="str">
        <f>IF(C$2,D72,C72)</f>
        <v>Strom</v>
      </c>
      <c r="C72" s="486" t="s">
        <v>807</v>
      </c>
      <c r="D72" s="486" t="s">
        <v>107</v>
      </c>
      <c r="E72" s="31">
        <f>A72</f>
        <v>2</v>
      </c>
    </row>
    <row r="73" spans="1:7" ht="15" thickBot="1" x14ac:dyDescent="0.25">
      <c r="A73" s="714">
        <v>3</v>
      </c>
      <c r="B73" s="46" t="str">
        <f>IF(C$2,D73,C73)</f>
        <v>Heizöl</v>
      </c>
      <c r="C73" s="487" t="s">
        <v>809</v>
      </c>
      <c r="D73" s="487" t="s">
        <v>808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11"/>
    </row>
    <row r="76" spans="1:7" x14ac:dyDescent="0.2">
      <c r="B76" s="60" t="str">
        <f>IF(C$2,C76,D76)</f>
        <v>Sandstrahlen</v>
      </c>
      <c r="C76" s="486" t="s">
        <v>374</v>
      </c>
      <c r="D76" s="486" t="s">
        <v>824</v>
      </c>
      <c r="E76" s="41"/>
    </row>
    <row r="77" spans="1:7" ht="15" x14ac:dyDescent="0.25">
      <c r="B77" s="59" t="str">
        <f>IF(C$2,C77,D77)</f>
        <v>Gleitschleifen</v>
      </c>
      <c r="C77" s="486" t="s">
        <v>714</v>
      </c>
      <c r="D77" s="486" t="s">
        <v>715</v>
      </c>
      <c r="E77" s="41"/>
    </row>
    <row r="78" spans="1:7" ht="15" thickBot="1" x14ac:dyDescent="0.25">
      <c r="B78" s="46" t="str">
        <f>IF(C$2,C78,D78)</f>
        <v>Feinputzen</v>
      </c>
      <c r="C78" s="487" t="s">
        <v>716</v>
      </c>
      <c r="D78" s="487" t="s">
        <v>717</v>
      </c>
      <c r="E78" s="1029"/>
    </row>
    <row r="79" spans="1:7" ht="6.75" customHeight="1" x14ac:dyDescent="0.2"/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H2" xr:uid="{00000000-0002-0000-05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zoomScale="115" zoomScaleNormal="115" workbookViewId="0">
      <selection activeCell="D53" sqref="D53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240</v>
      </c>
      <c r="H1" s="56" t="s">
        <v>292</v>
      </c>
      <c r="I1" s="56" t="s">
        <v>241</v>
      </c>
      <c r="J1" s="65" t="s">
        <v>289</v>
      </c>
      <c r="K1" s="65" t="s">
        <v>288</v>
      </c>
      <c r="L1" s="65" t="s">
        <v>287</v>
      </c>
      <c r="M1" s="533" t="s">
        <v>454</v>
      </c>
      <c r="N1" s="65" t="s">
        <v>290</v>
      </c>
      <c r="O1" s="65" t="s">
        <v>291</v>
      </c>
    </row>
    <row r="2" spans="1:15" ht="15" x14ac:dyDescent="0.25">
      <c r="A2" s="737" t="s">
        <v>14</v>
      </c>
      <c r="B2" s="738" t="s">
        <v>67</v>
      </c>
      <c r="C2" s="1033">
        <v>18.940000000000001</v>
      </c>
      <c r="D2" s="1034">
        <v>22.45</v>
      </c>
      <c r="E2" s="1034">
        <v>25.59</v>
      </c>
      <c r="F2" s="1035">
        <v>3.2300000000000002E-2</v>
      </c>
      <c r="G2" s="1146">
        <v>7.0000000000000007E-2</v>
      </c>
      <c r="H2" s="1034">
        <v>6.5</v>
      </c>
      <c r="I2" s="1146">
        <v>5.2999999999999999E-2</v>
      </c>
      <c r="J2" s="722">
        <v>0</v>
      </c>
      <c r="K2" s="722">
        <v>0</v>
      </c>
      <c r="L2" s="722">
        <v>0</v>
      </c>
      <c r="M2" s="723">
        <v>0</v>
      </c>
      <c r="N2" s="1045">
        <v>0.621</v>
      </c>
      <c r="O2" s="1046">
        <v>0.71899999999999997</v>
      </c>
    </row>
    <row r="3" spans="1:15" x14ac:dyDescent="0.2">
      <c r="A3" s="739" t="s">
        <v>15</v>
      </c>
      <c r="B3" s="740" t="s">
        <v>592</v>
      </c>
      <c r="C3" s="1033">
        <v>13.61</v>
      </c>
      <c r="D3" s="1036">
        <v>16.489999999999998</v>
      </c>
      <c r="E3" s="1036">
        <v>17.350000000000001</v>
      </c>
      <c r="F3" s="1037">
        <v>3.2000000000000001E-2</v>
      </c>
      <c r="G3" s="1147">
        <v>7.0000000000000007E-2</v>
      </c>
      <c r="H3" s="1036">
        <v>6.7</v>
      </c>
      <c r="I3" s="1147">
        <v>0.05</v>
      </c>
      <c r="J3" s="724">
        <v>0</v>
      </c>
      <c r="K3" s="724">
        <v>-5.0000000000000001E-3</v>
      </c>
      <c r="L3" s="724">
        <v>0</v>
      </c>
      <c r="M3" s="725">
        <v>0</v>
      </c>
      <c r="N3" s="1047">
        <v>1.0464</v>
      </c>
      <c r="O3" s="1048">
        <v>1.1064000000000001</v>
      </c>
    </row>
    <row r="4" spans="1:15" x14ac:dyDescent="0.2">
      <c r="A4" s="739" t="s">
        <v>13</v>
      </c>
      <c r="B4" s="740" t="s">
        <v>593</v>
      </c>
      <c r="C4" s="1033">
        <v>11.84</v>
      </c>
      <c r="D4" s="1033">
        <v>12.63</v>
      </c>
      <c r="E4" s="1033">
        <v>15.72</v>
      </c>
      <c r="F4" s="1038">
        <v>3.5299999999999998E-2</v>
      </c>
      <c r="G4" s="1148">
        <v>0.09</v>
      </c>
      <c r="H4" s="1033">
        <v>5.18</v>
      </c>
      <c r="I4" s="1148">
        <v>8.5999999999999993E-2</v>
      </c>
      <c r="J4" s="724">
        <v>0</v>
      </c>
      <c r="K4" s="724">
        <v>-5.0000000000000001E-3</v>
      </c>
      <c r="L4" s="724">
        <v>0</v>
      </c>
      <c r="M4" s="725">
        <v>0</v>
      </c>
      <c r="N4" s="1047">
        <v>1.2688999999999999</v>
      </c>
      <c r="O4" s="1048">
        <v>1.2688999999999999</v>
      </c>
    </row>
    <row r="5" spans="1:15" x14ac:dyDescent="0.2">
      <c r="A5" s="739" t="s">
        <v>16</v>
      </c>
      <c r="B5" s="740" t="s">
        <v>594</v>
      </c>
      <c r="C5" s="1033">
        <v>4.21</v>
      </c>
      <c r="D5" s="1033">
        <v>5.63</v>
      </c>
      <c r="E5" s="1033">
        <v>6.36</v>
      </c>
      <c r="F5" s="1038">
        <v>3.8100000000000002E-2</v>
      </c>
      <c r="G5" s="1148">
        <v>7.0000000000000007E-2</v>
      </c>
      <c r="H5" s="1033">
        <v>4.51</v>
      </c>
      <c r="I5" s="1148">
        <v>7.8299999999999995E-2</v>
      </c>
      <c r="J5" s="724">
        <v>0</v>
      </c>
      <c r="K5" s="724">
        <v>-1.4999999999999999E-2</v>
      </c>
      <c r="L5" s="724">
        <v>5.0000000000000001E-3</v>
      </c>
      <c r="M5" s="725">
        <v>1</v>
      </c>
      <c r="N5" s="1047">
        <v>0.70379999999999998</v>
      </c>
      <c r="O5" s="1048">
        <v>0.73709999999999998</v>
      </c>
    </row>
    <row r="6" spans="1:15" x14ac:dyDescent="0.2">
      <c r="A6" s="739" t="s">
        <v>17</v>
      </c>
      <c r="B6" s="740" t="s">
        <v>595</v>
      </c>
      <c r="C6" s="1033">
        <v>4.3600000000000003</v>
      </c>
      <c r="D6" s="1033">
        <v>5.93</v>
      </c>
      <c r="E6" s="1033">
        <v>7.96</v>
      </c>
      <c r="F6" s="1038">
        <v>5.2299999999999999E-2</v>
      </c>
      <c r="G6" s="1148">
        <v>0.06</v>
      </c>
      <c r="H6" s="1033">
        <v>4.7300000000000004</v>
      </c>
      <c r="I6" s="1148">
        <v>0.1237</v>
      </c>
      <c r="J6" s="724">
        <v>-5.0000000000000001E-3</v>
      </c>
      <c r="K6" s="724">
        <v>-0.01</v>
      </c>
      <c r="L6" s="724">
        <v>0.01</v>
      </c>
      <c r="M6" s="725">
        <v>1</v>
      </c>
      <c r="N6" s="1047">
        <v>0.51459999999999995</v>
      </c>
      <c r="O6" s="1048">
        <v>0.59799999999999998</v>
      </c>
    </row>
    <row r="7" spans="1:15" x14ac:dyDescent="0.2">
      <c r="A7" s="739" t="s">
        <v>596</v>
      </c>
      <c r="B7" s="740" t="s">
        <v>597</v>
      </c>
      <c r="C7" s="1033">
        <v>3.19</v>
      </c>
      <c r="D7" s="1033">
        <v>3.79</v>
      </c>
      <c r="E7" s="1039">
        <v>4.55</v>
      </c>
      <c r="F7" s="1040">
        <v>5.3699999999999998E-2</v>
      </c>
      <c r="G7" s="1149">
        <v>0.09</v>
      </c>
      <c r="H7" s="1039">
        <v>3.76</v>
      </c>
      <c r="I7" s="1149">
        <v>4.2000000000000003E-2</v>
      </c>
      <c r="J7" s="724">
        <v>-0.01</v>
      </c>
      <c r="K7" s="724">
        <v>-0.02</v>
      </c>
      <c r="L7" s="724">
        <v>1.4999999999999999E-2</v>
      </c>
      <c r="M7" s="726">
        <v>1</v>
      </c>
      <c r="N7" s="1047">
        <v>0.56679999999999997</v>
      </c>
      <c r="O7" s="1048">
        <v>0.56679999999999997</v>
      </c>
    </row>
    <row r="8" spans="1:15" ht="15" thickBot="1" x14ac:dyDescent="0.25">
      <c r="A8" s="741" t="s">
        <v>18</v>
      </c>
      <c r="B8" s="742" t="s">
        <v>598</v>
      </c>
      <c r="C8" s="1041">
        <v>2.27</v>
      </c>
      <c r="D8" s="1041">
        <v>3.35</v>
      </c>
      <c r="E8" s="1041">
        <v>5.32</v>
      </c>
      <c r="F8" s="1042">
        <v>5.5199999999999999E-2</v>
      </c>
      <c r="G8" s="1150">
        <v>7.0000000000000007E-2</v>
      </c>
      <c r="H8" s="1041">
        <v>3.79</v>
      </c>
      <c r="I8" s="1150">
        <v>4.2000000000000003E-2</v>
      </c>
      <c r="J8" s="727">
        <v>-0.01</v>
      </c>
      <c r="K8" s="727">
        <v>-0.02</v>
      </c>
      <c r="L8" s="727">
        <v>1.4999999999999999E-2</v>
      </c>
      <c r="M8" s="728">
        <v>1</v>
      </c>
      <c r="N8" s="1049">
        <v>0.62380000000000002</v>
      </c>
      <c r="O8" s="1050">
        <v>0.65959999999999996</v>
      </c>
    </row>
    <row r="9" spans="1:15" x14ac:dyDescent="0.2">
      <c r="A9" s="743" t="s">
        <v>599</v>
      </c>
      <c r="B9" s="744" t="s">
        <v>600</v>
      </c>
      <c r="C9" s="1036">
        <v>2.96</v>
      </c>
      <c r="D9" s="1033">
        <v>3.89</v>
      </c>
      <c r="E9" s="1039">
        <v>4.22</v>
      </c>
      <c r="F9" s="1040">
        <v>0.111</v>
      </c>
      <c r="G9" s="1149">
        <v>0.04</v>
      </c>
      <c r="H9" s="1039">
        <v>2.37</v>
      </c>
      <c r="I9" s="1149">
        <v>0.04</v>
      </c>
      <c r="J9" s="724">
        <v>-0.01</v>
      </c>
      <c r="K9" s="724">
        <v>-0.02</v>
      </c>
      <c r="L9" s="724">
        <v>0.03</v>
      </c>
      <c r="M9" s="726">
        <v>1</v>
      </c>
      <c r="N9" s="1047">
        <v>0.78649999999999998</v>
      </c>
      <c r="O9" s="1048">
        <v>0.78649999999999998</v>
      </c>
    </row>
    <row r="10" spans="1:15" x14ac:dyDescent="0.2">
      <c r="A10" s="745" t="s">
        <v>9</v>
      </c>
      <c r="B10" s="746" t="s">
        <v>78</v>
      </c>
      <c r="C10" s="1033">
        <v>0.7</v>
      </c>
      <c r="D10" s="1033">
        <v>1.1399999999999999</v>
      </c>
      <c r="E10" s="1033">
        <v>1.29</v>
      </c>
      <c r="F10" s="1038">
        <v>8.9700000000000002E-2</v>
      </c>
      <c r="G10" s="1148">
        <v>9.7000000000000003E-2</v>
      </c>
      <c r="H10" s="1033">
        <v>4.58</v>
      </c>
      <c r="I10" s="1148">
        <v>3.5000000000000003E-2</v>
      </c>
      <c r="J10" s="729">
        <v>-0.01</v>
      </c>
      <c r="K10" s="729">
        <v>-0.02</v>
      </c>
      <c r="L10" s="729">
        <v>0.03</v>
      </c>
      <c r="M10" s="730">
        <v>2</v>
      </c>
      <c r="N10" s="1051">
        <v>0.57620000000000005</v>
      </c>
      <c r="O10" s="1052">
        <v>0.57620000000000005</v>
      </c>
    </row>
    <row r="11" spans="1:15" x14ac:dyDescent="0.2">
      <c r="A11" s="745" t="s">
        <v>8</v>
      </c>
      <c r="B11" s="746" t="s">
        <v>8</v>
      </c>
      <c r="C11" s="1033">
        <v>3.52</v>
      </c>
      <c r="D11" s="1033">
        <v>4.4400000000000004</v>
      </c>
      <c r="E11" s="1033">
        <v>4.8899999999999997</v>
      </c>
      <c r="F11" s="1038">
        <v>7.22E-2</v>
      </c>
      <c r="G11" s="1148">
        <v>7.0000000000000007E-2</v>
      </c>
      <c r="H11" s="1033">
        <v>3.7</v>
      </c>
      <c r="I11" s="1148">
        <v>3.2000000000000001E-2</v>
      </c>
      <c r="J11" s="729">
        <v>-0.01</v>
      </c>
      <c r="K11" s="729">
        <v>-0.02</v>
      </c>
      <c r="L11" s="729">
        <v>0.03</v>
      </c>
      <c r="M11" s="730">
        <v>2</v>
      </c>
      <c r="N11" s="1051">
        <v>0.89190000000000003</v>
      </c>
      <c r="O11" s="1052">
        <v>0.89190000000000003</v>
      </c>
    </row>
    <row r="12" spans="1:15" ht="15" thickBot="1" x14ac:dyDescent="0.25">
      <c r="A12" s="747" t="s">
        <v>927</v>
      </c>
      <c r="B12" s="748" t="s">
        <v>927</v>
      </c>
      <c r="C12" s="1041">
        <v>15.16</v>
      </c>
      <c r="D12" s="1041">
        <v>22.15</v>
      </c>
      <c r="E12" s="1043">
        <v>27.42</v>
      </c>
      <c r="F12" s="1044">
        <v>4.99E-2</v>
      </c>
      <c r="G12" s="1151">
        <v>0.06</v>
      </c>
      <c r="H12" s="1043">
        <v>3.94</v>
      </c>
      <c r="I12" s="1151">
        <v>0.03</v>
      </c>
      <c r="J12" s="731">
        <v>-0.01</v>
      </c>
      <c r="K12" s="731">
        <v>-0.02</v>
      </c>
      <c r="L12" s="731">
        <v>2.5000000000000001E-2</v>
      </c>
      <c r="M12" s="732">
        <v>2</v>
      </c>
      <c r="N12" s="1049">
        <v>0.3826</v>
      </c>
      <c r="O12" s="1050">
        <v>0.40350000000000003</v>
      </c>
    </row>
    <row r="13" spans="1:15" x14ac:dyDescent="0.2">
      <c r="A13" s="743" t="s">
        <v>635</v>
      </c>
      <c r="B13" s="749" t="s">
        <v>636</v>
      </c>
      <c r="C13" s="1033">
        <v>10.96</v>
      </c>
      <c r="D13" s="1033">
        <v>12.74</v>
      </c>
      <c r="E13" s="1033">
        <v>15.8</v>
      </c>
      <c r="F13" s="1038">
        <v>3.1699999999999999E-2</v>
      </c>
      <c r="G13" s="1148">
        <v>0.09</v>
      </c>
      <c r="H13" s="1033">
        <v>4.01</v>
      </c>
      <c r="I13" s="1148">
        <v>0.14829999999999999</v>
      </c>
      <c r="J13" s="729">
        <v>0</v>
      </c>
      <c r="K13" s="729">
        <v>-5.0000000000000001E-3</v>
      </c>
      <c r="L13" s="729">
        <v>0</v>
      </c>
      <c r="M13" s="730">
        <v>0</v>
      </c>
      <c r="N13" s="1051">
        <v>0.89459999999999995</v>
      </c>
      <c r="O13" s="1052">
        <v>0.96130000000000004</v>
      </c>
    </row>
    <row r="14" spans="1:15" ht="15" thickBot="1" x14ac:dyDescent="0.25">
      <c r="A14" s="747" t="s">
        <v>24</v>
      </c>
      <c r="B14" s="748" t="s">
        <v>79</v>
      </c>
      <c r="C14" s="1041">
        <v>1.4</v>
      </c>
      <c r="D14" s="1041">
        <v>2.0099999999999998</v>
      </c>
      <c r="E14" s="1041">
        <v>3.05</v>
      </c>
      <c r="F14" s="1042">
        <v>0.1004</v>
      </c>
      <c r="G14" s="1150">
        <v>0.04</v>
      </c>
      <c r="H14" s="1041">
        <v>3.48</v>
      </c>
      <c r="I14" s="1150">
        <v>3.5000000000000003E-2</v>
      </c>
      <c r="J14" s="733">
        <v>-0.01</v>
      </c>
      <c r="K14" s="733">
        <v>-0.02</v>
      </c>
      <c r="L14" s="733">
        <v>0.03</v>
      </c>
      <c r="M14" s="734">
        <v>2</v>
      </c>
      <c r="N14" s="1053">
        <v>0.66600000000000004</v>
      </c>
      <c r="O14" s="1054">
        <v>0.66600000000000004</v>
      </c>
    </row>
    <row r="15" spans="1:15" x14ac:dyDescent="0.2">
      <c r="A15" s="712" t="s">
        <v>591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239</v>
      </c>
      <c r="B16" s="55"/>
      <c r="C16" s="316"/>
      <c r="G16" s="55"/>
    </row>
    <row r="17" spans="1:15" ht="15" thickBot="1" x14ac:dyDescent="0.25">
      <c r="B17" s="783" t="s">
        <v>690</v>
      </c>
      <c r="C17" s="55"/>
      <c r="G17" s="55"/>
    </row>
    <row r="18" spans="1:15" x14ac:dyDescent="0.2">
      <c r="A18" s="167" t="s">
        <v>687</v>
      </c>
      <c r="B18" s="167" t="s">
        <v>688</v>
      </c>
      <c r="C18" s="55"/>
      <c r="D18" s="347" t="s">
        <v>286</v>
      </c>
      <c r="E18" s="263"/>
      <c r="F18" s="264"/>
      <c r="G18" s="55"/>
      <c r="H18" s="308" t="s">
        <v>98</v>
      </c>
      <c r="I18" s="315"/>
      <c r="J18" s="812">
        <v>42309</v>
      </c>
      <c r="K18" s="813"/>
      <c r="L18" s="483" t="s">
        <v>585</v>
      </c>
      <c r="M18" s="315"/>
      <c r="N18" s="812">
        <v>42309</v>
      </c>
      <c r="O18" s="813"/>
    </row>
    <row r="19" spans="1:15" ht="15" thickBot="1" x14ac:dyDescent="0.25">
      <c r="A19" s="780" t="s">
        <v>698</v>
      </c>
      <c r="B19" s="167" t="s">
        <v>689</v>
      </c>
      <c r="C19" s="55"/>
      <c r="D19" s="706" t="s">
        <v>281</v>
      </c>
      <c r="E19" s="707"/>
      <c r="F19" s="708"/>
      <c r="G19" s="55"/>
      <c r="H19" s="311" t="s">
        <v>116</v>
      </c>
      <c r="I19" s="418">
        <v>7.0000000000000007E-2</v>
      </c>
      <c r="J19" s="810">
        <v>7.0000000000000007E-2</v>
      </c>
      <c r="K19" s="814"/>
      <c r="L19" s="696" t="s">
        <v>116</v>
      </c>
      <c r="M19" s="793">
        <v>0.32</v>
      </c>
      <c r="N19" s="818">
        <v>0.3</v>
      </c>
      <c r="O19" s="792"/>
    </row>
    <row r="20" spans="1:15" x14ac:dyDescent="0.2">
      <c r="A20" s="442"/>
      <c r="B20" s="842"/>
      <c r="C20" s="55"/>
      <c r="D20" s="713" t="s">
        <v>284</v>
      </c>
      <c r="E20" s="713"/>
      <c r="F20" s="713"/>
      <c r="G20" s="55"/>
      <c r="H20" s="308" t="s">
        <v>128</v>
      </c>
      <c r="I20" s="315"/>
      <c r="J20" s="812">
        <v>42309</v>
      </c>
      <c r="K20" s="813"/>
      <c r="L20" s="483" t="s">
        <v>666</v>
      </c>
      <c r="M20" s="417"/>
      <c r="N20" s="812">
        <v>42309</v>
      </c>
      <c r="O20" s="813"/>
    </row>
    <row r="21" spans="1:15" ht="15" thickBot="1" x14ac:dyDescent="0.25">
      <c r="A21" s="442"/>
      <c r="B21" s="842"/>
      <c r="C21" s="55"/>
      <c r="D21" s="709" t="s">
        <v>283</v>
      </c>
      <c r="E21" s="710"/>
      <c r="F21" s="711"/>
      <c r="G21" s="55"/>
      <c r="H21" s="311" t="s">
        <v>116</v>
      </c>
      <c r="I21" s="349">
        <v>0.16</v>
      </c>
      <c r="J21" s="811">
        <v>0.16</v>
      </c>
      <c r="K21" s="814"/>
      <c r="L21" s="696" t="s">
        <v>116</v>
      </c>
      <c r="M21" s="418">
        <v>5.5E-2</v>
      </c>
      <c r="N21" s="810">
        <v>5.5E-2</v>
      </c>
      <c r="O21" s="792"/>
    </row>
    <row r="22" spans="1:15" x14ac:dyDescent="0.2">
      <c r="A22" s="442"/>
      <c r="B22" s="842"/>
      <c r="C22" s="55"/>
      <c r="D22" s="703" t="s">
        <v>282</v>
      </c>
      <c r="E22" s="704"/>
      <c r="F22" s="705"/>
      <c r="G22" s="55"/>
      <c r="H22" s="308" t="s">
        <v>232</v>
      </c>
      <c r="I22" s="315"/>
      <c r="J22" s="812">
        <v>42309</v>
      </c>
      <c r="K22" s="813"/>
      <c r="L22" s="483" t="s">
        <v>670</v>
      </c>
      <c r="M22" s="315"/>
      <c r="N22" s="812">
        <v>42309</v>
      </c>
      <c r="O22" s="816"/>
    </row>
    <row r="23" spans="1:15" ht="15" thickBot="1" x14ac:dyDescent="0.25">
      <c r="A23" s="442"/>
      <c r="B23" s="842"/>
      <c r="C23" s="55"/>
      <c r="D23" s="55"/>
      <c r="E23" s="55"/>
      <c r="F23" s="55"/>
      <c r="G23" s="55"/>
      <c r="H23" s="311" t="s">
        <v>116</v>
      </c>
      <c r="I23" s="418">
        <v>0.08</v>
      </c>
      <c r="J23" s="810">
        <v>0.08</v>
      </c>
      <c r="K23" s="814"/>
      <c r="L23" s="696" t="s">
        <v>668</v>
      </c>
      <c r="M23" s="349">
        <v>0.1</v>
      </c>
      <c r="N23" s="818">
        <v>0.1</v>
      </c>
      <c r="O23" s="814"/>
    </row>
    <row r="24" spans="1:15" x14ac:dyDescent="0.2">
      <c r="A24" s="442"/>
      <c r="B24" s="842"/>
      <c r="C24" s="55"/>
      <c r="D24" s="386" t="s">
        <v>243</v>
      </c>
      <c r="E24" s="808">
        <v>42935</v>
      </c>
      <c r="F24" s="698"/>
      <c r="G24" s="55"/>
      <c r="H24" s="308" t="s">
        <v>236</v>
      </c>
      <c r="I24" s="315"/>
      <c r="J24" s="812">
        <v>42309</v>
      </c>
      <c r="K24" s="813"/>
      <c r="L24" s="483" t="s">
        <v>360</v>
      </c>
      <c r="M24" s="828" t="s">
        <v>685</v>
      </c>
      <c r="N24" s="832">
        <v>43983</v>
      </c>
      <c r="O24" s="831">
        <v>41579</v>
      </c>
    </row>
    <row r="25" spans="1:15" ht="15" thickBot="1" x14ac:dyDescent="0.25">
      <c r="A25" s="442"/>
      <c r="B25" s="842"/>
      <c r="C25" s="55"/>
      <c r="D25" s="702" t="s">
        <v>590</v>
      </c>
      <c r="E25" s="351">
        <v>43999</v>
      </c>
      <c r="F25" s="769" t="s">
        <v>629</v>
      </c>
      <c r="G25" s="55"/>
      <c r="H25" s="696" t="s">
        <v>668</v>
      </c>
      <c r="I25" s="418">
        <v>0</v>
      </c>
      <c r="J25" s="810">
        <v>0</v>
      </c>
      <c r="K25" s="814"/>
      <c r="L25" s="696" t="s">
        <v>668</v>
      </c>
      <c r="M25" s="833">
        <f>IFERROR(VLOOKUP(#REF!,#REF!,3,FALSE),N25)</f>
        <v>40.1</v>
      </c>
      <c r="N25" s="835">
        <v>40.1</v>
      </c>
      <c r="O25" s="829">
        <v>48</v>
      </c>
    </row>
    <row r="26" spans="1:15" x14ac:dyDescent="0.2">
      <c r="A26" s="442"/>
      <c r="B26" s="842"/>
      <c r="C26" s="55"/>
      <c r="D26" s="701" t="s">
        <v>630</v>
      </c>
      <c r="E26" s="351">
        <v>43999</v>
      </c>
      <c r="F26" s="699"/>
      <c r="G26" s="55"/>
      <c r="H26" s="308" t="s">
        <v>237</v>
      </c>
      <c r="I26" s="315"/>
      <c r="J26" s="812">
        <v>42309</v>
      </c>
      <c r="K26" s="813"/>
      <c r="L26" s="483" t="s">
        <v>672</v>
      </c>
      <c r="M26" s="828" t="s">
        <v>685</v>
      </c>
      <c r="N26" s="812">
        <v>43983</v>
      </c>
      <c r="O26" s="813">
        <v>40909</v>
      </c>
    </row>
    <row r="27" spans="1:15" ht="15" thickBot="1" x14ac:dyDescent="0.25">
      <c r="A27" s="442"/>
      <c r="B27" s="842"/>
      <c r="C27" s="55"/>
      <c r="D27" s="313"/>
      <c r="E27" s="772" t="b">
        <f ca="1">(TODAY()-E24)&gt;35</f>
        <v>1</v>
      </c>
      <c r="F27" s="699"/>
      <c r="G27" s="55"/>
      <c r="H27" s="311" t="s">
        <v>116</v>
      </c>
      <c r="I27" s="794">
        <v>10</v>
      </c>
      <c r="J27" s="819">
        <v>10</v>
      </c>
      <c r="K27" s="814"/>
      <c r="L27" s="696" t="s">
        <v>668</v>
      </c>
      <c r="M27" s="834">
        <f>IFERROR(VLOOKUP(#REF!,#REF!,3,FALSE),N27)</f>
        <v>250</v>
      </c>
      <c r="N27" s="836">
        <v>250</v>
      </c>
      <c r="O27" s="830">
        <v>230</v>
      </c>
    </row>
    <row r="28" spans="1:15" ht="15" thickBot="1" x14ac:dyDescent="0.25">
      <c r="A28" s="442"/>
      <c r="B28" s="842"/>
      <c r="C28" s="55"/>
      <c r="D28" s="387" t="s">
        <v>244</v>
      </c>
      <c r="E28" s="770" t="b">
        <f ca="1">(TODAY()-E25)&gt;450</f>
        <v>1</v>
      </c>
      <c r="F28" s="700"/>
      <c r="G28" s="55"/>
      <c r="H28" s="483" t="s">
        <v>691</v>
      </c>
      <c r="I28" s="315"/>
      <c r="J28" s="812">
        <v>42309</v>
      </c>
      <c r="K28" s="816"/>
      <c r="L28" s="483" t="s">
        <v>361</v>
      </c>
      <c r="M28" s="828" t="s">
        <v>685</v>
      </c>
      <c r="N28" s="812">
        <v>43983</v>
      </c>
      <c r="O28" s="813">
        <v>40787</v>
      </c>
    </row>
    <row r="29" spans="1:15" ht="15" thickBot="1" x14ac:dyDescent="0.25">
      <c r="A29" s="442"/>
      <c r="B29" s="842"/>
      <c r="C29" s="55"/>
      <c r="D29" s="169"/>
      <c r="E29" s="55"/>
      <c r="F29" s="55"/>
      <c r="G29" s="55"/>
      <c r="H29" s="696" t="s">
        <v>692</v>
      </c>
      <c r="I29" s="349">
        <v>0.1</v>
      </c>
      <c r="J29" s="811">
        <v>0.1</v>
      </c>
      <c r="K29" s="814"/>
      <c r="L29" s="311" t="s">
        <v>123</v>
      </c>
      <c r="M29" s="834">
        <f>IFERROR(VLOOKUP(#REF!,#REF!,3,FALSE),N29)</f>
        <v>3110</v>
      </c>
      <c r="N29" s="836">
        <v>3110</v>
      </c>
      <c r="O29" s="830">
        <v>2400</v>
      </c>
    </row>
    <row r="30" spans="1:15" x14ac:dyDescent="0.2">
      <c r="A30" s="442"/>
      <c r="B30" s="842"/>
      <c r="C30" s="55"/>
      <c r="D30" s="827"/>
      <c r="E30" s="825"/>
      <c r="F30" s="826"/>
      <c r="G30" s="55"/>
      <c r="H30" s="483" t="s">
        <v>655</v>
      </c>
      <c r="I30" s="315"/>
      <c r="J30" s="812">
        <v>42309</v>
      </c>
      <c r="K30" s="813"/>
      <c r="L30" s="483" t="str">
        <f>IF(Deutsch,"Logistikaufschlag LME /t","LME logistik add on /mt")</f>
        <v>Logistikaufschlag LME /t</v>
      </c>
      <c r="M30" s="315"/>
      <c r="N30" s="812">
        <v>42309</v>
      </c>
      <c r="O30" s="813"/>
    </row>
    <row r="31" spans="1:15" ht="15" thickBot="1" x14ac:dyDescent="0.25">
      <c r="A31" s="442"/>
      <c r="B31" s="842"/>
      <c r="C31" s="55"/>
      <c r="D31" s="55"/>
      <c r="E31" s="55"/>
      <c r="F31" s="55"/>
      <c r="G31" s="55"/>
      <c r="H31" s="311" t="s">
        <v>116</v>
      </c>
      <c r="I31" s="349">
        <v>0.8</v>
      </c>
      <c r="J31" s="809">
        <v>0.8</v>
      </c>
      <c r="K31" s="792"/>
      <c r="L31" s="696" t="s">
        <v>668</v>
      </c>
      <c r="M31" s="799">
        <v>55</v>
      </c>
      <c r="N31" s="822">
        <v>55</v>
      </c>
      <c r="O31" s="814"/>
    </row>
    <row r="32" spans="1:15" x14ac:dyDescent="0.2">
      <c r="A32" s="442"/>
      <c r="B32" s="842"/>
      <c r="C32" s="55"/>
      <c r="D32" s="55"/>
      <c r="E32" s="55"/>
      <c r="F32" s="55"/>
      <c r="G32" s="55"/>
      <c r="H32" s="483" t="s">
        <v>697</v>
      </c>
      <c r="I32" s="315"/>
      <c r="J32" s="812">
        <v>42309</v>
      </c>
      <c r="K32" s="816"/>
      <c r="L32" s="483" t="s">
        <v>686</v>
      </c>
      <c r="M32" s="315"/>
      <c r="N32" s="309"/>
      <c r="O32" s="310"/>
    </row>
    <row r="33" spans="1:16" ht="15" thickBot="1" x14ac:dyDescent="0.25">
      <c r="A33" s="442"/>
      <c r="B33" s="842"/>
      <c r="C33" s="55"/>
      <c r="D33" s="55"/>
      <c r="E33" s="55"/>
      <c r="F33" s="55"/>
      <c r="G33" s="55"/>
      <c r="H33" s="696" t="s">
        <v>116</v>
      </c>
      <c r="I33" s="349">
        <v>0.12</v>
      </c>
      <c r="J33" s="811">
        <v>0.12</v>
      </c>
      <c r="K33" s="814"/>
      <c r="L33" s="696" t="s">
        <v>668</v>
      </c>
      <c r="M33" s="526">
        <v>0.95</v>
      </c>
      <c r="N33" s="758" t="s">
        <v>651</v>
      </c>
      <c r="O33" s="312"/>
    </row>
    <row r="34" spans="1:16" x14ac:dyDescent="0.2">
      <c r="A34" s="442"/>
      <c r="B34" s="842"/>
      <c r="C34" s="55"/>
      <c r="D34" s="55"/>
      <c r="E34" s="55"/>
      <c r="F34" s="55"/>
      <c r="G34" s="55"/>
      <c r="H34" s="483" t="s">
        <v>693</v>
      </c>
      <c r="I34" s="315"/>
      <c r="J34" s="812">
        <v>43983</v>
      </c>
      <c r="K34" s="816"/>
      <c r="L34" s="483" t="s">
        <v>701</v>
      </c>
      <c r="M34" s="315"/>
      <c r="N34" s="309"/>
      <c r="O34" s="816"/>
    </row>
    <row r="35" spans="1:16" ht="15" thickBot="1" x14ac:dyDescent="0.25">
      <c r="A35" s="442"/>
      <c r="B35" s="842"/>
      <c r="C35" s="55"/>
      <c r="D35" s="55"/>
      <c r="E35" s="55"/>
      <c r="F35" s="55"/>
      <c r="G35" s="55"/>
      <c r="H35" s="696" t="s">
        <v>668</v>
      </c>
      <c r="I35" s="418">
        <v>0.08</v>
      </c>
      <c r="J35" s="810">
        <v>0.06</v>
      </c>
      <c r="K35" s="814"/>
      <c r="L35" s="696" t="s">
        <v>116</v>
      </c>
      <c r="M35" s="526">
        <v>0.26</v>
      </c>
      <c r="N35" s="758" t="s">
        <v>652</v>
      </c>
      <c r="O35" s="814"/>
    </row>
    <row r="36" spans="1:16" x14ac:dyDescent="0.2">
      <c r="A36" s="442"/>
      <c r="B36" s="842"/>
      <c r="F36" s="55"/>
      <c r="H36" s="308" t="s">
        <v>280</v>
      </c>
      <c r="I36" s="315"/>
      <c r="J36" s="812">
        <v>42309</v>
      </c>
      <c r="K36" s="813"/>
      <c r="L36" s="483" t="s">
        <v>694</v>
      </c>
      <c r="M36" s="315"/>
      <c r="N36" s="309"/>
      <c r="O36" s="310"/>
    </row>
    <row r="37" spans="1:16" ht="15" thickBot="1" x14ac:dyDescent="0.25">
      <c r="A37" s="442"/>
      <c r="B37" s="842"/>
      <c r="F37" s="55"/>
      <c r="H37" s="696" t="s">
        <v>668</v>
      </c>
      <c r="I37" s="418">
        <v>0.03</v>
      </c>
      <c r="J37" s="810">
        <v>0.03</v>
      </c>
      <c r="K37" s="814"/>
      <c r="L37" s="696" t="s">
        <v>668</v>
      </c>
      <c r="M37" s="526">
        <v>0.4</v>
      </c>
      <c r="N37" s="758"/>
      <c r="O37" s="312"/>
    </row>
    <row r="38" spans="1:16" x14ac:dyDescent="0.2">
      <c r="A38" s="442"/>
      <c r="B38" s="842"/>
      <c r="F38" s="55"/>
      <c r="H38" s="483" t="s">
        <v>618</v>
      </c>
      <c r="I38" s="315" t="s">
        <v>619</v>
      </c>
      <c r="J38" s="812">
        <v>42309</v>
      </c>
      <c r="K38" s="813"/>
      <c r="L38" s="483" t="s">
        <v>695</v>
      </c>
      <c r="M38" s="315"/>
      <c r="N38" s="812">
        <v>42309</v>
      </c>
      <c r="O38" s="816"/>
    </row>
    <row r="39" spans="1:16" ht="15" thickBot="1" x14ac:dyDescent="0.25">
      <c r="A39" s="894" t="s">
        <v>808</v>
      </c>
      <c r="B39" s="842">
        <v>433</v>
      </c>
      <c r="F39" s="55"/>
      <c r="H39" s="696" t="s">
        <v>123</v>
      </c>
      <c r="I39" s="466">
        <v>4</v>
      </c>
      <c r="J39" s="823">
        <v>4</v>
      </c>
      <c r="K39" s="814"/>
      <c r="L39" s="311" t="s">
        <v>123</v>
      </c>
      <c r="M39" s="526">
        <v>11.9</v>
      </c>
      <c r="N39" s="823">
        <v>9</v>
      </c>
      <c r="O39" s="814"/>
    </row>
    <row r="40" spans="1:16" x14ac:dyDescent="0.2">
      <c r="A40" s="442" t="s">
        <v>583</v>
      </c>
      <c r="B40" s="842">
        <v>250</v>
      </c>
      <c r="F40" s="55"/>
      <c r="H40" s="483" t="s">
        <v>618</v>
      </c>
      <c r="I40" s="315" t="s">
        <v>620</v>
      </c>
      <c r="J40" s="812">
        <v>42309</v>
      </c>
      <c r="K40" s="813"/>
      <c r="L40" s="483" t="s">
        <v>712</v>
      </c>
      <c r="M40" s="315"/>
      <c r="N40" s="309"/>
      <c r="O40" s="813">
        <v>42644</v>
      </c>
      <c r="P40" s="55"/>
    </row>
    <row r="41" spans="1:16" ht="15" thickBot="1" x14ac:dyDescent="0.25">
      <c r="A41" s="442" t="s">
        <v>700</v>
      </c>
      <c r="B41" s="842">
        <v>3110</v>
      </c>
      <c r="H41" s="696" t="s">
        <v>528</v>
      </c>
      <c r="I41" s="466">
        <v>6</v>
      </c>
      <c r="J41" s="823">
        <v>6</v>
      </c>
      <c r="K41" s="814"/>
      <c r="L41" s="696" t="s">
        <v>668</v>
      </c>
      <c r="M41" s="860">
        <v>8</v>
      </c>
      <c r="N41" s="758"/>
      <c r="O41" s="861">
        <v>6</v>
      </c>
      <c r="P41" s="55"/>
    </row>
    <row r="42" spans="1:16" x14ac:dyDescent="0.2">
      <c r="A42" s="442" t="s">
        <v>699</v>
      </c>
      <c r="B42" s="842">
        <v>40.1</v>
      </c>
      <c r="H42" s="483" t="s">
        <v>618</v>
      </c>
      <c r="I42" s="315" t="s">
        <v>621</v>
      </c>
      <c r="J42" s="812">
        <v>42309</v>
      </c>
      <c r="K42" s="813"/>
      <c r="L42" s="483" t="s">
        <v>710</v>
      </c>
      <c r="M42" s="315"/>
      <c r="N42" s="309"/>
      <c r="O42" s="813">
        <v>42644</v>
      </c>
      <c r="P42" s="55"/>
    </row>
    <row r="43" spans="1:16" ht="15" thickBot="1" x14ac:dyDescent="0.25">
      <c r="A43" s="442" t="s">
        <v>650</v>
      </c>
      <c r="B43" s="842">
        <v>1375.93</v>
      </c>
      <c r="H43" s="696" t="s">
        <v>123</v>
      </c>
      <c r="I43" s="466">
        <v>9</v>
      </c>
      <c r="J43" s="823">
        <v>9</v>
      </c>
      <c r="K43" s="814"/>
      <c r="L43" s="696" t="s">
        <v>116</v>
      </c>
      <c r="M43" s="862">
        <v>20</v>
      </c>
      <c r="N43" s="758"/>
      <c r="O43" s="863">
        <v>15</v>
      </c>
      <c r="P43" s="55"/>
    </row>
    <row r="44" spans="1:16" x14ac:dyDescent="0.2">
      <c r="A44" s="442" t="s">
        <v>649</v>
      </c>
      <c r="B44" s="842">
        <v>1654.31</v>
      </c>
      <c r="H44" s="483" t="s">
        <v>656</v>
      </c>
      <c r="I44" s="315"/>
      <c r="J44" s="812">
        <v>42309</v>
      </c>
      <c r="K44" s="816"/>
      <c r="L44" s="483" t="s">
        <v>713</v>
      </c>
      <c r="M44" s="315"/>
      <c r="N44" s="309"/>
      <c r="O44" s="813">
        <v>42644</v>
      </c>
      <c r="P44" s="55"/>
    </row>
    <row r="45" spans="1:16" ht="15" thickBot="1" x14ac:dyDescent="0.25">
      <c r="A45" s="442" t="s">
        <v>647</v>
      </c>
      <c r="B45" s="842">
        <v>7682</v>
      </c>
      <c r="H45" s="696" t="s">
        <v>671</v>
      </c>
      <c r="I45" s="418">
        <v>0.02</v>
      </c>
      <c r="J45" s="810">
        <v>0.02</v>
      </c>
      <c r="K45" s="814"/>
      <c r="L45" s="696" t="s">
        <v>668</v>
      </c>
      <c r="M45" s="862">
        <v>12</v>
      </c>
      <c r="N45" s="758"/>
      <c r="O45" s="864">
        <v>12</v>
      </c>
      <c r="P45" s="55"/>
    </row>
    <row r="46" spans="1:16" x14ac:dyDescent="0.2">
      <c r="A46" s="442" t="s">
        <v>638</v>
      </c>
      <c r="B46" s="842">
        <v>6852</v>
      </c>
      <c r="H46" s="483" t="s">
        <v>588</v>
      </c>
      <c r="I46" s="315"/>
      <c r="J46" s="309"/>
      <c r="K46" s="310"/>
      <c r="L46" s="483" t="s">
        <v>873</v>
      </c>
      <c r="M46" s="315"/>
      <c r="N46" s="812">
        <v>42309</v>
      </c>
      <c r="O46" s="816"/>
    </row>
    <row r="47" spans="1:16" ht="15" thickBot="1" x14ac:dyDescent="0.25">
      <c r="A47" s="442" t="s">
        <v>648</v>
      </c>
      <c r="B47" s="842">
        <v>4163</v>
      </c>
      <c r="H47" s="696" t="s">
        <v>116</v>
      </c>
      <c r="I47" s="349">
        <v>0.4</v>
      </c>
      <c r="J47" s="795"/>
      <c r="K47" s="312"/>
      <c r="L47" s="311" t="s">
        <v>123</v>
      </c>
      <c r="M47" s="526">
        <v>0.25</v>
      </c>
      <c r="N47" s="822">
        <v>0.35</v>
      </c>
      <c r="O47" s="814"/>
    </row>
    <row r="48" spans="1:16" x14ac:dyDescent="0.2">
      <c r="A48" s="442" t="s">
        <v>637</v>
      </c>
      <c r="B48" s="842">
        <v>1759.34</v>
      </c>
      <c r="H48" s="308" t="s">
        <v>238</v>
      </c>
      <c r="I48" s="315"/>
      <c r="J48" s="812">
        <v>42309</v>
      </c>
      <c r="K48" s="813"/>
      <c r="L48" s="483" t="s">
        <v>669</v>
      </c>
      <c r="M48" s="315"/>
      <c r="N48" s="812">
        <v>42309</v>
      </c>
      <c r="O48" s="816"/>
    </row>
    <row r="49" spans="1:15" ht="15" thickBot="1" x14ac:dyDescent="0.25">
      <c r="A49" s="442" t="s">
        <v>639</v>
      </c>
      <c r="B49" s="842">
        <v>1650</v>
      </c>
      <c r="H49" s="696" t="s">
        <v>116</v>
      </c>
      <c r="I49" s="349">
        <v>0.05</v>
      </c>
      <c r="J49" s="811">
        <v>0.05</v>
      </c>
      <c r="K49" s="814"/>
      <c r="L49" s="696" t="s">
        <v>116</v>
      </c>
      <c r="M49" s="526">
        <v>2</v>
      </c>
      <c r="N49" s="822">
        <v>1.75</v>
      </c>
      <c r="O49" s="821"/>
    </row>
    <row r="50" spans="1:15" x14ac:dyDescent="0.2">
      <c r="A50" s="442" t="s">
        <v>640</v>
      </c>
      <c r="B50" s="842">
        <v>5544.29</v>
      </c>
      <c r="L50" s="483" t="s">
        <v>667</v>
      </c>
      <c r="M50" s="315"/>
      <c r="N50" s="812">
        <v>42309</v>
      </c>
      <c r="O50" s="813"/>
    </row>
    <row r="51" spans="1:15" ht="15" thickBot="1" x14ac:dyDescent="0.25">
      <c r="A51" s="442" t="s">
        <v>642</v>
      </c>
      <c r="B51" s="842">
        <v>1458.75</v>
      </c>
      <c r="L51" s="696" t="s">
        <v>116</v>
      </c>
      <c r="M51" s="350">
        <v>40</v>
      </c>
      <c r="N51" s="819">
        <v>25</v>
      </c>
      <c r="O51" s="820"/>
    </row>
    <row r="52" spans="1:15" x14ac:dyDescent="0.2">
      <c r="L52" s="483" t="s">
        <v>696</v>
      </c>
      <c r="M52" s="315"/>
      <c r="N52" s="812">
        <v>42309</v>
      </c>
      <c r="O52" s="816"/>
    </row>
    <row r="53" spans="1:15" ht="15" thickBot="1" x14ac:dyDescent="0.25">
      <c r="L53" s="696" t="s">
        <v>116</v>
      </c>
      <c r="M53" s="824">
        <v>3.08</v>
      </c>
      <c r="N53" s="822">
        <v>1.1000000000000001</v>
      </c>
      <c r="O53" s="821"/>
    </row>
    <row r="54" spans="1:15" x14ac:dyDescent="0.2">
      <c r="L54" s="483" t="s">
        <v>427</v>
      </c>
      <c r="M54" s="481" t="str">
        <f>IF('Quick Input'!$G$2,"Holz H1","wood H1")</f>
        <v>Holz H1</v>
      </c>
      <c r="N54" s="481" t="str">
        <f>IF('Quick Input'!$G$2,"Kunstst.","plastic")</f>
        <v>Kunstst.</v>
      </c>
      <c r="O54" s="817" t="str">
        <f>IF('Quick Input'!$G$2,"Alu","AL")</f>
        <v>Alu</v>
      </c>
    </row>
    <row r="55" spans="1:15" ht="15" thickBot="1" x14ac:dyDescent="0.25">
      <c r="L55" s="311" t="s">
        <v>123</v>
      </c>
      <c r="M55" s="350">
        <v>1000</v>
      </c>
      <c r="N55" s="815">
        <v>10000</v>
      </c>
      <c r="O55" s="482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91" t="str">
        <f>IF(Deutsch,"Vorbelegung:","pre selection")</f>
        <v>Vorbelegung:</v>
      </c>
      <c r="B1" s="47" t="s">
        <v>304</v>
      </c>
      <c r="D1" s="840" t="s">
        <v>702</v>
      </c>
      <c r="F1" s="873"/>
      <c r="G1" s="874" t="str">
        <f>IFERROR(CONCATENATE(IF(Deutsch,"Daten aus ","data base "),RIGHT(MAX(I2:Q2),2),".",LEFT(MAX(I2:Q2),4)),IF(Deutsch,"älter","old data"))</f>
        <v>Daten aus 0.0</v>
      </c>
      <c r="H1" s="800" t="s">
        <v>653</v>
      </c>
      <c r="I1" s="839">
        <f>(IFERROR(VLOOKUP(I$3,#REF!,4,FALSE),VLOOKUP(I$3,'Länder-DB'!$A$20:$B$51,2,FALSE))+'Länder-DB'!$M$31)/1000</f>
        <v>1.43093</v>
      </c>
      <c r="J1" s="802">
        <f>(IFERROR(VLOOKUP(J$3,#REF!,4,FALSE),VLOOKUP(J3,'Länder-DB'!$A$20:$B$51,2,FALSE))+'Länder-DB'!$M$31)/1000+'Länder-DB'!$M$33</f>
        <v>7.8570000000000002</v>
      </c>
      <c r="K1" s="802">
        <f>(IFERROR(VLOOKUP(K$3,#REF!,4,FALSE),VLOOKUP(K3,'Länder-DB'!$A$20:$B$51,2,FALSE))+'Länder-DB'!$M$31)/1000+'Länder-DB'!$M$33</f>
        <v>5.1680000000000001</v>
      </c>
      <c r="L1" s="802">
        <f>(IFERROR(VLOOKUP(L$3,#REF!,4,FALSE),VLOOKUP(L3,'Länder-DB'!$A$20:$B$51,2,FALSE))+'Länder-DB'!$M$31)/1000+'Länder-DB'!$M$33</f>
        <v>2.7643399999999998</v>
      </c>
      <c r="M1" s="802">
        <f>(IFERROR(VLOOKUP(M$3,#REF!,4,FALSE),VLOOKUP(M3,'Länder-DB'!$A$20:$B$51,2,FALSE)))/1000+'Länder-DB'!$M$33</f>
        <v>2.4087499999999999</v>
      </c>
      <c r="N1" s="803">
        <f>(IFERROR(VLOOKUP(N$3,#REF!,4,FALSE),VLOOKUP(N3,'Länder-DB'!$A$20:$B$51,2,FALSE))+'Länder-DB'!$M$31)/1000+'Länder-DB'!$M$33</f>
        <v>8.6869999999999994</v>
      </c>
      <c r="O1" s="802">
        <f>(IFERROR(VLOOKUP(O$3,#REF!,4,FALSE),VLOOKUP(O3,'Länder-DB'!$A$20:$B$51,2,FALSE)))/1000+'Länder-DB'!$M$33</f>
        <v>2.5999999999999996</v>
      </c>
      <c r="P1" s="802">
        <f>(IFERROR(VLOOKUP(P$3,#REF!,4,FALSE),VLOOKUP(P3,'Länder-DB'!$A$20:$B$51,2,FALSE))+'Länder-DB'!$M$31)/1000+'Länder-DB'!$M$33</f>
        <v>2.6593099999999996</v>
      </c>
      <c r="Q1" s="804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80" t="s">
        <v>676</v>
      </c>
      <c r="D2" s="780" t="s">
        <v>684</v>
      </c>
      <c r="E2" s="780" t="s">
        <v>679</v>
      </c>
      <c r="F2" s="780" t="s">
        <v>681</v>
      </c>
      <c r="G2" s="780" t="s">
        <v>682</v>
      </c>
      <c r="H2" s="801" t="s">
        <v>683</v>
      </c>
      <c r="I2" s="805" t="str">
        <f>IFERROR(VLOOKUP(I$3,#REF!,3,FALSE),IF(Deutsch,"älter","old data"))</f>
        <v>älter</v>
      </c>
      <c r="J2" s="806" t="str">
        <f>IFERROR(VLOOKUP(J$3,#REF!,3,FALSE),IF(Deutsch,"älter","old data"))</f>
        <v>älter</v>
      </c>
      <c r="K2" s="806" t="str">
        <f>IFERROR(VLOOKUP(K$3,#REF!,3,FALSE),IF(Deutsch,"älter","old data"))</f>
        <v>älter</v>
      </c>
      <c r="L2" s="806" t="str">
        <f>IFERROR(VLOOKUP(L$3,#REF!,3,FALSE),IF(Deutsch,"älter","old data"))</f>
        <v>älter</v>
      </c>
      <c r="M2" s="806" t="str">
        <f>IFERROR(VLOOKUP(M$3,#REF!,3,FALSE),IF(Deutsch,"älter","old data"))</f>
        <v>älter</v>
      </c>
      <c r="N2" s="806" t="str">
        <f>IFERROR(VLOOKUP(N$3,#REF!,3,FALSE),IF(Deutsch,"älter","old data"))</f>
        <v>älter</v>
      </c>
      <c r="O2" s="806" t="str">
        <f>IFERROR(VLOOKUP(O$3,#REF!,3,FALSE),IF(Deutsch,"älter","old data"))</f>
        <v>älter</v>
      </c>
      <c r="P2" s="806" t="str">
        <f>IFERROR(VLOOKUP(P$3,#REF!,3,FALSE),IF(Deutsch,"älter","old data"))</f>
        <v>älter</v>
      </c>
      <c r="Q2" s="807" t="str">
        <f>IFERROR(VLOOKUP(Q$3,#REF!,3,FALSE),IF(Deutsch,"älter","old data"))</f>
        <v>älter</v>
      </c>
      <c r="R2" s="797" t="s">
        <v>677</v>
      </c>
      <c r="S2" s="780" t="s">
        <v>703</v>
      </c>
      <c r="T2" s="780" t="s">
        <v>718</v>
      </c>
      <c r="U2" s="443" t="s">
        <v>293</v>
      </c>
    </row>
    <row r="3" spans="1:21" ht="45" customHeight="1" x14ac:dyDescent="0.2">
      <c r="A3" s="167" t="s">
        <v>31</v>
      </c>
      <c r="B3" s="167" t="s">
        <v>35</v>
      </c>
      <c r="C3" s="780" t="s">
        <v>675</v>
      </c>
      <c r="D3" s="167" t="s">
        <v>654</v>
      </c>
      <c r="E3" s="780" t="s">
        <v>680</v>
      </c>
      <c r="F3" s="780" t="s">
        <v>673</v>
      </c>
      <c r="G3" s="167" t="s">
        <v>297</v>
      </c>
      <c r="H3" s="780" t="s">
        <v>674</v>
      </c>
      <c r="I3" s="798" t="s">
        <v>650</v>
      </c>
      <c r="J3" s="798" t="s">
        <v>638</v>
      </c>
      <c r="K3" s="798" t="s">
        <v>648</v>
      </c>
      <c r="L3" s="798" t="s">
        <v>637</v>
      </c>
      <c r="M3" s="798" t="s">
        <v>642</v>
      </c>
      <c r="N3" s="798" t="s">
        <v>647</v>
      </c>
      <c r="O3" s="798" t="s">
        <v>639</v>
      </c>
      <c r="P3" s="798" t="s">
        <v>649</v>
      </c>
      <c r="Q3" s="798" t="s">
        <v>640</v>
      </c>
      <c r="R3" s="780" t="s">
        <v>641</v>
      </c>
      <c r="S3" s="780" t="s">
        <v>678</v>
      </c>
      <c r="T3" s="780" t="s">
        <v>718</v>
      </c>
      <c r="U3" s="443" t="s">
        <v>297</v>
      </c>
    </row>
    <row r="4" spans="1:21" x14ac:dyDescent="0.2">
      <c r="A4" s="784" t="s">
        <v>325</v>
      </c>
      <c r="B4" s="785" t="s">
        <v>719</v>
      </c>
      <c r="C4" s="64">
        <f>ROUND('Länder-DB'!$M$35*1.1%/(0.1%+$R4)+'Länder-DB'!$M$37+I4*I$1+J4*J$1+K4*K$1+L4*L$1+M4*M$1+N4*N$1+O4*O$1+P4*P$1+Q4*Q$1+S4,2)</f>
        <v>2.41</v>
      </c>
      <c r="D4" s="786" t="s">
        <v>752</v>
      </c>
      <c r="E4" s="787">
        <v>2.75</v>
      </c>
      <c r="F4" s="784"/>
      <c r="G4" s="784"/>
      <c r="H4" s="784"/>
      <c r="I4" s="781">
        <f>1-SUM(J4:Q4)</f>
        <v>0.94799999999999995</v>
      </c>
      <c r="J4" s="790">
        <v>4.7E-2</v>
      </c>
      <c r="K4" s="790"/>
      <c r="L4" s="790">
        <v>2.5000000000000001E-3</v>
      </c>
      <c r="M4" s="790"/>
      <c r="N4" s="790"/>
      <c r="O4" s="790"/>
      <c r="P4" s="790"/>
      <c r="Q4" s="790">
        <v>2.5000000000000001E-3</v>
      </c>
      <c r="R4" s="790">
        <v>0.01</v>
      </c>
      <c r="S4" s="787">
        <v>0</v>
      </c>
      <c r="T4" s="784"/>
      <c r="U4" s="789"/>
    </row>
    <row r="5" spans="1:21" x14ac:dyDescent="0.2">
      <c r="A5" s="784" t="s">
        <v>326</v>
      </c>
      <c r="B5" s="785" t="s">
        <v>720</v>
      </c>
      <c r="C5" s="64">
        <f>ROUND('Länder-DB'!$M$35*1.1%/(0.1%+$R5)+'Länder-DB'!$M$37+I5*I$1+J5*J$1+K5*K$1+L5*L$1+M5*M$1+N5*N$1+O5*O$1+P5*P$1+Q5*Q$1+S5,2)</f>
        <v>2.4500000000000002</v>
      </c>
      <c r="D5" s="786" t="s">
        <v>753</v>
      </c>
      <c r="E5" s="787">
        <v>2.75</v>
      </c>
      <c r="F5" s="784"/>
      <c r="G5" s="784"/>
      <c r="H5" s="784"/>
      <c r="I5" s="781">
        <f t="shared" ref="I5:I37" si="0">1-SUM(J5:Q5)</f>
        <v>0.94950000000000001</v>
      </c>
      <c r="J5" s="790">
        <v>4.8000000000000001E-2</v>
      </c>
      <c r="K5" s="790"/>
      <c r="L5" s="790"/>
      <c r="M5" s="790"/>
      <c r="N5" s="790"/>
      <c r="O5" s="790"/>
      <c r="P5" s="790"/>
      <c r="Q5" s="790">
        <v>2.5000000000000001E-3</v>
      </c>
      <c r="R5" s="790">
        <v>8.5000000000000006E-3</v>
      </c>
      <c r="S5" s="787">
        <v>0</v>
      </c>
      <c r="T5" s="784"/>
      <c r="U5" s="789"/>
    </row>
    <row r="6" spans="1:21" x14ac:dyDescent="0.2">
      <c r="A6" s="784" t="s">
        <v>318</v>
      </c>
      <c r="B6" s="785" t="s">
        <v>721</v>
      </c>
      <c r="C6" s="64">
        <f>ROUND('Länder-DB'!$M$35*1.1%/(0.1%+$R6)+'Länder-DB'!$M$37+I6*I$1+J6*J$1+K6*K$1+L6*L$1+M6*M$1+N6*N$1+O6*O$1+P6*P$1+Q6*Q$1+S6,2)</f>
        <v>2.27</v>
      </c>
      <c r="D6" s="784" t="s">
        <v>317</v>
      </c>
      <c r="E6" s="787">
        <v>2.75</v>
      </c>
      <c r="F6" s="784"/>
      <c r="G6" s="784" t="s">
        <v>296</v>
      </c>
      <c r="H6" s="784"/>
      <c r="I6" s="781">
        <f t="shared" si="0"/>
        <v>0.96830000000000005</v>
      </c>
      <c r="J6" s="790"/>
      <c r="K6" s="790"/>
      <c r="L6" s="790">
        <v>5.4999999999999997E-3</v>
      </c>
      <c r="M6" s="790">
        <v>4.0000000000000001E-3</v>
      </c>
      <c r="N6" s="790"/>
      <c r="O6" s="790">
        <v>2.1000000000000001E-2</v>
      </c>
      <c r="P6" s="790"/>
      <c r="Q6" s="790">
        <v>1.1999999999999999E-3</v>
      </c>
      <c r="R6" s="790">
        <v>9.4999999999999998E-3</v>
      </c>
      <c r="S6" s="787">
        <v>0.12</v>
      </c>
      <c r="T6" s="784"/>
      <c r="U6" s="789"/>
    </row>
    <row r="7" spans="1:21" x14ac:dyDescent="0.2">
      <c r="A7" s="784" t="s">
        <v>316</v>
      </c>
      <c r="B7" s="785" t="s">
        <v>722</v>
      </c>
      <c r="C7" s="64">
        <f>ROUND('Länder-DB'!$M$35*1.1%/(0.1%+$R7)+'Länder-DB'!$M$37+I7*I$1+J7*J$1+K7*K$1+L7*L$1+M7*M$1+N7*N$1+O7*O$1+P7*P$1+Q7*Q$1+S7,2)</f>
        <v>2.46</v>
      </c>
      <c r="D7" s="784" t="s">
        <v>315</v>
      </c>
      <c r="E7" s="787">
        <v>2.74</v>
      </c>
      <c r="F7" s="784"/>
      <c r="G7" s="784" t="s">
        <v>322</v>
      </c>
      <c r="H7" s="784"/>
      <c r="I7" s="781">
        <f t="shared" si="0"/>
        <v>0.91220000000000001</v>
      </c>
      <c r="J7" s="790">
        <v>1.8E-3</v>
      </c>
      <c r="K7" s="790"/>
      <c r="L7" s="790">
        <v>5.0000000000000001E-3</v>
      </c>
      <c r="M7" s="790"/>
      <c r="N7" s="790"/>
      <c r="O7" s="790">
        <v>7.0000000000000007E-2</v>
      </c>
      <c r="P7" s="790"/>
      <c r="Q7" s="790">
        <v>1.0999999999999999E-2</v>
      </c>
      <c r="R7" s="790">
        <v>5.0000000000000001E-3</v>
      </c>
      <c r="S7" s="787">
        <v>0</v>
      </c>
      <c r="T7" s="784"/>
      <c r="U7" s="789" t="s">
        <v>307</v>
      </c>
    </row>
    <row r="8" spans="1:21" x14ac:dyDescent="0.2">
      <c r="A8" s="784" t="s">
        <v>327</v>
      </c>
      <c r="B8" s="785" t="s">
        <v>723</v>
      </c>
      <c r="C8" s="64">
        <f>ROUND('Länder-DB'!$M$35*1.1%/(0.1%+$R8)+'Länder-DB'!$M$37+I8*I$1+J8*J$1+K8*K$1+L8*L$1+M8*M$1+N8*N$1+O8*O$1+P8*P$1+Q8*Q$1+S8,2)</f>
        <v>2.79</v>
      </c>
      <c r="D8" s="786" t="s">
        <v>754</v>
      </c>
      <c r="E8" s="787">
        <v>2.74</v>
      </c>
      <c r="F8" s="784"/>
      <c r="G8" s="784"/>
      <c r="H8" s="784"/>
      <c r="I8" s="781">
        <f t="shared" si="0"/>
        <v>0.92469999999999997</v>
      </c>
      <c r="J8" s="790"/>
      <c r="K8" s="790"/>
      <c r="L8" s="790">
        <v>3.5000000000000001E-3</v>
      </c>
      <c r="M8" s="790"/>
      <c r="N8" s="790"/>
      <c r="O8" s="790">
        <v>7.0000000000000007E-2</v>
      </c>
      <c r="P8" s="790"/>
      <c r="Q8" s="790">
        <v>1.8E-3</v>
      </c>
      <c r="R8" s="790">
        <v>2.3E-3</v>
      </c>
      <c r="S8" s="787">
        <v>0</v>
      </c>
      <c r="T8" s="784"/>
      <c r="U8" s="789"/>
    </row>
    <row r="9" spans="1:21" x14ac:dyDescent="0.2">
      <c r="A9" s="785" t="s">
        <v>328</v>
      </c>
      <c r="B9" s="785" t="s">
        <v>725</v>
      </c>
      <c r="C9" s="64">
        <f>ROUND('Länder-DB'!$M$35*1.1%/(0.1%+$R9)+'Länder-DB'!$M$37+I9*I$1+J9*J$1+K9*K$1+L9*L$1+M9*M$1+N9*N$1+O9*O$1+P9*P$1+Q9*Q$1+S9,2)</f>
        <v>2.5499999999999998</v>
      </c>
      <c r="D9" s="788" t="s">
        <v>755</v>
      </c>
      <c r="E9" s="787">
        <v>2.74</v>
      </c>
      <c r="F9" s="784"/>
      <c r="G9" s="784" t="s">
        <v>322</v>
      </c>
      <c r="H9" s="784"/>
      <c r="I9" s="781">
        <f t="shared" si="0"/>
        <v>0.92179999999999995</v>
      </c>
      <c r="J9" s="790">
        <v>4.0000000000000002E-4</v>
      </c>
      <c r="K9" s="790"/>
      <c r="L9" s="790">
        <v>6.0000000000000001E-3</v>
      </c>
      <c r="M9" s="790"/>
      <c r="N9" s="790"/>
      <c r="O9" s="790">
        <v>7.0000000000000007E-2</v>
      </c>
      <c r="P9" s="790"/>
      <c r="Q9" s="790">
        <v>1.8E-3</v>
      </c>
      <c r="R9" s="790">
        <v>3.5999999999999999E-3</v>
      </c>
      <c r="S9" s="787">
        <v>0</v>
      </c>
      <c r="T9" s="784"/>
      <c r="U9" s="789"/>
    </row>
    <row r="10" spans="1:21" x14ac:dyDescent="0.2">
      <c r="A10" s="784" t="s">
        <v>303</v>
      </c>
      <c r="B10" s="785" t="s">
        <v>724</v>
      </c>
      <c r="C10" s="64">
        <f>ROUND('Länder-DB'!$M$35*1.1%/(0.1%+$R10)+'Länder-DB'!$M$37+I10*I$1+J10*J$1+K10*K$1+L10*L$1+M10*M$1+N10*N$1+O10*O$1+P10*P$1+Q10*Q$1+S10,2)</f>
        <v>2.31</v>
      </c>
      <c r="D10" s="784" t="s">
        <v>644</v>
      </c>
      <c r="E10" s="787">
        <v>2.706</v>
      </c>
      <c r="F10" s="784">
        <v>215</v>
      </c>
      <c r="G10" s="784" t="s">
        <v>322</v>
      </c>
      <c r="H10" s="784">
        <v>710</v>
      </c>
      <c r="I10" s="781">
        <f t="shared" si="0"/>
        <v>0.89649999999999996</v>
      </c>
      <c r="J10" s="790"/>
      <c r="K10" s="790"/>
      <c r="L10" s="790">
        <v>3.5000000000000001E-3</v>
      </c>
      <c r="M10" s="790"/>
      <c r="N10" s="790"/>
      <c r="O10" s="790">
        <v>0.1</v>
      </c>
      <c r="P10" s="790"/>
      <c r="Q10" s="790"/>
      <c r="R10" s="790">
        <v>7.0000000000000001E-3</v>
      </c>
      <c r="S10" s="787">
        <v>0</v>
      </c>
      <c r="T10" s="784"/>
      <c r="U10" s="789" t="s">
        <v>307</v>
      </c>
    </row>
    <row r="11" spans="1:21" x14ac:dyDescent="0.2">
      <c r="A11" s="784" t="s">
        <v>304</v>
      </c>
      <c r="B11" s="785" t="s">
        <v>726</v>
      </c>
      <c r="C11" s="64">
        <f>ROUND('Länder-DB'!$M$35*1.1%/(0.1%+$R11)+'Länder-DB'!$M$37+I11*I$1+J11*J$1+K11*K$1+L11*L$1+M11*M$1+N11*N$1+O11*O$1+P11*P$1+Q11*Q$1+S11,2)</f>
        <v>2.29</v>
      </c>
      <c r="D11" s="784" t="s">
        <v>256</v>
      </c>
      <c r="E11" s="787">
        <v>2.706</v>
      </c>
      <c r="F11" s="784"/>
      <c r="G11" s="784" t="s">
        <v>322</v>
      </c>
      <c r="H11" s="784">
        <v>710</v>
      </c>
      <c r="I11" s="781">
        <f t="shared" si="0"/>
        <v>0.89649999999999996</v>
      </c>
      <c r="J11" s="790"/>
      <c r="K11" s="790"/>
      <c r="L11" s="790">
        <v>3.5000000000000001E-3</v>
      </c>
      <c r="M11" s="790"/>
      <c r="N11" s="790"/>
      <c r="O11" s="790">
        <v>0.1</v>
      </c>
      <c r="P11" s="790"/>
      <c r="Q11" s="790"/>
      <c r="R11" s="790">
        <v>7.4999999999999997E-3</v>
      </c>
      <c r="S11" s="787">
        <v>0</v>
      </c>
      <c r="T11" s="784"/>
      <c r="U11" s="789" t="s">
        <v>307</v>
      </c>
    </row>
    <row r="12" spans="1:21" x14ac:dyDescent="0.2">
      <c r="A12" s="784" t="s">
        <v>305</v>
      </c>
      <c r="B12" s="785" t="s">
        <v>727</v>
      </c>
      <c r="C12" s="64">
        <f>ROUND('Länder-DB'!$M$35*1.1%/(0.1%+$R12)+'Länder-DB'!$M$37+I12*I$1+J12*J$1+K12*K$1+L12*L$1+M12*M$1+N12*N$1+O12*O$1+P12*P$1+Q12*Q$1+S12,2)</f>
        <v>2.1</v>
      </c>
      <c r="D12" s="788" t="s">
        <v>751</v>
      </c>
      <c r="E12" s="787">
        <v>2.706</v>
      </c>
      <c r="F12" s="784"/>
      <c r="G12" s="784" t="s">
        <v>296</v>
      </c>
      <c r="H12" s="784">
        <v>710</v>
      </c>
      <c r="I12" s="781">
        <f t="shared" si="0"/>
        <v>0.89449999999999996</v>
      </c>
      <c r="J12" s="790">
        <v>2E-3</v>
      </c>
      <c r="K12" s="790"/>
      <c r="L12" s="790">
        <v>3.5000000000000001E-3</v>
      </c>
      <c r="M12" s="790"/>
      <c r="N12" s="790"/>
      <c r="O12" s="790">
        <v>0.1</v>
      </c>
      <c r="P12" s="790"/>
      <c r="Q12" s="790"/>
      <c r="R12" s="790">
        <v>0.02</v>
      </c>
      <c r="S12" s="787">
        <v>0</v>
      </c>
      <c r="T12" s="784"/>
      <c r="U12" s="789" t="s">
        <v>307</v>
      </c>
    </row>
    <row r="13" spans="1:21" x14ac:dyDescent="0.2">
      <c r="A13" s="784" t="s">
        <v>314</v>
      </c>
      <c r="B13" s="785" t="s">
        <v>728</v>
      </c>
      <c r="C13" s="64">
        <f>ROUND('Länder-DB'!$M$35*1.1%/(0.1%+$R13)+'Länder-DB'!$M$37+I13*I$1+J13*J$1+K13*K$1+L13*L$1+M13*M$1+N13*N$1+O13*O$1+P13*P$1+Q13*Q$1+S13,2)</f>
        <v>2.38</v>
      </c>
      <c r="D13" s="786" t="s">
        <v>756</v>
      </c>
      <c r="E13" s="787">
        <v>2.726</v>
      </c>
      <c r="F13" s="784"/>
      <c r="G13" s="784" t="s">
        <v>296</v>
      </c>
      <c r="H13" s="784"/>
      <c r="I13" s="781">
        <f t="shared" si="0"/>
        <v>0.90100000000000002</v>
      </c>
      <c r="J13" s="790"/>
      <c r="K13" s="790"/>
      <c r="L13" s="790">
        <v>4.0000000000000001E-3</v>
      </c>
      <c r="M13" s="790"/>
      <c r="N13" s="790"/>
      <c r="O13" s="790">
        <v>9.5000000000000001E-2</v>
      </c>
      <c r="P13" s="790"/>
      <c r="Q13" s="790"/>
      <c r="R13" s="790">
        <v>5.5999999999999999E-3</v>
      </c>
      <c r="S13" s="787">
        <v>0</v>
      </c>
      <c r="T13" s="784"/>
      <c r="U13" s="789"/>
    </row>
    <row r="14" spans="1:21" x14ac:dyDescent="0.2">
      <c r="A14" s="784" t="s">
        <v>313</v>
      </c>
      <c r="B14" s="785" t="s">
        <v>729</v>
      </c>
      <c r="C14" s="64">
        <f>ROUND('Länder-DB'!$M$35*1.1%/(0.1%+$R14)+'Länder-DB'!$M$37+I14*I$1+J14*J$1+K14*K$1+L14*L$1+M14*M$1+N14*N$1+O14*O$1+P14*P$1+Q14*Q$1+S14,2)</f>
        <v>2.2200000000000002</v>
      </c>
      <c r="D14" s="786" t="s">
        <v>757</v>
      </c>
      <c r="E14" s="787">
        <v>2.702</v>
      </c>
      <c r="F14" s="784"/>
      <c r="G14" s="784"/>
      <c r="H14" s="784"/>
      <c r="I14" s="781">
        <f t="shared" si="0"/>
        <v>0.89100000000000001</v>
      </c>
      <c r="J14" s="790"/>
      <c r="K14" s="790"/>
      <c r="L14" s="790"/>
      <c r="M14" s="790"/>
      <c r="N14" s="790"/>
      <c r="O14" s="790">
        <v>0.109</v>
      </c>
      <c r="P14" s="790"/>
      <c r="Q14" s="790"/>
      <c r="R14" s="790">
        <v>0.01</v>
      </c>
      <c r="S14" s="787">
        <v>0</v>
      </c>
      <c r="T14" s="784"/>
      <c r="U14" s="789"/>
    </row>
    <row r="15" spans="1:21" x14ac:dyDescent="0.2">
      <c r="A15" s="784" t="s">
        <v>302</v>
      </c>
      <c r="B15" s="785" t="s">
        <v>730</v>
      </c>
      <c r="C15" s="64">
        <f>ROUND('Länder-DB'!$M$35*1.1%/(0.1%+$R15)+'Länder-DB'!$M$37+I15*I$1+J15*J$1+K15*K$1+L15*L$1+M15*M$1+N15*N$1+O15*O$1+P15*P$1+Q15*Q$1+S15,2)</f>
        <v>2.2400000000000002</v>
      </c>
      <c r="D15" s="784" t="s">
        <v>255</v>
      </c>
      <c r="E15" s="787">
        <v>2.68</v>
      </c>
      <c r="F15" s="784">
        <v>215</v>
      </c>
      <c r="G15" s="784"/>
      <c r="H15" s="784">
        <v>690</v>
      </c>
      <c r="I15" s="781">
        <f t="shared" si="0"/>
        <v>0.88</v>
      </c>
      <c r="J15" s="790"/>
      <c r="K15" s="790"/>
      <c r="L15" s="790"/>
      <c r="M15" s="790"/>
      <c r="N15" s="790"/>
      <c r="O15" s="790">
        <v>0.12</v>
      </c>
      <c r="P15" s="790"/>
      <c r="Q15" s="790"/>
      <c r="R15" s="790">
        <v>0.02</v>
      </c>
      <c r="S15" s="787">
        <v>0.13</v>
      </c>
      <c r="T15" s="784"/>
      <c r="U15" s="789" t="s">
        <v>306</v>
      </c>
    </row>
    <row r="16" spans="1:21" x14ac:dyDescent="0.2">
      <c r="A16" s="784" t="s">
        <v>301</v>
      </c>
      <c r="B16" s="785" t="s">
        <v>731</v>
      </c>
      <c r="C16" s="64">
        <f>ROUND('Länder-DB'!$M$35*1.1%/(0.1%+$R16)+'Länder-DB'!$M$37+I16*I$1+J16*J$1+K16*K$1+L16*L$1+M16*M$1+N16*N$1+O16*O$1+P16*P$1+Q16*Q$1+S16,2)</f>
        <v>2.2599999999999998</v>
      </c>
      <c r="D16" s="785" t="s">
        <v>758</v>
      </c>
      <c r="E16" s="787">
        <v>2.68</v>
      </c>
      <c r="F16" s="784">
        <v>215</v>
      </c>
      <c r="G16" s="784"/>
      <c r="H16" s="784">
        <v>700</v>
      </c>
      <c r="I16" s="781">
        <f t="shared" si="0"/>
        <v>0.88</v>
      </c>
      <c r="J16" s="790"/>
      <c r="K16" s="790"/>
      <c r="L16" s="790"/>
      <c r="M16" s="790"/>
      <c r="N16" s="790"/>
      <c r="O16" s="790">
        <v>0.12</v>
      </c>
      <c r="P16" s="790"/>
      <c r="Q16" s="790"/>
      <c r="R16" s="790">
        <v>1.4E-2</v>
      </c>
      <c r="S16" s="787">
        <v>0.1</v>
      </c>
      <c r="T16" s="784"/>
      <c r="U16" s="789" t="s">
        <v>306</v>
      </c>
    </row>
    <row r="17" spans="1:21" x14ac:dyDescent="0.2">
      <c r="A17" s="784" t="s">
        <v>329</v>
      </c>
      <c r="B17" s="785" t="s">
        <v>732</v>
      </c>
      <c r="C17" s="64">
        <f>ROUND('Länder-DB'!$M$35*1.1%/(0.1%+$R17)+'Länder-DB'!$M$37+I17*I$1+J17*J$1+K17*K$1+L17*L$1+M17*M$1+N17*N$1+O17*O$1+P17*P$1+Q17*Q$1+S17,2)</f>
        <v>2.09</v>
      </c>
      <c r="D17" s="785" t="s">
        <v>646</v>
      </c>
      <c r="E17" s="787">
        <v>2.75</v>
      </c>
      <c r="F17" s="784">
        <v>215</v>
      </c>
      <c r="G17" s="784"/>
      <c r="H17" s="784">
        <v>685</v>
      </c>
      <c r="I17" s="781">
        <f t="shared" si="0"/>
        <v>0.90500000000000003</v>
      </c>
      <c r="J17" s="790"/>
      <c r="K17" s="790"/>
      <c r="L17" s="790"/>
      <c r="M17" s="790"/>
      <c r="N17" s="790"/>
      <c r="O17" s="790">
        <v>9.5000000000000001E-2</v>
      </c>
      <c r="P17" s="790"/>
      <c r="Q17" s="790"/>
      <c r="R17" s="790">
        <v>1.7999999999999999E-2</v>
      </c>
      <c r="S17" s="787">
        <v>0</v>
      </c>
      <c r="T17" s="784"/>
      <c r="U17" s="789"/>
    </row>
    <row r="18" spans="1:21" x14ac:dyDescent="0.2">
      <c r="A18" s="784" t="s">
        <v>300</v>
      </c>
      <c r="B18" s="785" t="s">
        <v>733</v>
      </c>
      <c r="C18" s="64">
        <f>ROUND('Länder-DB'!$M$35*1.1%/(0.1%+$R18)+'Länder-DB'!$M$37+I18*I$1+J18*J$1+K18*K$1+L18*L$1+M18*M$1+N18*N$1+O18*O$1+P18*P$1+Q18*Q$1+S18,2)</f>
        <v>2.35</v>
      </c>
      <c r="D18" s="784" t="s">
        <v>254</v>
      </c>
      <c r="E18" s="787">
        <v>2.758</v>
      </c>
      <c r="F18" s="784">
        <v>215</v>
      </c>
      <c r="G18" s="784" t="s">
        <v>262</v>
      </c>
      <c r="H18" s="784">
        <v>680</v>
      </c>
      <c r="I18" s="781">
        <f t="shared" si="0"/>
        <v>0.89549999999999996</v>
      </c>
      <c r="J18" s="790">
        <v>0.04</v>
      </c>
      <c r="K18" s="790"/>
      <c r="L18" s="790"/>
      <c r="M18" s="790">
        <v>4.4999999999999997E-3</v>
      </c>
      <c r="N18" s="790"/>
      <c r="O18" s="790">
        <v>0.06</v>
      </c>
      <c r="P18" s="790"/>
      <c r="Q18" s="790"/>
      <c r="R18" s="790">
        <v>1.4E-2</v>
      </c>
      <c r="S18" s="787">
        <v>0</v>
      </c>
      <c r="T18" s="784"/>
      <c r="U18" s="789"/>
    </row>
    <row r="19" spans="1:21" x14ac:dyDescent="0.2">
      <c r="A19" s="784" t="s">
        <v>320</v>
      </c>
      <c r="B19" s="785" t="s">
        <v>734</v>
      </c>
      <c r="C19" s="64">
        <f>ROUND('Länder-DB'!$M$35*1.1%/(0.1%+$R19)+'Länder-DB'!$M$37+I19*I$1+J19*J$1+K19*K$1+L19*L$1+M19*M$1+N19*N$1+O19*O$1+P19*P$1+Q19*Q$1+S19,2)</f>
        <v>2.2400000000000002</v>
      </c>
      <c r="D19" s="784" t="s">
        <v>319</v>
      </c>
      <c r="E19" s="787">
        <v>2.75</v>
      </c>
      <c r="F19" s="784"/>
      <c r="G19" s="784" t="s">
        <v>321</v>
      </c>
      <c r="H19" s="784"/>
      <c r="I19" s="781">
        <f t="shared" si="0"/>
        <v>0.91449999999999998</v>
      </c>
      <c r="J19" s="790">
        <v>3.2000000000000001E-2</v>
      </c>
      <c r="K19" s="790"/>
      <c r="L19" s="790">
        <v>3.5000000000000001E-3</v>
      </c>
      <c r="M19" s="790"/>
      <c r="N19" s="790"/>
      <c r="O19" s="790">
        <v>0.05</v>
      </c>
      <c r="P19" s="790"/>
      <c r="Q19" s="790"/>
      <c r="R19" s="790">
        <v>0.02</v>
      </c>
      <c r="S19" s="787">
        <v>0</v>
      </c>
      <c r="T19" s="784"/>
      <c r="U19" s="789"/>
    </row>
    <row r="20" spans="1:21" x14ac:dyDescent="0.2">
      <c r="A20" s="784" t="s">
        <v>330</v>
      </c>
      <c r="B20" s="785" t="s">
        <v>735</v>
      </c>
      <c r="C20" s="64">
        <f>ROUND('Länder-DB'!$M$35*1.1%/(0.1%+$R20)+'Länder-DB'!$M$37+I20*I$1+J20*J$1+K20*K$1+L20*L$1+M20*M$1+N20*N$1+O20*O$1+P20*P$1+Q20*Q$1+S20,2)</f>
        <v>2.2200000000000002</v>
      </c>
      <c r="D20" s="784" t="s">
        <v>331</v>
      </c>
      <c r="E20" s="787">
        <v>2.75</v>
      </c>
      <c r="F20" s="784"/>
      <c r="G20" s="784"/>
      <c r="H20" s="784"/>
      <c r="I20" s="781">
        <f t="shared" si="0"/>
        <v>0.91300000000000003</v>
      </c>
      <c r="J20" s="790">
        <v>3.3000000000000002E-2</v>
      </c>
      <c r="K20" s="790"/>
      <c r="L20" s="790"/>
      <c r="M20" s="790">
        <v>4.0000000000000001E-3</v>
      </c>
      <c r="N20" s="790"/>
      <c r="O20" s="790">
        <v>0.05</v>
      </c>
      <c r="P20" s="790"/>
      <c r="Q20" s="790"/>
      <c r="R20" s="790">
        <v>2.5000000000000001E-2</v>
      </c>
      <c r="S20" s="787">
        <v>0</v>
      </c>
      <c r="T20" s="784"/>
      <c r="U20" s="789"/>
    </row>
    <row r="21" spans="1:21" x14ac:dyDescent="0.2">
      <c r="A21" s="784" t="s">
        <v>332</v>
      </c>
      <c r="B21" s="785" t="s">
        <v>736</v>
      </c>
      <c r="C21" s="64">
        <f>ROUND('Länder-DB'!$M$35*1.1%/(0.1%+$R21)+'Länder-DB'!$M$37+I21*I$1+J21*J$1+K21*K$1+L21*L$1+M21*M$1+N21*N$1+O21*O$1+P21*P$1+Q21*Q$1+S21,2)</f>
        <v>2.12</v>
      </c>
      <c r="D21" s="784" t="s">
        <v>333</v>
      </c>
      <c r="E21" s="787">
        <v>2.75</v>
      </c>
      <c r="F21" s="784"/>
      <c r="G21" s="784"/>
      <c r="H21" s="784"/>
      <c r="I21" s="781">
        <f t="shared" si="0"/>
        <v>0.93149999999999999</v>
      </c>
      <c r="J21" s="790">
        <v>1.2999999999999999E-2</v>
      </c>
      <c r="K21" s="790"/>
      <c r="L21" s="790">
        <v>5.4999999999999997E-3</v>
      </c>
      <c r="M21" s="790"/>
      <c r="N21" s="790"/>
      <c r="O21" s="790">
        <v>0.05</v>
      </c>
      <c r="P21" s="790"/>
      <c r="Q21" s="790"/>
      <c r="R21" s="790">
        <v>0.02</v>
      </c>
      <c r="S21" s="787">
        <v>0</v>
      </c>
      <c r="T21" s="784"/>
      <c r="U21" s="789"/>
    </row>
    <row r="22" spans="1:21" x14ac:dyDescent="0.2">
      <c r="A22" s="784" t="s">
        <v>334</v>
      </c>
      <c r="B22" s="785" t="s">
        <v>737</v>
      </c>
      <c r="C22" s="64">
        <f>ROUND('Länder-DB'!$M$35*1.1%/(0.1%+$R22)+'Länder-DB'!$M$37+I22*I$1+J22*J$1+K22*K$1+L22*L$1+M22*M$1+N22*N$1+O22*O$1+P22*P$1+Q22*Q$1+S22,2)</f>
        <v>2.23</v>
      </c>
      <c r="D22" s="784" t="s">
        <v>335</v>
      </c>
      <c r="E22" s="787">
        <v>2.75</v>
      </c>
      <c r="F22" s="784"/>
      <c r="G22" s="784"/>
      <c r="H22" s="784"/>
      <c r="I22" s="781">
        <f t="shared" si="0"/>
        <v>0.91800000000000004</v>
      </c>
      <c r="J22" s="790">
        <v>3.2000000000000001E-2</v>
      </c>
      <c r="K22" s="790"/>
      <c r="L22" s="790"/>
      <c r="M22" s="790"/>
      <c r="N22" s="790"/>
      <c r="O22" s="790">
        <v>0.05</v>
      </c>
      <c r="P22" s="790"/>
      <c r="Q22" s="790"/>
      <c r="R22" s="790">
        <v>0.02</v>
      </c>
      <c r="S22" s="787">
        <v>0</v>
      </c>
      <c r="T22" s="784"/>
      <c r="U22" s="789"/>
    </row>
    <row r="23" spans="1:21" x14ac:dyDescent="0.2">
      <c r="A23" s="784" t="s">
        <v>336</v>
      </c>
      <c r="B23" s="785" t="s">
        <v>738</v>
      </c>
      <c r="C23" s="64">
        <f>ROUND('Länder-DB'!$M$35*1.1%/(0.1%+$R23)+'Länder-DB'!$M$37+I23*I$1+J23*J$1+K23*K$1+L23*L$1+M23*M$1+N23*N$1+O23*O$1+P23*P$1+Q23*Q$1+S23,2)</f>
        <v>2.16</v>
      </c>
      <c r="D23" s="784" t="s">
        <v>337</v>
      </c>
      <c r="E23" s="787">
        <v>2.7</v>
      </c>
      <c r="F23" s="784">
        <v>215</v>
      </c>
      <c r="G23" s="784"/>
      <c r="H23" s="784">
        <v>700</v>
      </c>
      <c r="I23" s="781">
        <f t="shared" si="0"/>
        <v>0.86799999999999999</v>
      </c>
      <c r="J23" s="790">
        <v>2.1999999999999999E-2</v>
      </c>
      <c r="K23" s="790"/>
      <c r="L23" s="790"/>
      <c r="M23" s="790"/>
      <c r="N23" s="790"/>
      <c r="O23" s="790">
        <v>0.11</v>
      </c>
      <c r="P23" s="790"/>
      <c r="Q23" s="790"/>
      <c r="R23" s="790">
        <v>4.4999999999999998E-2</v>
      </c>
      <c r="S23" s="787">
        <v>0</v>
      </c>
      <c r="T23" s="784"/>
      <c r="U23" s="789"/>
    </row>
    <row r="24" spans="1:21" x14ac:dyDescent="0.2">
      <c r="A24" s="784" t="s">
        <v>298</v>
      </c>
      <c r="B24" s="785" t="s">
        <v>739</v>
      </c>
      <c r="C24" s="64">
        <f>ROUND('Länder-DB'!$M$35*1.1%/(0.1%+$R24)+'Länder-DB'!$M$37+I24*I$1+J24*J$1+K24*K$1+L24*L$1+M24*M$1+N24*N$1+O24*O$1+P24*P$1+Q24*Q$1+S24,2)</f>
        <v>2.2000000000000002</v>
      </c>
      <c r="D24" s="784" t="s">
        <v>252</v>
      </c>
      <c r="E24" s="787">
        <v>2.758</v>
      </c>
      <c r="F24" s="784">
        <v>215</v>
      </c>
      <c r="G24" s="784" t="s">
        <v>262</v>
      </c>
      <c r="H24" s="784">
        <v>680</v>
      </c>
      <c r="I24" s="781">
        <f t="shared" si="0"/>
        <v>0.877</v>
      </c>
      <c r="J24" s="790">
        <v>0.03</v>
      </c>
      <c r="K24" s="790"/>
      <c r="L24" s="790">
        <v>4.0000000000000001E-3</v>
      </c>
      <c r="M24" s="790">
        <v>4.0000000000000001E-3</v>
      </c>
      <c r="N24" s="790"/>
      <c r="O24" s="790">
        <v>8.5000000000000006E-2</v>
      </c>
      <c r="P24" s="790"/>
      <c r="Q24" s="790"/>
      <c r="R24" s="790">
        <v>3.1E-2</v>
      </c>
      <c r="S24" s="787">
        <v>-0.02</v>
      </c>
      <c r="T24" s="784"/>
      <c r="U24" s="789"/>
    </row>
    <row r="25" spans="1:21" x14ac:dyDescent="0.2">
      <c r="A25" s="784" t="s">
        <v>338</v>
      </c>
      <c r="B25" s="785" t="s">
        <v>740</v>
      </c>
      <c r="C25" s="64">
        <f>ROUND('Länder-DB'!$M$35*1.1%/(0.1%+$R25)+'Länder-DB'!$M$37+I25*I$1+J25*J$1+K25*K$1+L25*L$1+M25*M$1+N25*N$1+O25*O$1+P25*P$1+Q25*Q$1+S25,2)</f>
        <v>2.27</v>
      </c>
      <c r="D25" s="785" t="s">
        <v>557</v>
      </c>
      <c r="E25" s="787">
        <v>2.74</v>
      </c>
      <c r="F25" s="784"/>
      <c r="G25" s="784"/>
      <c r="H25" s="784"/>
      <c r="I25" s="781">
        <f t="shared" si="0"/>
        <v>0.88149999999999995</v>
      </c>
      <c r="J25" s="790">
        <v>3.5999999999999997E-2</v>
      </c>
      <c r="K25" s="790"/>
      <c r="L25" s="790">
        <v>5.0000000000000001E-3</v>
      </c>
      <c r="M25" s="790">
        <v>4.4999999999999997E-3</v>
      </c>
      <c r="N25" s="790"/>
      <c r="O25" s="790">
        <v>7.2999999999999995E-2</v>
      </c>
      <c r="P25" s="790"/>
      <c r="Q25" s="790"/>
      <c r="R25" s="790">
        <v>2.4E-2</v>
      </c>
      <c r="S25" s="787">
        <v>0</v>
      </c>
      <c r="T25" s="784"/>
      <c r="U25" s="789"/>
    </row>
    <row r="26" spans="1:21" x14ac:dyDescent="0.2">
      <c r="A26" s="784" t="s">
        <v>339</v>
      </c>
      <c r="B26" s="785" t="s">
        <v>741</v>
      </c>
      <c r="C26" s="64">
        <f>ROUND('Länder-DB'!$M$35*1.1%/(0.1%+$R26)+'Länder-DB'!$M$37+I26*I$1+J26*J$1+K26*K$1+L26*L$1+M26*M$1+N26*N$1+O26*O$1+P26*P$1+Q26*Q$1+S26,2)</f>
        <v>2.15</v>
      </c>
      <c r="D26" s="784" t="s">
        <v>340</v>
      </c>
      <c r="E26" s="787">
        <v>2.726</v>
      </c>
      <c r="F26" s="784"/>
      <c r="G26" s="784"/>
      <c r="H26" s="784"/>
      <c r="I26" s="781">
        <f t="shared" si="0"/>
        <v>0.88900000000000001</v>
      </c>
      <c r="J26" s="790">
        <v>1.0999999999999999E-2</v>
      </c>
      <c r="K26" s="790"/>
      <c r="L26" s="790">
        <v>5.0000000000000001E-3</v>
      </c>
      <c r="M26" s="790">
        <v>3.5000000000000001E-3</v>
      </c>
      <c r="N26" s="790"/>
      <c r="O26" s="790">
        <v>0.09</v>
      </c>
      <c r="P26" s="790"/>
      <c r="Q26" s="790">
        <v>1.5E-3</v>
      </c>
      <c r="R26" s="790">
        <v>2.1499999999999998E-2</v>
      </c>
      <c r="S26" s="787">
        <v>0</v>
      </c>
      <c r="T26" s="784"/>
      <c r="U26" s="789"/>
    </row>
    <row r="27" spans="1:21" x14ac:dyDescent="0.2">
      <c r="A27" s="784" t="s">
        <v>341</v>
      </c>
      <c r="B27" s="785" t="s">
        <v>742</v>
      </c>
      <c r="C27" s="64">
        <f>ROUND('Länder-DB'!$M$35*1.1%/(0.1%+$R27)+'Länder-DB'!$M$37+I27*I$1+J27*J$1+K27*K$1+L27*L$1+M27*M$1+N27*N$1+O27*O$1+P27*P$1+Q27*Q$1+S27,2)</f>
        <v>2.1800000000000002</v>
      </c>
      <c r="D27" s="784" t="s">
        <v>342</v>
      </c>
      <c r="E27" s="787">
        <v>2.74</v>
      </c>
      <c r="F27" s="784"/>
      <c r="G27" s="784"/>
      <c r="H27" s="784"/>
      <c r="I27" s="781">
        <f t="shared" si="0"/>
        <v>0.90800000000000003</v>
      </c>
      <c r="J27" s="790">
        <v>2.1999999999999999E-2</v>
      </c>
      <c r="K27" s="790"/>
      <c r="L27" s="790"/>
      <c r="M27" s="790"/>
      <c r="N27" s="790"/>
      <c r="O27" s="790">
        <v>7.0000000000000007E-2</v>
      </c>
      <c r="P27" s="790"/>
      <c r="Q27" s="790"/>
      <c r="R27" s="790">
        <v>2.2499999999999999E-2</v>
      </c>
      <c r="S27" s="787">
        <v>0</v>
      </c>
      <c r="T27" s="784"/>
      <c r="U27" s="789"/>
    </row>
    <row r="28" spans="1:21" x14ac:dyDescent="0.2">
      <c r="A28" s="784" t="s">
        <v>299</v>
      </c>
      <c r="B28" s="785" t="s">
        <v>743</v>
      </c>
      <c r="C28" s="64">
        <f>ROUND('Länder-DB'!$M$35*1.1%/(0.1%+$R28)+'Länder-DB'!$M$37+I28*I$1+J28*J$1+K28*K$1+L28*L$1+M28*M$1+N28*N$1+O28*O$1+P28*P$1+Q28*Q$1+S28,2)</f>
        <v>2.11</v>
      </c>
      <c r="D28" s="784" t="s">
        <v>253</v>
      </c>
      <c r="E28" s="787">
        <v>2.68</v>
      </c>
      <c r="F28" s="784">
        <v>215</v>
      </c>
      <c r="G28" s="784" t="s">
        <v>262</v>
      </c>
      <c r="H28" s="784">
        <v>710</v>
      </c>
      <c r="I28" s="781">
        <f t="shared" si="0"/>
        <v>0.877</v>
      </c>
      <c r="J28" s="790"/>
      <c r="K28" s="790"/>
      <c r="L28" s="790"/>
      <c r="M28" s="790">
        <v>3.0000000000000001E-3</v>
      </c>
      <c r="N28" s="790"/>
      <c r="O28" s="790">
        <v>0.12</v>
      </c>
      <c r="P28" s="790"/>
      <c r="Q28" s="790"/>
      <c r="R28" s="790">
        <v>3.5999999999999997E-2</v>
      </c>
      <c r="S28" s="787">
        <v>0.06</v>
      </c>
      <c r="T28" s="784"/>
      <c r="U28" s="789"/>
    </row>
    <row r="29" spans="1:21" x14ac:dyDescent="0.2">
      <c r="A29" s="784" t="s">
        <v>308</v>
      </c>
      <c r="B29" s="785" t="s">
        <v>744</v>
      </c>
      <c r="C29" s="64">
        <f>ROUND('Länder-DB'!$M$35*1.1%/(0.1%+$R29)+'Länder-DB'!$M$37+I29*I$1+J29*J$1+K29*K$1+L29*L$1+M29*M$1+N29*N$1+O29*O$1+P29*P$1+Q29*Q$1+S29,2)</f>
        <v>2.2999999999999998</v>
      </c>
      <c r="D29" s="784" t="s">
        <v>257</v>
      </c>
      <c r="E29" s="787">
        <v>2.68</v>
      </c>
      <c r="F29" s="784"/>
      <c r="G29" s="784" t="s">
        <v>262</v>
      </c>
      <c r="H29" s="784"/>
      <c r="I29" s="781">
        <f t="shared" si="0"/>
        <v>0.84499999999999997</v>
      </c>
      <c r="J29" s="790">
        <v>1.2E-2</v>
      </c>
      <c r="K29" s="790"/>
      <c r="L29" s="790">
        <v>1.2999999999999999E-2</v>
      </c>
      <c r="M29" s="790"/>
      <c r="N29" s="790">
        <v>0.01</v>
      </c>
      <c r="O29" s="790">
        <v>0.12</v>
      </c>
      <c r="P29" s="790"/>
      <c r="Q29" s="790"/>
      <c r="R29" s="790">
        <v>1.6500000000000001E-2</v>
      </c>
      <c r="S29" s="787">
        <v>0</v>
      </c>
      <c r="T29" s="784"/>
      <c r="U29" s="789"/>
    </row>
    <row r="30" spans="1:21" x14ac:dyDescent="0.2">
      <c r="A30" s="784" t="s">
        <v>309</v>
      </c>
      <c r="B30" s="785" t="s">
        <v>745</v>
      </c>
      <c r="C30" s="64">
        <f>ROUND('Länder-DB'!$M$35*1.1%/(0.1%+$R30)+'Länder-DB'!$M$37+I30*I$1+J30*J$1+K30*K$1+L30*L$1+M30*M$1+N30*N$1+O30*O$1+P30*P$1+Q30*Q$1+S30,2)</f>
        <v>2.02</v>
      </c>
      <c r="D30" s="784" t="s">
        <v>645</v>
      </c>
      <c r="E30" s="787">
        <v>2.75</v>
      </c>
      <c r="F30" s="784"/>
      <c r="G30" s="784" t="s">
        <v>262</v>
      </c>
      <c r="H30" s="784"/>
      <c r="I30" s="781">
        <f t="shared" si="0"/>
        <v>0.96799999999999997</v>
      </c>
      <c r="J30" s="790"/>
      <c r="K30" s="790"/>
      <c r="L30" s="790">
        <v>3.2000000000000001E-2</v>
      </c>
      <c r="M30" s="790"/>
      <c r="N30" s="790"/>
      <c r="O30" s="790"/>
      <c r="P30" s="790"/>
      <c r="Q30" s="790"/>
      <c r="R30" s="790">
        <v>1.8499999999999999E-2</v>
      </c>
      <c r="S30" s="787">
        <v>0</v>
      </c>
      <c r="T30" s="784"/>
      <c r="U30" s="789"/>
    </row>
    <row r="31" spans="1:21" x14ac:dyDescent="0.2">
      <c r="A31" s="784" t="s">
        <v>310</v>
      </c>
      <c r="B31" s="785" t="s">
        <v>746</v>
      </c>
      <c r="C31" s="64">
        <f>ROUND('Länder-DB'!$M$35*1.1%/(0.1%+$R31)+'Länder-DB'!$M$37+I31*I$1+J31*J$1+K31*K$1+L31*L$1+M31*M$1+N31*N$1+O31*O$1+P31*P$1+Q31*Q$1+S31,2)</f>
        <v>2.0299999999999998</v>
      </c>
      <c r="D31" s="784" t="s">
        <v>643</v>
      </c>
      <c r="E31" s="787">
        <v>2.75</v>
      </c>
      <c r="F31" s="784"/>
      <c r="G31" s="784" t="s">
        <v>262</v>
      </c>
      <c r="H31" s="784"/>
      <c r="I31" s="781">
        <f t="shared" si="0"/>
        <v>0.96799999999999997</v>
      </c>
      <c r="J31" s="790"/>
      <c r="K31" s="790"/>
      <c r="L31" s="790">
        <v>3.2000000000000001E-2</v>
      </c>
      <c r="M31" s="790"/>
      <c r="N31" s="790"/>
      <c r="O31" s="790"/>
      <c r="P31" s="790"/>
      <c r="Q31" s="790"/>
      <c r="R31" s="790">
        <v>1.7500000000000002E-2</v>
      </c>
      <c r="S31" s="787">
        <v>0</v>
      </c>
      <c r="T31" s="784"/>
      <c r="U31" s="789"/>
    </row>
    <row r="32" spans="1:21" x14ac:dyDescent="0.2">
      <c r="A32" s="784" t="s">
        <v>311</v>
      </c>
      <c r="B32" s="785" t="s">
        <v>747</v>
      </c>
      <c r="C32" s="64">
        <f>ROUND('Länder-DB'!$M$35*1.1%/(0.1%+$R32)+'Länder-DB'!$M$37+I32*I$1+J32*J$1+K32*K$1+L32*L$1+M32*M$1+N32*N$1+O32*O$1+P32*P$1+Q32*Q$1+S32,2)</f>
        <v>2.0699999999999998</v>
      </c>
      <c r="D32" s="784" t="s">
        <v>258</v>
      </c>
      <c r="E32" s="787">
        <v>2.75</v>
      </c>
      <c r="F32" s="784"/>
      <c r="G32" s="784" t="s">
        <v>262</v>
      </c>
      <c r="H32" s="784"/>
      <c r="I32" s="781">
        <f t="shared" si="0"/>
        <v>0.94199999999999995</v>
      </c>
      <c r="J32" s="790"/>
      <c r="K32" s="790"/>
      <c r="L32" s="790">
        <v>5.8000000000000003E-2</v>
      </c>
      <c r="M32" s="790"/>
      <c r="N32" s="790"/>
      <c r="O32" s="790"/>
      <c r="P32" s="790"/>
      <c r="Q32" s="790"/>
      <c r="R32" s="790">
        <v>1.7000000000000001E-2</v>
      </c>
      <c r="S32" s="787">
        <v>0</v>
      </c>
      <c r="T32" s="784"/>
      <c r="U32" s="789"/>
    </row>
    <row r="33" spans="1:21" x14ac:dyDescent="0.2">
      <c r="A33" s="784" t="s">
        <v>312</v>
      </c>
      <c r="B33" s="785" t="s">
        <v>748</v>
      </c>
      <c r="C33" s="64">
        <f>ROUND('Länder-DB'!$M$35*1.1%/(0.1%+$R33)+'Länder-DB'!$M$37+I33*I$1+J33*J$1+K33*K$1+L33*L$1+M33*M$1+N33*N$1+O33*O$1+P33*P$1+Q33*Q$1+S33,2)</f>
        <v>2.0099999999999998</v>
      </c>
      <c r="D33" s="784" t="s">
        <v>259</v>
      </c>
      <c r="E33" s="787">
        <v>2.75</v>
      </c>
      <c r="F33" s="784"/>
      <c r="G33" s="784" t="s">
        <v>262</v>
      </c>
      <c r="H33" s="784"/>
      <c r="I33" s="781">
        <f t="shared" si="0"/>
        <v>0.94199999999999995</v>
      </c>
      <c r="J33" s="790"/>
      <c r="K33" s="790"/>
      <c r="L33" s="790">
        <v>5.8000000000000003E-2</v>
      </c>
      <c r="M33" s="790"/>
      <c r="N33" s="790"/>
      <c r="O33" s="790"/>
      <c r="P33" s="790"/>
      <c r="Q33" s="790"/>
      <c r="R33" s="790">
        <v>2.6499999999999999E-2</v>
      </c>
      <c r="S33" s="787">
        <v>0</v>
      </c>
      <c r="T33" s="784"/>
      <c r="U33" s="789"/>
    </row>
    <row r="34" spans="1:21" x14ac:dyDescent="0.2">
      <c r="A34" s="785" t="s">
        <v>875</v>
      </c>
      <c r="B34" s="785" t="s">
        <v>876</v>
      </c>
      <c r="C34" s="64">
        <f>ROUND('Länder-DB'!$M$35*1.1%/(0.1%+$R34)+'Länder-DB'!$M$37+I34*I$1+J34*J$1+K34*K$1+L34*L$1+M34*M$1+N34*N$1+O34*O$1+P34*P$1+Q34*Q$1+S34,2)</f>
        <v>2.4300000000000002</v>
      </c>
      <c r="D34" s="785" t="s">
        <v>877</v>
      </c>
      <c r="E34" s="787">
        <v>2.75</v>
      </c>
      <c r="F34" s="784"/>
      <c r="G34" s="784"/>
      <c r="H34" s="784"/>
      <c r="I34" s="781">
        <f t="shared" si="0"/>
        <v>0.91200000000000003</v>
      </c>
      <c r="J34" s="790"/>
      <c r="K34" s="790"/>
      <c r="L34" s="790">
        <v>5.6000000000000001E-2</v>
      </c>
      <c r="M34" s="790">
        <v>7.0000000000000001E-3</v>
      </c>
      <c r="N34" s="790"/>
      <c r="O34" s="790">
        <v>2.3E-2</v>
      </c>
      <c r="P34" s="790"/>
      <c r="Q34" s="790">
        <v>2E-3</v>
      </c>
      <c r="R34" s="790">
        <v>5.0000000000000001E-3</v>
      </c>
      <c r="S34" s="787">
        <v>0</v>
      </c>
      <c r="T34" s="784"/>
      <c r="U34" s="789"/>
    </row>
    <row r="35" spans="1:21" x14ac:dyDescent="0.2">
      <c r="A35" s="784" t="s">
        <v>343</v>
      </c>
      <c r="B35" s="785" t="s">
        <v>749</v>
      </c>
      <c r="C35" s="64">
        <f>ROUND('Länder-DB'!$M$35*1.1%/(0.1%+$R35)+'Länder-DB'!$M$37+I35*I$1+J35*J$1+K35*K$1+L35*L$1+M35*M$1+N35*N$1+O35*O$1+P35*P$1+Q35*Q$1+S35,2)</f>
        <v>2.11</v>
      </c>
      <c r="D35" s="784" t="s">
        <v>344</v>
      </c>
      <c r="E35" s="787">
        <v>2.75</v>
      </c>
      <c r="F35" s="784"/>
      <c r="G35" s="784"/>
      <c r="H35" s="784"/>
      <c r="I35" s="781">
        <f t="shared" si="0"/>
        <v>0.93389999999999995</v>
      </c>
      <c r="J35" s="790">
        <v>2.5000000000000001E-3</v>
      </c>
      <c r="K35" s="790">
        <v>4.0000000000000001E-3</v>
      </c>
      <c r="L35" s="790">
        <v>6.0000000000000001E-3</v>
      </c>
      <c r="M35" s="790"/>
      <c r="N35" s="790"/>
      <c r="O35" s="790"/>
      <c r="P35" s="790">
        <v>5.1999999999999998E-2</v>
      </c>
      <c r="Q35" s="790">
        <v>1.6000000000000001E-3</v>
      </c>
      <c r="R35" s="790">
        <v>1.6500000000000001E-2</v>
      </c>
      <c r="S35" s="787">
        <v>0</v>
      </c>
      <c r="T35" s="784"/>
      <c r="U35" s="789"/>
    </row>
    <row r="36" spans="1:21" x14ac:dyDescent="0.2">
      <c r="A36" s="785" t="s">
        <v>878</v>
      </c>
      <c r="B36" s="785" t="s">
        <v>879</v>
      </c>
      <c r="C36" s="64">
        <f>ROUND('Länder-DB'!$M$35*1.1%/(0.1%+$R36)+'Länder-DB'!$M$37+I36*I$1+J36*J$1+K36*K$1+L36*L$1+M36*M$1+N36*N$1+O36*O$1+P36*P$1+Q36*Q$1+S36,2)</f>
        <v>2.58</v>
      </c>
      <c r="D36" s="785" t="s">
        <v>880</v>
      </c>
      <c r="E36" s="787">
        <v>2.75</v>
      </c>
      <c r="F36" s="784"/>
      <c r="G36" s="784"/>
      <c r="H36" s="784"/>
      <c r="I36" s="781">
        <f t="shared" si="0"/>
        <v>0.81099999999999994</v>
      </c>
      <c r="J36" s="790"/>
      <c r="K36" s="790"/>
      <c r="L36" s="790">
        <v>4.0000000000000001E-3</v>
      </c>
      <c r="M36" s="790"/>
      <c r="N36" s="790"/>
      <c r="O36" s="790">
        <v>0.09</v>
      </c>
      <c r="P36" s="790">
        <v>9.5000000000000001E-2</v>
      </c>
      <c r="Q36" s="790"/>
      <c r="R36" s="790">
        <v>4.4999999999999997E-3</v>
      </c>
      <c r="S36" s="787"/>
      <c r="T36" s="784"/>
      <c r="U36" s="789"/>
    </row>
    <row r="37" spans="1:21" x14ac:dyDescent="0.2">
      <c r="A37" s="785" t="s">
        <v>33</v>
      </c>
      <c r="B37" s="784"/>
      <c r="C37" s="64">
        <f>ROUND('Länder-DB'!$M$35*1.1%/(0.1%+$R37)+'Länder-DB'!$M$37+I37*I$1+J37*J$1+K37*K$1+L37*L$1+M37*M$1+N37*N$1+O37*O$1+P37*P$1+Q37*Q$1+S37,2)</f>
        <v>2.09</v>
      </c>
      <c r="D37" s="784"/>
      <c r="E37" s="787">
        <v>2.75</v>
      </c>
      <c r="F37" s="784"/>
      <c r="G37" s="784"/>
      <c r="H37" s="784"/>
      <c r="I37" s="781">
        <f t="shared" si="0"/>
        <v>1</v>
      </c>
      <c r="J37" s="790"/>
      <c r="K37" s="790"/>
      <c r="L37" s="790"/>
      <c r="M37" s="790"/>
      <c r="N37" s="790"/>
      <c r="O37" s="790"/>
      <c r="P37" s="790"/>
      <c r="Q37" s="790"/>
      <c r="R37" s="790">
        <v>0.01</v>
      </c>
      <c r="S37" s="787">
        <v>0</v>
      </c>
      <c r="T37" s="784"/>
      <c r="U37" s="789"/>
    </row>
    <row r="38" spans="1:21" ht="5.25" customHeight="1" x14ac:dyDescent="0.2">
      <c r="J38" s="782"/>
      <c r="K38" s="782"/>
      <c r="L38" s="782"/>
      <c r="M38" s="782"/>
      <c r="N38" s="782"/>
      <c r="O38" s="782"/>
      <c r="P38" s="782"/>
      <c r="Q38" s="782"/>
      <c r="R38" s="782"/>
      <c r="S38" s="782"/>
      <c r="T38" s="782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S75"/>
  <sheetViews>
    <sheetView topLeftCell="A37" zoomScaleNormal="100" workbookViewId="0">
      <selection activeCell="N55" sqref="N55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4" t="str">
        <f>IF(Deutsch,"Ofen","oven")</f>
        <v>Ofen</v>
      </c>
      <c r="C2" s="495"/>
      <c r="D2" s="495"/>
      <c r="E2" s="495" t="str">
        <f>IF(Deutsch,"Ofen Datensätze","oven data")</f>
        <v>Ofen Datensätze</v>
      </c>
      <c r="F2" s="496"/>
      <c r="G2" s="497" t="str">
        <f>IF(Deutsch,"Tonnage","volume")</f>
        <v>Tonnage</v>
      </c>
      <c r="H2" s="498" t="str">
        <f>IF(Deutsch,"Anschlussl.","power")</f>
        <v>Anschlussl.</v>
      </c>
      <c r="I2" s="841" t="str">
        <f>IF(Deutsch,"Leistung","performance")</f>
        <v>Leistung</v>
      </c>
      <c r="J2" s="497" t="s">
        <v>704</v>
      </c>
      <c r="K2" s="841" t="str">
        <f>IF(Deutsch,"Wirkungsgrad","efficiency")</f>
        <v>Wirkungsgrad</v>
      </c>
      <c r="L2" s="497" t="str">
        <f>IF(Deutsch,"Wärme-","heat")</f>
        <v>Wärme-</v>
      </c>
      <c r="M2" s="499" t="str">
        <f>IF(Deutsch,"Ofen-","oven-")</f>
        <v>Ofen-</v>
      </c>
      <c r="N2" s="499" t="s">
        <v>174</v>
      </c>
      <c r="O2" s="499" t="str">
        <f>IF(Deutsch,"Abbrand","burn off")</f>
        <v>Abbrand</v>
      </c>
      <c r="P2" s="499" t="str">
        <f>IF(Deutsch,"Gattierzeit","fill-/unfilltime")</f>
        <v>Gattierzeit</v>
      </c>
      <c r="Q2" s="500" t="str">
        <f>IF(Deutsch,"Schmelzverlust","melting loss")</f>
        <v>Schmelzverlust</v>
      </c>
      <c r="R2" s="545"/>
    </row>
    <row r="3" spans="2:18" ht="15" thickBot="1" x14ac:dyDescent="0.25">
      <c r="B3" s="630" t="str">
        <f>IF(Deutsch,"Typ","type")</f>
        <v>Typ</v>
      </c>
      <c r="C3" s="631" t="str">
        <f>IF(Deutsch,"Nr.","no")</f>
        <v>Nr.</v>
      </c>
      <c r="D3" s="631" t="str">
        <f>IF(Deutsch,"Energie","energy")</f>
        <v>Energie</v>
      </c>
      <c r="E3" s="631" t="str">
        <f>IF(Deutsch,"Hersteller","brand")</f>
        <v>Hersteller</v>
      </c>
      <c r="F3" s="631" t="s">
        <v>102</v>
      </c>
      <c r="G3" s="631" t="s">
        <v>70</v>
      </c>
      <c r="H3" s="631" t="s">
        <v>103</v>
      </c>
      <c r="I3" s="631" t="s">
        <v>104</v>
      </c>
      <c r="J3" s="631" t="s">
        <v>1</v>
      </c>
      <c r="K3" s="631" t="s">
        <v>105</v>
      </c>
      <c r="L3" s="631" t="str">
        <f>IF(Deutsch,"Verlust","loss")</f>
        <v>Verlust</v>
      </c>
      <c r="M3" s="632" t="str">
        <f>IF(Deutsch,"Art","type")</f>
        <v>Art</v>
      </c>
      <c r="N3" s="632" t="s">
        <v>175</v>
      </c>
      <c r="O3" s="632" t="s">
        <v>126</v>
      </c>
      <c r="P3" s="632" t="s">
        <v>176</v>
      </c>
      <c r="Q3" s="632" t="s">
        <v>126</v>
      </c>
      <c r="R3" s="632" t="str">
        <f>C3</f>
        <v>Nr.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634">
        <v>0</v>
      </c>
    </row>
    <row r="5" spans="2:18" x14ac:dyDescent="0.2">
      <c r="B5" s="304" t="s">
        <v>109</v>
      </c>
      <c r="C5" s="300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4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636">
        <v>1</v>
      </c>
    </row>
    <row r="6" spans="2:18" x14ac:dyDescent="0.2">
      <c r="B6" s="304" t="s">
        <v>109</v>
      </c>
      <c r="C6" s="629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4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635">
        <v>2</v>
      </c>
    </row>
    <row r="7" spans="2:18" x14ac:dyDescent="0.2">
      <c r="B7" s="304" t="s">
        <v>109</v>
      </c>
      <c r="C7" s="300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4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636">
        <v>3</v>
      </c>
    </row>
    <row r="8" spans="2:18" x14ac:dyDescent="0.2">
      <c r="B8" s="304" t="s">
        <v>109</v>
      </c>
      <c r="C8" s="300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4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636">
        <v>4</v>
      </c>
    </row>
    <row r="9" spans="2:18" x14ac:dyDescent="0.2">
      <c r="B9" s="304" t="s">
        <v>113</v>
      </c>
      <c r="C9" s="300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4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636">
        <v>5</v>
      </c>
    </row>
    <row r="10" spans="2:18" x14ac:dyDescent="0.2">
      <c r="B10" s="304" t="s">
        <v>113</v>
      </c>
      <c r="C10" s="300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4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636">
        <v>6</v>
      </c>
    </row>
    <row r="11" spans="2:18" x14ac:dyDescent="0.2">
      <c r="B11" s="304" t="s">
        <v>113</v>
      </c>
      <c r="C11" s="300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4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636">
        <v>7</v>
      </c>
    </row>
    <row r="12" spans="2:18" x14ac:dyDescent="0.2">
      <c r="B12" s="304" t="s">
        <v>113</v>
      </c>
      <c r="C12" s="300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4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636">
        <v>8</v>
      </c>
    </row>
    <row r="13" spans="2:18" x14ac:dyDescent="0.2">
      <c r="B13" s="890" t="s">
        <v>812</v>
      </c>
      <c r="C13" s="300">
        <v>9</v>
      </c>
      <c r="D13" s="889" t="s">
        <v>808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4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636">
        <v>9</v>
      </c>
    </row>
    <row r="14" spans="2:18" x14ac:dyDescent="0.2">
      <c r="B14" s="304" t="s">
        <v>812</v>
      </c>
      <c r="C14" s="300">
        <v>10</v>
      </c>
      <c r="D14" s="889" t="s">
        <v>808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4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636">
        <v>10</v>
      </c>
    </row>
    <row r="15" spans="2:18" ht="15" thickBot="1" x14ac:dyDescent="0.25">
      <c r="B15" s="306" t="s">
        <v>812</v>
      </c>
      <c r="C15" s="301">
        <v>11</v>
      </c>
      <c r="D15" s="891" t="s">
        <v>808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92" t="str">
        <f>IF(Deutsch,"Schacht","batch-type")</f>
        <v>Schacht</v>
      </c>
      <c r="N15" s="139">
        <v>0.68300000000000005</v>
      </c>
      <c r="O15" s="893">
        <v>1.2999999999999999E-2</v>
      </c>
      <c r="P15" s="307">
        <v>40</v>
      </c>
      <c r="Q15" s="893">
        <v>1.4999999999999999E-2</v>
      </c>
      <c r="R15" s="637">
        <v>11</v>
      </c>
    </row>
    <row r="16" spans="2:18" x14ac:dyDescent="0.2">
      <c r="B16" s="556" t="s">
        <v>665</v>
      </c>
      <c r="C16" s="511" t="s">
        <v>816</v>
      </c>
    </row>
    <row r="17" spans="2:19" ht="15.75" x14ac:dyDescent="0.25">
      <c r="B17" s="505" t="s">
        <v>458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21" t="s">
        <v>417</v>
      </c>
      <c r="C19" s="495"/>
      <c r="D19" s="495" t="s">
        <v>106</v>
      </c>
      <c r="E19" s="495" t="str">
        <f>E3</f>
        <v>Hersteller</v>
      </c>
      <c r="F19" s="496" t="s">
        <v>102</v>
      </c>
      <c r="G19" s="497"/>
      <c r="H19" s="513" t="s">
        <v>419</v>
      </c>
      <c r="I19" s="497"/>
      <c r="J19" s="498" t="s">
        <v>416</v>
      </c>
      <c r="K19" s="497" t="s">
        <v>396</v>
      </c>
      <c r="L19" s="513" t="s">
        <v>420</v>
      </c>
      <c r="M19" s="513" t="s">
        <v>421</v>
      </c>
      <c r="N19" s="497" t="s">
        <v>397</v>
      </c>
      <c r="O19" s="500" t="s">
        <v>422</v>
      </c>
      <c r="P19" s="500" t="s">
        <v>491</v>
      </c>
      <c r="Q19" s="499" t="s">
        <v>100</v>
      </c>
      <c r="R19" s="545"/>
      <c r="S19" s="521" t="s">
        <v>417</v>
      </c>
    </row>
    <row r="20" spans="2:19" x14ac:dyDescent="0.2">
      <c r="B20" s="520" t="s">
        <v>101</v>
      </c>
      <c r="C20" s="501" t="s">
        <v>25</v>
      </c>
      <c r="D20" s="501" t="s">
        <v>101</v>
      </c>
      <c r="E20" s="501" t="s">
        <v>102</v>
      </c>
      <c r="F20" s="501"/>
      <c r="G20" s="512" t="s">
        <v>413</v>
      </c>
      <c r="H20" s="512" t="s">
        <v>414</v>
      </c>
      <c r="I20" s="512" t="s">
        <v>415</v>
      </c>
      <c r="J20" s="501" t="s">
        <v>398</v>
      </c>
      <c r="K20" s="501" t="s">
        <v>55</v>
      </c>
      <c r="L20" s="501" t="s">
        <v>399</v>
      </c>
      <c r="M20" s="501" t="s">
        <v>399</v>
      </c>
      <c r="N20" s="501" t="s">
        <v>103</v>
      </c>
      <c r="O20" s="502" t="s">
        <v>55</v>
      </c>
      <c r="P20" s="567" t="s">
        <v>492</v>
      </c>
      <c r="Q20" s="502"/>
      <c r="R20" s="502" t="s">
        <v>25</v>
      </c>
      <c r="S20" s="520" t="s">
        <v>101</v>
      </c>
    </row>
    <row r="21" spans="2:19" ht="12" customHeight="1" x14ac:dyDescent="0.2">
      <c r="B21" s="547" t="s">
        <v>470</v>
      </c>
      <c r="C21" s="559">
        <v>0</v>
      </c>
      <c r="D21" s="560" t="s">
        <v>418</v>
      </c>
      <c r="E21" s="560" t="s">
        <v>466</v>
      </c>
      <c r="F21" s="561"/>
      <c r="G21" s="562">
        <v>0</v>
      </c>
      <c r="H21" s="562">
        <v>0</v>
      </c>
      <c r="I21" s="562">
        <v>0</v>
      </c>
      <c r="J21" s="562"/>
      <c r="K21" s="563"/>
      <c r="L21" s="564"/>
      <c r="M21" s="562"/>
      <c r="N21" s="562"/>
      <c r="O21" s="562"/>
      <c r="P21" s="559"/>
      <c r="Q21" s="565"/>
      <c r="R21" s="559">
        <f>C21</f>
        <v>0</v>
      </c>
      <c r="S21" s="560" t="s">
        <v>499</v>
      </c>
    </row>
    <row r="22" spans="2:19" ht="24.75" customHeight="1" x14ac:dyDescent="0.2">
      <c r="B22" s="547" t="s">
        <v>470</v>
      </c>
      <c r="C22" s="540">
        <v>1</v>
      </c>
      <c r="D22" s="541" t="s">
        <v>418</v>
      </c>
      <c r="E22" s="540" t="s">
        <v>400</v>
      </c>
      <c r="F22" s="548" t="s">
        <v>401</v>
      </c>
      <c r="G22" s="370">
        <v>600</v>
      </c>
      <c r="H22" s="370">
        <v>480</v>
      </c>
      <c r="I22" s="370">
        <v>360</v>
      </c>
      <c r="J22" s="370">
        <v>320</v>
      </c>
      <c r="K22" s="549">
        <f>1/J22*60</f>
        <v>0.1875</v>
      </c>
      <c r="L22" s="550">
        <f>G22*H22*I22/1000000</f>
        <v>103.68</v>
      </c>
      <c r="M22" s="370">
        <v>35</v>
      </c>
      <c r="N22" s="1157">
        <v>250</v>
      </c>
      <c r="O22" s="506">
        <v>45</v>
      </c>
      <c r="P22" s="1152">
        <v>3000</v>
      </c>
      <c r="Q22" s="1153">
        <v>5600000</v>
      </c>
      <c r="R22" s="551">
        <f>C22</f>
        <v>1</v>
      </c>
      <c r="S22" s="633" t="str">
        <f>B22</f>
        <v>automatisch</v>
      </c>
    </row>
    <row r="23" spans="2:19" x14ac:dyDescent="0.2">
      <c r="B23" s="547" t="s">
        <v>470</v>
      </c>
      <c r="C23" s="346">
        <v>2</v>
      </c>
      <c r="D23" s="522" t="s">
        <v>418</v>
      </c>
      <c r="E23" s="346" t="s">
        <v>400</v>
      </c>
      <c r="F23" s="523" t="s">
        <v>402</v>
      </c>
      <c r="G23" s="506">
        <v>675</v>
      </c>
      <c r="H23" s="506">
        <v>550</v>
      </c>
      <c r="I23" s="506">
        <v>405</v>
      </c>
      <c r="J23" s="508">
        <v>350</v>
      </c>
      <c r="K23" s="507">
        <f>1/350*60</f>
        <v>0.17142857142857143</v>
      </c>
      <c r="L23" s="519">
        <v>148</v>
      </c>
      <c r="M23" s="508">
        <v>45</v>
      </c>
      <c r="N23" s="1158">
        <v>260</v>
      </c>
      <c r="O23" s="506">
        <v>45</v>
      </c>
      <c r="P23" s="1154">
        <v>3000</v>
      </c>
      <c r="Q23" s="1155">
        <v>5280000</v>
      </c>
      <c r="R23" s="516">
        <f t="shared" ref="R23:R37" si="0">C23</f>
        <v>2</v>
      </c>
      <c r="S23" s="633" t="str">
        <f t="shared" ref="S23:S37" si="1">B23</f>
        <v>automatisch</v>
      </c>
    </row>
    <row r="24" spans="2:19" x14ac:dyDescent="0.2">
      <c r="B24" s="547" t="s">
        <v>470</v>
      </c>
      <c r="C24" s="346">
        <v>3</v>
      </c>
      <c r="D24" s="522" t="s">
        <v>423</v>
      </c>
      <c r="E24" s="346" t="s">
        <v>400</v>
      </c>
      <c r="F24" s="523" t="s">
        <v>403</v>
      </c>
      <c r="G24" s="506">
        <v>800</v>
      </c>
      <c r="H24" s="506">
        <v>600</v>
      </c>
      <c r="I24" s="506">
        <v>600</v>
      </c>
      <c r="J24" s="508">
        <v>90</v>
      </c>
      <c r="K24" s="507">
        <f t="shared" ref="K24:K30" si="2">1/J24*60</f>
        <v>0.66666666666666674</v>
      </c>
      <c r="L24" s="519">
        <f t="shared" ref="L24:L36" si="3">G24*H24*I24/1000000</f>
        <v>288</v>
      </c>
      <c r="M24" s="508">
        <f>L24/600*400</f>
        <v>192</v>
      </c>
      <c r="N24" s="1158">
        <v>270</v>
      </c>
      <c r="O24" s="506">
        <v>45</v>
      </c>
      <c r="P24" s="1154">
        <v>3000</v>
      </c>
      <c r="Q24" s="1155">
        <v>4320000</v>
      </c>
      <c r="R24" s="516">
        <f t="shared" si="0"/>
        <v>3</v>
      </c>
      <c r="S24" s="633" t="str">
        <f t="shared" si="1"/>
        <v>automatisch</v>
      </c>
    </row>
    <row r="25" spans="2:19" x14ac:dyDescent="0.2">
      <c r="B25" s="547" t="s">
        <v>470</v>
      </c>
      <c r="C25" s="346">
        <v>4</v>
      </c>
      <c r="D25" s="522" t="s">
        <v>423</v>
      </c>
      <c r="E25" s="346" t="s">
        <v>404</v>
      </c>
      <c r="F25" s="523" t="s">
        <v>409</v>
      </c>
      <c r="G25" s="506">
        <v>800</v>
      </c>
      <c r="H25" s="506">
        <v>650</v>
      </c>
      <c r="I25" s="506">
        <v>500</v>
      </c>
      <c r="J25" s="506">
        <v>30</v>
      </c>
      <c r="K25" s="507">
        <f t="shared" si="2"/>
        <v>2</v>
      </c>
      <c r="L25" s="519">
        <f>G25*H25*I25/1000000</f>
        <v>260</v>
      </c>
      <c r="M25" s="506">
        <f>8*6.5*5</f>
        <v>260</v>
      </c>
      <c r="N25" s="1159">
        <v>280</v>
      </c>
      <c r="O25" s="506">
        <v>45</v>
      </c>
      <c r="P25" s="1156">
        <v>3500</v>
      </c>
      <c r="Q25" s="1155">
        <v>3360000</v>
      </c>
      <c r="R25" s="516">
        <f t="shared" si="0"/>
        <v>4</v>
      </c>
      <c r="S25" s="633" t="str">
        <f t="shared" si="1"/>
        <v>automatisch</v>
      </c>
    </row>
    <row r="26" spans="2:19" x14ac:dyDescent="0.2">
      <c r="B26" s="547" t="s">
        <v>470</v>
      </c>
      <c r="C26" s="346">
        <v>5</v>
      </c>
      <c r="D26" s="522" t="s">
        <v>423</v>
      </c>
      <c r="E26" s="514" t="s">
        <v>412</v>
      </c>
      <c r="F26" s="348"/>
      <c r="G26" s="506">
        <v>860</v>
      </c>
      <c r="H26" s="506">
        <v>630</v>
      </c>
      <c r="I26" s="506">
        <v>660</v>
      </c>
      <c r="J26" s="1158">
        <v>80</v>
      </c>
      <c r="K26" s="515">
        <f t="shared" si="2"/>
        <v>0.75</v>
      </c>
      <c r="L26" s="519">
        <f>G26*H26*I26/1000000</f>
        <v>357.58800000000002</v>
      </c>
      <c r="M26" s="582">
        <f>L26/660*400</f>
        <v>216.72000000000003</v>
      </c>
      <c r="N26" s="1159">
        <v>290</v>
      </c>
      <c r="O26" s="506">
        <v>45</v>
      </c>
      <c r="P26" s="1156">
        <v>3500</v>
      </c>
      <c r="Q26" s="1155">
        <v>4000000</v>
      </c>
      <c r="R26" s="516">
        <f t="shared" si="0"/>
        <v>5</v>
      </c>
      <c r="S26" s="633" t="str">
        <f t="shared" si="1"/>
        <v>automatisch</v>
      </c>
    </row>
    <row r="27" spans="2:19" x14ac:dyDescent="0.2">
      <c r="B27" s="547" t="s">
        <v>470</v>
      </c>
      <c r="C27" s="346">
        <v>6</v>
      </c>
      <c r="D27" s="522" t="s">
        <v>423</v>
      </c>
      <c r="E27" s="346" t="s">
        <v>406</v>
      </c>
      <c r="F27" s="523"/>
      <c r="G27" s="506">
        <v>890</v>
      </c>
      <c r="H27" s="506">
        <v>690</v>
      </c>
      <c r="I27" s="506">
        <v>600</v>
      </c>
      <c r="J27" s="508">
        <v>55</v>
      </c>
      <c r="K27" s="507">
        <f t="shared" si="2"/>
        <v>1.0909090909090908</v>
      </c>
      <c r="L27" s="519">
        <f>G27*H27*I27/1000000</f>
        <v>368.46</v>
      </c>
      <c r="M27" s="582">
        <f>L27/600*400</f>
        <v>245.64</v>
      </c>
      <c r="N27" s="1158">
        <v>300</v>
      </c>
      <c r="O27" s="506">
        <v>45</v>
      </c>
      <c r="P27" s="1154">
        <v>3500</v>
      </c>
      <c r="Q27" s="1155">
        <v>2560000</v>
      </c>
      <c r="R27" s="516">
        <f t="shared" si="0"/>
        <v>6</v>
      </c>
      <c r="S27" s="633" t="str">
        <f t="shared" si="1"/>
        <v>automatisch</v>
      </c>
    </row>
    <row r="28" spans="2:19" x14ac:dyDescent="0.2">
      <c r="B28" s="547" t="s">
        <v>470</v>
      </c>
      <c r="C28" s="346">
        <v>7</v>
      </c>
      <c r="D28" s="522" t="s">
        <v>423</v>
      </c>
      <c r="E28" s="346" t="s">
        <v>400</v>
      </c>
      <c r="F28" s="523" t="s">
        <v>403</v>
      </c>
      <c r="G28" s="506">
        <v>1000</v>
      </c>
      <c r="H28" s="506">
        <v>700</v>
      </c>
      <c r="I28" s="506">
        <v>600</v>
      </c>
      <c r="J28" s="508">
        <v>80</v>
      </c>
      <c r="K28" s="507">
        <f t="shared" si="2"/>
        <v>0.75</v>
      </c>
      <c r="L28" s="519">
        <f t="shared" si="3"/>
        <v>420</v>
      </c>
      <c r="M28" s="508">
        <f>L28/600*400</f>
        <v>280</v>
      </c>
      <c r="N28" s="1158">
        <v>310</v>
      </c>
      <c r="O28" s="506">
        <v>45</v>
      </c>
      <c r="P28" s="1154">
        <v>3500</v>
      </c>
      <c r="Q28" s="1155">
        <v>4640000</v>
      </c>
      <c r="R28" s="516">
        <f t="shared" si="0"/>
        <v>7</v>
      </c>
      <c r="S28" s="633" t="str">
        <f t="shared" si="1"/>
        <v>automatisch</v>
      </c>
    </row>
    <row r="29" spans="2:19" x14ac:dyDescent="0.2">
      <c r="B29" s="547" t="s">
        <v>470</v>
      </c>
      <c r="C29" s="346">
        <v>8</v>
      </c>
      <c r="D29" s="522" t="s">
        <v>423</v>
      </c>
      <c r="E29" s="346" t="s">
        <v>404</v>
      </c>
      <c r="F29" s="523" t="s">
        <v>405</v>
      </c>
      <c r="G29" s="506">
        <v>1100</v>
      </c>
      <c r="H29" s="506">
        <v>800</v>
      </c>
      <c r="I29" s="506">
        <v>700</v>
      </c>
      <c r="J29" s="508">
        <v>25</v>
      </c>
      <c r="K29" s="507">
        <f t="shared" si="2"/>
        <v>2.4</v>
      </c>
      <c r="L29" s="519">
        <f t="shared" si="3"/>
        <v>616</v>
      </c>
      <c r="M29" s="508">
        <f>L29/700*600</f>
        <v>528</v>
      </c>
      <c r="N29" s="1158">
        <v>330</v>
      </c>
      <c r="O29" s="506">
        <v>45</v>
      </c>
      <c r="P29" s="1154">
        <v>4000</v>
      </c>
      <c r="Q29" s="1155">
        <v>5000000</v>
      </c>
      <c r="R29" s="516">
        <f t="shared" si="0"/>
        <v>8</v>
      </c>
      <c r="S29" s="633" t="str">
        <f t="shared" si="1"/>
        <v>automatisch</v>
      </c>
    </row>
    <row r="30" spans="2:19" x14ac:dyDescent="0.2">
      <c r="B30" s="517" t="s">
        <v>468</v>
      </c>
      <c r="C30" s="346">
        <v>9</v>
      </c>
      <c r="D30" s="522" t="s">
        <v>423</v>
      </c>
      <c r="E30" s="346" t="s">
        <v>407</v>
      </c>
      <c r="F30" s="523" t="s">
        <v>408</v>
      </c>
      <c r="G30" s="506">
        <v>1300</v>
      </c>
      <c r="H30" s="506">
        <v>1300</v>
      </c>
      <c r="I30" s="506">
        <v>800</v>
      </c>
      <c r="J30" s="506">
        <v>8</v>
      </c>
      <c r="K30" s="507">
        <f t="shared" si="2"/>
        <v>7.5</v>
      </c>
      <c r="L30" s="519">
        <f t="shared" si="3"/>
        <v>1352</v>
      </c>
      <c r="M30" s="508">
        <f>L30/800*600</f>
        <v>1014</v>
      </c>
      <c r="N30" s="1159">
        <v>150</v>
      </c>
      <c r="O30" s="506">
        <v>50</v>
      </c>
      <c r="P30" s="1156">
        <v>1800</v>
      </c>
      <c r="Q30" s="1155">
        <v>1200000</v>
      </c>
      <c r="R30" s="516">
        <f t="shared" si="0"/>
        <v>9</v>
      </c>
      <c r="S30" s="633" t="str">
        <f t="shared" si="1"/>
        <v>halbautomatisch</v>
      </c>
    </row>
    <row r="31" spans="2:19" x14ac:dyDescent="0.2">
      <c r="B31" s="517" t="s">
        <v>468</v>
      </c>
      <c r="C31" s="346">
        <v>10</v>
      </c>
      <c r="D31" s="522" t="s">
        <v>423</v>
      </c>
      <c r="E31" s="522" t="s">
        <v>429</v>
      </c>
      <c r="F31" s="348"/>
      <c r="G31" s="506">
        <v>1400</v>
      </c>
      <c r="H31" s="506">
        <v>1400</v>
      </c>
      <c r="I31" s="506">
        <v>1200</v>
      </c>
      <c r="J31" s="506">
        <v>5</v>
      </c>
      <c r="K31" s="507">
        <f>1/J31*60</f>
        <v>12</v>
      </c>
      <c r="L31" s="519">
        <f t="shared" si="3"/>
        <v>2352</v>
      </c>
      <c r="M31" s="506">
        <f>L31/1200*600</f>
        <v>1176</v>
      </c>
      <c r="N31" s="1159">
        <v>150</v>
      </c>
      <c r="O31" s="506">
        <v>50</v>
      </c>
      <c r="P31" s="1156">
        <v>1800</v>
      </c>
      <c r="Q31" s="1155">
        <v>1600000</v>
      </c>
      <c r="R31" s="516">
        <f t="shared" si="0"/>
        <v>10</v>
      </c>
      <c r="S31" s="633" t="str">
        <f t="shared" si="1"/>
        <v>halbautomatisch</v>
      </c>
    </row>
    <row r="32" spans="2:19" x14ac:dyDescent="0.2">
      <c r="B32" s="517" t="s">
        <v>468</v>
      </c>
      <c r="C32" s="346">
        <v>11</v>
      </c>
      <c r="D32" s="522" t="s">
        <v>423</v>
      </c>
      <c r="E32" s="522" t="s">
        <v>429</v>
      </c>
      <c r="F32" s="348"/>
      <c r="G32" s="506">
        <v>1800</v>
      </c>
      <c r="H32" s="506">
        <v>1400</v>
      </c>
      <c r="I32" s="506">
        <v>1200</v>
      </c>
      <c r="J32" s="506">
        <v>5</v>
      </c>
      <c r="K32" s="507">
        <f>1/J32*60</f>
        <v>12</v>
      </c>
      <c r="L32" s="519">
        <f t="shared" si="3"/>
        <v>3024</v>
      </c>
      <c r="M32" s="506">
        <f>L32/1200*600</f>
        <v>1512</v>
      </c>
      <c r="N32" s="1159">
        <v>170</v>
      </c>
      <c r="O32" s="506">
        <v>50</v>
      </c>
      <c r="P32" s="1156">
        <v>2000</v>
      </c>
      <c r="Q32" s="1155">
        <v>2000000</v>
      </c>
      <c r="R32" s="516">
        <f t="shared" si="0"/>
        <v>11</v>
      </c>
      <c r="S32" s="633" t="str">
        <f t="shared" si="1"/>
        <v>halbautomatisch</v>
      </c>
    </row>
    <row r="33" spans="2:19" x14ac:dyDescent="0.2">
      <c r="B33" s="517" t="s">
        <v>369</v>
      </c>
      <c r="C33" s="346">
        <v>12</v>
      </c>
      <c r="D33" s="522" t="s">
        <v>517</v>
      </c>
      <c r="E33" s="346" t="s">
        <v>410</v>
      </c>
      <c r="F33" s="348" t="s">
        <v>411</v>
      </c>
      <c r="G33" s="506">
        <v>2500</v>
      </c>
      <c r="H33" s="506">
        <v>1400</v>
      </c>
      <c r="I33" s="506">
        <v>1200</v>
      </c>
      <c r="J33" s="506">
        <v>2</v>
      </c>
      <c r="K33" s="506">
        <v>20</v>
      </c>
      <c r="L33" s="519">
        <f t="shared" si="3"/>
        <v>4200</v>
      </c>
      <c r="M33" s="506">
        <f>L33/1200*600</f>
        <v>2100</v>
      </c>
      <c r="N33" s="1159">
        <v>180</v>
      </c>
      <c r="O33" s="506">
        <v>60</v>
      </c>
      <c r="P33" s="1156">
        <v>1800</v>
      </c>
      <c r="Q33" s="1155">
        <v>600000</v>
      </c>
      <c r="R33" s="516">
        <f t="shared" si="0"/>
        <v>12</v>
      </c>
      <c r="S33" s="633" t="str">
        <f t="shared" si="1"/>
        <v>Handformen</v>
      </c>
    </row>
    <row r="34" spans="2:19" x14ac:dyDescent="0.2">
      <c r="B34" s="517" t="s">
        <v>369</v>
      </c>
      <c r="C34" s="346">
        <v>13</v>
      </c>
      <c r="D34" s="522" t="s">
        <v>423</v>
      </c>
      <c r="E34" s="346" t="s">
        <v>410</v>
      </c>
      <c r="F34" s="348" t="s">
        <v>411</v>
      </c>
      <c r="G34" s="506">
        <v>2200</v>
      </c>
      <c r="H34" s="506">
        <v>1500</v>
      </c>
      <c r="I34" s="506">
        <v>1300</v>
      </c>
      <c r="J34" s="508">
        <v>2</v>
      </c>
      <c r="K34" s="506">
        <v>25</v>
      </c>
      <c r="L34" s="519">
        <f t="shared" si="3"/>
        <v>4290</v>
      </c>
      <c r="M34" s="506">
        <f>L34/1300*800</f>
        <v>2640</v>
      </c>
      <c r="N34" s="1158">
        <v>180</v>
      </c>
      <c r="O34" s="506">
        <v>60</v>
      </c>
      <c r="P34" s="1154">
        <v>1800</v>
      </c>
      <c r="Q34" s="1155">
        <v>600000</v>
      </c>
      <c r="R34" s="516">
        <f t="shared" si="0"/>
        <v>13</v>
      </c>
      <c r="S34" s="633" t="str">
        <f t="shared" si="1"/>
        <v>Handformen</v>
      </c>
    </row>
    <row r="35" spans="2:19" x14ac:dyDescent="0.2">
      <c r="B35" s="517" t="s">
        <v>369</v>
      </c>
      <c r="C35" s="346">
        <v>14</v>
      </c>
      <c r="D35" s="522" t="s">
        <v>423</v>
      </c>
      <c r="E35" s="346" t="s">
        <v>410</v>
      </c>
      <c r="F35" s="348" t="s">
        <v>411</v>
      </c>
      <c r="G35" s="506">
        <v>3500</v>
      </c>
      <c r="H35" s="506">
        <v>3200</v>
      </c>
      <c r="I35" s="506">
        <v>2000</v>
      </c>
      <c r="J35" s="508">
        <v>1</v>
      </c>
      <c r="K35" s="506">
        <v>30</v>
      </c>
      <c r="L35" s="519">
        <f>G35*H35*I35/1000000</f>
        <v>22400</v>
      </c>
      <c r="M35" s="506">
        <f>L35/2000*800</f>
        <v>8960</v>
      </c>
      <c r="N35" s="1158">
        <v>200</v>
      </c>
      <c r="O35" s="506">
        <v>60</v>
      </c>
      <c r="P35" s="1154">
        <v>2000</v>
      </c>
      <c r="Q35" s="1155">
        <v>800000</v>
      </c>
      <c r="R35" s="516">
        <f t="shared" si="0"/>
        <v>14</v>
      </c>
      <c r="S35" s="633" t="str">
        <f t="shared" si="1"/>
        <v>Handformen</v>
      </c>
    </row>
    <row r="36" spans="2:19" x14ac:dyDescent="0.2">
      <c r="B36" s="517" t="s">
        <v>369</v>
      </c>
      <c r="C36" s="540">
        <v>15</v>
      </c>
      <c r="D36" s="541" t="s">
        <v>424</v>
      </c>
      <c r="E36" s="346" t="s">
        <v>410</v>
      </c>
      <c r="F36" s="348" t="s">
        <v>411</v>
      </c>
      <c r="G36" s="506">
        <v>5000</v>
      </c>
      <c r="H36" s="506">
        <v>4000</v>
      </c>
      <c r="I36" s="506">
        <v>3000</v>
      </c>
      <c r="J36" s="508">
        <v>0.5</v>
      </c>
      <c r="K36" s="508">
        <v>240</v>
      </c>
      <c r="L36" s="508">
        <f t="shared" si="3"/>
        <v>60000</v>
      </c>
      <c r="M36" s="506">
        <f>L36/3000*1200</f>
        <v>24000</v>
      </c>
      <c r="N36" s="1158">
        <v>220</v>
      </c>
      <c r="O36" s="506">
        <v>60</v>
      </c>
      <c r="P36" s="1154">
        <v>2200</v>
      </c>
      <c r="Q36" s="1155">
        <v>1000000</v>
      </c>
      <c r="R36" s="516">
        <f t="shared" si="0"/>
        <v>15</v>
      </c>
      <c r="S36" s="633" t="str">
        <f t="shared" si="1"/>
        <v>Handformen</v>
      </c>
    </row>
    <row r="37" spans="2:19" ht="15" thickBot="1" x14ac:dyDescent="0.25">
      <c r="B37" s="518"/>
      <c r="C37" s="509"/>
      <c r="D37" s="509"/>
      <c r="E37" s="509"/>
      <c r="F37" s="524"/>
      <c r="G37" s="510"/>
      <c r="H37" s="510"/>
      <c r="I37" s="510"/>
      <c r="J37" s="510"/>
      <c r="K37" s="510"/>
      <c r="L37" s="510"/>
      <c r="M37" s="509"/>
      <c r="N37" s="510"/>
      <c r="O37" s="510"/>
      <c r="P37" s="509"/>
      <c r="Q37" s="544"/>
      <c r="R37" s="546">
        <f t="shared" si="0"/>
        <v>0</v>
      </c>
      <c r="S37" s="633">
        <f t="shared" si="1"/>
        <v>0</v>
      </c>
    </row>
    <row r="38" spans="2:19" x14ac:dyDescent="0.2">
      <c r="B38" s="556" t="s">
        <v>665</v>
      </c>
      <c r="C38" s="511" t="s">
        <v>467</v>
      </c>
    </row>
    <row r="39" spans="2:19" x14ac:dyDescent="0.2">
      <c r="C39" s="511" t="s">
        <v>534</v>
      </c>
    </row>
    <row r="43" spans="2:19" ht="15.75" x14ac:dyDescent="0.25">
      <c r="B43" s="505" t="s">
        <v>847</v>
      </c>
      <c r="H43" s="875"/>
      <c r="I43" s="875"/>
      <c r="J43" s="875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876" t="s">
        <v>846</v>
      </c>
      <c r="C45" s="877" t="s">
        <v>25</v>
      </c>
      <c r="D45" s="877" t="s">
        <v>779</v>
      </c>
      <c r="E45" s="877" t="s">
        <v>780</v>
      </c>
      <c r="F45" s="877" t="s">
        <v>781</v>
      </c>
      <c r="G45" s="877" t="s">
        <v>782</v>
      </c>
      <c r="H45" s="877" t="s">
        <v>783</v>
      </c>
      <c r="I45" s="877" t="s">
        <v>784</v>
      </c>
      <c r="J45" s="933" t="s">
        <v>785</v>
      </c>
      <c r="K45" s="933" t="s">
        <v>786</v>
      </c>
      <c r="L45" s="933" t="s">
        <v>787</v>
      </c>
      <c r="M45" s="877" t="s">
        <v>788</v>
      </c>
      <c r="N45" s="878" t="s">
        <v>848</v>
      </c>
      <c r="O45" s="877" t="s">
        <v>25</v>
      </c>
    </row>
    <row r="46" spans="2:19" x14ac:dyDescent="0.2">
      <c r="B46" s="929" t="s">
        <v>369</v>
      </c>
      <c r="C46" s="346">
        <v>1</v>
      </c>
      <c r="D46" s="879" t="s">
        <v>262</v>
      </c>
      <c r="E46" s="880" t="s">
        <v>369</v>
      </c>
      <c r="F46" s="881"/>
      <c r="G46" s="882"/>
      <c r="H46" s="881"/>
      <c r="I46" s="883"/>
      <c r="J46" s="879"/>
      <c r="K46" s="884"/>
      <c r="L46" s="885"/>
      <c r="M46" s="877"/>
      <c r="N46" s="886"/>
      <c r="O46" s="346">
        <f t="shared" ref="O46" si="4">C46</f>
        <v>1</v>
      </c>
    </row>
    <row r="47" spans="2:19" x14ac:dyDescent="0.2">
      <c r="B47" s="929" t="s">
        <v>372</v>
      </c>
      <c r="C47" s="346">
        <v>2</v>
      </c>
      <c r="D47" s="879" t="s">
        <v>792</v>
      </c>
      <c r="E47" s="879" t="s">
        <v>797</v>
      </c>
      <c r="F47" s="879">
        <v>350</v>
      </c>
      <c r="G47" s="879">
        <v>300</v>
      </c>
      <c r="H47" s="879">
        <v>200</v>
      </c>
      <c r="I47" s="883">
        <v>70</v>
      </c>
      <c r="J47" s="879">
        <f>F47*G47*H47/1000000</f>
        <v>21</v>
      </c>
      <c r="K47" s="884">
        <v>6</v>
      </c>
      <c r="L47" s="885">
        <v>40</v>
      </c>
      <c r="M47" s="879" t="s">
        <v>793</v>
      </c>
      <c r="N47" s="1160">
        <v>250000</v>
      </c>
      <c r="O47" s="346">
        <f>C47</f>
        <v>2</v>
      </c>
    </row>
    <row r="48" spans="2:19" x14ac:dyDescent="0.2">
      <c r="B48" s="929" t="s">
        <v>372</v>
      </c>
      <c r="C48" s="346">
        <v>3</v>
      </c>
      <c r="D48" s="879" t="s">
        <v>792</v>
      </c>
      <c r="E48" s="881" t="s">
        <v>796</v>
      </c>
      <c r="F48" s="879">
        <v>530</v>
      </c>
      <c r="G48" s="879">
        <v>400</v>
      </c>
      <c r="H48" s="879">
        <v>400</v>
      </c>
      <c r="I48" s="883">
        <v>60</v>
      </c>
      <c r="J48" s="879">
        <f>F48*G48*H48/1000000</f>
        <v>84.8</v>
      </c>
      <c r="K48" s="884">
        <v>20</v>
      </c>
      <c r="L48" s="885">
        <v>45</v>
      </c>
      <c r="M48" s="934" t="s">
        <v>789</v>
      </c>
      <c r="N48" s="1160">
        <v>391000</v>
      </c>
      <c r="O48" s="346">
        <f>C48</f>
        <v>3</v>
      </c>
    </row>
    <row r="49" spans="2:15" x14ac:dyDescent="0.2">
      <c r="B49" s="929" t="s">
        <v>372</v>
      </c>
      <c r="C49" s="346">
        <v>4</v>
      </c>
      <c r="D49" s="879" t="s">
        <v>792</v>
      </c>
      <c r="E49" s="879" t="s">
        <v>795</v>
      </c>
      <c r="F49" s="879">
        <v>700</v>
      </c>
      <c r="G49" s="879">
        <v>700</v>
      </c>
      <c r="H49" s="879">
        <v>500</v>
      </c>
      <c r="I49" s="883">
        <v>90</v>
      </c>
      <c r="J49" s="879">
        <f>F49*G49*H49/1000000</f>
        <v>245</v>
      </c>
      <c r="K49" s="884">
        <v>60</v>
      </c>
      <c r="L49" s="885">
        <v>70</v>
      </c>
      <c r="M49" s="879" t="s">
        <v>793</v>
      </c>
      <c r="N49" s="1160">
        <v>565000</v>
      </c>
      <c r="O49" s="346">
        <f>C49</f>
        <v>4</v>
      </c>
    </row>
    <row r="50" spans="2:15" x14ac:dyDescent="0.2">
      <c r="B50" s="929" t="s">
        <v>372</v>
      </c>
      <c r="C50" s="346">
        <v>5</v>
      </c>
      <c r="D50" s="879" t="s">
        <v>792</v>
      </c>
      <c r="E50" s="879" t="s">
        <v>794</v>
      </c>
      <c r="F50" s="879">
        <v>1000</v>
      </c>
      <c r="G50" s="879">
        <v>800</v>
      </c>
      <c r="H50" s="879">
        <v>600</v>
      </c>
      <c r="I50" s="883">
        <v>100</v>
      </c>
      <c r="J50" s="879">
        <f>F50*G50*H50/1000000</f>
        <v>480</v>
      </c>
      <c r="K50" s="884">
        <v>130</v>
      </c>
      <c r="L50" s="885">
        <v>90</v>
      </c>
      <c r="M50" s="879" t="s">
        <v>793</v>
      </c>
      <c r="N50" s="1160">
        <v>570000</v>
      </c>
      <c r="O50" s="346">
        <f>C50</f>
        <v>5</v>
      </c>
    </row>
    <row r="51" spans="2:15" x14ac:dyDescent="0.2">
      <c r="B51" s="929" t="s">
        <v>372</v>
      </c>
      <c r="C51" s="346">
        <v>6</v>
      </c>
      <c r="D51" s="879" t="s">
        <v>790</v>
      </c>
      <c r="E51" s="887" t="s">
        <v>791</v>
      </c>
      <c r="F51" s="879">
        <v>1500</v>
      </c>
      <c r="G51" s="879">
        <v>1250</v>
      </c>
      <c r="H51" s="879">
        <v>750</v>
      </c>
      <c r="I51" s="883">
        <v>70</v>
      </c>
      <c r="J51" s="879">
        <f>F51*G51*H51/1000000</f>
        <v>1406.25</v>
      </c>
      <c r="K51" s="888">
        <v>350</v>
      </c>
      <c r="L51" s="885">
        <v>120</v>
      </c>
      <c r="M51" s="887" t="s">
        <v>789</v>
      </c>
      <c r="N51" s="1160">
        <v>600000</v>
      </c>
      <c r="O51" s="346">
        <f>C51</f>
        <v>6</v>
      </c>
    </row>
    <row r="53" spans="2:15" x14ac:dyDescent="0.2">
      <c r="C53" t="s">
        <v>798</v>
      </c>
    </row>
    <row r="54" spans="2:15" x14ac:dyDescent="0.2">
      <c r="D54" t="s">
        <v>799</v>
      </c>
      <c r="F54" t="s">
        <v>800</v>
      </c>
    </row>
    <row r="55" spans="2:15" x14ac:dyDescent="0.2">
      <c r="C55" t="s">
        <v>801</v>
      </c>
    </row>
    <row r="56" spans="2:15" x14ac:dyDescent="0.2">
      <c r="D56" s="222" t="s">
        <v>802</v>
      </c>
      <c r="F56" t="s">
        <v>803</v>
      </c>
    </row>
    <row r="57" spans="2:15" x14ac:dyDescent="0.2">
      <c r="B57" s="1161" t="s">
        <v>372</v>
      </c>
      <c r="C57">
        <v>7</v>
      </c>
      <c r="D57" s="1162" t="s">
        <v>976</v>
      </c>
      <c r="E57" s="1163" t="s">
        <v>761</v>
      </c>
      <c r="F57" s="1164">
        <v>530</v>
      </c>
      <c r="G57" s="1164">
        <v>400</v>
      </c>
      <c r="H57" s="1164">
        <v>400</v>
      </c>
      <c r="I57" s="1164">
        <v>80</v>
      </c>
      <c r="J57" s="1164">
        <v>22</v>
      </c>
      <c r="K57" s="1164">
        <v>16</v>
      </c>
      <c r="L57" s="1213">
        <v>50</v>
      </c>
      <c r="M57" s="1164" t="s">
        <v>793</v>
      </c>
      <c r="N57" s="1165">
        <v>300000</v>
      </c>
      <c r="O57">
        <v>7</v>
      </c>
    </row>
    <row r="58" spans="2:15" x14ac:dyDescent="0.2">
      <c r="B58" s="1161" t="s">
        <v>372</v>
      </c>
      <c r="C58">
        <v>8</v>
      </c>
      <c r="D58" s="1162" t="s">
        <v>976</v>
      </c>
      <c r="E58" s="1163" t="s">
        <v>761</v>
      </c>
      <c r="F58" s="1164">
        <v>350</v>
      </c>
      <c r="G58" s="1164">
        <v>300</v>
      </c>
      <c r="H58" s="1164">
        <v>250</v>
      </c>
      <c r="I58" s="1164">
        <v>90</v>
      </c>
      <c r="J58" s="1164">
        <v>85</v>
      </c>
      <c r="K58" s="1164">
        <v>25</v>
      </c>
      <c r="L58" s="1213">
        <v>55</v>
      </c>
      <c r="M58" s="1164" t="s">
        <v>793</v>
      </c>
      <c r="N58" s="1165">
        <v>330000</v>
      </c>
      <c r="O58">
        <v>8</v>
      </c>
    </row>
    <row r="59" spans="2:15" x14ac:dyDescent="0.2">
      <c r="B59" s="1161" t="s">
        <v>372</v>
      </c>
      <c r="C59">
        <v>9</v>
      </c>
      <c r="D59" s="1162" t="s">
        <v>976</v>
      </c>
      <c r="E59" s="1163" t="s">
        <v>761</v>
      </c>
      <c r="F59" s="1164">
        <v>700</v>
      </c>
      <c r="G59" s="1164">
        <v>700</v>
      </c>
      <c r="H59" s="1164">
        <v>500</v>
      </c>
      <c r="I59" s="1164">
        <v>100</v>
      </c>
      <c r="J59" s="1164">
        <v>255</v>
      </c>
      <c r="K59" s="1164">
        <v>40</v>
      </c>
      <c r="L59" s="1213">
        <v>70</v>
      </c>
      <c r="M59" s="1164" t="s">
        <v>793</v>
      </c>
      <c r="N59" s="1165">
        <v>370000</v>
      </c>
      <c r="O59">
        <v>9</v>
      </c>
    </row>
    <row r="61" spans="2:15" ht="15" thickBot="1" x14ac:dyDescent="0.25"/>
    <row r="62" spans="2:15" ht="43.5" thickBot="1" x14ac:dyDescent="0.25">
      <c r="B62" s="1166" t="s">
        <v>977</v>
      </c>
      <c r="C62" s="1167" t="s">
        <v>978</v>
      </c>
      <c r="D62" s="1168" t="s">
        <v>25</v>
      </c>
      <c r="E62" s="1169" t="s">
        <v>979</v>
      </c>
      <c r="F62" s="1170" t="s">
        <v>980</v>
      </c>
      <c r="G62" s="1171" t="s">
        <v>103</v>
      </c>
      <c r="H62" s="1172" t="s">
        <v>981</v>
      </c>
      <c r="I62" s="1172" t="s">
        <v>998</v>
      </c>
      <c r="J62" s="1172" t="s">
        <v>999</v>
      </c>
      <c r="K62" s="511"/>
    </row>
    <row r="63" spans="2:15" x14ac:dyDescent="0.2">
      <c r="B63" s="1173" t="s">
        <v>982</v>
      </c>
      <c r="C63" s="1174" t="s">
        <v>983</v>
      </c>
      <c r="D63" s="1175">
        <v>1</v>
      </c>
      <c r="E63" s="1176">
        <v>185000</v>
      </c>
      <c r="F63" s="1177">
        <v>0.1</v>
      </c>
      <c r="G63" s="1171">
        <v>10</v>
      </c>
      <c r="H63" s="1171">
        <v>30</v>
      </c>
    </row>
    <row r="64" spans="2:15" x14ac:dyDescent="0.2">
      <c r="B64" s="45" t="str">
        <f>[3]Auswahlfelder!D36</f>
        <v>Luft/Wasser</v>
      </c>
      <c r="C64" s="1178" t="s">
        <v>984</v>
      </c>
      <c r="D64" s="1179">
        <v>2</v>
      </c>
      <c r="E64" s="1180">
        <v>12000</v>
      </c>
      <c r="F64" s="1181">
        <v>0.2</v>
      </c>
      <c r="G64">
        <v>10</v>
      </c>
      <c r="H64">
        <v>25</v>
      </c>
    </row>
    <row r="65" spans="2:10" x14ac:dyDescent="0.2">
      <c r="B65" s="45" t="str">
        <f>[3]Auswahlfelder!D37</f>
        <v>Druck/Zeit-Messung</v>
      </c>
      <c r="C65" s="1178" t="s">
        <v>985</v>
      </c>
      <c r="D65" s="1179">
        <v>3</v>
      </c>
      <c r="E65" s="1180">
        <v>9500</v>
      </c>
      <c r="F65" s="1181">
        <v>0.15</v>
      </c>
      <c r="G65">
        <v>1</v>
      </c>
      <c r="H65">
        <v>20</v>
      </c>
    </row>
    <row r="66" spans="2:10" x14ac:dyDescent="0.2">
      <c r="B66" s="1173" t="s">
        <v>619</v>
      </c>
      <c r="C66" s="1174" t="s">
        <v>602</v>
      </c>
      <c r="D66" s="1175">
        <v>4</v>
      </c>
      <c r="E66" s="1176">
        <v>55000</v>
      </c>
      <c r="F66" s="1177">
        <v>0.05</v>
      </c>
      <c r="G66" s="1171">
        <v>20</v>
      </c>
      <c r="H66" s="1171">
        <v>5</v>
      </c>
    </row>
    <row r="67" spans="2:10" x14ac:dyDescent="0.2">
      <c r="B67" s="530" t="s">
        <v>993</v>
      </c>
      <c r="C67" s="1178" t="s">
        <v>77</v>
      </c>
      <c r="D67" s="1179">
        <v>5</v>
      </c>
      <c r="E67" s="1180">
        <v>55000</v>
      </c>
      <c r="F67" s="1181">
        <v>0.15</v>
      </c>
      <c r="G67">
        <v>1</v>
      </c>
      <c r="H67">
        <v>25</v>
      </c>
    </row>
    <row r="68" spans="2:10" x14ac:dyDescent="0.2">
      <c r="B68" s="1173" t="s">
        <v>994</v>
      </c>
      <c r="C68" s="1174" t="s">
        <v>983</v>
      </c>
      <c r="D68" s="1175">
        <v>6</v>
      </c>
      <c r="E68" s="1176">
        <v>250000</v>
      </c>
      <c r="F68" s="1177">
        <v>0.05</v>
      </c>
      <c r="G68" s="1171">
        <v>10</v>
      </c>
      <c r="H68" s="1171">
        <v>40</v>
      </c>
    </row>
    <row r="69" spans="2:10" x14ac:dyDescent="0.2">
      <c r="B69" s="1173" t="s">
        <v>986</v>
      </c>
      <c r="C69" s="1174" t="s">
        <v>987</v>
      </c>
      <c r="D69" s="1175">
        <v>7</v>
      </c>
      <c r="E69" s="1176">
        <v>578000</v>
      </c>
      <c r="F69" s="1177">
        <v>0.05</v>
      </c>
      <c r="G69" s="1171">
        <v>165</v>
      </c>
      <c r="H69" s="1171">
        <v>200</v>
      </c>
    </row>
    <row r="70" spans="2:10" x14ac:dyDescent="0.2">
      <c r="B70" s="1173" t="s">
        <v>988</v>
      </c>
      <c r="C70" s="1174" t="s">
        <v>987</v>
      </c>
      <c r="D70" s="1171"/>
      <c r="E70" s="1176">
        <v>1700000</v>
      </c>
      <c r="F70" s="1177">
        <v>0.05</v>
      </c>
      <c r="G70" s="1171">
        <v>940</v>
      </c>
      <c r="H70" s="1171">
        <v>220</v>
      </c>
      <c r="I70" s="1171">
        <v>100</v>
      </c>
      <c r="J70" s="1171">
        <v>1000</v>
      </c>
    </row>
    <row r="71" spans="2:10" x14ac:dyDescent="0.2">
      <c r="B71" s="1173" t="s">
        <v>989</v>
      </c>
      <c r="C71" s="1174" t="s">
        <v>983</v>
      </c>
      <c r="D71" s="1171"/>
      <c r="E71" s="1176">
        <v>210000</v>
      </c>
      <c r="F71" s="1177">
        <v>0.05</v>
      </c>
      <c r="G71" s="1171">
        <v>141</v>
      </c>
      <c r="H71" s="1171">
        <v>60</v>
      </c>
      <c r="I71" s="1171">
        <v>0</v>
      </c>
      <c r="J71" s="1171">
        <v>2000</v>
      </c>
    </row>
    <row r="72" spans="2:10" x14ac:dyDescent="0.2">
      <c r="B72" s="1173" t="s">
        <v>990</v>
      </c>
      <c r="C72" s="1174" t="s">
        <v>983</v>
      </c>
      <c r="D72" s="1171"/>
      <c r="E72" s="1176">
        <v>138500</v>
      </c>
      <c r="F72" s="1177">
        <v>0.05</v>
      </c>
      <c r="G72" s="1171">
        <v>42</v>
      </c>
      <c r="H72" s="1171">
        <v>30</v>
      </c>
    </row>
    <row r="73" spans="2:10" x14ac:dyDescent="0.2">
      <c r="B73" s="1173" t="s">
        <v>714</v>
      </c>
      <c r="C73" s="1174" t="s">
        <v>987</v>
      </c>
      <c r="D73" s="1171"/>
      <c r="E73" s="1176">
        <v>185000</v>
      </c>
      <c r="F73" s="1177">
        <v>0.05</v>
      </c>
      <c r="G73" s="1171">
        <v>11</v>
      </c>
      <c r="H73" s="1171">
        <v>20</v>
      </c>
    </row>
    <row r="74" spans="2:10" x14ac:dyDescent="0.2">
      <c r="B74" s="1177" t="s">
        <v>995</v>
      </c>
      <c r="C74" s="1177"/>
      <c r="D74" s="1177"/>
      <c r="E74" s="1176">
        <v>15000</v>
      </c>
      <c r="F74" s="1177">
        <v>0.05</v>
      </c>
      <c r="G74" s="1171">
        <v>10</v>
      </c>
      <c r="H74" s="1171">
        <v>5</v>
      </c>
    </row>
    <row r="75" spans="2:10" x14ac:dyDescent="0.2">
      <c r="B75" s="1177" t="s">
        <v>997</v>
      </c>
      <c r="C75" s="1177"/>
      <c r="D75" s="1177"/>
      <c r="E75" s="1176">
        <v>20000</v>
      </c>
      <c r="F75" s="1177">
        <v>2.5000000000000001E-2</v>
      </c>
      <c r="G75" s="1171">
        <v>20</v>
      </c>
      <c r="H75" s="1171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49" t="s">
        <v>555</v>
      </c>
      <c r="B1" s="649" t="s">
        <v>554</v>
      </c>
      <c r="C1" s="254">
        <f>HLOOKUP("x",$D$1:$ZZ$2,2,FALSE)</f>
        <v>19</v>
      </c>
      <c r="D1" s="898">
        <f>D3</f>
        <v>815</v>
      </c>
      <c r="E1" s="898" t="str">
        <f t="shared" ref="E1:BP1" si="0">E3</f>
        <v>815-1</v>
      </c>
      <c r="F1" s="898" t="str">
        <f t="shared" si="0"/>
        <v>815-2</v>
      </c>
      <c r="G1" s="898" t="str">
        <f t="shared" si="0"/>
        <v>815-2-1</v>
      </c>
      <c r="H1" s="898" t="str">
        <f t="shared" si="0"/>
        <v>815-3</v>
      </c>
      <c r="I1" s="898" t="str">
        <f t="shared" si="0"/>
        <v>815-3-1</v>
      </c>
      <c r="J1" s="898" t="str">
        <f t="shared" si="0"/>
        <v>820-1</v>
      </c>
      <c r="K1" s="898" t="str">
        <f t="shared" si="0"/>
        <v>820-1-1</v>
      </c>
      <c r="L1" s="898" t="str">
        <f t="shared" si="0"/>
        <v>820-2</v>
      </c>
      <c r="M1" s="898" t="str">
        <f t="shared" si="0"/>
        <v>820-2-1</v>
      </c>
      <c r="N1" s="898" t="str">
        <f t="shared" si="0"/>
        <v>820-3</v>
      </c>
      <c r="O1" s="898" t="str">
        <f t="shared" si="0"/>
        <v>820-3-1</v>
      </c>
      <c r="P1" s="898" t="str">
        <f t="shared" si="0"/>
        <v>820-1-5</v>
      </c>
      <c r="Q1" s="898" t="str">
        <f t="shared" si="0"/>
        <v>820-2-5</v>
      </c>
      <c r="R1" s="898" t="str">
        <f t="shared" si="0"/>
        <v>820-3-5</v>
      </c>
      <c r="S1" s="898" t="str">
        <f t="shared" si="0"/>
        <v>812-1</v>
      </c>
      <c r="T1" s="898" t="str">
        <f t="shared" si="0"/>
        <v>817-2-1</v>
      </c>
      <c r="U1" s="898" t="str">
        <f t="shared" si="0"/>
        <v>816-3-1</v>
      </c>
      <c r="V1" s="898" t="str">
        <f t="shared" si="0"/>
        <v>x</v>
      </c>
      <c r="W1" s="898" t="str">
        <f t="shared" si="0"/>
        <v>x</v>
      </c>
      <c r="X1" s="898" t="str">
        <f t="shared" si="0"/>
        <v>x</v>
      </c>
      <c r="Y1" s="898" t="str">
        <f t="shared" si="0"/>
        <v>x</v>
      </c>
      <c r="Z1" s="898" t="str">
        <f t="shared" si="0"/>
        <v>x</v>
      </c>
      <c r="AA1" s="898" t="str">
        <f t="shared" si="0"/>
        <v>x</v>
      </c>
      <c r="AB1" s="898" t="str">
        <f t="shared" si="0"/>
        <v>x</v>
      </c>
      <c r="AC1" s="898" t="str">
        <f t="shared" si="0"/>
        <v>x</v>
      </c>
      <c r="AD1" s="898" t="str">
        <f t="shared" si="0"/>
        <v>x</v>
      </c>
      <c r="AE1" s="898" t="str">
        <f t="shared" si="0"/>
        <v>x</v>
      </c>
      <c r="AF1" s="898" t="str">
        <f t="shared" si="0"/>
        <v>x</v>
      </c>
      <c r="AG1" s="898" t="str">
        <f t="shared" si="0"/>
        <v>x</v>
      </c>
      <c r="AH1" s="898" t="str">
        <f t="shared" si="0"/>
        <v>x</v>
      </c>
      <c r="AI1" s="898" t="str">
        <f t="shared" si="0"/>
        <v>x</v>
      </c>
      <c r="AJ1" s="898" t="str">
        <f t="shared" si="0"/>
        <v>x</v>
      </c>
      <c r="AK1" s="898" t="str">
        <f t="shared" si="0"/>
        <v>x</v>
      </c>
      <c r="AL1" s="898" t="str">
        <f t="shared" si="0"/>
        <v>x</v>
      </c>
      <c r="AM1" s="898" t="str">
        <f t="shared" si="0"/>
        <v>x</v>
      </c>
      <c r="AN1" s="898" t="str">
        <f t="shared" si="0"/>
        <v>x</v>
      </c>
      <c r="AO1" s="898" t="str">
        <f t="shared" si="0"/>
        <v>x</v>
      </c>
      <c r="AP1" s="898" t="str">
        <f t="shared" si="0"/>
        <v>x</v>
      </c>
      <c r="AQ1" s="898" t="str">
        <f t="shared" si="0"/>
        <v>x</v>
      </c>
      <c r="AR1" s="898" t="str">
        <f t="shared" si="0"/>
        <v>x</v>
      </c>
      <c r="AS1" s="898" t="str">
        <f t="shared" si="0"/>
        <v>x</v>
      </c>
      <c r="AT1" s="898" t="str">
        <f t="shared" si="0"/>
        <v>x</v>
      </c>
      <c r="AU1" s="898" t="str">
        <f t="shared" si="0"/>
        <v>x</v>
      </c>
      <c r="AV1" s="898" t="str">
        <f t="shared" si="0"/>
        <v>x</v>
      </c>
      <c r="AW1" s="898" t="str">
        <f t="shared" si="0"/>
        <v>x</v>
      </c>
      <c r="AX1" s="898" t="str">
        <f t="shared" si="0"/>
        <v>x</v>
      </c>
      <c r="AY1" s="898" t="str">
        <f t="shared" si="0"/>
        <v>x</v>
      </c>
      <c r="AZ1" s="898" t="str">
        <f t="shared" si="0"/>
        <v>x</v>
      </c>
      <c r="BA1" s="898" t="str">
        <f t="shared" si="0"/>
        <v>x</v>
      </c>
      <c r="BB1" s="898" t="str">
        <f t="shared" si="0"/>
        <v>x</v>
      </c>
      <c r="BC1" s="898" t="str">
        <f t="shared" si="0"/>
        <v>x</v>
      </c>
      <c r="BD1" s="898" t="str">
        <f t="shared" si="0"/>
        <v>x</v>
      </c>
      <c r="BE1" s="898" t="str">
        <f t="shared" si="0"/>
        <v>x</v>
      </c>
      <c r="BF1" s="898" t="str">
        <f t="shared" si="0"/>
        <v>x</v>
      </c>
      <c r="BG1" s="898" t="str">
        <f t="shared" si="0"/>
        <v>x</v>
      </c>
      <c r="BH1" s="898" t="str">
        <f t="shared" si="0"/>
        <v>x</v>
      </c>
      <c r="BI1" s="898" t="str">
        <f t="shared" si="0"/>
        <v>x</v>
      </c>
      <c r="BJ1" s="898" t="str">
        <f t="shared" si="0"/>
        <v>x</v>
      </c>
      <c r="BK1" s="898" t="str">
        <f t="shared" si="0"/>
        <v>x</v>
      </c>
      <c r="BL1" s="898" t="str">
        <f t="shared" si="0"/>
        <v>x</v>
      </c>
      <c r="BM1" s="898" t="str">
        <f t="shared" si="0"/>
        <v>x</v>
      </c>
      <c r="BN1" s="898" t="str">
        <f t="shared" si="0"/>
        <v>x</v>
      </c>
      <c r="BO1" s="898" t="str">
        <f t="shared" si="0"/>
        <v>x</v>
      </c>
      <c r="BP1" s="898" t="str">
        <f t="shared" si="0"/>
        <v>x</v>
      </c>
      <c r="BQ1" s="898" t="str">
        <f t="shared" ref="BQ1:EB1" si="1">BQ3</f>
        <v>x</v>
      </c>
      <c r="BR1" s="898" t="str">
        <f t="shared" si="1"/>
        <v>x</v>
      </c>
      <c r="BS1" s="898" t="str">
        <f t="shared" si="1"/>
        <v>x</v>
      </c>
      <c r="BT1" s="898" t="str">
        <f t="shared" si="1"/>
        <v>x</v>
      </c>
      <c r="BU1" s="898" t="str">
        <f t="shared" si="1"/>
        <v>x</v>
      </c>
      <c r="BV1" s="898" t="str">
        <f t="shared" si="1"/>
        <v>x</v>
      </c>
      <c r="BW1" s="898" t="str">
        <f t="shared" si="1"/>
        <v>x</v>
      </c>
      <c r="BX1" s="898" t="str">
        <f t="shared" si="1"/>
        <v>x</v>
      </c>
      <c r="BY1" s="898" t="str">
        <f t="shared" si="1"/>
        <v>x</v>
      </c>
      <c r="BZ1" s="898" t="str">
        <f t="shared" si="1"/>
        <v>x</v>
      </c>
      <c r="CA1" s="898" t="str">
        <f t="shared" si="1"/>
        <v>x</v>
      </c>
      <c r="CB1" s="898" t="str">
        <f t="shared" si="1"/>
        <v>x</v>
      </c>
      <c r="CC1" s="898" t="str">
        <f t="shared" si="1"/>
        <v>x</v>
      </c>
      <c r="CD1" s="898" t="str">
        <f t="shared" si="1"/>
        <v>x</v>
      </c>
      <c r="CE1" s="898" t="str">
        <f t="shared" si="1"/>
        <v>x</v>
      </c>
      <c r="CF1" s="898" t="str">
        <f t="shared" si="1"/>
        <v>x</v>
      </c>
      <c r="CG1" s="898" t="str">
        <f t="shared" si="1"/>
        <v>x</v>
      </c>
      <c r="CH1" s="898" t="str">
        <f t="shared" si="1"/>
        <v>x</v>
      </c>
      <c r="CI1" s="898" t="str">
        <f t="shared" si="1"/>
        <v>x</v>
      </c>
      <c r="CJ1" s="898" t="str">
        <f t="shared" si="1"/>
        <v>x</v>
      </c>
      <c r="CK1" s="898" t="str">
        <f t="shared" si="1"/>
        <v>x</v>
      </c>
      <c r="CL1" s="898" t="str">
        <f t="shared" si="1"/>
        <v>x</v>
      </c>
      <c r="CM1" s="898" t="str">
        <f t="shared" si="1"/>
        <v>x</v>
      </c>
      <c r="CN1" s="898" t="str">
        <f t="shared" si="1"/>
        <v>x</v>
      </c>
      <c r="CO1" s="898" t="str">
        <f t="shared" si="1"/>
        <v>x</v>
      </c>
      <c r="CP1" s="898" t="str">
        <f t="shared" si="1"/>
        <v>x</v>
      </c>
      <c r="CQ1" s="898" t="str">
        <f t="shared" si="1"/>
        <v>x</v>
      </c>
      <c r="CR1" s="898" t="str">
        <f t="shared" si="1"/>
        <v>x</v>
      </c>
      <c r="CS1" s="898" t="str">
        <f t="shared" si="1"/>
        <v>x</v>
      </c>
      <c r="CT1" s="898" t="str">
        <f t="shared" si="1"/>
        <v>x</v>
      </c>
      <c r="CU1" s="898" t="str">
        <f t="shared" si="1"/>
        <v>x</v>
      </c>
      <c r="CV1" s="898" t="str">
        <f t="shared" si="1"/>
        <v>x</v>
      </c>
      <c r="CW1" s="898" t="str">
        <f t="shared" si="1"/>
        <v>x</v>
      </c>
      <c r="CX1" s="898" t="str">
        <f t="shared" si="1"/>
        <v>x</v>
      </c>
      <c r="CY1" s="898" t="str">
        <f t="shared" si="1"/>
        <v>x</v>
      </c>
      <c r="CZ1" s="898" t="str">
        <f t="shared" si="1"/>
        <v>x</v>
      </c>
      <c r="DA1" s="898" t="str">
        <f t="shared" si="1"/>
        <v>x</v>
      </c>
      <c r="DB1" s="898" t="str">
        <f t="shared" si="1"/>
        <v>x</v>
      </c>
      <c r="DC1" s="898" t="str">
        <f t="shared" si="1"/>
        <v>x</v>
      </c>
      <c r="DD1" s="898" t="str">
        <f t="shared" si="1"/>
        <v>x</v>
      </c>
      <c r="DE1" s="898" t="str">
        <f t="shared" si="1"/>
        <v>x</v>
      </c>
      <c r="DF1" s="898" t="str">
        <f t="shared" si="1"/>
        <v>x</v>
      </c>
      <c r="DG1" s="898" t="str">
        <f t="shared" si="1"/>
        <v>x</v>
      </c>
      <c r="DH1" s="898" t="str">
        <f t="shared" si="1"/>
        <v>x</v>
      </c>
      <c r="DI1" s="898" t="str">
        <f t="shared" si="1"/>
        <v>x</v>
      </c>
      <c r="DJ1" s="898" t="str">
        <f t="shared" si="1"/>
        <v>x</v>
      </c>
      <c r="DK1" s="898" t="str">
        <f t="shared" si="1"/>
        <v>x</v>
      </c>
      <c r="DL1" s="898" t="str">
        <f t="shared" si="1"/>
        <v>x</v>
      </c>
      <c r="DM1" s="898" t="str">
        <f t="shared" si="1"/>
        <v>x</v>
      </c>
      <c r="DN1" s="898" t="str">
        <f t="shared" si="1"/>
        <v>x</v>
      </c>
      <c r="DO1" s="898" t="str">
        <f t="shared" si="1"/>
        <v>x</v>
      </c>
      <c r="DP1" s="898" t="str">
        <f t="shared" si="1"/>
        <v>x</v>
      </c>
      <c r="DQ1" s="898" t="str">
        <f t="shared" si="1"/>
        <v>x</v>
      </c>
      <c r="DR1" s="898" t="str">
        <f t="shared" si="1"/>
        <v>x</v>
      </c>
      <c r="DS1" s="898" t="str">
        <f t="shared" si="1"/>
        <v>x</v>
      </c>
      <c r="DT1" s="898" t="str">
        <f t="shared" si="1"/>
        <v>x</v>
      </c>
      <c r="DU1" s="898" t="str">
        <f t="shared" si="1"/>
        <v>x</v>
      </c>
      <c r="DV1" s="898" t="str">
        <f t="shared" si="1"/>
        <v>x</v>
      </c>
      <c r="DW1" s="898" t="str">
        <f t="shared" si="1"/>
        <v>x</v>
      </c>
      <c r="DX1" s="898" t="str">
        <f t="shared" si="1"/>
        <v>x</v>
      </c>
      <c r="DY1" s="898" t="str">
        <f t="shared" si="1"/>
        <v>x</v>
      </c>
      <c r="DZ1" s="898" t="str">
        <f t="shared" si="1"/>
        <v>x</v>
      </c>
      <c r="EA1" s="898" t="str">
        <f t="shared" si="1"/>
        <v>x</v>
      </c>
      <c r="EB1" s="898" t="str">
        <f t="shared" si="1"/>
        <v>x</v>
      </c>
      <c r="EC1" s="898" t="str">
        <f t="shared" ref="EC1:GN1" si="2">EC3</f>
        <v>x</v>
      </c>
      <c r="ED1" s="898" t="str">
        <f t="shared" si="2"/>
        <v>x</v>
      </c>
      <c r="EE1" s="898" t="str">
        <f t="shared" si="2"/>
        <v>x</v>
      </c>
      <c r="EF1" s="898" t="str">
        <f t="shared" si="2"/>
        <v>x</v>
      </c>
      <c r="EG1" s="898" t="str">
        <f t="shared" si="2"/>
        <v>x</v>
      </c>
      <c r="EH1" s="898" t="str">
        <f t="shared" si="2"/>
        <v>x</v>
      </c>
      <c r="EI1" s="898" t="str">
        <f t="shared" si="2"/>
        <v>x</v>
      </c>
      <c r="EJ1" s="898" t="str">
        <f t="shared" si="2"/>
        <v>x</v>
      </c>
      <c r="EK1" s="898" t="str">
        <f t="shared" si="2"/>
        <v>x</v>
      </c>
      <c r="EL1" s="898" t="str">
        <f t="shared" si="2"/>
        <v>x</v>
      </c>
      <c r="EM1" s="898" t="str">
        <f t="shared" si="2"/>
        <v>x</v>
      </c>
      <c r="EN1" s="898" t="str">
        <f t="shared" si="2"/>
        <v>x</v>
      </c>
      <c r="EO1" s="898" t="str">
        <f t="shared" si="2"/>
        <v>x</v>
      </c>
      <c r="EP1" s="898" t="str">
        <f t="shared" si="2"/>
        <v>x</v>
      </c>
      <c r="EQ1" s="898" t="str">
        <f t="shared" si="2"/>
        <v>x</v>
      </c>
      <c r="ER1" s="898" t="str">
        <f t="shared" si="2"/>
        <v>x</v>
      </c>
      <c r="ES1" s="898" t="str">
        <f t="shared" si="2"/>
        <v>x</v>
      </c>
      <c r="ET1" s="898" t="str">
        <f t="shared" si="2"/>
        <v>x</v>
      </c>
      <c r="EU1" s="898" t="str">
        <f t="shared" si="2"/>
        <v>x</v>
      </c>
      <c r="EV1" s="898" t="str">
        <f t="shared" si="2"/>
        <v>x</v>
      </c>
      <c r="EW1" s="898" t="str">
        <f t="shared" si="2"/>
        <v>x</v>
      </c>
      <c r="EX1" s="898" t="str">
        <f t="shared" si="2"/>
        <v>x</v>
      </c>
      <c r="EY1" s="898" t="str">
        <f t="shared" si="2"/>
        <v>x</v>
      </c>
      <c r="EZ1" s="898" t="str">
        <f t="shared" si="2"/>
        <v>x</v>
      </c>
      <c r="FA1" s="898" t="str">
        <f t="shared" si="2"/>
        <v>x</v>
      </c>
      <c r="FB1" s="898" t="str">
        <f t="shared" si="2"/>
        <v>x</v>
      </c>
      <c r="FC1" s="898" t="str">
        <f t="shared" si="2"/>
        <v>x</v>
      </c>
      <c r="FD1" s="898" t="str">
        <f t="shared" si="2"/>
        <v>x</v>
      </c>
      <c r="FE1" s="898" t="str">
        <f t="shared" si="2"/>
        <v>x</v>
      </c>
      <c r="FF1" s="898" t="str">
        <f t="shared" si="2"/>
        <v>x</v>
      </c>
      <c r="FG1" s="898" t="str">
        <f t="shared" si="2"/>
        <v>x</v>
      </c>
      <c r="FH1" s="898" t="str">
        <f t="shared" si="2"/>
        <v>x</v>
      </c>
      <c r="FI1" s="898" t="str">
        <f t="shared" si="2"/>
        <v>x</v>
      </c>
      <c r="FJ1" s="898" t="str">
        <f t="shared" si="2"/>
        <v>x</v>
      </c>
      <c r="FK1" s="898" t="str">
        <f t="shared" si="2"/>
        <v>x</v>
      </c>
      <c r="FL1" s="898" t="str">
        <f t="shared" si="2"/>
        <v>x</v>
      </c>
      <c r="FM1" s="898" t="str">
        <f t="shared" si="2"/>
        <v>x</v>
      </c>
      <c r="FN1" s="898" t="str">
        <f t="shared" si="2"/>
        <v>x</v>
      </c>
      <c r="FO1" s="898" t="str">
        <f t="shared" si="2"/>
        <v>x</v>
      </c>
      <c r="FP1" s="898" t="str">
        <f t="shared" si="2"/>
        <v>x</v>
      </c>
      <c r="FQ1" s="898" t="str">
        <f t="shared" si="2"/>
        <v>x</v>
      </c>
      <c r="FR1" s="898" t="str">
        <f t="shared" si="2"/>
        <v>x</v>
      </c>
      <c r="FS1" s="898" t="str">
        <f t="shared" si="2"/>
        <v>x</v>
      </c>
      <c r="FT1" s="898" t="str">
        <f t="shared" si="2"/>
        <v>x</v>
      </c>
      <c r="FU1" s="898" t="str">
        <f t="shared" si="2"/>
        <v>x</v>
      </c>
      <c r="FV1" s="898" t="str">
        <f t="shared" si="2"/>
        <v>x</v>
      </c>
      <c r="FW1" s="898" t="str">
        <f t="shared" si="2"/>
        <v>x</v>
      </c>
      <c r="FX1" s="898" t="str">
        <f t="shared" si="2"/>
        <v>x</v>
      </c>
      <c r="FY1" s="898" t="str">
        <f t="shared" si="2"/>
        <v>x</v>
      </c>
      <c r="FZ1" s="898" t="str">
        <f t="shared" si="2"/>
        <v>x</v>
      </c>
      <c r="GA1" s="898" t="str">
        <f t="shared" si="2"/>
        <v>x</v>
      </c>
      <c r="GB1" s="898" t="str">
        <f t="shared" si="2"/>
        <v>x</v>
      </c>
      <c r="GC1" s="898" t="str">
        <f t="shared" si="2"/>
        <v>x</v>
      </c>
      <c r="GD1" s="898" t="str">
        <f t="shared" si="2"/>
        <v>x</v>
      </c>
      <c r="GE1" s="898" t="str">
        <f t="shared" si="2"/>
        <v>x</v>
      </c>
      <c r="GF1" s="898" t="str">
        <f t="shared" si="2"/>
        <v>x</v>
      </c>
      <c r="GG1" s="898" t="str">
        <f t="shared" si="2"/>
        <v>x</v>
      </c>
      <c r="GH1" s="898" t="str">
        <f t="shared" si="2"/>
        <v>x</v>
      </c>
      <c r="GI1" s="898" t="str">
        <f t="shared" si="2"/>
        <v>x</v>
      </c>
      <c r="GJ1" s="898" t="str">
        <f t="shared" si="2"/>
        <v>x</v>
      </c>
      <c r="GK1" s="898" t="str">
        <f t="shared" si="2"/>
        <v>x</v>
      </c>
      <c r="GL1" s="898" t="str">
        <f t="shared" si="2"/>
        <v>x</v>
      </c>
      <c r="GM1" s="898" t="str">
        <f t="shared" si="2"/>
        <v>x</v>
      </c>
      <c r="GN1" s="898" t="str">
        <f t="shared" si="2"/>
        <v>x</v>
      </c>
      <c r="GO1" s="898" t="str">
        <f t="shared" ref="GO1:IZ1" si="3">GO3</f>
        <v>x</v>
      </c>
      <c r="GP1" s="898" t="str">
        <f t="shared" si="3"/>
        <v>x</v>
      </c>
      <c r="GQ1" s="898" t="str">
        <f t="shared" si="3"/>
        <v>x</v>
      </c>
      <c r="GR1" s="898" t="str">
        <f t="shared" si="3"/>
        <v>x</v>
      </c>
      <c r="GS1" s="898" t="str">
        <f t="shared" si="3"/>
        <v>x</v>
      </c>
      <c r="GT1" s="898" t="str">
        <f t="shared" si="3"/>
        <v>x</v>
      </c>
      <c r="GU1" s="898" t="str">
        <f t="shared" si="3"/>
        <v>x</v>
      </c>
      <c r="GV1" s="898" t="str">
        <f t="shared" si="3"/>
        <v>x</v>
      </c>
      <c r="GW1" s="898" t="str">
        <f t="shared" si="3"/>
        <v>x</v>
      </c>
      <c r="GX1" s="898" t="str">
        <f t="shared" si="3"/>
        <v>x</v>
      </c>
      <c r="GY1" s="898" t="str">
        <f t="shared" si="3"/>
        <v>x</v>
      </c>
      <c r="GZ1" s="898" t="str">
        <f t="shared" si="3"/>
        <v>x</v>
      </c>
      <c r="HA1" s="898" t="str">
        <f t="shared" si="3"/>
        <v>x</v>
      </c>
      <c r="HB1" s="898" t="str">
        <f t="shared" si="3"/>
        <v>x</v>
      </c>
      <c r="HC1" s="898" t="str">
        <f t="shared" si="3"/>
        <v>x</v>
      </c>
      <c r="HD1" s="898" t="str">
        <f t="shared" si="3"/>
        <v>x</v>
      </c>
      <c r="HE1" s="898" t="str">
        <f t="shared" si="3"/>
        <v>x</v>
      </c>
      <c r="HF1" s="898" t="str">
        <f t="shared" si="3"/>
        <v>x</v>
      </c>
      <c r="HG1" s="898" t="str">
        <f t="shared" si="3"/>
        <v>x</v>
      </c>
      <c r="HH1" s="898" t="str">
        <f t="shared" si="3"/>
        <v>x</v>
      </c>
      <c r="HI1" s="898" t="str">
        <f t="shared" si="3"/>
        <v>x</v>
      </c>
      <c r="HJ1" s="898" t="str">
        <f t="shared" si="3"/>
        <v>x</v>
      </c>
      <c r="HK1" s="898" t="str">
        <f t="shared" si="3"/>
        <v>x</v>
      </c>
      <c r="HL1" s="898" t="str">
        <f t="shared" si="3"/>
        <v>x</v>
      </c>
      <c r="HM1" s="898" t="str">
        <f t="shared" si="3"/>
        <v>x</v>
      </c>
      <c r="HN1" s="898" t="str">
        <f t="shared" si="3"/>
        <v>x</v>
      </c>
      <c r="HO1" s="898" t="str">
        <f t="shared" si="3"/>
        <v>x</v>
      </c>
      <c r="HP1" s="898" t="str">
        <f t="shared" si="3"/>
        <v>x</v>
      </c>
      <c r="HQ1" s="898" t="str">
        <f t="shared" si="3"/>
        <v>x</v>
      </c>
      <c r="HR1" s="898" t="str">
        <f t="shared" si="3"/>
        <v>x</v>
      </c>
      <c r="HS1" s="898" t="str">
        <f t="shared" si="3"/>
        <v>x</v>
      </c>
      <c r="HT1" s="898" t="str">
        <f t="shared" si="3"/>
        <v>x</v>
      </c>
      <c r="HU1" s="898" t="str">
        <f t="shared" si="3"/>
        <v>x</v>
      </c>
      <c r="HV1" s="898" t="str">
        <f t="shared" si="3"/>
        <v>x</v>
      </c>
      <c r="HW1" s="898" t="str">
        <f t="shared" si="3"/>
        <v>x</v>
      </c>
      <c r="HX1" s="898" t="str">
        <f t="shared" si="3"/>
        <v>x</v>
      </c>
      <c r="HY1" s="898" t="str">
        <f t="shared" si="3"/>
        <v>x</v>
      </c>
      <c r="HZ1" s="898" t="str">
        <f t="shared" si="3"/>
        <v>x</v>
      </c>
      <c r="IA1" s="898" t="str">
        <f t="shared" si="3"/>
        <v>x</v>
      </c>
      <c r="IB1" s="898" t="str">
        <f t="shared" si="3"/>
        <v>x</v>
      </c>
      <c r="IC1" s="898" t="str">
        <f t="shared" si="3"/>
        <v>x</v>
      </c>
      <c r="ID1" s="898" t="str">
        <f t="shared" si="3"/>
        <v>x</v>
      </c>
      <c r="IE1" s="898" t="str">
        <f t="shared" si="3"/>
        <v>x</v>
      </c>
      <c r="IF1" s="898" t="str">
        <f t="shared" si="3"/>
        <v>x</v>
      </c>
      <c r="IG1" s="898" t="str">
        <f t="shared" si="3"/>
        <v>x</v>
      </c>
      <c r="IH1" s="898" t="str">
        <f t="shared" si="3"/>
        <v>x</v>
      </c>
      <c r="II1" s="898" t="str">
        <f t="shared" si="3"/>
        <v>x</v>
      </c>
      <c r="IJ1" s="898" t="str">
        <f t="shared" si="3"/>
        <v>x</v>
      </c>
      <c r="IK1" s="898" t="str">
        <f t="shared" si="3"/>
        <v>x</v>
      </c>
      <c r="IL1" s="898" t="str">
        <f t="shared" si="3"/>
        <v>x</v>
      </c>
      <c r="IM1" s="898" t="str">
        <f t="shared" si="3"/>
        <v>x</v>
      </c>
      <c r="IN1" s="898" t="str">
        <f t="shared" si="3"/>
        <v>x</v>
      </c>
      <c r="IO1" s="898" t="str">
        <f t="shared" si="3"/>
        <v>x</v>
      </c>
      <c r="IP1" s="898" t="str">
        <f t="shared" si="3"/>
        <v>x</v>
      </c>
      <c r="IQ1" s="898" t="str">
        <f t="shared" si="3"/>
        <v>x</v>
      </c>
      <c r="IR1" s="898" t="str">
        <f t="shared" si="3"/>
        <v>x</v>
      </c>
      <c r="IS1" s="898" t="str">
        <f t="shared" si="3"/>
        <v>x</v>
      </c>
      <c r="IT1" s="898" t="str">
        <f t="shared" si="3"/>
        <v>x</v>
      </c>
      <c r="IU1" s="898" t="str">
        <f t="shared" si="3"/>
        <v>x</v>
      </c>
      <c r="IV1" s="898" t="str">
        <f t="shared" si="3"/>
        <v>x</v>
      </c>
      <c r="IW1" s="898" t="str">
        <f t="shared" si="3"/>
        <v>x</v>
      </c>
      <c r="IX1" s="898" t="str">
        <f t="shared" si="3"/>
        <v>x</v>
      </c>
      <c r="IY1" s="898" t="str">
        <f t="shared" si="3"/>
        <v>x</v>
      </c>
      <c r="IZ1" s="898" t="str">
        <f t="shared" si="3"/>
        <v>x</v>
      </c>
      <c r="JA1" s="898" t="str">
        <f t="shared" ref="JA1:LL1" si="4">JA3</f>
        <v>x</v>
      </c>
      <c r="JB1" s="898" t="str">
        <f t="shared" si="4"/>
        <v>x</v>
      </c>
      <c r="JC1" s="898" t="str">
        <f t="shared" si="4"/>
        <v>x</v>
      </c>
      <c r="JD1" s="898" t="str">
        <f t="shared" si="4"/>
        <v>x</v>
      </c>
      <c r="JE1" s="898" t="str">
        <f t="shared" si="4"/>
        <v>x</v>
      </c>
      <c r="JF1" s="898" t="str">
        <f t="shared" si="4"/>
        <v>x</v>
      </c>
      <c r="JG1" s="898" t="str">
        <f t="shared" si="4"/>
        <v>x</v>
      </c>
      <c r="JH1" s="898" t="str">
        <f t="shared" si="4"/>
        <v>x</v>
      </c>
      <c r="JI1" s="898" t="str">
        <f t="shared" si="4"/>
        <v>x</v>
      </c>
      <c r="JJ1" s="898" t="str">
        <f t="shared" si="4"/>
        <v>x</v>
      </c>
      <c r="JK1" s="898" t="str">
        <f t="shared" si="4"/>
        <v>x</v>
      </c>
      <c r="JL1" s="898" t="str">
        <f t="shared" si="4"/>
        <v>x</v>
      </c>
      <c r="JM1" s="898" t="str">
        <f t="shared" si="4"/>
        <v>x</v>
      </c>
      <c r="JN1" s="898" t="str">
        <f t="shared" si="4"/>
        <v>x</v>
      </c>
      <c r="JO1" s="898" t="str">
        <f t="shared" si="4"/>
        <v>x</v>
      </c>
      <c r="JP1" s="898" t="str">
        <f t="shared" si="4"/>
        <v>x</v>
      </c>
      <c r="JQ1" s="898" t="str">
        <f t="shared" si="4"/>
        <v>x</v>
      </c>
      <c r="JR1" s="898" t="str">
        <f t="shared" si="4"/>
        <v>x</v>
      </c>
      <c r="JS1" s="898" t="str">
        <f t="shared" si="4"/>
        <v>x</v>
      </c>
      <c r="JT1" s="898" t="str">
        <f t="shared" si="4"/>
        <v>x</v>
      </c>
      <c r="JU1" s="898" t="str">
        <f t="shared" si="4"/>
        <v>x</v>
      </c>
      <c r="JV1" s="898" t="str">
        <f t="shared" si="4"/>
        <v>x</v>
      </c>
      <c r="JW1" s="898" t="str">
        <f t="shared" si="4"/>
        <v>x</v>
      </c>
      <c r="JX1" s="898" t="str">
        <f t="shared" si="4"/>
        <v>x</v>
      </c>
      <c r="JY1" s="898" t="str">
        <f t="shared" si="4"/>
        <v>x</v>
      </c>
      <c r="JZ1" s="898" t="str">
        <f t="shared" si="4"/>
        <v>x</v>
      </c>
      <c r="KA1" s="898" t="str">
        <f t="shared" si="4"/>
        <v>x</v>
      </c>
      <c r="KB1" s="898" t="str">
        <f t="shared" si="4"/>
        <v>x</v>
      </c>
      <c r="KC1" s="898" t="str">
        <f t="shared" si="4"/>
        <v>x</v>
      </c>
      <c r="KD1" s="898" t="str">
        <f t="shared" si="4"/>
        <v>x</v>
      </c>
      <c r="KE1" s="898" t="str">
        <f t="shared" si="4"/>
        <v>x</v>
      </c>
      <c r="KF1" s="898" t="str">
        <f t="shared" si="4"/>
        <v>x</v>
      </c>
      <c r="KG1" s="898" t="str">
        <f t="shared" si="4"/>
        <v>x</v>
      </c>
      <c r="KH1" s="898" t="str">
        <f t="shared" si="4"/>
        <v>x</v>
      </c>
      <c r="KI1" s="898" t="str">
        <f t="shared" si="4"/>
        <v>x</v>
      </c>
      <c r="KJ1" s="898" t="str">
        <f t="shared" si="4"/>
        <v>x</v>
      </c>
      <c r="KK1" s="898" t="str">
        <f t="shared" si="4"/>
        <v>x</v>
      </c>
      <c r="KL1" s="898" t="str">
        <f t="shared" si="4"/>
        <v>x</v>
      </c>
      <c r="KM1" s="898" t="str">
        <f t="shared" si="4"/>
        <v>x</v>
      </c>
      <c r="KN1" s="898" t="str">
        <f t="shared" si="4"/>
        <v>x</v>
      </c>
      <c r="KO1" s="898" t="str">
        <f t="shared" si="4"/>
        <v>x</v>
      </c>
      <c r="KP1" s="898" t="str">
        <f t="shared" si="4"/>
        <v>x</v>
      </c>
      <c r="KQ1" s="898" t="str">
        <f t="shared" si="4"/>
        <v>x</v>
      </c>
      <c r="KR1" s="898" t="str">
        <f t="shared" si="4"/>
        <v>x</v>
      </c>
      <c r="KS1" s="898" t="str">
        <f t="shared" si="4"/>
        <v>x</v>
      </c>
      <c r="KT1" s="898" t="str">
        <f t="shared" si="4"/>
        <v>x</v>
      </c>
      <c r="KU1" s="898" t="str">
        <f t="shared" si="4"/>
        <v>x</v>
      </c>
      <c r="KV1" s="898" t="str">
        <f t="shared" si="4"/>
        <v>x</v>
      </c>
      <c r="KW1" s="898" t="str">
        <f t="shared" si="4"/>
        <v>x</v>
      </c>
      <c r="KX1" s="898" t="str">
        <f t="shared" si="4"/>
        <v>x</v>
      </c>
      <c r="KY1" s="898" t="str">
        <f t="shared" si="4"/>
        <v>x</v>
      </c>
      <c r="KZ1" s="898" t="str">
        <f t="shared" si="4"/>
        <v>x</v>
      </c>
      <c r="LA1" s="898" t="str">
        <f t="shared" si="4"/>
        <v>x</v>
      </c>
      <c r="LB1" s="898" t="str">
        <f t="shared" si="4"/>
        <v>x</v>
      </c>
      <c r="LC1" s="898" t="str">
        <f t="shared" si="4"/>
        <v>x</v>
      </c>
      <c r="LD1" s="898" t="str">
        <f t="shared" si="4"/>
        <v>x</v>
      </c>
      <c r="LE1" s="898" t="str">
        <f t="shared" si="4"/>
        <v>x</v>
      </c>
      <c r="LF1" s="898" t="str">
        <f t="shared" si="4"/>
        <v>x</v>
      </c>
      <c r="LG1" s="898" t="str">
        <f t="shared" si="4"/>
        <v>x</v>
      </c>
      <c r="LH1" s="898" t="str">
        <f t="shared" si="4"/>
        <v>x</v>
      </c>
      <c r="LI1" s="898" t="str">
        <f t="shared" si="4"/>
        <v>x</v>
      </c>
      <c r="LJ1" s="898" t="str">
        <f t="shared" si="4"/>
        <v>x</v>
      </c>
      <c r="LK1" s="898" t="str">
        <f t="shared" si="4"/>
        <v>x</v>
      </c>
      <c r="LL1" s="898" t="str">
        <f t="shared" si="4"/>
        <v>x</v>
      </c>
      <c r="LM1" s="898" t="str">
        <f t="shared" ref="LM1:NX1" si="5">LM3</f>
        <v>x</v>
      </c>
      <c r="LN1" s="898" t="str">
        <f t="shared" si="5"/>
        <v>x</v>
      </c>
      <c r="LO1" s="898" t="str">
        <f t="shared" si="5"/>
        <v>x</v>
      </c>
      <c r="LP1" s="898" t="str">
        <f t="shared" si="5"/>
        <v>x</v>
      </c>
      <c r="LQ1" s="898" t="str">
        <f t="shared" si="5"/>
        <v>x</v>
      </c>
      <c r="LR1" s="898" t="str">
        <f t="shared" si="5"/>
        <v>x</v>
      </c>
      <c r="LS1" s="898" t="str">
        <f t="shared" si="5"/>
        <v>x</v>
      </c>
      <c r="LT1" s="898" t="str">
        <f t="shared" si="5"/>
        <v>x</v>
      </c>
      <c r="LU1" s="898" t="str">
        <f t="shared" si="5"/>
        <v>x</v>
      </c>
      <c r="LV1" s="898" t="str">
        <f t="shared" si="5"/>
        <v>x</v>
      </c>
      <c r="LW1" s="898" t="str">
        <f t="shared" si="5"/>
        <v>x</v>
      </c>
      <c r="LX1" s="898" t="str">
        <f t="shared" si="5"/>
        <v>x</v>
      </c>
      <c r="LY1" s="898" t="str">
        <f t="shared" si="5"/>
        <v>x</v>
      </c>
      <c r="LZ1" s="898" t="str">
        <f t="shared" si="5"/>
        <v>x</v>
      </c>
      <c r="MA1" s="898" t="str">
        <f t="shared" si="5"/>
        <v>x</v>
      </c>
      <c r="MB1" s="898" t="str">
        <f t="shared" si="5"/>
        <v>x</v>
      </c>
      <c r="MC1" s="898" t="str">
        <f t="shared" si="5"/>
        <v>x</v>
      </c>
      <c r="MD1" s="898" t="str">
        <f t="shared" si="5"/>
        <v>x</v>
      </c>
      <c r="ME1" s="898" t="str">
        <f t="shared" si="5"/>
        <v>x</v>
      </c>
      <c r="MF1" s="898" t="str">
        <f t="shared" si="5"/>
        <v>x</v>
      </c>
      <c r="MG1" s="898" t="str">
        <f t="shared" si="5"/>
        <v>x</v>
      </c>
      <c r="MH1" s="898" t="str">
        <f t="shared" si="5"/>
        <v>x</v>
      </c>
      <c r="MI1" s="898" t="str">
        <f t="shared" si="5"/>
        <v>x</v>
      </c>
      <c r="MJ1" s="898" t="str">
        <f t="shared" si="5"/>
        <v>x</v>
      </c>
      <c r="MK1" s="898" t="str">
        <f t="shared" si="5"/>
        <v>x</v>
      </c>
      <c r="ML1" s="898" t="str">
        <f t="shared" si="5"/>
        <v>x</v>
      </c>
      <c r="MM1" s="898" t="str">
        <f t="shared" si="5"/>
        <v>x</v>
      </c>
      <c r="MN1" s="898" t="str">
        <f t="shared" si="5"/>
        <v>x</v>
      </c>
      <c r="MO1" s="898" t="str">
        <f t="shared" si="5"/>
        <v>x</v>
      </c>
      <c r="MP1" s="898" t="str">
        <f t="shared" si="5"/>
        <v>x</v>
      </c>
      <c r="MQ1" s="898" t="str">
        <f t="shared" si="5"/>
        <v>x</v>
      </c>
      <c r="MR1" s="898" t="str">
        <f t="shared" si="5"/>
        <v>x</v>
      </c>
      <c r="MS1" s="898" t="str">
        <f t="shared" si="5"/>
        <v>x</v>
      </c>
      <c r="MT1" s="898" t="str">
        <f t="shared" si="5"/>
        <v>x</v>
      </c>
      <c r="MU1" s="898" t="str">
        <f t="shared" si="5"/>
        <v>x</v>
      </c>
      <c r="MV1" s="898" t="str">
        <f t="shared" si="5"/>
        <v>x</v>
      </c>
      <c r="MW1" s="898" t="str">
        <f t="shared" si="5"/>
        <v>x</v>
      </c>
      <c r="MX1" s="898" t="str">
        <f t="shared" si="5"/>
        <v>x</v>
      </c>
      <c r="MY1" s="898" t="str">
        <f t="shared" si="5"/>
        <v>x</v>
      </c>
      <c r="MZ1" s="898" t="str">
        <f t="shared" si="5"/>
        <v>x</v>
      </c>
      <c r="NA1" s="898" t="str">
        <f t="shared" si="5"/>
        <v>x</v>
      </c>
      <c r="NB1" s="898" t="str">
        <f t="shared" si="5"/>
        <v>x</v>
      </c>
      <c r="NC1" s="898" t="str">
        <f t="shared" si="5"/>
        <v>x</v>
      </c>
      <c r="ND1" s="898" t="str">
        <f t="shared" si="5"/>
        <v>x</v>
      </c>
      <c r="NE1" s="898" t="str">
        <f t="shared" si="5"/>
        <v>x</v>
      </c>
      <c r="NF1" s="898" t="str">
        <f t="shared" si="5"/>
        <v>x</v>
      </c>
      <c r="NG1" s="898" t="str">
        <f t="shared" si="5"/>
        <v>x</v>
      </c>
      <c r="NH1" s="898" t="str">
        <f t="shared" si="5"/>
        <v>x</v>
      </c>
      <c r="NI1" s="898" t="str">
        <f t="shared" si="5"/>
        <v>x</v>
      </c>
      <c r="NJ1" s="898" t="str">
        <f t="shared" si="5"/>
        <v>x</v>
      </c>
      <c r="NK1" s="898" t="str">
        <f t="shared" si="5"/>
        <v>x</v>
      </c>
      <c r="NL1" s="898" t="str">
        <f t="shared" si="5"/>
        <v>x</v>
      </c>
      <c r="NM1" s="898" t="str">
        <f t="shared" si="5"/>
        <v>x</v>
      </c>
      <c r="NN1" s="898" t="str">
        <f t="shared" si="5"/>
        <v>x</v>
      </c>
      <c r="NO1" s="898" t="str">
        <f t="shared" si="5"/>
        <v>x</v>
      </c>
      <c r="NP1" s="898" t="str">
        <f t="shared" si="5"/>
        <v>x</v>
      </c>
      <c r="NQ1" s="898" t="str">
        <f t="shared" si="5"/>
        <v>x</v>
      </c>
      <c r="NR1" s="898" t="str">
        <f t="shared" si="5"/>
        <v>x</v>
      </c>
      <c r="NS1" s="898" t="str">
        <f t="shared" si="5"/>
        <v>x</v>
      </c>
      <c r="NT1" s="898" t="str">
        <f t="shared" si="5"/>
        <v>x</v>
      </c>
      <c r="NU1" s="898" t="str">
        <f t="shared" si="5"/>
        <v>x</v>
      </c>
      <c r="NV1" s="898" t="str">
        <f t="shared" si="5"/>
        <v>x</v>
      </c>
      <c r="NW1" s="898" t="str">
        <f t="shared" si="5"/>
        <v>x</v>
      </c>
      <c r="NX1" s="898" t="str">
        <f t="shared" si="5"/>
        <v>x</v>
      </c>
      <c r="NY1" s="898" t="str">
        <f t="shared" ref="NY1:QJ1" si="6">NY3</f>
        <v>x</v>
      </c>
      <c r="NZ1" s="898" t="str">
        <f t="shared" si="6"/>
        <v>x</v>
      </c>
      <c r="OA1" s="898" t="str">
        <f t="shared" si="6"/>
        <v>x</v>
      </c>
      <c r="OB1" s="898" t="str">
        <f t="shared" si="6"/>
        <v>x</v>
      </c>
      <c r="OC1" s="898" t="str">
        <f t="shared" si="6"/>
        <v>x</v>
      </c>
      <c r="OD1" s="898" t="str">
        <f t="shared" si="6"/>
        <v>x</v>
      </c>
      <c r="OE1" s="898" t="str">
        <f t="shared" si="6"/>
        <v>x</v>
      </c>
      <c r="OF1" s="898" t="str">
        <f t="shared" si="6"/>
        <v>x</v>
      </c>
      <c r="OG1" s="898" t="str">
        <f t="shared" si="6"/>
        <v>x</v>
      </c>
      <c r="OH1" s="898" t="str">
        <f t="shared" si="6"/>
        <v>x</v>
      </c>
      <c r="OI1" s="898" t="str">
        <f t="shared" si="6"/>
        <v>x</v>
      </c>
      <c r="OJ1" s="898" t="str">
        <f t="shared" si="6"/>
        <v>x</v>
      </c>
      <c r="OK1" s="898" t="str">
        <f t="shared" si="6"/>
        <v>x</v>
      </c>
      <c r="OL1" s="898" t="str">
        <f t="shared" si="6"/>
        <v>x</v>
      </c>
      <c r="OM1" s="898" t="str">
        <f t="shared" si="6"/>
        <v>x</v>
      </c>
      <c r="ON1" s="898" t="str">
        <f t="shared" si="6"/>
        <v>x</v>
      </c>
      <c r="OO1" s="898" t="str">
        <f t="shared" si="6"/>
        <v>x</v>
      </c>
      <c r="OP1" s="898" t="str">
        <f t="shared" si="6"/>
        <v>x</v>
      </c>
      <c r="OQ1" s="898" t="str">
        <f t="shared" si="6"/>
        <v>x</v>
      </c>
      <c r="OR1" s="898" t="str">
        <f t="shared" si="6"/>
        <v>x</v>
      </c>
      <c r="OS1" s="898" t="str">
        <f t="shared" si="6"/>
        <v>x</v>
      </c>
      <c r="OT1" s="898" t="str">
        <f t="shared" si="6"/>
        <v>x</v>
      </c>
      <c r="OU1" s="898" t="str">
        <f t="shared" si="6"/>
        <v>x</v>
      </c>
      <c r="OV1" s="898" t="str">
        <f t="shared" si="6"/>
        <v>x</v>
      </c>
      <c r="OW1" s="898" t="str">
        <f t="shared" si="6"/>
        <v>x</v>
      </c>
      <c r="OX1" s="898" t="str">
        <f t="shared" si="6"/>
        <v>x</v>
      </c>
      <c r="OY1" s="898" t="str">
        <f t="shared" si="6"/>
        <v>x</v>
      </c>
      <c r="OZ1" s="898" t="str">
        <f t="shared" si="6"/>
        <v>x</v>
      </c>
      <c r="PA1" s="898" t="str">
        <f t="shared" si="6"/>
        <v>x</v>
      </c>
      <c r="PB1" s="898" t="str">
        <f t="shared" si="6"/>
        <v>x</v>
      </c>
      <c r="PC1" s="898" t="str">
        <f t="shared" si="6"/>
        <v>x</v>
      </c>
      <c r="PD1" s="898" t="str">
        <f t="shared" si="6"/>
        <v>x</v>
      </c>
      <c r="PE1" s="898" t="str">
        <f t="shared" si="6"/>
        <v>x</v>
      </c>
      <c r="PF1" s="898" t="str">
        <f t="shared" si="6"/>
        <v>x</v>
      </c>
      <c r="PG1" s="898" t="str">
        <f t="shared" si="6"/>
        <v>x</v>
      </c>
      <c r="PH1" s="898" t="str">
        <f t="shared" si="6"/>
        <v>x</v>
      </c>
      <c r="PI1" s="898" t="str">
        <f t="shared" si="6"/>
        <v>x</v>
      </c>
      <c r="PJ1" s="898" t="str">
        <f t="shared" si="6"/>
        <v>x</v>
      </c>
      <c r="PK1" s="898" t="str">
        <f t="shared" si="6"/>
        <v>x</v>
      </c>
      <c r="PL1" s="898" t="str">
        <f t="shared" si="6"/>
        <v>x</v>
      </c>
      <c r="PM1" s="898" t="str">
        <f t="shared" si="6"/>
        <v>x</v>
      </c>
      <c r="PN1" s="898" t="str">
        <f t="shared" si="6"/>
        <v>x</v>
      </c>
      <c r="PO1" s="898" t="str">
        <f t="shared" si="6"/>
        <v>x</v>
      </c>
      <c r="PP1" s="898" t="str">
        <f t="shared" si="6"/>
        <v>x</v>
      </c>
      <c r="PQ1" s="898" t="str">
        <f t="shared" si="6"/>
        <v>x</v>
      </c>
      <c r="PR1" s="898" t="str">
        <f t="shared" si="6"/>
        <v>x</v>
      </c>
      <c r="PS1" s="898" t="str">
        <f t="shared" si="6"/>
        <v>x</v>
      </c>
      <c r="PT1" s="898" t="str">
        <f t="shared" si="6"/>
        <v>x</v>
      </c>
      <c r="PU1" s="898" t="str">
        <f t="shared" si="6"/>
        <v>x</v>
      </c>
      <c r="PV1" s="898" t="str">
        <f t="shared" si="6"/>
        <v>x</v>
      </c>
      <c r="PW1" s="898" t="str">
        <f t="shared" si="6"/>
        <v>x</v>
      </c>
      <c r="PX1" s="898" t="str">
        <f t="shared" si="6"/>
        <v>x</v>
      </c>
      <c r="PY1" s="898" t="str">
        <f t="shared" si="6"/>
        <v>x</v>
      </c>
      <c r="PZ1" s="898" t="str">
        <f t="shared" si="6"/>
        <v>x</v>
      </c>
      <c r="QA1" s="898" t="str">
        <f t="shared" si="6"/>
        <v>x</v>
      </c>
      <c r="QB1" s="898" t="str">
        <f t="shared" si="6"/>
        <v>x</v>
      </c>
      <c r="QC1" s="898" t="str">
        <f t="shared" si="6"/>
        <v>x</v>
      </c>
      <c r="QD1" s="898" t="str">
        <f t="shared" si="6"/>
        <v>x</v>
      </c>
      <c r="QE1" s="898" t="str">
        <f t="shared" si="6"/>
        <v>x</v>
      </c>
      <c r="QF1" s="898" t="str">
        <f t="shared" si="6"/>
        <v>x</v>
      </c>
      <c r="QG1" s="898" t="str">
        <f t="shared" si="6"/>
        <v>x</v>
      </c>
      <c r="QH1" s="898" t="str">
        <f t="shared" si="6"/>
        <v>x</v>
      </c>
      <c r="QI1" s="898" t="str">
        <f t="shared" si="6"/>
        <v>x</v>
      </c>
      <c r="QJ1" s="898" t="str">
        <f t="shared" si="6"/>
        <v>x</v>
      </c>
      <c r="QK1" s="898" t="str">
        <f t="shared" ref="QK1:SV1" si="7">QK3</f>
        <v>x</v>
      </c>
      <c r="QL1" s="898" t="str">
        <f t="shared" si="7"/>
        <v>x</v>
      </c>
      <c r="QM1" s="898" t="str">
        <f t="shared" si="7"/>
        <v>x</v>
      </c>
      <c r="QN1" s="898" t="str">
        <f t="shared" si="7"/>
        <v>x</v>
      </c>
      <c r="QO1" s="898" t="str">
        <f t="shared" si="7"/>
        <v>x</v>
      </c>
      <c r="QP1" s="898" t="str">
        <f t="shared" si="7"/>
        <v>x</v>
      </c>
      <c r="QQ1" s="898" t="str">
        <f t="shared" si="7"/>
        <v>x</v>
      </c>
      <c r="QR1" s="898" t="str">
        <f t="shared" si="7"/>
        <v>x</v>
      </c>
      <c r="QS1" s="898" t="str">
        <f t="shared" si="7"/>
        <v>x</v>
      </c>
      <c r="QT1" s="898" t="str">
        <f t="shared" si="7"/>
        <v>x</v>
      </c>
      <c r="QU1" s="898" t="str">
        <f t="shared" si="7"/>
        <v>x</v>
      </c>
      <c r="QV1" s="898" t="str">
        <f t="shared" si="7"/>
        <v>x</v>
      </c>
      <c r="QW1" s="898" t="str">
        <f t="shared" si="7"/>
        <v>x</v>
      </c>
      <c r="QX1" s="898" t="str">
        <f t="shared" si="7"/>
        <v>x</v>
      </c>
      <c r="QY1" s="898" t="str">
        <f t="shared" si="7"/>
        <v>x</v>
      </c>
      <c r="QZ1" s="898" t="str">
        <f t="shared" si="7"/>
        <v>x</v>
      </c>
      <c r="RA1" s="898" t="str">
        <f t="shared" si="7"/>
        <v>x</v>
      </c>
      <c r="RB1" s="898" t="str">
        <f t="shared" si="7"/>
        <v>x</v>
      </c>
      <c r="RC1" s="898" t="str">
        <f t="shared" si="7"/>
        <v>x</v>
      </c>
      <c r="RD1" s="898" t="str">
        <f t="shared" si="7"/>
        <v>x</v>
      </c>
      <c r="RE1" s="898" t="str">
        <f t="shared" si="7"/>
        <v>x</v>
      </c>
      <c r="RF1" s="898" t="str">
        <f t="shared" si="7"/>
        <v>x</v>
      </c>
      <c r="RG1" s="898" t="str">
        <f t="shared" si="7"/>
        <v>x</v>
      </c>
      <c r="RH1" s="898" t="str">
        <f t="shared" si="7"/>
        <v>x</v>
      </c>
      <c r="RI1" s="898" t="str">
        <f t="shared" si="7"/>
        <v>x</v>
      </c>
      <c r="RJ1" s="898" t="str">
        <f t="shared" si="7"/>
        <v>x</v>
      </c>
      <c r="RK1" s="898" t="str">
        <f t="shared" si="7"/>
        <v>x</v>
      </c>
      <c r="RL1" s="898" t="str">
        <f t="shared" si="7"/>
        <v>x</v>
      </c>
      <c r="RM1" s="898" t="str">
        <f t="shared" si="7"/>
        <v>x</v>
      </c>
      <c r="RN1" s="898" t="str">
        <f t="shared" si="7"/>
        <v>x</v>
      </c>
      <c r="RO1" s="898" t="str">
        <f t="shared" si="7"/>
        <v>x</v>
      </c>
      <c r="RP1" s="898" t="str">
        <f t="shared" si="7"/>
        <v>x</v>
      </c>
      <c r="RQ1" s="898" t="str">
        <f t="shared" si="7"/>
        <v>x</v>
      </c>
      <c r="RR1" s="898" t="str">
        <f t="shared" si="7"/>
        <v>x</v>
      </c>
      <c r="RS1" s="898" t="str">
        <f t="shared" si="7"/>
        <v>x</v>
      </c>
      <c r="RT1" s="898" t="str">
        <f t="shared" si="7"/>
        <v>x</v>
      </c>
      <c r="RU1" s="898" t="str">
        <f t="shared" si="7"/>
        <v>x</v>
      </c>
      <c r="RV1" s="898" t="str">
        <f t="shared" si="7"/>
        <v>x</v>
      </c>
      <c r="RW1" s="898" t="str">
        <f t="shared" si="7"/>
        <v>x</v>
      </c>
      <c r="RX1" s="898" t="str">
        <f t="shared" si="7"/>
        <v>x</v>
      </c>
      <c r="RY1" s="898" t="str">
        <f t="shared" si="7"/>
        <v>x</v>
      </c>
      <c r="RZ1" s="898" t="str">
        <f t="shared" si="7"/>
        <v>x</v>
      </c>
      <c r="SA1" s="898" t="str">
        <f t="shared" si="7"/>
        <v>x</v>
      </c>
      <c r="SB1" s="898" t="str">
        <f t="shared" si="7"/>
        <v>x</v>
      </c>
      <c r="SC1" s="898" t="str">
        <f t="shared" si="7"/>
        <v>x</v>
      </c>
      <c r="SD1" s="898" t="str">
        <f t="shared" si="7"/>
        <v>x</v>
      </c>
      <c r="SE1" s="898" t="str">
        <f t="shared" si="7"/>
        <v>x</v>
      </c>
      <c r="SF1" s="898" t="str">
        <f t="shared" si="7"/>
        <v>x</v>
      </c>
      <c r="SG1" s="898" t="str">
        <f t="shared" si="7"/>
        <v>x</v>
      </c>
      <c r="SH1" s="898" t="str">
        <f t="shared" si="7"/>
        <v>x</v>
      </c>
      <c r="SI1" s="898" t="str">
        <f t="shared" si="7"/>
        <v>x</v>
      </c>
      <c r="SJ1" s="898" t="str">
        <f t="shared" si="7"/>
        <v>x</v>
      </c>
      <c r="SK1" s="898" t="str">
        <f t="shared" si="7"/>
        <v>x</v>
      </c>
      <c r="SL1" s="898" t="str">
        <f t="shared" si="7"/>
        <v>x</v>
      </c>
      <c r="SM1" s="898" t="str">
        <f t="shared" si="7"/>
        <v>x</v>
      </c>
      <c r="SN1" s="898" t="str">
        <f t="shared" si="7"/>
        <v>x</v>
      </c>
      <c r="SO1" s="898" t="str">
        <f t="shared" si="7"/>
        <v>x</v>
      </c>
      <c r="SP1" s="898" t="str">
        <f t="shared" si="7"/>
        <v>x</v>
      </c>
      <c r="SQ1" s="898" t="str">
        <f t="shared" si="7"/>
        <v>x</v>
      </c>
      <c r="SR1" s="898" t="str">
        <f t="shared" si="7"/>
        <v>x</v>
      </c>
      <c r="SS1" s="898" t="str">
        <f t="shared" si="7"/>
        <v>x</v>
      </c>
      <c r="ST1" s="898" t="str">
        <f t="shared" si="7"/>
        <v>x</v>
      </c>
      <c r="SU1" s="898" t="str">
        <f t="shared" si="7"/>
        <v>x</v>
      </c>
      <c r="SV1" s="898" t="str">
        <f t="shared" si="7"/>
        <v>x</v>
      </c>
      <c r="SW1" s="898" t="str">
        <f t="shared" ref="SW1:VH1" si="8">SW3</f>
        <v>x</v>
      </c>
      <c r="SX1" s="898" t="str">
        <f t="shared" si="8"/>
        <v>x</v>
      </c>
      <c r="SY1" s="898" t="str">
        <f t="shared" si="8"/>
        <v>x</v>
      </c>
      <c r="SZ1" s="898" t="str">
        <f t="shared" si="8"/>
        <v>x</v>
      </c>
      <c r="TA1" s="898" t="str">
        <f t="shared" si="8"/>
        <v>x</v>
      </c>
      <c r="TB1" s="898" t="str">
        <f t="shared" si="8"/>
        <v>x</v>
      </c>
      <c r="TC1" s="898" t="str">
        <f t="shared" si="8"/>
        <v>x</v>
      </c>
      <c r="TD1" s="898" t="str">
        <f t="shared" si="8"/>
        <v>x</v>
      </c>
      <c r="TE1" s="898" t="str">
        <f t="shared" si="8"/>
        <v>x</v>
      </c>
      <c r="TF1" s="898" t="str">
        <f t="shared" si="8"/>
        <v>x</v>
      </c>
      <c r="TG1" s="898" t="str">
        <f t="shared" si="8"/>
        <v>x</v>
      </c>
      <c r="TH1" s="898" t="str">
        <f t="shared" si="8"/>
        <v>x</v>
      </c>
      <c r="TI1" s="898" t="str">
        <f t="shared" si="8"/>
        <v>x</v>
      </c>
      <c r="TJ1" s="898" t="str">
        <f t="shared" si="8"/>
        <v>x</v>
      </c>
      <c r="TK1" s="898" t="str">
        <f t="shared" si="8"/>
        <v>x</v>
      </c>
      <c r="TL1" s="898" t="str">
        <f t="shared" si="8"/>
        <v>x</v>
      </c>
      <c r="TM1" s="898" t="str">
        <f t="shared" si="8"/>
        <v>x</v>
      </c>
      <c r="TN1" s="898" t="str">
        <f t="shared" si="8"/>
        <v>x</v>
      </c>
      <c r="TO1" s="898" t="str">
        <f t="shared" si="8"/>
        <v>x</v>
      </c>
      <c r="TP1" s="898" t="str">
        <f t="shared" si="8"/>
        <v>x</v>
      </c>
      <c r="TQ1" s="898" t="str">
        <f t="shared" si="8"/>
        <v>x</v>
      </c>
      <c r="TR1" s="898" t="str">
        <f t="shared" si="8"/>
        <v>x</v>
      </c>
      <c r="TS1" s="898" t="str">
        <f t="shared" si="8"/>
        <v>x</v>
      </c>
      <c r="TT1" s="898" t="str">
        <f t="shared" si="8"/>
        <v>x</v>
      </c>
      <c r="TU1" s="898" t="str">
        <f t="shared" si="8"/>
        <v>x</v>
      </c>
      <c r="TV1" s="898" t="str">
        <f t="shared" si="8"/>
        <v>x</v>
      </c>
      <c r="TW1" s="898" t="str">
        <f t="shared" si="8"/>
        <v>x</v>
      </c>
      <c r="TX1" s="898" t="str">
        <f t="shared" si="8"/>
        <v>x</v>
      </c>
      <c r="TY1" s="898" t="str">
        <f t="shared" si="8"/>
        <v>x</v>
      </c>
      <c r="TZ1" s="898" t="str">
        <f t="shared" si="8"/>
        <v>x</v>
      </c>
      <c r="UA1" s="898" t="str">
        <f t="shared" si="8"/>
        <v>x</v>
      </c>
      <c r="UB1" s="898" t="str">
        <f t="shared" si="8"/>
        <v>x</v>
      </c>
      <c r="UC1" s="898" t="str">
        <f t="shared" si="8"/>
        <v>x</v>
      </c>
      <c r="UD1" s="898" t="str">
        <f t="shared" si="8"/>
        <v>x</v>
      </c>
      <c r="UE1" s="898" t="str">
        <f t="shared" si="8"/>
        <v>x</v>
      </c>
      <c r="UF1" s="898" t="str">
        <f t="shared" si="8"/>
        <v>x</v>
      </c>
      <c r="UG1" s="898" t="str">
        <f t="shared" si="8"/>
        <v>x</v>
      </c>
      <c r="UH1" s="898" t="str">
        <f t="shared" si="8"/>
        <v>x</v>
      </c>
      <c r="UI1" s="898" t="str">
        <f t="shared" si="8"/>
        <v>x</v>
      </c>
      <c r="UJ1" s="898" t="str">
        <f t="shared" si="8"/>
        <v>x</v>
      </c>
      <c r="UK1" s="898" t="str">
        <f t="shared" si="8"/>
        <v>x</v>
      </c>
      <c r="UL1" s="898" t="str">
        <f t="shared" si="8"/>
        <v>x</v>
      </c>
      <c r="UM1" s="898" t="str">
        <f t="shared" si="8"/>
        <v>x</v>
      </c>
      <c r="UN1" s="898" t="str">
        <f t="shared" si="8"/>
        <v>x</v>
      </c>
      <c r="UO1" s="898" t="str">
        <f t="shared" si="8"/>
        <v>x</v>
      </c>
      <c r="UP1" s="898" t="str">
        <f t="shared" si="8"/>
        <v>x</v>
      </c>
      <c r="UQ1" s="898" t="str">
        <f t="shared" si="8"/>
        <v>x</v>
      </c>
      <c r="UR1" s="898" t="str">
        <f t="shared" si="8"/>
        <v>x</v>
      </c>
      <c r="US1" s="898" t="str">
        <f t="shared" si="8"/>
        <v>x</v>
      </c>
      <c r="UT1" s="898" t="str">
        <f t="shared" si="8"/>
        <v>x</v>
      </c>
      <c r="UU1" s="898" t="str">
        <f t="shared" si="8"/>
        <v>x</v>
      </c>
      <c r="UV1" s="898" t="str">
        <f t="shared" si="8"/>
        <v>x</v>
      </c>
      <c r="UW1" s="898" t="str">
        <f t="shared" si="8"/>
        <v>x</v>
      </c>
      <c r="UX1" s="898" t="str">
        <f t="shared" si="8"/>
        <v>x</v>
      </c>
      <c r="UY1" s="898" t="str">
        <f t="shared" si="8"/>
        <v>x</v>
      </c>
      <c r="UZ1" s="898" t="str">
        <f t="shared" si="8"/>
        <v>x</v>
      </c>
      <c r="VA1" s="898" t="str">
        <f t="shared" si="8"/>
        <v>x</v>
      </c>
      <c r="VB1" s="898" t="str">
        <f t="shared" si="8"/>
        <v>x</v>
      </c>
      <c r="VC1" s="898" t="str">
        <f t="shared" si="8"/>
        <v>x</v>
      </c>
      <c r="VD1" s="898" t="str">
        <f t="shared" si="8"/>
        <v>x</v>
      </c>
      <c r="VE1" s="898" t="str">
        <f t="shared" si="8"/>
        <v>x</v>
      </c>
      <c r="VF1" s="898" t="str">
        <f t="shared" si="8"/>
        <v>x</v>
      </c>
      <c r="VG1" s="898" t="str">
        <f t="shared" si="8"/>
        <v>x</v>
      </c>
      <c r="VH1" s="898" t="str">
        <f t="shared" si="8"/>
        <v>x</v>
      </c>
      <c r="VI1" s="898" t="str">
        <f t="shared" ref="VI1:XT1" si="9">VI3</f>
        <v>x</v>
      </c>
      <c r="VJ1" s="898" t="str">
        <f t="shared" si="9"/>
        <v>x</v>
      </c>
      <c r="VK1" s="898" t="str">
        <f t="shared" si="9"/>
        <v>x</v>
      </c>
      <c r="VL1" s="898" t="str">
        <f t="shared" si="9"/>
        <v>x</v>
      </c>
      <c r="VM1" s="898" t="str">
        <f t="shared" si="9"/>
        <v>x</v>
      </c>
      <c r="VN1" s="898" t="str">
        <f t="shared" si="9"/>
        <v>x</v>
      </c>
      <c r="VO1" s="898" t="str">
        <f t="shared" si="9"/>
        <v>x</v>
      </c>
      <c r="VP1" s="898" t="str">
        <f t="shared" si="9"/>
        <v>x</v>
      </c>
      <c r="VQ1" s="898" t="str">
        <f t="shared" si="9"/>
        <v>x</v>
      </c>
      <c r="VR1" s="898" t="str">
        <f t="shared" si="9"/>
        <v>x</v>
      </c>
      <c r="VS1" s="898" t="str">
        <f t="shared" si="9"/>
        <v>x</v>
      </c>
      <c r="VT1" s="898" t="str">
        <f t="shared" si="9"/>
        <v>x</v>
      </c>
      <c r="VU1" s="898" t="str">
        <f t="shared" si="9"/>
        <v>x</v>
      </c>
      <c r="VV1" s="898" t="str">
        <f t="shared" si="9"/>
        <v>x</v>
      </c>
      <c r="VW1" s="898" t="str">
        <f t="shared" si="9"/>
        <v>x</v>
      </c>
      <c r="VX1" s="898" t="str">
        <f t="shared" si="9"/>
        <v>x</v>
      </c>
      <c r="VY1" s="898" t="str">
        <f t="shared" si="9"/>
        <v>x</v>
      </c>
      <c r="VZ1" s="898" t="str">
        <f t="shared" si="9"/>
        <v>x</v>
      </c>
      <c r="WA1" s="898" t="str">
        <f t="shared" si="9"/>
        <v>x</v>
      </c>
      <c r="WB1" s="898" t="str">
        <f t="shared" si="9"/>
        <v>x</v>
      </c>
      <c r="WC1" s="898" t="str">
        <f t="shared" si="9"/>
        <v>x</v>
      </c>
      <c r="WD1" s="898" t="str">
        <f t="shared" si="9"/>
        <v>x</v>
      </c>
      <c r="WE1" s="898" t="str">
        <f t="shared" si="9"/>
        <v>x</v>
      </c>
      <c r="WF1" s="898" t="str">
        <f t="shared" si="9"/>
        <v>x</v>
      </c>
      <c r="WG1" s="898" t="str">
        <f t="shared" si="9"/>
        <v>x</v>
      </c>
      <c r="WH1" s="898" t="str">
        <f t="shared" si="9"/>
        <v>x</v>
      </c>
      <c r="WI1" s="898" t="str">
        <f t="shared" si="9"/>
        <v>x</v>
      </c>
      <c r="WJ1" s="898" t="str">
        <f t="shared" si="9"/>
        <v>x</v>
      </c>
      <c r="WK1" s="898" t="str">
        <f t="shared" si="9"/>
        <v>x</v>
      </c>
      <c r="WL1" s="898" t="str">
        <f t="shared" si="9"/>
        <v>x</v>
      </c>
      <c r="WM1" s="898" t="str">
        <f t="shared" si="9"/>
        <v>x</v>
      </c>
      <c r="WN1" s="898" t="str">
        <f t="shared" si="9"/>
        <v>x</v>
      </c>
      <c r="WO1" s="898" t="str">
        <f t="shared" si="9"/>
        <v>x</v>
      </c>
      <c r="WP1" s="898" t="str">
        <f t="shared" si="9"/>
        <v>x</v>
      </c>
      <c r="WQ1" s="898" t="str">
        <f t="shared" si="9"/>
        <v>x</v>
      </c>
      <c r="WR1" s="898" t="str">
        <f t="shared" si="9"/>
        <v>x</v>
      </c>
      <c r="WS1" s="898" t="str">
        <f t="shared" si="9"/>
        <v>x</v>
      </c>
      <c r="WT1" s="898" t="str">
        <f t="shared" si="9"/>
        <v>x</v>
      </c>
      <c r="WU1" s="898" t="str">
        <f t="shared" si="9"/>
        <v>x</v>
      </c>
      <c r="WV1" s="898" t="str">
        <f t="shared" si="9"/>
        <v>x</v>
      </c>
      <c r="WW1" s="898" t="str">
        <f t="shared" si="9"/>
        <v>x</v>
      </c>
      <c r="WX1" s="898" t="str">
        <f t="shared" si="9"/>
        <v>x</v>
      </c>
      <c r="WY1" s="898" t="str">
        <f t="shared" si="9"/>
        <v>x</v>
      </c>
      <c r="WZ1" s="898" t="str">
        <f t="shared" si="9"/>
        <v>x</v>
      </c>
      <c r="XA1" s="898" t="str">
        <f t="shared" si="9"/>
        <v>x</v>
      </c>
      <c r="XB1" s="898" t="str">
        <f t="shared" si="9"/>
        <v>x</v>
      </c>
      <c r="XC1" s="898" t="str">
        <f t="shared" si="9"/>
        <v>x</v>
      </c>
      <c r="XD1" s="898" t="str">
        <f t="shared" si="9"/>
        <v>x</v>
      </c>
      <c r="XE1" s="898" t="str">
        <f t="shared" si="9"/>
        <v>x</v>
      </c>
      <c r="XF1" s="898" t="str">
        <f t="shared" si="9"/>
        <v>x</v>
      </c>
      <c r="XG1" s="898" t="str">
        <f t="shared" si="9"/>
        <v>x</v>
      </c>
      <c r="XH1" s="898" t="str">
        <f t="shared" si="9"/>
        <v>x</v>
      </c>
      <c r="XI1" s="898" t="str">
        <f t="shared" si="9"/>
        <v>x</v>
      </c>
      <c r="XJ1" s="898" t="str">
        <f t="shared" si="9"/>
        <v>x</v>
      </c>
      <c r="XK1" s="898" t="str">
        <f t="shared" si="9"/>
        <v>x</v>
      </c>
      <c r="XL1" s="898" t="str">
        <f t="shared" si="9"/>
        <v>x</v>
      </c>
      <c r="XM1" s="898" t="str">
        <f t="shared" si="9"/>
        <v>x</v>
      </c>
      <c r="XN1" s="898" t="str">
        <f t="shared" si="9"/>
        <v>x</v>
      </c>
      <c r="XO1" s="898" t="str">
        <f t="shared" si="9"/>
        <v>x</v>
      </c>
      <c r="XP1" s="898" t="str">
        <f t="shared" si="9"/>
        <v>x</v>
      </c>
      <c r="XQ1" s="898" t="str">
        <f t="shared" si="9"/>
        <v>x</v>
      </c>
      <c r="XR1" s="898" t="str">
        <f t="shared" si="9"/>
        <v>x</v>
      </c>
      <c r="XS1" s="898" t="str">
        <f t="shared" si="9"/>
        <v>x</v>
      </c>
      <c r="XT1" s="898" t="str">
        <f t="shared" si="9"/>
        <v>x</v>
      </c>
      <c r="XU1" s="898" t="str">
        <f t="shared" ref="XU1:ZZ1" si="10">XU3</f>
        <v>x</v>
      </c>
      <c r="XV1" s="898" t="str">
        <f t="shared" si="10"/>
        <v>x</v>
      </c>
      <c r="XW1" s="898" t="str">
        <f t="shared" si="10"/>
        <v>x</v>
      </c>
      <c r="XX1" s="898" t="str">
        <f t="shared" si="10"/>
        <v>x</v>
      </c>
      <c r="XY1" s="898" t="str">
        <f t="shared" si="10"/>
        <v>x</v>
      </c>
      <c r="XZ1" s="898" t="str">
        <f t="shared" si="10"/>
        <v>x</v>
      </c>
      <c r="YA1" s="898" t="str">
        <f t="shared" si="10"/>
        <v>x</v>
      </c>
      <c r="YB1" s="898" t="str">
        <f t="shared" si="10"/>
        <v>x</v>
      </c>
      <c r="YC1" s="898" t="str">
        <f t="shared" si="10"/>
        <v>x</v>
      </c>
      <c r="YD1" s="898" t="str">
        <f t="shared" si="10"/>
        <v>x</v>
      </c>
      <c r="YE1" s="898" t="str">
        <f t="shared" si="10"/>
        <v>x</v>
      </c>
      <c r="YF1" s="898" t="str">
        <f t="shared" si="10"/>
        <v>x</v>
      </c>
      <c r="YG1" s="898" t="str">
        <f t="shared" si="10"/>
        <v>x</v>
      </c>
      <c r="YH1" s="898" t="str">
        <f t="shared" si="10"/>
        <v>x</v>
      </c>
      <c r="YI1" s="898" t="str">
        <f t="shared" si="10"/>
        <v>x</v>
      </c>
      <c r="YJ1" s="898" t="str">
        <f t="shared" si="10"/>
        <v>x</v>
      </c>
      <c r="YK1" s="898" t="str">
        <f t="shared" si="10"/>
        <v>x</v>
      </c>
      <c r="YL1" s="898" t="str">
        <f t="shared" si="10"/>
        <v>x</v>
      </c>
      <c r="YM1" s="898" t="str">
        <f t="shared" si="10"/>
        <v>x</v>
      </c>
      <c r="YN1" s="898" t="str">
        <f t="shared" si="10"/>
        <v>x</v>
      </c>
      <c r="YO1" s="898" t="str">
        <f t="shared" si="10"/>
        <v>x</v>
      </c>
      <c r="YP1" s="898" t="str">
        <f t="shared" si="10"/>
        <v>x</v>
      </c>
      <c r="YQ1" s="898" t="str">
        <f t="shared" si="10"/>
        <v>x</v>
      </c>
      <c r="YR1" s="898" t="str">
        <f t="shared" si="10"/>
        <v>x</v>
      </c>
      <c r="YS1" s="898" t="str">
        <f t="shared" si="10"/>
        <v>x</v>
      </c>
      <c r="YT1" s="898" t="str">
        <f t="shared" si="10"/>
        <v>x</v>
      </c>
      <c r="YU1" s="898" t="str">
        <f t="shared" si="10"/>
        <v>x</v>
      </c>
      <c r="YV1" s="898" t="str">
        <f t="shared" si="10"/>
        <v>x</v>
      </c>
      <c r="YW1" s="898" t="str">
        <f t="shared" si="10"/>
        <v>x</v>
      </c>
      <c r="YX1" s="898" t="str">
        <f t="shared" si="10"/>
        <v>x</v>
      </c>
      <c r="YY1" s="898" t="str">
        <f t="shared" si="10"/>
        <v>x</v>
      </c>
      <c r="YZ1" s="898" t="str">
        <f t="shared" si="10"/>
        <v>x</v>
      </c>
      <c r="ZA1" s="898" t="str">
        <f t="shared" si="10"/>
        <v>x</v>
      </c>
      <c r="ZB1" s="898" t="str">
        <f t="shared" si="10"/>
        <v>x</v>
      </c>
      <c r="ZC1" s="898" t="str">
        <f t="shared" si="10"/>
        <v>x</v>
      </c>
      <c r="ZD1" s="898" t="str">
        <f t="shared" si="10"/>
        <v>x</v>
      </c>
      <c r="ZE1" s="898" t="str">
        <f t="shared" si="10"/>
        <v>x</v>
      </c>
      <c r="ZF1" s="898" t="str">
        <f t="shared" si="10"/>
        <v>x</v>
      </c>
      <c r="ZG1" s="898" t="str">
        <f t="shared" si="10"/>
        <v>x</v>
      </c>
      <c r="ZH1" s="898" t="str">
        <f t="shared" si="10"/>
        <v>x</v>
      </c>
      <c r="ZI1" s="898" t="str">
        <f t="shared" si="10"/>
        <v>x</v>
      </c>
      <c r="ZJ1" s="898" t="str">
        <f t="shared" si="10"/>
        <v>x</v>
      </c>
      <c r="ZK1" s="898" t="str">
        <f t="shared" si="10"/>
        <v>x</v>
      </c>
      <c r="ZL1" s="898" t="str">
        <f t="shared" si="10"/>
        <v>x</v>
      </c>
      <c r="ZM1" s="898" t="str">
        <f t="shared" si="10"/>
        <v>x</v>
      </c>
      <c r="ZN1" s="898" t="str">
        <f t="shared" si="10"/>
        <v>x</v>
      </c>
      <c r="ZO1" s="898" t="str">
        <f t="shared" si="10"/>
        <v>x</v>
      </c>
      <c r="ZP1" s="898" t="str">
        <f t="shared" si="10"/>
        <v>x</v>
      </c>
      <c r="ZQ1" s="898" t="str">
        <f t="shared" si="10"/>
        <v>x</v>
      </c>
      <c r="ZR1" s="898" t="str">
        <f t="shared" si="10"/>
        <v>x</v>
      </c>
      <c r="ZS1" s="898" t="str">
        <f t="shared" si="10"/>
        <v>x</v>
      </c>
      <c r="ZT1" s="898" t="str">
        <f t="shared" si="10"/>
        <v>x</v>
      </c>
      <c r="ZU1" s="898" t="str">
        <f t="shared" si="10"/>
        <v>x</v>
      </c>
      <c r="ZV1" s="898" t="str">
        <f t="shared" si="10"/>
        <v>x</v>
      </c>
      <c r="ZW1" s="898" t="str">
        <f t="shared" si="10"/>
        <v>x</v>
      </c>
      <c r="ZX1" s="898" t="str">
        <f t="shared" si="10"/>
        <v>x</v>
      </c>
      <c r="ZY1" s="898" t="str">
        <f t="shared" si="10"/>
        <v>x</v>
      </c>
      <c r="ZZ1" s="898" t="str">
        <f t="shared" si="10"/>
        <v>x</v>
      </c>
    </row>
    <row r="2" spans="1:702" s="353" customFormat="1" ht="14.25" customHeight="1" thickBot="1" x14ac:dyDescent="0.25">
      <c r="A2" s="253">
        <f>HLOOKUP($A$3,$D$1:$ZZ$2,2,FALSE)</f>
        <v>18</v>
      </c>
      <c r="B2" s="653">
        <f>IF(B3="x",#N/A,IF(B3=0,#N/A,HLOOKUP($B$3,$D$1:$ZZ$2,2,FALSE)))</f>
        <v>18</v>
      </c>
      <c r="C2" s="380" t="s">
        <v>189</v>
      </c>
      <c r="D2" s="353">
        <v>1</v>
      </c>
      <c r="E2" s="353">
        <v>2</v>
      </c>
      <c r="F2" s="353">
        <v>3</v>
      </c>
      <c r="G2" s="353">
        <v>4</v>
      </c>
      <c r="H2" s="353">
        <v>5</v>
      </c>
      <c r="I2" s="353">
        <v>6</v>
      </c>
      <c r="J2" s="353">
        <v>7</v>
      </c>
      <c r="K2" s="353">
        <v>8</v>
      </c>
      <c r="L2" s="353">
        <v>9</v>
      </c>
      <c r="M2" s="353">
        <v>10</v>
      </c>
      <c r="N2" s="353">
        <v>11</v>
      </c>
      <c r="O2" s="353">
        <v>12</v>
      </c>
      <c r="P2" s="353">
        <v>13</v>
      </c>
      <c r="Q2" s="353">
        <v>14</v>
      </c>
      <c r="R2" s="353">
        <v>15</v>
      </c>
      <c r="S2" s="353">
        <v>16</v>
      </c>
      <c r="T2" s="353">
        <v>17</v>
      </c>
      <c r="U2" s="353">
        <v>18</v>
      </c>
      <c r="V2" s="353">
        <v>19</v>
      </c>
      <c r="W2" s="353">
        <v>20</v>
      </c>
      <c r="X2" s="353">
        <v>21</v>
      </c>
      <c r="Y2" s="353">
        <v>22</v>
      </c>
      <c r="Z2" s="353">
        <v>23</v>
      </c>
      <c r="AA2" s="353">
        <v>24</v>
      </c>
      <c r="AB2" s="353">
        <v>25</v>
      </c>
      <c r="AC2" s="353">
        <v>26</v>
      </c>
      <c r="AD2" s="353">
        <v>27</v>
      </c>
      <c r="AE2" s="353">
        <v>28</v>
      </c>
      <c r="AF2" s="353">
        <v>29</v>
      </c>
      <c r="AG2" s="353">
        <v>30</v>
      </c>
      <c r="AH2" s="353">
        <v>31</v>
      </c>
      <c r="AI2" s="353">
        <v>32</v>
      </c>
      <c r="AJ2" s="353">
        <v>33</v>
      </c>
      <c r="AK2" s="353">
        <v>34</v>
      </c>
      <c r="AL2" s="353">
        <v>35</v>
      </c>
      <c r="AM2" s="353">
        <v>36</v>
      </c>
      <c r="AN2" s="353">
        <v>37</v>
      </c>
      <c r="AO2" s="353">
        <v>38</v>
      </c>
      <c r="AP2" s="353">
        <v>39</v>
      </c>
      <c r="AQ2" s="353">
        <v>40</v>
      </c>
      <c r="AR2" s="353">
        <v>41</v>
      </c>
      <c r="AS2" s="353">
        <v>42</v>
      </c>
      <c r="AT2" s="353">
        <v>43</v>
      </c>
      <c r="AU2" s="353">
        <v>44</v>
      </c>
      <c r="AV2" s="353">
        <v>45</v>
      </c>
      <c r="AW2" s="353">
        <v>46</v>
      </c>
      <c r="AX2" s="353">
        <v>47</v>
      </c>
      <c r="AY2" s="353">
        <v>48</v>
      </c>
      <c r="AZ2" s="353">
        <v>49</v>
      </c>
      <c r="BA2" s="353">
        <v>50</v>
      </c>
      <c r="BB2" s="353">
        <v>51</v>
      </c>
      <c r="BC2" s="353">
        <v>52</v>
      </c>
      <c r="BD2" s="353">
        <v>53</v>
      </c>
      <c r="BE2" s="353">
        <v>54</v>
      </c>
      <c r="BF2" s="353">
        <v>55</v>
      </c>
      <c r="BG2" s="353">
        <v>56</v>
      </c>
      <c r="BH2" s="353">
        <v>57</v>
      </c>
      <c r="BI2" s="353">
        <v>58</v>
      </c>
      <c r="BJ2" s="353">
        <v>59</v>
      </c>
      <c r="BK2" s="353">
        <v>60</v>
      </c>
      <c r="BL2" s="353">
        <v>61</v>
      </c>
      <c r="BM2" s="353">
        <v>62</v>
      </c>
      <c r="BN2" s="353">
        <v>63</v>
      </c>
      <c r="BO2" s="353">
        <v>64</v>
      </c>
      <c r="BP2" s="353">
        <v>65</v>
      </c>
      <c r="BQ2" s="353">
        <v>66</v>
      </c>
      <c r="BR2" s="353">
        <v>67</v>
      </c>
      <c r="BS2" s="353">
        <v>68</v>
      </c>
      <c r="BT2" s="353">
        <v>69</v>
      </c>
      <c r="BU2" s="353">
        <v>70</v>
      </c>
      <c r="BV2" s="353">
        <v>71</v>
      </c>
      <c r="BW2" s="353">
        <v>72</v>
      </c>
      <c r="BX2" s="353">
        <v>73</v>
      </c>
      <c r="BY2" s="353">
        <v>74</v>
      </c>
      <c r="BZ2" s="353">
        <v>75</v>
      </c>
      <c r="CA2" s="353">
        <v>76</v>
      </c>
      <c r="CB2" s="353">
        <v>77</v>
      </c>
      <c r="CC2" s="353">
        <v>78</v>
      </c>
      <c r="CD2" s="353">
        <v>79</v>
      </c>
      <c r="CE2" s="353">
        <v>80</v>
      </c>
      <c r="CF2" s="353">
        <v>81</v>
      </c>
      <c r="CG2" s="353">
        <v>82</v>
      </c>
      <c r="CH2" s="353">
        <v>83</v>
      </c>
      <c r="CI2" s="353">
        <v>84</v>
      </c>
      <c r="CJ2" s="353">
        <v>85</v>
      </c>
      <c r="CK2" s="353">
        <v>86</v>
      </c>
      <c r="CL2" s="353">
        <v>87</v>
      </c>
      <c r="CM2" s="353">
        <v>88</v>
      </c>
      <c r="CN2" s="353">
        <v>89</v>
      </c>
      <c r="CO2" s="353">
        <v>90</v>
      </c>
      <c r="CP2" s="353">
        <v>91</v>
      </c>
      <c r="CQ2" s="353">
        <v>92</v>
      </c>
      <c r="CR2" s="353">
        <v>93</v>
      </c>
      <c r="CS2" s="353">
        <v>94</v>
      </c>
      <c r="CT2" s="353">
        <v>95</v>
      </c>
      <c r="CU2" s="353">
        <v>96</v>
      </c>
      <c r="CV2" s="353">
        <v>97</v>
      </c>
      <c r="CW2" s="353">
        <v>98</v>
      </c>
      <c r="CX2" s="353">
        <v>99</v>
      </c>
      <c r="CY2" s="353">
        <v>100</v>
      </c>
      <c r="CZ2" s="353">
        <v>101</v>
      </c>
      <c r="DA2" s="353">
        <v>102</v>
      </c>
      <c r="DB2" s="353">
        <v>103</v>
      </c>
      <c r="DC2" s="353">
        <v>104</v>
      </c>
      <c r="DD2" s="353">
        <v>105</v>
      </c>
      <c r="DE2" s="353">
        <v>106</v>
      </c>
      <c r="DF2" s="353">
        <v>107</v>
      </c>
      <c r="DG2" s="353">
        <v>108</v>
      </c>
      <c r="DH2" s="353">
        <v>109</v>
      </c>
      <c r="DI2" s="353">
        <v>110</v>
      </c>
      <c r="DJ2" s="353">
        <v>111</v>
      </c>
      <c r="DK2" s="353">
        <v>112</v>
      </c>
      <c r="DL2" s="353">
        <v>113</v>
      </c>
      <c r="DM2" s="353">
        <v>114</v>
      </c>
      <c r="DN2" s="353">
        <v>115</v>
      </c>
      <c r="DO2" s="353">
        <v>116</v>
      </c>
      <c r="DP2" s="353">
        <v>117</v>
      </c>
      <c r="DQ2" s="353">
        <v>118</v>
      </c>
      <c r="DR2" s="353">
        <v>119</v>
      </c>
      <c r="DS2" s="353">
        <v>120</v>
      </c>
      <c r="DT2" s="353">
        <v>121</v>
      </c>
      <c r="DU2" s="353">
        <v>122</v>
      </c>
      <c r="DV2" s="353">
        <v>123</v>
      </c>
      <c r="DW2" s="353">
        <v>124</v>
      </c>
      <c r="DX2" s="353">
        <v>125</v>
      </c>
      <c r="DY2" s="353">
        <v>126</v>
      </c>
      <c r="DZ2" s="353">
        <v>127</v>
      </c>
      <c r="EA2" s="353">
        <v>128</v>
      </c>
      <c r="EB2" s="353">
        <v>129</v>
      </c>
      <c r="EC2" s="353">
        <v>130</v>
      </c>
      <c r="ED2" s="353">
        <v>131</v>
      </c>
      <c r="EE2" s="353">
        <v>132</v>
      </c>
      <c r="EF2" s="353">
        <v>133</v>
      </c>
      <c r="EG2" s="353">
        <v>134</v>
      </c>
      <c r="EH2" s="353">
        <v>135</v>
      </c>
      <c r="EI2" s="353">
        <v>136</v>
      </c>
      <c r="EJ2" s="353">
        <v>137</v>
      </c>
      <c r="EK2" s="353">
        <v>138</v>
      </c>
      <c r="EL2" s="353">
        <v>139</v>
      </c>
      <c r="EM2" s="353">
        <v>140</v>
      </c>
      <c r="EN2" s="353">
        <v>141</v>
      </c>
      <c r="EO2" s="353">
        <v>142</v>
      </c>
      <c r="EP2" s="353">
        <v>143</v>
      </c>
      <c r="EQ2" s="353">
        <v>144</v>
      </c>
      <c r="ER2" s="353">
        <v>145</v>
      </c>
      <c r="ES2" s="353">
        <v>146</v>
      </c>
      <c r="ET2" s="353">
        <v>147</v>
      </c>
      <c r="EU2" s="353">
        <v>148</v>
      </c>
      <c r="EV2" s="353">
        <v>149</v>
      </c>
      <c r="EW2" s="353">
        <v>150</v>
      </c>
      <c r="EX2" s="353">
        <v>151</v>
      </c>
      <c r="EY2" s="353">
        <v>152</v>
      </c>
      <c r="EZ2" s="353">
        <v>153</v>
      </c>
      <c r="FA2" s="353">
        <v>154</v>
      </c>
      <c r="FB2" s="353">
        <v>155</v>
      </c>
      <c r="FC2" s="353">
        <v>156</v>
      </c>
      <c r="FD2" s="353">
        <v>157</v>
      </c>
      <c r="FE2" s="353">
        <v>158</v>
      </c>
      <c r="FF2" s="353">
        <v>159</v>
      </c>
      <c r="FG2" s="353">
        <v>160</v>
      </c>
      <c r="FH2" s="353">
        <v>161</v>
      </c>
      <c r="FI2" s="353">
        <v>162</v>
      </c>
      <c r="FJ2" s="353">
        <v>163</v>
      </c>
      <c r="FK2" s="353">
        <v>164</v>
      </c>
      <c r="FL2" s="353">
        <v>165</v>
      </c>
      <c r="FM2" s="353">
        <v>166</v>
      </c>
      <c r="FN2" s="353">
        <v>167</v>
      </c>
      <c r="FO2" s="353">
        <v>168</v>
      </c>
      <c r="FP2" s="353">
        <v>169</v>
      </c>
      <c r="FQ2" s="353">
        <v>170</v>
      </c>
      <c r="FR2" s="353">
        <v>171</v>
      </c>
      <c r="FS2" s="353">
        <v>172</v>
      </c>
      <c r="FT2" s="353">
        <v>173</v>
      </c>
      <c r="FU2" s="353">
        <v>174</v>
      </c>
      <c r="FV2" s="353">
        <v>175</v>
      </c>
      <c r="FW2" s="353">
        <v>176</v>
      </c>
      <c r="FX2" s="353">
        <v>177</v>
      </c>
      <c r="FY2" s="353">
        <v>178</v>
      </c>
      <c r="FZ2" s="353">
        <v>179</v>
      </c>
      <c r="GA2" s="353">
        <v>180</v>
      </c>
      <c r="GB2" s="353">
        <v>181</v>
      </c>
      <c r="GC2" s="353">
        <v>182</v>
      </c>
      <c r="GD2" s="353">
        <v>183</v>
      </c>
      <c r="GE2" s="353">
        <v>184</v>
      </c>
      <c r="GF2" s="353">
        <v>185</v>
      </c>
      <c r="GG2" s="353">
        <v>186</v>
      </c>
      <c r="GH2" s="353">
        <v>187</v>
      </c>
      <c r="GI2" s="353">
        <v>188</v>
      </c>
      <c r="GJ2" s="353">
        <v>189</v>
      </c>
      <c r="GK2" s="353">
        <v>190</v>
      </c>
      <c r="GL2" s="353">
        <v>191</v>
      </c>
      <c r="GM2" s="353">
        <v>192</v>
      </c>
      <c r="GN2" s="353">
        <v>193</v>
      </c>
      <c r="GO2" s="353">
        <v>194</v>
      </c>
      <c r="GP2" s="353">
        <v>195</v>
      </c>
      <c r="GQ2" s="353">
        <v>196</v>
      </c>
      <c r="GR2" s="353">
        <v>197</v>
      </c>
      <c r="GS2" s="353">
        <v>198</v>
      </c>
      <c r="GT2" s="353">
        <v>199</v>
      </c>
      <c r="GU2" s="353">
        <v>200</v>
      </c>
      <c r="GV2" s="353">
        <v>201</v>
      </c>
      <c r="GW2" s="353">
        <v>202</v>
      </c>
      <c r="GX2" s="353">
        <v>203</v>
      </c>
      <c r="GY2" s="353">
        <v>204</v>
      </c>
      <c r="GZ2" s="353">
        <v>205</v>
      </c>
      <c r="HA2" s="353">
        <v>206</v>
      </c>
      <c r="HB2" s="353">
        <v>207</v>
      </c>
      <c r="HC2" s="353">
        <v>208</v>
      </c>
      <c r="HD2" s="353">
        <v>209</v>
      </c>
      <c r="HE2" s="353">
        <v>210</v>
      </c>
      <c r="HF2" s="353">
        <v>211</v>
      </c>
      <c r="HG2" s="353">
        <v>212</v>
      </c>
      <c r="HH2" s="353">
        <v>213</v>
      </c>
      <c r="HI2" s="353">
        <v>214</v>
      </c>
      <c r="HJ2" s="353">
        <v>215</v>
      </c>
      <c r="HK2" s="353">
        <v>216</v>
      </c>
      <c r="HL2" s="353">
        <v>217</v>
      </c>
      <c r="HM2" s="353">
        <v>218</v>
      </c>
      <c r="HN2" s="353">
        <v>219</v>
      </c>
      <c r="HO2" s="353">
        <v>220</v>
      </c>
      <c r="HP2" s="353">
        <v>221</v>
      </c>
      <c r="HQ2" s="353">
        <v>222</v>
      </c>
      <c r="HR2" s="353">
        <v>223</v>
      </c>
      <c r="HS2" s="353">
        <v>224</v>
      </c>
      <c r="HT2" s="353">
        <v>225</v>
      </c>
      <c r="HU2" s="353">
        <v>226</v>
      </c>
      <c r="HV2" s="353">
        <v>227</v>
      </c>
      <c r="HW2" s="353">
        <v>228</v>
      </c>
      <c r="HX2" s="353">
        <v>229</v>
      </c>
      <c r="HY2" s="353">
        <v>230</v>
      </c>
      <c r="HZ2" s="353">
        <v>231</v>
      </c>
      <c r="IA2" s="353">
        <v>232</v>
      </c>
      <c r="IB2" s="353">
        <v>233</v>
      </c>
      <c r="IC2" s="353">
        <v>234</v>
      </c>
      <c r="ID2" s="353">
        <v>235</v>
      </c>
      <c r="IE2" s="353">
        <v>236</v>
      </c>
      <c r="IF2" s="353">
        <v>237</v>
      </c>
      <c r="IG2" s="353">
        <v>238</v>
      </c>
      <c r="IH2" s="353">
        <v>239</v>
      </c>
      <c r="II2" s="353">
        <v>240</v>
      </c>
      <c r="IJ2" s="353">
        <v>241</v>
      </c>
      <c r="IK2" s="353">
        <v>242</v>
      </c>
      <c r="IL2" s="353">
        <v>243</v>
      </c>
      <c r="IM2" s="353">
        <v>244</v>
      </c>
      <c r="IN2" s="353">
        <v>245</v>
      </c>
      <c r="IO2" s="353">
        <v>246</v>
      </c>
      <c r="IP2" s="353">
        <v>247</v>
      </c>
      <c r="IQ2" s="353">
        <v>248</v>
      </c>
      <c r="IR2" s="353">
        <v>249</v>
      </c>
      <c r="IS2" s="353">
        <v>250</v>
      </c>
      <c r="IT2" s="353">
        <v>251</v>
      </c>
      <c r="IU2" s="353">
        <v>252</v>
      </c>
      <c r="IV2" s="353">
        <v>253</v>
      </c>
      <c r="IW2" s="353">
        <v>254</v>
      </c>
      <c r="IX2" s="353">
        <v>255</v>
      </c>
      <c r="IY2" s="353">
        <v>256</v>
      </c>
      <c r="IZ2" s="353">
        <v>257</v>
      </c>
      <c r="JA2" s="353">
        <v>258</v>
      </c>
      <c r="JB2" s="353">
        <v>259</v>
      </c>
      <c r="JC2" s="353">
        <v>260</v>
      </c>
      <c r="JD2" s="353">
        <v>261</v>
      </c>
      <c r="JE2" s="353">
        <v>262</v>
      </c>
      <c r="JF2" s="353">
        <v>263</v>
      </c>
      <c r="JG2" s="353">
        <v>264</v>
      </c>
      <c r="JH2" s="353">
        <v>265</v>
      </c>
      <c r="JI2" s="353">
        <v>266</v>
      </c>
      <c r="JJ2" s="353">
        <v>267</v>
      </c>
      <c r="JK2" s="353">
        <v>268</v>
      </c>
      <c r="JL2" s="353">
        <v>269</v>
      </c>
      <c r="JM2" s="353">
        <v>270</v>
      </c>
      <c r="JN2" s="353">
        <v>271</v>
      </c>
      <c r="JO2" s="353">
        <v>272</v>
      </c>
      <c r="JP2" s="353">
        <v>273</v>
      </c>
      <c r="JQ2" s="353">
        <v>274</v>
      </c>
      <c r="JR2" s="353">
        <v>275</v>
      </c>
      <c r="JS2" s="353">
        <v>276</v>
      </c>
      <c r="JT2" s="353">
        <v>277</v>
      </c>
      <c r="JU2" s="353">
        <v>278</v>
      </c>
      <c r="JV2" s="353">
        <v>279</v>
      </c>
      <c r="JW2" s="353">
        <v>280</v>
      </c>
      <c r="JX2" s="353">
        <v>281</v>
      </c>
      <c r="JY2" s="353">
        <v>282</v>
      </c>
      <c r="JZ2" s="353">
        <v>283</v>
      </c>
      <c r="KA2" s="353">
        <v>284</v>
      </c>
      <c r="KB2" s="353">
        <v>285</v>
      </c>
      <c r="KC2" s="353">
        <v>286</v>
      </c>
      <c r="KD2" s="353">
        <v>287</v>
      </c>
      <c r="KE2" s="353">
        <v>288</v>
      </c>
      <c r="KF2" s="353">
        <v>289</v>
      </c>
      <c r="KG2" s="353">
        <v>290</v>
      </c>
      <c r="KH2" s="353">
        <v>291</v>
      </c>
      <c r="KI2" s="353">
        <v>292</v>
      </c>
      <c r="KJ2" s="353">
        <v>293</v>
      </c>
      <c r="KK2" s="353">
        <v>294</v>
      </c>
      <c r="KL2" s="353">
        <v>295</v>
      </c>
      <c r="KM2" s="353">
        <v>296</v>
      </c>
      <c r="KN2" s="353">
        <v>297</v>
      </c>
      <c r="KO2" s="353">
        <v>298</v>
      </c>
      <c r="KP2" s="353">
        <v>299</v>
      </c>
      <c r="KQ2" s="353">
        <v>300</v>
      </c>
      <c r="KR2" s="353">
        <v>301</v>
      </c>
      <c r="KS2" s="353">
        <v>302</v>
      </c>
      <c r="KT2" s="353">
        <v>303</v>
      </c>
      <c r="KU2" s="353">
        <v>304</v>
      </c>
      <c r="KV2" s="353">
        <v>305</v>
      </c>
      <c r="KW2" s="353">
        <v>306</v>
      </c>
      <c r="KX2" s="353">
        <v>307</v>
      </c>
      <c r="KY2" s="353">
        <v>308</v>
      </c>
      <c r="KZ2" s="353">
        <v>309</v>
      </c>
      <c r="LA2" s="353">
        <v>310</v>
      </c>
      <c r="LB2" s="353">
        <v>311</v>
      </c>
      <c r="LC2" s="353">
        <v>312</v>
      </c>
      <c r="LD2" s="353">
        <v>313</v>
      </c>
      <c r="LE2" s="353">
        <v>314</v>
      </c>
      <c r="LF2" s="353">
        <v>315</v>
      </c>
      <c r="LG2" s="353">
        <v>316</v>
      </c>
      <c r="LH2" s="353">
        <v>317</v>
      </c>
      <c r="LI2" s="353">
        <v>318</v>
      </c>
      <c r="LJ2" s="353">
        <v>319</v>
      </c>
      <c r="LK2" s="353">
        <v>320</v>
      </c>
      <c r="LL2" s="353">
        <v>321</v>
      </c>
      <c r="LM2" s="353">
        <v>322</v>
      </c>
      <c r="LN2" s="353">
        <v>323</v>
      </c>
      <c r="LO2" s="353">
        <v>324</v>
      </c>
      <c r="LP2" s="353">
        <v>325</v>
      </c>
      <c r="LQ2" s="353">
        <v>326</v>
      </c>
      <c r="LR2" s="353">
        <v>327</v>
      </c>
      <c r="LS2" s="353">
        <v>328</v>
      </c>
      <c r="LT2" s="353">
        <v>329</v>
      </c>
      <c r="LU2" s="353">
        <v>330</v>
      </c>
      <c r="LV2" s="353">
        <v>331</v>
      </c>
      <c r="LW2" s="353">
        <v>332</v>
      </c>
      <c r="LX2" s="353">
        <v>333</v>
      </c>
      <c r="LY2" s="353">
        <v>334</v>
      </c>
      <c r="LZ2" s="353">
        <v>335</v>
      </c>
      <c r="MA2" s="353">
        <v>336</v>
      </c>
      <c r="MB2" s="353">
        <v>337</v>
      </c>
      <c r="MC2" s="353">
        <v>338</v>
      </c>
      <c r="MD2" s="353">
        <v>339</v>
      </c>
      <c r="ME2" s="353">
        <v>340</v>
      </c>
      <c r="MF2" s="353">
        <v>341</v>
      </c>
      <c r="MG2" s="353">
        <v>342</v>
      </c>
      <c r="MH2" s="353">
        <v>343</v>
      </c>
      <c r="MI2" s="353">
        <v>344</v>
      </c>
      <c r="MJ2" s="353">
        <v>345</v>
      </c>
      <c r="MK2" s="353">
        <v>346</v>
      </c>
      <c r="ML2" s="353">
        <v>347</v>
      </c>
      <c r="MM2" s="353">
        <v>348</v>
      </c>
      <c r="MN2" s="353">
        <v>349</v>
      </c>
      <c r="MO2" s="353">
        <v>350</v>
      </c>
      <c r="MP2" s="353">
        <v>351</v>
      </c>
      <c r="MQ2" s="353">
        <v>352</v>
      </c>
      <c r="MR2" s="353">
        <v>353</v>
      </c>
      <c r="MS2" s="353">
        <v>354</v>
      </c>
      <c r="MT2" s="353">
        <v>355</v>
      </c>
      <c r="MU2" s="353">
        <v>356</v>
      </c>
      <c r="MV2" s="353">
        <v>357</v>
      </c>
      <c r="MW2" s="353">
        <v>358</v>
      </c>
      <c r="MX2" s="353">
        <v>359</v>
      </c>
      <c r="MY2" s="353">
        <v>360</v>
      </c>
      <c r="MZ2" s="353">
        <v>361</v>
      </c>
      <c r="NA2" s="353">
        <v>362</v>
      </c>
      <c r="NB2" s="353">
        <v>363</v>
      </c>
      <c r="NC2" s="353">
        <v>364</v>
      </c>
      <c r="ND2" s="353">
        <v>365</v>
      </c>
      <c r="NE2" s="353">
        <v>366</v>
      </c>
      <c r="NF2" s="353">
        <v>367</v>
      </c>
      <c r="NG2" s="353">
        <v>368</v>
      </c>
      <c r="NH2" s="353">
        <v>369</v>
      </c>
      <c r="NI2" s="353">
        <v>370</v>
      </c>
      <c r="NJ2" s="353">
        <v>371</v>
      </c>
      <c r="NK2" s="353">
        <v>372</v>
      </c>
      <c r="NL2" s="353">
        <v>373</v>
      </c>
      <c r="NM2" s="353">
        <v>374</v>
      </c>
      <c r="NN2" s="353">
        <v>375</v>
      </c>
      <c r="NO2" s="353">
        <v>376</v>
      </c>
      <c r="NP2" s="353">
        <v>377</v>
      </c>
      <c r="NQ2" s="353">
        <v>378</v>
      </c>
      <c r="NR2" s="353">
        <v>379</v>
      </c>
      <c r="NS2" s="353">
        <v>380</v>
      </c>
      <c r="NT2" s="353">
        <v>381</v>
      </c>
      <c r="NU2" s="353">
        <v>382</v>
      </c>
      <c r="NV2" s="353">
        <v>383</v>
      </c>
      <c r="NW2" s="353">
        <v>384</v>
      </c>
      <c r="NX2" s="353">
        <v>385</v>
      </c>
      <c r="NY2" s="353">
        <v>386</v>
      </c>
      <c r="NZ2" s="353">
        <v>387</v>
      </c>
      <c r="OA2" s="353">
        <v>388</v>
      </c>
      <c r="OB2" s="353">
        <v>389</v>
      </c>
      <c r="OC2" s="353">
        <v>390</v>
      </c>
      <c r="OD2" s="353">
        <v>391</v>
      </c>
      <c r="OE2" s="353">
        <v>392</v>
      </c>
      <c r="OF2" s="353">
        <v>393</v>
      </c>
      <c r="OG2" s="353">
        <v>394</v>
      </c>
      <c r="OH2" s="353">
        <v>395</v>
      </c>
      <c r="OI2" s="353">
        <v>396</v>
      </c>
      <c r="OJ2" s="353">
        <v>397</v>
      </c>
      <c r="OK2" s="353">
        <v>398</v>
      </c>
      <c r="OL2" s="353">
        <v>399</v>
      </c>
      <c r="OM2" s="353">
        <v>400</v>
      </c>
      <c r="ON2" s="353">
        <v>401</v>
      </c>
      <c r="OO2" s="353">
        <v>402</v>
      </c>
      <c r="OP2" s="353">
        <v>403</v>
      </c>
      <c r="OQ2" s="353">
        <v>404</v>
      </c>
      <c r="OR2" s="353">
        <v>405</v>
      </c>
      <c r="OS2" s="353">
        <v>406</v>
      </c>
      <c r="OT2" s="353">
        <v>407</v>
      </c>
      <c r="OU2" s="353">
        <v>408</v>
      </c>
      <c r="OV2" s="353">
        <v>409</v>
      </c>
      <c r="OW2" s="353">
        <v>410</v>
      </c>
      <c r="OX2" s="353">
        <v>411</v>
      </c>
      <c r="OY2" s="353">
        <v>412</v>
      </c>
      <c r="OZ2" s="353">
        <v>413</v>
      </c>
      <c r="PA2" s="353">
        <v>414</v>
      </c>
      <c r="PB2" s="353">
        <v>415</v>
      </c>
      <c r="PC2" s="353">
        <v>416</v>
      </c>
      <c r="PD2" s="353">
        <v>417</v>
      </c>
      <c r="PE2" s="353">
        <v>418</v>
      </c>
      <c r="PF2" s="353">
        <v>419</v>
      </c>
      <c r="PG2" s="353">
        <v>420</v>
      </c>
      <c r="PH2" s="353">
        <v>421</v>
      </c>
      <c r="PI2" s="353">
        <v>422</v>
      </c>
      <c r="PJ2" s="353">
        <v>423</v>
      </c>
      <c r="PK2" s="353">
        <v>424</v>
      </c>
      <c r="PL2" s="353">
        <v>425</v>
      </c>
      <c r="PM2" s="353">
        <v>426</v>
      </c>
      <c r="PN2" s="353">
        <v>427</v>
      </c>
      <c r="PO2" s="353">
        <v>428</v>
      </c>
      <c r="PP2" s="353">
        <v>429</v>
      </c>
      <c r="PQ2" s="353">
        <v>430</v>
      </c>
      <c r="PR2" s="353">
        <v>431</v>
      </c>
      <c r="PS2" s="353">
        <v>432</v>
      </c>
      <c r="PT2" s="353">
        <v>433</v>
      </c>
      <c r="PU2" s="353">
        <v>434</v>
      </c>
      <c r="PV2" s="353">
        <v>435</v>
      </c>
      <c r="PW2" s="353">
        <v>436</v>
      </c>
      <c r="PX2" s="353">
        <v>437</v>
      </c>
      <c r="PY2" s="353">
        <v>438</v>
      </c>
      <c r="PZ2" s="353">
        <v>439</v>
      </c>
      <c r="QA2" s="353">
        <v>440</v>
      </c>
      <c r="QB2" s="353">
        <v>441</v>
      </c>
      <c r="QC2" s="353">
        <v>442</v>
      </c>
      <c r="QD2" s="353">
        <v>443</v>
      </c>
      <c r="QE2" s="353">
        <v>444</v>
      </c>
      <c r="QF2" s="353">
        <v>445</v>
      </c>
      <c r="QG2" s="353">
        <v>446</v>
      </c>
      <c r="QH2" s="353">
        <v>447</v>
      </c>
      <c r="QI2" s="353">
        <v>448</v>
      </c>
      <c r="QJ2" s="353">
        <v>449</v>
      </c>
      <c r="QK2" s="353">
        <v>450</v>
      </c>
      <c r="QL2" s="353">
        <v>451</v>
      </c>
      <c r="QM2" s="353">
        <v>452</v>
      </c>
      <c r="QN2" s="353">
        <v>453</v>
      </c>
      <c r="QO2" s="353">
        <v>454</v>
      </c>
      <c r="QP2" s="353">
        <v>455</v>
      </c>
      <c r="QQ2" s="353">
        <v>456</v>
      </c>
      <c r="QR2" s="353">
        <v>457</v>
      </c>
      <c r="QS2" s="353">
        <v>458</v>
      </c>
      <c r="QT2" s="353">
        <v>459</v>
      </c>
      <c r="QU2" s="353">
        <v>460</v>
      </c>
      <c r="QV2" s="353">
        <v>461</v>
      </c>
      <c r="QW2" s="353">
        <v>462</v>
      </c>
      <c r="QX2" s="353">
        <v>463</v>
      </c>
      <c r="QY2" s="353">
        <v>464</v>
      </c>
      <c r="QZ2" s="353">
        <v>465</v>
      </c>
      <c r="RA2" s="353">
        <v>466</v>
      </c>
      <c r="RB2" s="353">
        <v>467</v>
      </c>
      <c r="RC2" s="353">
        <v>468</v>
      </c>
      <c r="RD2" s="353">
        <v>469</v>
      </c>
      <c r="RE2" s="353">
        <v>470</v>
      </c>
      <c r="RF2" s="353">
        <v>471</v>
      </c>
      <c r="RG2" s="353">
        <v>472</v>
      </c>
      <c r="RH2" s="353">
        <v>473</v>
      </c>
      <c r="RI2" s="353">
        <v>474</v>
      </c>
      <c r="RJ2" s="353">
        <v>475</v>
      </c>
      <c r="RK2" s="353">
        <v>476</v>
      </c>
      <c r="RL2" s="353">
        <v>477</v>
      </c>
      <c r="RM2" s="353">
        <v>478</v>
      </c>
      <c r="RN2" s="353">
        <v>479</v>
      </c>
      <c r="RO2" s="353">
        <v>480</v>
      </c>
      <c r="RP2" s="353">
        <v>481</v>
      </c>
      <c r="RQ2" s="353">
        <v>482</v>
      </c>
      <c r="RR2" s="353">
        <v>483</v>
      </c>
      <c r="RS2" s="353">
        <v>484</v>
      </c>
      <c r="RT2" s="353">
        <v>485</v>
      </c>
      <c r="RU2" s="353">
        <v>486</v>
      </c>
      <c r="RV2" s="353">
        <v>487</v>
      </c>
      <c r="RW2" s="353">
        <v>488</v>
      </c>
      <c r="RX2" s="353">
        <v>489</v>
      </c>
      <c r="RY2" s="353">
        <v>490</v>
      </c>
      <c r="RZ2" s="353">
        <v>491</v>
      </c>
      <c r="SA2" s="353">
        <v>492</v>
      </c>
      <c r="SB2" s="353">
        <v>493</v>
      </c>
      <c r="SC2" s="353">
        <v>494</v>
      </c>
      <c r="SD2" s="353">
        <v>495</v>
      </c>
      <c r="SE2" s="353">
        <v>496</v>
      </c>
      <c r="SF2" s="353">
        <v>497</v>
      </c>
      <c r="SG2" s="353">
        <v>498</v>
      </c>
      <c r="SH2" s="353">
        <v>499</v>
      </c>
      <c r="SI2" s="353">
        <v>500</v>
      </c>
      <c r="SJ2" s="353">
        <v>501</v>
      </c>
      <c r="SK2" s="353">
        <v>502</v>
      </c>
      <c r="SL2" s="353">
        <v>503</v>
      </c>
      <c r="SM2" s="353">
        <v>504</v>
      </c>
      <c r="SN2" s="353">
        <v>505</v>
      </c>
      <c r="SO2" s="353">
        <v>506</v>
      </c>
      <c r="SP2" s="353">
        <v>507</v>
      </c>
      <c r="SQ2" s="353">
        <v>508</v>
      </c>
      <c r="SR2" s="353">
        <v>509</v>
      </c>
      <c r="SS2" s="353">
        <v>510</v>
      </c>
      <c r="ST2" s="353">
        <v>511</v>
      </c>
      <c r="SU2" s="353">
        <v>512</v>
      </c>
      <c r="SV2" s="353">
        <v>513</v>
      </c>
      <c r="SW2" s="353">
        <v>514</v>
      </c>
      <c r="SX2" s="353">
        <v>515</v>
      </c>
      <c r="SY2" s="353">
        <v>516</v>
      </c>
      <c r="SZ2" s="353">
        <v>517</v>
      </c>
      <c r="TA2" s="353">
        <v>518</v>
      </c>
      <c r="TB2" s="353">
        <v>519</v>
      </c>
      <c r="TC2" s="353">
        <v>520</v>
      </c>
      <c r="TD2" s="353">
        <v>521</v>
      </c>
      <c r="TE2" s="353">
        <v>522</v>
      </c>
      <c r="TF2" s="353">
        <v>523</v>
      </c>
      <c r="TG2" s="353">
        <v>524</v>
      </c>
      <c r="TH2" s="353">
        <v>525</v>
      </c>
      <c r="TI2" s="353">
        <v>526</v>
      </c>
      <c r="TJ2" s="353">
        <v>527</v>
      </c>
      <c r="TK2" s="353">
        <v>528</v>
      </c>
      <c r="TL2" s="353">
        <v>529</v>
      </c>
      <c r="TM2" s="353">
        <v>530</v>
      </c>
      <c r="TN2" s="353">
        <v>531</v>
      </c>
      <c r="TO2" s="353">
        <v>532</v>
      </c>
      <c r="TP2" s="353">
        <v>533</v>
      </c>
      <c r="TQ2" s="353">
        <v>534</v>
      </c>
      <c r="TR2" s="353">
        <v>535</v>
      </c>
      <c r="TS2" s="353">
        <v>536</v>
      </c>
      <c r="TT2" s="353">
        <v>537</v>
      </c>
      <c r="TU2" s="353">
        <v>538</v>
      </c>
      <c r="TV2" s="353">
        <v>539</v>
      </c>
      <c r="TW2" s="353">
        <v>540</v>
      </c>
      <c r="TX2" s="353">
        <v>541</v>
      </c>
      <c r="TY2" s="353">
        <v>542</v>
      </c>
      <c r="TZ2" s="353">
        <v>543</v>
      </c>
      <c r="UA2" s="353">
        <v>544</v>
      </c>
      <c r="UB2" s="353">
        <v>545</v>
      </c>
      <c r="UC2" s="353">
        <v>546</v>
      </c>
      <c r="UD2" s="353">
        <v>547</v>
      </c>
      <c r="UE2" s="353">
        <v>548</v>
      </c>
      <c r="UF2" s="353">
        <v>549</v>
      </c>
      <c r="UG2" s="353">
        <v>550</v>
      </c>
      <c r="UH2" s="353">
        <v>551</v>
      </c>
      <c r="UI2" s="353">
        <v>552</v>
      </c>
      <c r="UJ2" s="353">
        <v>553</v>
      </c>
      <c r="UK2" s="353">
        <v>554</v>
      </c>
      <c r="UL2" s="353">
        <v>555</v>
      </c>
      <c r="UM2" s="353">
        <v>556</v>
      </c>
      <c r="UN2" s="353">
        <v>557</v>
      </c>
      <c r="UO2" s="353">
        <v>558</v>
      </c>
      <c r="UP2" s="353">
        <v>559</v>
      </c>
      <c r="UQ2" s="353">
        <v>560</v>
      </c>
      <c r="UR2" s="353">
        <v>561</v>
      </c>
      <c r="US2" s="353">
        <v>562</v>
      </c>
      <c r="UT2" s="353">
        <v>563</v>
      </c>
      <c r="UU2" s="353">
        <v>564</v>
      </c>
      <c r="UV2" s="353">
        <v>565</v>
      </c>
      <c r="UW2" s="353">
        <v>566</v>
      </c>
      <c r="UX2" s="353">
        <v>567</v>
      </c>
      <c r="UY2" s="353">
        <v>568</v>
      </c>
      <c r="UZ2" s="353">
        <v>569</v>
      </c>
      <c r="VA2" s="353">
        <v>570</v>
      </c>
      <c r="VB2" s="353">
        <v>571</v>
      </c>
      <c r="VC2" s="353">
        <v>572</v>
      </c>
      <c r="VD2" s="353">
        <v>573</v>
      </c>
      <c r="VE2" s="353">
        <v>574</v>
      </c>
      <c r="VF2" s="353">
        <v>575</v>
      </c>
      <c r="VG2" s="353">
        <v>576</v>
      </c>
      <c r="VH2" s="353">
        <v>577</v>
      </c>
      <c r="VI2" s="353">
        <v>578</v>
      </c>
      <c r="VJ2" s="353">
        <v>579</v>
      </c>
      <c r="VK2" s="353">
        <v>580</v>
      </c>
      <c r="VL2" s="353">
        <v>581</v>
      </c>
      <c r="VM2" s="353">
        <v>582</v>
      </c>
      <c r="VN2" s="353">
        <v>583</v>
      </c>
      <c r="VO2" s="353">
        <v>584</v>
      </c>
      <c r="VP2" s="353">
        <v>585</v>
      </c>
      <c r="VQ2" s="353">
        <v>586</v>
      </c>
      <c r="VR2" s="353">
        <v>587</v>
      </c>
      <c r="VS2" s="353">
        <v>588</v>
      </c>
      <c r="VT2" s="353">
        <v>589</v>
      </c>
      <c r="VU2" s="353">
        <v>590</v>
      </c>
      <c r="VV2" s="353">
        <v>591</v>
      </c>
      <c r="VW2" s="353">
        <v>592</v>
      </c>
      <c r="VX2" s="353">
        <v>593</v>
      </c>
      <c r="VY2" s="353">
        <v>594</v>
      </c>
      <c r="VZ2" s="353">
        <v>595</v>
      </c>
      <c r="WA2" s="353">
        <v>596</v>
      </c>
      <c r="WB2" s="353">
        <v>597</v>
      </c>
      <c r="WC2" s="353">
        <v>598</v>
      </c>
      <c r="WD2" s="353">
        <v>599</v>
      </c>
      <c r="WE2" s="353">
        <v>600</v>
      </c>
      <c r="WF2" s="353">
        <v>601</v>
      </c>
      <c r="WG2" s="353">
        <v>602</v>
      </c>
      <c r="WH2" s="353">
        <v>603</v>
      </c>
      <c r="WI2" s="353">
        <v>604</v>
      </c>
      <c r="WJ2" s="353">
        <v>605</v>
      </c>
      <c r="WK2" s="353">
        <v>606</v>
      </c>
      <c r="WL2" s="353">
        <v>607</v>
      </c>
      <c r="WM2" s="353">
        <v>608</v>
      </c>
      <c r="WN2" s="353">
        <v>609</v>
      </c>
      <c r="WO2" s="353">
        <v>610</v>
      </c>
      <c r="WP2" s="353">
        <v>611</v>
      </c>
      <c r="WQ2" s="353">
        <v>612</v>
      </c>
      <c r="WR2" s="353">
        <v>613</v>
      </c>
      <c r="WS2" s="353">
        <v>614</v>
      </c>
      <c r="WT2" s="353">
        <v>615</v>
      </c>
      <c r="WU2" s="353">
        <v>616</v>
      </c>
      <c r="WV2" s="353">
        <v>617</v>
      </c>
      <c r="WW2" s="353">
        <v>618</v>
      </c>
      <c r="WX2" s="353">
        <v>619</v>
      </c>
      <c r="WY2" s="353">
        <v>620</v>
      </c>
      <c r="WZ2" s="353">
        <v>621</v>
      </c>
      <c r="XA2" s="353">
        <v>622</v>
      </c>
      <c r="XB2" s="353">
        <v>623</v>
      </c>
      <c r="XC2" s="353">
        <v>624</v>
      </c>
      <c r="XD2" s="353">
        <v>625</v>
      </c>
      <c r="XE2" s="353">
        <v>626</v>
      </c>
      <c r="XF2" s="353">
        <v>627</v>
      </c>
      <c r="XG2" s="353">
        <v>628</v>
      </c>
      <c r="XH2" s="353">
        <v>629</v>
      </c>
      <c r="XI2" s="353">
        <v>630</v>
      </c>
      <c r="XJ2" s="353">
        <v>631</v>
      </c>
      <c r="XK2" s="353">
        <v>632</v>
      </c>
      <c r="XL2" s="353">
        <v>633</v>
      </c>
      <c r="XM2" s="353">
        <v>634</v>
      </c>
      <c r="XN2" s="353">
        <v>635</v>
      </c>
      <c r="XO2" s="353">
        <v>636</v>
      </c>
      <c r="XP2" s="353">
        <v>637</v>
      </c>
      <c r="XQ2" s="353">
        <v>638</v>
      </c>
      <c r="XR2" s="353">
        <v>639</v>
      </c>
      <c r="XS2" s="353">
        <v>640</v>
      </c>
      <c r="XT2" s="353">
        <v>641</v>
      </c>
      <c r="XU2" s="353">
        <v>642</v>
      </c>
      <c r="XV2" s="353">
        <v>643</v>
      </c>
      <c r="XW2" s="353">
        <v>644</v>
      </c>
      <c r="XX2" s="353">
        <v>645</v>
      </c>
      <c r="XY2" s="353">
        <v>646</v>
      </c>
      <c r="XZ2" s="353">
        <v>647</v>
      </c>
      <c r="YA2" s="353">
        <v>648</v>
      </c>
      <c r="YB2" s="353">
        <v>649</v>
      </c>
      <c r="YC2" s="353">
        <v>650</v>
      </c>
      <c r="YD2" s="353">
        <v>651</v>
      </c>
      <c r="YE2" s="353">
        <v>652</v>
      </c>
      <c r="YF2" s="353">
        <v>653</v>
      </c>
      <c r="YG2" s="353">
        <v>654</v>
      </c>
      <c r="YH2" s="353">
        <v>655</v>
      </c>
      <c r="YI2" s="353">
        <v>656</v>
      </c>
      <c r="YJ2" s="353">
        <v>657</v>
      </c>
      <c r="YK2" s="353">
        <v>658</v>
      </c>
      <c r="YL2" s="353">
        <v>659</v>
      </c>
      <c r="YM2" s="353">
        <v>660</v>
      </c>
      <c r="YN2" s="353">
        <v>661</v>
      </c>
      <c r="YO2" s="353">
        <v>662</v>
      </c>
      <c r="YP2" s="353">
        <v>663</v>
      </c>
      <c r="YQ2" s="353">
        <v>664</v>
      </c>
      <c r="YR2" s="353">
        <v>665</v>
      </c>
      <c r="YS2" s="353">
        <v>666</v>
      </c>
      <c r="YT2" s="353">
        <v>667</v>
      </c>
      <c r="YU2" s="353">
        <v>668</v>
      </c>
      <c r="YV2" s="353">
        <v>669</v>
      </c>
      <c r="YW2" s="353">
        <v>670</v>
      </c>
      <c r="YX2" s="353">
        <v>671</v>
      </c>
      <c r="YY2" s="353">
        <v>672</v>
      </c>
      <c r="YZ2" s="353">
        <v>673</v>
      </c>
      <c r="ZA2" s="353">
        <v>674</v>
      </c>
      <c r="ZB2" s="353">
        <v>675</v>
      </c>
      <c r="ZC2" s="353">
        <v>676</v>
      </c>
      <c r="ZD2" s="353">
        <v>677</v>
      </c>
      <c r="ZE2" s="353">
        <v>678</v>
      </c>
      <c r="ZF2" s="353">
        <v>679</v>
      </c>
      <c r="ZG2" s="353">
        <v>680</v>
      </c>
      <c r="ZH2" s="353">
        <v>681</v>
      </c>
      <c r="ZI2" s="353">
        <v>682</v>
      </c>
      <c r="ZJ2" s="353">
        <v>683</v>
      </c>
      <c r="ZK2" s="353">
        <v>684</v>
      </c>
      <c r="ZL2" s="353">
        <v>685</v>
      </c>
      <c r="ZM2" s="353">
        <v>686</v>
      </c>
      <c r="ZN2" s="353">
        <v>687</v>
      </c>
      <c r="ZO2" s="353">
        <v>688</v>
      </c>
      <c r="ZP2" s="353">
        <v>689</v>
      </c>
      <c r="ZQ2" s="353">
        <v>690</v>
      </c>
      <c r="ZR2" s="353">
        <v>691</v>
      </c>
      <c r="ZS2" s="353">
        <v>692</v>
      </c>
      <c r="ZT2" s="353">
        <v>693</v>
      </c>
      <c r="ZU2" s="353">
        <v>694</v>
      </c>
      <c r="ZV2" s="353">
        <v>695</v>
      </c>
      <c r="ZW2" s="353">
        <v>696</v>
      </c>
      <c r="ZX2" s="353">
        <v>697</v>
      </c>
      <c r="ZY2" s="353">
        <v>698</v>
      </c>
      <c r="ZZ2" s="353">
        <v>699</v>
      </c>
    </row>
    <row r="3" spans="1:702" s="191" customFormat="1" ht="12.75" thickBot="1" x14ac:dyDescent="0.25">
      <c r="A3" s="243" t="s">
        <v>900</v>
      </c>
      <c r="B3" s="899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892</v>
      </c>
      <c r="F3" s="191" t="s">
        <v>887</v>
      </c>
      <c r="G3" s="191" t="s">
        <v>893</v>
      </c>
      <c r="H3" s="191" t="s">
        <v>888</v>
      </c>
      <c r="I3" s="191" t="s">
        <v>894</v>
      </c>
      <c r="J3" s="191" t="s">
        <v>884</v>
      </c>
      <c r="K3" s="191" t="s">
        <v>889</v>
      </c>
      <c r="L3" s="191" t="s">
        <v>885</v>
      </c>
      <c r="M3" s="191" t="s">
        <v>890</v>
      </c>
      <c r="N3" s="191" t="s">
        <v>886</v>
      </c>
      <c r="O3" s="191" t="s">
        <v>891</v>
      </c>
      <c r="P3" s="191" t="s">
        <v>895</v>
      </c>
      <c r="Q3" s="191" t="s">
        <v>896</v>
      </c>
      <c r="R3" s="191" t="s">
        <v>897</v>
      </c>
      <c r="S3" s="191" t="s">
        <v>898</v>
      </c>
      <c r="T3" s="191" t="s">
        <v>899</v>
      </c>
      <c r="U3" s="191" t="s">
        <v>900</v>
      </c>
      <c r="V3" s="191" t="s">
        <v>233</v>
      </c>
      <c r="W3" s="191" t="s">
        <v>233</v>
      </c>
      <c r="X3" s="191" t="s">
        <v>233</v>
      </c>
      <c r="Y3" s="191" t="s">
        <v>233</v>
      </c>
      <c r="Z3" s="191" t="s">
        <v>233</v>
      </c>
      <c r="AA3" s="191" t="s">
        <v>233</v>
      </c>
      <c r="AB3" s="191" t="s">
        <v>233</v>
      </c>
      <c r="AC3" s="191" t="s">
        <v>233</v>
      </c>
      <c r="AD3" s="191" t="s">
        <v>233</v>
      </c>
      <c r="AE3" s="191" t="s">
        <v>233</v>
      </c>
      <c r="AF3" s="191" t="s">
        <v>233</v>
      </c>
      <c r="AG3" s="191" t="s">
        <v>233</v>
      </c>
      <c r="AH3" s="191" t="s">
        <v>233</v>
      </c>
      <c r="AI3" s="191" t="s">
        <v>233</v>
      </c>
      <c r="AJ3" s="191" t="s">
        <v>233</v>
      </c>
      <c r="AK3" s="191" t="s">
        <v>233</v>
      </c>
      <c r="AL3" s="191" t="s">
        <v>233</v>
      </c>
      <c r="AM3" s="191" t="s">
        <v>233</v>
      </c>
      <c r="AN3" s="191" t="s">
        <v>233</v>
      </c>
      <c r="AO3" s="191" t="s">
        <v>233</v>
      </c>
      <c r="AP3" s="191" t="s">
        <v>233</v>
      </c>
      <c r="AQ3" s="191" t="s">
        <v>233</v>
      </c>
      <c r="AR3" s="191" t="s">
        <v>233</v>
      </c>
      <c r="AS3" s="191" t="s">
        <v>233</v>
      </c>
      <c r="AT3" s="191" t="s">
        <v>233</v>
      </c>
      <c r="AU3" s="191" t="s">
        <v>233</v>
      </c>
      <c r="AV3" s="191" t="s">
        <v>233</v>
      </c>
      <c r="AW3" s="191" t="s">
        <v>233</v>
      </c>
      <c r="AX3" s="191" t="s">
        <v>233</v>
      </c>
      <c r="AY3" s="191" t="s">
        <v>233</v>
      </c>
      <c r="AZ3" s="191" t="s">
        <v>233</v>
      </c>
      <c r="BA3" s="191" t="s">
        <v>233</v>
      </c>
      <c r="BB3" s="191" t="s">
        <v>233</v>
      </c>
      <c r="BC3" s="191" t="s">
        <v>233</v>
      </c>
      <c r="BD3" s="191" t="s">
        <v>233</v>
      </c>
      <c r="BE3" s="191" t="s">
        <v>233</v>
      </c>
      <c r="BF3" s="191" t="s">
        <v>233</v>
      </c>
      <c r="BG3" s="191" t="s">
        <v>233</v>
      </c>
      <c r="BH3" s="191" t="s">
        <v>233</v>
      </c>
      <c r="BI3" s="191" t="s">
        <v>233</v>
      </c>
      <c r="BJ3" s="191" t="s">
        <v>233</v>
      </c>
      <c r="BK3" s="191" t="s">
        <v>233</v>
      </c>
      <c r="BL3" s="191" t="s">
        <v>233</v>
      </c>
      <c r="BM3" s="191" t="s">
        <v>233</v>
      </c>
      <c r="BN3" s="191" t="s">
        <v>233</v>
      </c>
      <c r="BO3" s="191" t="s">
        <v>233</v>
      </c>
      <c r="BP3" s="191" t="s">
        <v>233</v>
      </c>
      <c r="BQ3" s="191" t="s">
        <v>233</v>
      </c>
      <c r="BR3" s="191" t="s">
        <v>233</v>
      </c>
      <c r="BS3" s="191" t="s">
        <v>233</v>
      </c>
      <c r="BT3" s="191" t="s">
        <v>233</v>
      </c>
      <c r="BU3" s="191" t="s">
        <v>233</v>
      </c>
      <c r="BV3" s="191" t="s">
        <v>233</v>
      </c>
      <c r="BW3" s="191" t="s">
        <v>233</v>
      </c>
      <c r="BX3" s="191" t="s">
        <v>233</v>
      </c>
      <c r="BY3" s="191" t="s">
        <v>233</v>
      </c>
      <c r="BZ3" s="191" t="s">
        <v>233</v>
      </c>
      <c r="CA3" s="191" t="s">
        <v>233</v>
      </c>
      <c r="CB3" s="191" t="s">
        <v>233</v>
      </c>
      <c r="CC3" s="191" t="s">
        <v>233</v>
      </c>
      <c r="CD3" s="191" t="s">
        <v>233</v>
      </c>
      <c r="CE3" s="191" t="s">
        <v>233</v>
      </c>
      <c r="CF3" s="191" t="s">
        <v>233</v>
      </c>
      <c r="CG3" s="191" t="s">
        <v>233</v>
      </c>
      <c r="CH3" s="191" t="s">
        <v>233</v>
      </c>
      <c r="CI3" s="191" t="s">
        <v>233</v>
      </c>
      <c r="CJ3" s="191" t="s">
        <v>233</v>
      </c>
      <c r="CK3" s="191" t="s">
        <v>233</v>
      </c>
      <c r="CL3" s="191" t="s">
        <v>233</v>
      </c>
      <c r="CM3" s="191" t="s">
        <v>233</v>
      </c>
      <c r="CN3" s="191" t="s">
        <v>233</v>
      </c>
      <c r="CO3" s="191" t="s">
        <v>233</v>
      </c>
      <c r="CP3" s="191" t="s">
        <v>233</v>
      </c>
      <c r="CQ3" s="191" t="s">
        <v>233</v>
      </c>
      <c r="CR3" s="191" t="s">
        <v>233</v>
      </c>
      <c r="CS3" s="191" t="s">
        <v>233</v>
      </c>
      <c r="CT3" s="191" t="s">
        <v>233</v>
      </c>
      <c r="CU3" s="191" t="s">
        <v>233</v>
      </c>
      <c r="CV3" s="191" t="s">
        <v>233</v>
      </c>
      <c r="CW3" s="191" t="s">
        <v>233</v>
      </c>
      <c r="CX3" s="191" t="s">
        <v>233</v>
      </c>
      <c r="CY3" s="191" t="s">
        <v>233</v>
      </c>
      <c r="CZ3" s="191" t="s">
        <v>233</v>
      </c>
      <c r="DA3" s="191" t="s">
        <v>233</v>
      </c>
      <c r="DB3" s="191" t="s">
        <v>233</v>
      </c>
      <c r="DC3" s="191" t="s">
        <v>233</v>
      </c>
      <c r="DD3" s="191" t="s">
        <v>233</v>
      </c>
      <c r="DE3" s="191" t="s">
        <v>233</v>
      </c>
      <c r="DF3" s="191" t="s">
        <v>233</v>
      </c>
      <c r="DG3" s="191" t="s">
        <v>233</v>
      </c>
      <c r="DH3" s="191" t="s">
        <v>233</v>
      </c>
      <c r="DI3" s="191" t="s">
        <v>233</v>
      </c>
      <c r="DJ3" s="191" t="s">
        <v>233</v>
      </c>
      <c r="DK3" s="191" t="s">
        <v>233</v>
      </c>
      <c r="DL3" s="191" t="s">
        <v>233</v>
      </c>
      <c r="DM3" s="191" t="s">
        <v>233</v>
      </c>
      <c r="DN3" s="191" t="s">
        <v>233</v>
      </c>
      <c r="DO3" s="191" t="s">
        <v>233</v>
      </c>
      <c r="DP3" s="191" t="s">
        <v>233</v>
      </c>
      <c r="DQ3" s="191" t="s">
        <v>233</v>
      </c>
      <c r="DR3" s="191" t="s">
        <v>233</v>
      </c>
      <c r="DS3" s="191" t="s">
        <v>233</v>
      </c>
      <c r="DT3" s="191" t="s">
        <v>233</v>
      </c>
      <c r="DU3" s="191" t="s">
        <v>233</v>
      </c>
      <c r="DV3" s="191" t="s">
        <v>233</v>
      </c>
      <c r="DW3" s="191" t="s">
        <v>233</v>
      </c>
      <c r="DX3" s="191" t="s">
        <v>233</v>
      </c>
      <c r="DY3" s="191" t="s">
        <v>233</v>
      </c>
      <c r="DZ3" s="191" t="s">
        <v>233</v>
      </c>
      <c r="EA3" s="191" t="s">
        <v>233</v>
      </c>
      <c r="EB3" s="191" t="s">
        <v>233</v>
      </c>
      <c r="EC3" s="191" t="s">
        <v>233</v>
      </c>
      <c r="ED3" s="191" t="s">
        <v>233</v>
      </c>
      <c r="EE3" s="191" t="s">
        <v>233</v>
      </c>
      <c r="EF3" s="191" t="s">
        <v>233</v>
      </c>
      <c r="EG3" s="191" t="s">
        <v>233</v>
      </c>
      <c r="EH3" s="191" t="s">
        <v>233</v>
      </c>
      <c r="EI3" s="191" t="s">
        <v>233</v>
      </c>
      <c r="EJ3" s="191" t="s">
        <v>233</v>
      </c>
      <c r="EK3" s="191" t="s">
        <v>233</v>
      </c>
      <c r="EL3" s="191" t="s">
        <v>233</v>
      </c>
      <c r="EM3" s="191" t="s">
        <v>233</v>
      </c>
      <c r="EN3" s="191" t="s">
        <v>233</v>
      </c>
      <c r="EO3" s="191" t="s">
        <v>233</v>
      </c>
      <c r="EP3" s="191" t="s">
        <v>233</v>
      </c>
      <c r="EQ3" s="191" t="s">
        <v>233</v>
      </c>
      <c r="ER3" s="191" t="s">
        <v>233</v>
      </c>
      <c r="ES3" s="191" t="s">
        <v>233</v>
      </c>
      <c r="ET3" s="191" t="s">
        <v>233</v>
      </c>
      <c r="EU3" s="191" t="s">
        <v>233</v>
      </c>
      <c r="EV3" s="191" t="s">
        <v>233</v>
      </c>
      <c r="EW3" s="191" t="s">
        <v>233</v>
      </c>
      <c r="EX3" s="191" t="s">
        <v>233</v>
      </c>
      <c r="EY3" s="191" t="s">
        <v>233</v>
      </c>
      <c r="EZ3" s="191" t="s">
        <v>233</v>
      </c>
      <c r="FA3" s="191" t="s">
        <v>233</v>
      </c>
      <c r="FB3" s="191" t="s">
        <v>233</v>
      </c>
      <c r="FC3" s="191" t="s">
        <v>233</v>
      </c>
      <c r="FD3" s="191" t="s">
        <v>233</v>
      </c>
      <c r="FE3" s="191" t="s">
        <v>233</v>
      </c>
      <c r="FF3" s="191" t="s">
        <v>233</v>
      </c>
      <c r="FG3" s="191" t="s">
        <v>233</v>
      </c>
      <c r="FH3" s="191" t="s">
        <v>233</v>
      </c>
      <c r="FI3" s="191" t="s">
        <v>233</v>
      </c>
      <c r="FJ3" s="191" t="s">
        <v>233</v>
      </c>
      <c r="FK3" s="191" t="s">
        <v>233</v>
      </c>
      <c r="FL3" s="191" t="s">
        <v>233</v>
      </c>
      <c r="FM3" s="191" t="s">
        <v>233</v>
      </c>
      <c r="FN3" s="191" t="s">
        <v>233</v>
      </c>
      <c r="FO3" s="191" t="s">
        <v>233</v>
      </c>
      <c r="FP3" s="191" t="s">
        <v>233</v>
      </c>
      <c r="FQ3" s="191" t="s">
        <v>233</v>
      </c>
      <c r="FR3" s="191" t="s">
        <v>233</v>
      </c>
      <c r="FS3" s="191" t="s">
        <v>233</v>
      </c>
      <c r="FT3" s="191" t="s">
        <v>233</v>
      </c>
      <c r="FU3" s="191" t="s">
        <v>233</v>
      </c>
      <c r="FV3" s="191" t="s">
        <v>233</v>
      </c>
      <c r="FW3" s="191" t="s">
        <v>233</v>
      </c>
      <c r="FX3" s="191" t="s">
        <v>233</v>
      </c>
      <c r="FY3" s="191" t="s">
        <v>233</v>
      </c>
      <c r="FZ3" s="191" t="s">
        <v>233</v>
      </c>
      <c r="GA3" s="191" t="s">
        <v>233</v>
      </c>
      <c r="GB3" s="191" t="s">
        <v>233</v>
      </c>
      <c r="GC3" s="191" t="s">
        <v>233</v>
      </c>
      <c r="GD3" s="191" t="s">
        <v>233</v>
      </c>
      <c r="GE3" s="191" t="s">
        <v>233</v>
      </c>
      <c r="GF3" s="191" t="s">
        <v>233</v>
      </c>
      <c r="GG3" s="191" t="s">
        <v>233</v>
      </c>
      <c r="GH3" s="191" t="s">
        <v>233</v>
      </c>
      <c r="GI3" s="191" t="s">
        <v>233</v>
      </c>
      <c r="GJ3" s="191" t="s">
        <v>233</v>
      </c>
      <c r="GK3" s="191" t="s">
        <v>233</v>
      </c>
      <c r="GL3" s="191" t="s">
        <v>233</v>
      </c>
      <c r="GM3" s="191" t="s">
        <v>233</v>
      </c>
      <c r="GN3" s="191" t="s">
        <v>233</v>
      </c>
      <c r="GO3" s="191" t="s">
        <v>233</v>
      </c>
      <c r="GP3" s="191" t="s">
        <v>233</v>
      </c>
      <c r="GQ3" s="191" t="s">
        <v>233</v>
      </c>
      <c r="GR3" s="191" t="s">
        <v>233</v>
      </c>
      <c r="GS3" s="191" t="s">
        <v>233</v>
      </c>
      <c r="GT3" s="191" t="s">
        <v>233</v>
      </c>
      <c r="GU3" s="191" t="s">
        <v>233</v>
      </c>
      <c r="GV3" s="191" t="s">
        <v>233</v>
      </c>
      <c r="GW3" s="191" t="s">
        <v>233</v>
      </c>
      <c r="GX3" s="191" t="s">
        <v>233</v>
      </c>
      <c r="GY3" s="191" t="s">
        <v>233</v>
      </c>
      <c r="GZ3" s="191" t="s">
        <v>233</v>
      </c>
      <c r="HA3" s="191" t="s">
        <v>233</v>
      </c>
      <c r="HB3" s="191" t="s">
        <v>233</v>
      </c>
      <c r="HC3" s="191" t="s">
        <v>233</v>
      </c>
      <c r="HD3" s="191" t="s">
        <v>233</v>
      </c>
      <c r="HE3" s="191" t="s">
        <v>233</v>
      </c>
      <c r="HF3" s="191" t="s">
        <v>233</v>
      </c>
      <c r="HG3" s="191" t="s">
        <v>233</v>
      </c>
      <c r="HH3" s="191" t="s">
        <v>233</v>
      </c>
      <c r="HI3" s="191" t="s">
        <v>233</v>
      </c>
      <c r="HJ3" s="191" t="s">
        <v>233</v>
      </c>
      <c r="HK3" s="191" t="s">
        <v>233</v>
      </c>
      <c r="HL3" s="191" t="s">
        <v>233</v>
      </c>
      <c r="HM3" s="191" t="s">
        <v>233</v>
      </c>
      <c r="HN3" s="191" t="s">
        <v>233</v>
      </c>
      <c r="HO3" s="191" t="s">
        <v>233</v>
      </c>
      <c r="HP3" s="191" t="s">
        <v>233</v>
      </c>
      <c r="HQ3" s="191" t="s">
        <v>233</v>
      </c>
      <c r="HR3" s="191" t="s">
        <v>233</v>
      </c>
      <c r="HS3" s="191" t="s">
        <v>233</v>
      </c>
      <c r="HT3" s="191" t="s">
        <v>233</v>
      </c>
      <c r="HU3" s="191" t="s">
        <v>233</v>
      </c>
      <c r="HV3" s="191" t="s">
        <v>233</v>
      </c>
      <c r="HW3" s="191" t="s">
        <v>233</v>
      </c>
      <c r="HX3" s="191" t="s">
        <v>233</v>
      </c>
      <c r="HY3" s="191" t="s">
        <v>233</v>
      </c>
      <c r="HZ3" s="191" t="s">
        <v>233</v>
      </c>
      <c r="IA3" s="191" t="s">
        <v>233</v>
      </c>
      <c r="IB3" s="191" t="s">
        <v>233</v>
      </c>
      <c r="IC3" s="191" t="s">
        <v>233</v>
      </c>
      <c r="ID3" s="191" t="s">
        <v>233</v>
      </c>
      <c r="IE3" s="191" t="s">
        <v>233</v>
      </c>
      <c r="IF3" s="191" t="s">
        <v>233</v>
      </c>
      <c r="IG3" s="191" t="s">
        <v>233</v>
      </c>
      <c r="IH3" s="191" t="s">
        <v>233</v>
      </c>
      <c r="II3" s="191" t="s">
        <v>233</v>
      </c>
      <c r="IJ3" s="191" t="s">
        <v>233</v>
      </c>
      <c r="IK3" s="191" t="s">
        <v>233</v>
      </c>
      <c r="IL3" s="191" t="s">
        <v>233</v>
      </c>
      <c r="IM3" s="191" t="s">
        <v>233</v>
      </c>
      <c r="IN3" s="191" t="s">
        <v>233</v>
      </c>
      <c r="IO3" s="191" t="s">
        <v>233</v>
      </c>
      <c r="IP3" s="191" t="s">
        <v>233</v>
      </c>
      <c r="IQ3" s="191" t="s">
        <v>233</v>
      </c>
      <c r="IR3" s="191" t="s">
        <v>233</v>
      </c>
      <c r="IS3" s="191" t="s">
        <v>233</v>
      </c>
      <c r="IT3" s="191" t="s">
        <v>233</v>
      </c>
      <c r="IU3" s="191" t="s">
        <v>233</v>
      </c>
      <c r="IV3" s="191" t="s">
        <v>233</v>
      </c>
      <c r="IW3" s="191" t="s">
        <v>233</v>
      </c>
      <c r="IX3" s="191" t="s">
        <v>233</v>
      </c>
      <c r="IY3" s="191" t="s">
        <v>233</v>
      </c>
      <c r="IZ3" s="191" t="s">
        <v>233</v>
      </c>
      <c r="JA3" s="191" t="s">
        <v>233</v>
      </c>
      <c r="JB3" s="191" t="s">
        <v>233</v>
      </c>
      <c r="JC3" s="191" t="s">
        <v>233</v>
      </c>
      <c r="JD3" s="191" t="s">
        <v>233</v>
      </c>
      <c r="JE3" s="191" t="s">
        <v>233</v>
      </c>
      <c r="JF3" s="191" t="s">
        <v>233</v>
      </c>
      <c r="JG3" s="191" t="s">
        <v>233</v>
      </c>
      <c r="JH3" s="191" t="s">
        <v>233</v>
      </c>
      <c r="JI3" s="191" t="s">
        <v>233</v>
      </c>
      <c r="JJ3" s="191" t="s">
        <v>233</v>
      </c>
      <c r="JK3" s="191" t="s">
        <v>233</v>
      </c>
      <c r="JL3" s="191" t="s">
        <v>233</v>
      </c>
      <c r="JM3" s="191" t="s">
        <v>233</v>
      </c>
      <c r="JN3" s="191" t="s">
        <v>233</v>
      </c>
      <c r="JO3" s="191" t="s">
        <v>233</v>
      </c>
      <c r="JP3" s="191" t="s">
        <v>233</v>
      </c>
      <c r="JQ3" s="191" t="s">
        <v>233</v>
      </c>
      <c r="JR3" s="191" t="s">
        <v>233</v>
      </c>
      <c r="JS3" s="191" t="s">
        <v>233</v>
      </c>
      <c r="JT3" s="191" t="s">
        <v>233</v>
      </c>
      <c r="JU3" s="191" t="s">
        <v>233</v>
      </c>
      <c r="JV3" s="191" t="s">
        <v>233</v>
      </c>
      <c r="JW3" s="191" t="s">
        <v>233</v>
      </c>
      <c r="JX3" s="191" t="s">
        <v>233</v>
      </c>
      <c r="JY3" s="191" t="s">
        <v>233</v>
      </c>
      <c r="JZ3" s="191" t="s">
        <v>233</v>
      </c>
      <c r="KA3" s="191" t="s">
        <v>233</v>
      </c>
      <c r="KB3" s="191" t="s">
        <v>233</v>
      </c>
      <c r="KC3" s="191" t="s">
        <v>233</v>
      </c>
      <c r="KD3" s="191" t="s">
        <v>233</v>
      </c>
      <c r="KE3" s="191" t="s">
        <v>233</v>
      </c>
      <c r="KF3" s="191" t="s">
        <v>233</v>
      </c>
      <c r="KG3" s="191" t="s">
        <v>233</v>
      </c>
      <c r="KH3" s="191" t="s">
        <v>233</v>
      </c>
      <c r="KI3" s="191" t="s">
        <v>233</v>
      </c>
      <c r="KJ3" s="191" t="s">
        <v>233</v>
      </c>
      <c r="KK3" s="191" t="s">
        <v>233</v>
      </c>
      <c r="KL3" s="191" t="s">
        <v>233</v>
      </c>
      <c r="KM3" s="191" t="s">
        <v>233</v>
      </c>
      <c r="KN3" s="191" t="s">
        <v>233</v>
      </c>
      <c r="KO3" s="191" t="s">
        <v>233</v>
      </c>
      <c r="KP3" s="191" t="s">
        <v>233</v>
      </c>
      <c r="KQ3" s="191" t="s">
        <v>233</v>
      </c>
      <c r="KR3" s="191" t="s">
        <v>233</v>
      </c>
      <c r="KS3" s="191" t="s">
        <v>233</v>
      </c>
      <c r="KT3" s="191" t="s">
        <v>233</v>
      </c>
      <c r="KU3" s="191" t="s">
        <v>233</v>
      </c>
      <c r="KV3" s="191" t="s">
        <v>233</v>
      </c>
      <c r="KW3" s="191" t="s">
        <v>233</v>
      </c>
      <c r="KX3" s="191" t="s">
        <v>233</v>
      </c>
      <c r="KY3" s="191" t="s">
        <v>233</v>
      </c>
      <c r="KZ3" s="191" t="s">
        <v>233</v>
      </c>
      <c r="LA3" s="191" t="s">
        <v>233</v>
      </c>
      <c r="LB3" s="191" t="s">
        <v>233</v>
      </c>
      <c r="LC3" s="191" t="s">
        <v>233</v>
      </c>
      <c r="LD3" s="191" t="s">
        <v>233</v>
      </c>
      <c r="LE3" s="191" t="s">
        <v>233</v>
      </c>
      <c r="LF3" s="191" t="s">
        <v>233</v>
      </c>
      <c r="LG3" s="191" t="s">
        <v>233</v>
      </c>
      <c r="LH3" s="191" t="s">
        <v>233</v>
      </c>
      <c r="LI3" s="191" t="s">
        <v>233</v>
      </c>
      <c r="LJ3" s="191" t="s">
        <v>233</v>
      </c>
      <c r="LK3" s="191" t="s">
        <v>233</v>
      </c>
      <c r="LL3" s="191" t="s">
        <v>233</v>
      </c>
      <c r="LM3" s="191" t="s">
        <v>233</v>
      </c>
      <c r="LN3" s="191" t="s">
        <v>233</v>
      </c>
      <c r="LO3" s="191" t="s">
        <v>233</v>
      </c>
      <c r="LP3" s="191" t="s">
        <v>233</v>
      </c>
      <c r="LQ3" s="191" t="s">
        <v>233</v>
      </c>
      <c r="LR3" s="191" t="s">
        <v>233</v>
      </c>
      <c r="LS3" s="191" t="s">
        <v>233</v>
      </c>
      <c r="LT3" s="191" t="s">
        <v>233</v>
      </c>
      <c r="LU3" s="191" t="s">
        <v>233</v>
      </c>
      <c r="LV3" s="191" t="s">
        <v>233</v>
      </c>
      <c r="LW3" s="191" t="s">
        <v>233</v>
      </c>
      <c r="LX3" s="191" t="s">
        <v>233</v>
      </c>
      <c r="LY3" s="191" t="s">
        <v>233</v>
      </c>
      <c r="LZ3" s="191" t="s">
        <v>233</v>
      </c>
      <c r="MA3" s="191" t="s">
        <v>233</v>
      </c>
      <c r="MB3" s="191" t="s">
        <v>233</v>
      </c>
      <c r="MC3" s="191" t="s">
        <v>233</v>
      </c>
      <c r="MD3" s="191" t="s">
        <v>233</v>
      </c>
      <c r="ME3" s="191" t="s">
        <v>233</v>
      </c>
      <c r="MF3" s="191" t="s">
        <v>233</v>
      </c>
      <c r="MG3" s="191" t="s">
        <v>233</v>
      </c>
      <c r="MH3" s="191" t="s">
        <v>233</v>
      </c>
      <c r="MI3" s="191" t="s">
        <v>233</v>
      </c>
      <c r="MJ3" s="191" t="s">
        <v>233</v>
      </c>
      <c r="MK3" s="191" t="s">
        <v>233</v>
      </c>
      <c r="ML3" s="191" t="s">
        <v>233</v>
      </c>
      <c r="MM3" s="191" t="s">
        <v>233</v>
      </c>
      <c r="MN3" s="191" t="s">
        <v>233</v>
      </c>
      <c r="MO3" s="191" t="s">
        <v>233</v>
      </c>
      <c r="MP3" s="191" t="s">
        <v>233</v>
      </c>
      <c r="MQ3" s="191" t="s">
        <v>233</v>
      </c>
      <c r="MR3" s="191" t="s">
        <v>233</v>
      </c>
      <c r="MS3" s="191" t="s">
        <v>233</v>
      </c>
      <c r="MT3" s="191" t="s">
        <v>233</v>
      </c>
      <c r="MU3" s="191" t="s">
        <v>233</v>
      </c>
      <c r="MV3" s="191" t="s">
        <v>233</v>
      </c>
      <c r="MW3" s="191" t="s">
        <v>233</v>
      </c>
      <c r="MX3" s="191" t="s">
        <v>233</v>
      </c>
      <c r="MY3" s="191" t="s">
        <v>233</v>
      </c>
      <c r="MZ3" s="191" t="s">
        <v>233</v>
      </c>
      <c r="NA3" s="191" t="s">
        <v>233</v>
      </c>
      <c r="NB3" s="191" t="s">
        <v>233</v>
      </c>
      <c r="NC3" s="191" t="s">
        <v>233</v>
      </c>
      <c r="ND3" s="191" t="s">
        <v>233</v>
      </c>
      <c r="NE3" s="191" t="s">
        <v>233</v>
      </c>
      <c r="NF3" s="191" t="s">
        <v>233</v>
      </c>
      <c r="NG3" s="191" t="s">
        <v>233</v>
      </c>
      <c r="NH3" s="191" t="s">
        <v>233</v>
      </c>
      <c r="NI3" s="191" t="s">
        <v>233</v>
      </c>
      <c r="NJ3" s="191" t="s">
        <v>233</v>
      </c>
      <c r="NK3" s="191" t="s">
        <v>233</v>
      </c>
      <c r="NL3" s="191" t="s">
        <v>233</v>
      </c>
      <c r="NM3" s="191" t="s">
        <v>233</v>
      </c>
      <c r="NN3" s="191" t="s">
        <v>233</v>
      </c>
      <c r="NO3" s="191" t="s">
        <v>233</v>
      </c>
      <c r="NP3" s="191" t="s">
        <v>233</v>
      </c>
      <c r="NQ3" s="191" t="s">
        <v>233</v>
      </c>
      <c r="NR3" s="191" t="s">
        <v>233</v>
      </c>
      <c r="NS3" s="191" t="s">
        <v>233</v>
      </c>
      <c r="NT3" s="191" t="s">
        <v>233</v>
      </c>
      <c r="NU3" s="191" t="s">
        <v>233</v>
      </c>
      <c r="NV3" s="191" t="s">
        <v>233</v>
      </c>
      <c r="NW3" s="191" t="s">
        <v>233</v>
      </c>
      <c r="NX3" s="191" t="s">
        <v>233</v>
      </c>
      <c r="NY3" s="191" t="s">
        <v>233</v>
      </c>
      <c r="NZ3" s="191" t="s">
        <v>233</v>
      </c>
      <c r="OA3" s="191" t="s">
        <v>233</v>
      </c>
      <c r="OB3" s="191" t="s">
        <v>233</v>
      </c>
      <c r="OC3" s="191" t="s">
        <v>233</v>
      </c>
      <c r="OD3" s="191" t="s">
        <v>233</v>
      </c>
      <c r="OE3" s="191" t="s">
        <v>233</v>
      </c>
      <c r="OF3" s="191" t="s">
        <v>233</v>
      </c>
      <c r="OG3" s="191" t="s">
        <v>233</v>
      </c>
      <c r="OH3" s="191" t="s">
        <v>233</v>
      </c>
      <c r="OI3" s="191" t="s">
        <v>233</v>
      </c>
      <c r="OJ3" s="191" t="s">
        <v>233</v>
      </c>
      <c r="OK3" s="191" t="s">
        <v>233</v>
      </c>
      <c r="OL3" s="191" t="s">
        <v>233</v>
      </c>
      <c r="OM3" s="191" t="s">
        <v>233</v>
      </c>
      <c r="ON3" s="191" t="s">
        <v>233</v>
      </c>
      <c r="OO3" s="191" t="s">
        <v>233</v>
      </c>
      <c r="OP3" s="191" t="s">
        <v>233</v>
      </c>
      <c r="OQ3" s="191" t="s">
        <v>233</v>
      </c>
      <c r="OR3" s="191" t="s">
        <v>233</v>
      </c>
      <c r="OS3" s="191" t="s">
        <v>233</v>
      </c>
      <c r="OT3" s="191" t="s">
        <v>233</v>
      </c>
      <c r="OU3" s="191" t="s">
        <v>233</v>
      </c>
      <c r="OV3" s="191" t="s">
        <v>233</v>
      </c>
      <c r="OW3" s="191" t="s">
        <v>233</v>
      </c>
      <c r="OX3" s="191" t="s">
        <v>233</v>
      </c>
      <c r="OY3" s="191" t="s">
        <v>233</v>
      </c>
      <c r="OZ3" s="191" t="s">
        <v>233</v>
      </c>
      <c r="PA3" s="191" t="s">
        <v>233</v>
      </c>
      <c r="PB3" s="191" t="s">
        <v>233</v>
      </c>
      <c r="PC3" s="191" t="s">
        <v>233</v>
      </c>
      <c r="PD3" s="191" t="s">
        <v>233</v>
      </c>
      <c r="PE3" s="191" t="s">
        <v>233</v>
      </c>
      <c r="PF3" s="191" t="s">
        <v>233</v>
      </c>
      <c r="PG3" s="191" t="s">
        <v>233</v>
      </c>
      <c r="PH3" s="191" t="s">
        <v>233</v>
      </c>
      <c r="PI3" s="191" t="s">
        <v>233</v>
      </c>
      <c r="PJ3" s="191" t="s">
        <v>233</v>
      </c>
      <c r="PK3" s="191" t="s">
        <v>233</v>
      </c>
      <c r="PL3" s="191" t="s">
        <v>233</v>
      </c>
      <c r="PM3" s="191" t="s">
        <v>233</v>
      </c>
      <c r="PN3" s="191" t="s">
        <v>233</v>
      </c>
      <c r="PO3" s="191" t="s">
        <v>233</v>
      </c>
      <c r="PP3" s="191" t="s">
        <v>233</v>
      </c>
      <c r="PQ3" s="191" t="s">
        <v>233</v>
      </c>
      <c r="PR3" s="191" t="s">
        <v>233</v>
      </c>
      <c r="PS3" s="191" t="s">
        <v>233</v>
      </c>
      <c r="PT3" s="191" t="s">
        <v>233</v>
      </c>
      <c r="PU3" s="191" t="s">
        <v>233</v>
      </c>
      <c r="PV3" s="191" t="s">
        <v>233</v>
      </c>
      <c r="PW3" s="191" t="s">
        <v>233</v>
      </c>
      <c r="PX3" s="191" t="s">
        <v>233</v>
      </c>
      <c r="PY3" s="191" t="s">
        <v>233</v>
      </c>
      <c r="PZ3" s="191" t="s">
        <v>233</v>
      </c>
      <c r="QA3" s="191" t="s">
        <v>233</v>
      </c>
      <c r="QB3" s="191" t="s">
        <v>233</v>
      </c>
      <c r="QC3" s="191" t="s">
        <v>233</v>
      </c>
      <c r="QD3" s="191" t="s">
        <v>233</v>
      </c>
      <c r="QE3" s="191" t="s">
        <v>233</v>
      </c>
      <c r="QF3" s="191" t="s">
        <v>233</v>
      </c>
      <c r="QG3" s="191" t="s">
        <v>233</v>
      </c>
      <c r="QH3" s="191" t="s">
        <v>233</v>
      </c>
      <c r="QI3" s="191" t="s">
        <v>233</v>
      </c>
      <c r="QJ3" s="191" t="s">
        <v>233</v>
      </c>
      <c r="QK3" s="191" t="s">
        <v>233</v>
      </c>
      <c r="QL3" s="191" t="s">
        <v>233</v>
      </c>
      <c r="QM3" s="191" t="s">
        <v>233</v>
      </c>
      <c r="QN3" s="191" t="s">
        <v>233</v>
      </c>
      <c r="QO3" s="191" t="s">
        <v>233</v>
      </c>
      <c r="QP3" s="191" t="s">
        <v>233</v>
      </c>
      <c r="QQ3" s="191" t="s">
        <v>233</v>
      </c>
      <c r="QR3" s="191" t="s">
        <v>233</v>
      </c>
      <c r="QS3" s="191" t="s">
        <v>233</v>
      </c>
      <c r="QT3" s="191" t="s">
        <v>233</v>
      </c>
      <c r="QU3" s="191" t="s">
        <v>233</v>
      </c>
      <c r="QV3" s="191" t="s">
        <v>233</v>
      </c>
      <c r="QW3" s="191" t="s">
        <v>233</v>
      </c>
      <c r="QX3" s="191" t="s">
        <v>233</v>
      </c>
      <c r="QY3" s="191" t="s">
        <v>233</v>
      </c>
      <c r="QZ3" s="191" t="s">
        <v>233</v>
      </c>
      <c r="RA3" s="191" t="s">
        <v>233</v>
      </c>
      <c r="RB3" s="191" t="s">
        <v>233</v>
      </c>
      <c r="RC3" s="191" t="s">
        <v>233</v>
      </c>
      <c r="RD3" s="191" t="s">
        <v>233</v>
      </c>
      <c r="RE3" s="191" t="s">
        <v>233</v>
      </c>
      <c r="RF3" s="191" t="s">
        <v>233</v>
      </c>
      <c r="RG3" s="191" t="s">
        <v>233</v>
      </c>
      <c r="RH3" s="191" t="s">
        <v>233</v>
      </c>
      <c r="RI3" s="191" t="s">
        <v>233</v>
      </c>
      <c r="RJ3" s="191" t="s">
        <v>233</v>
      </c>
      <c r="RK3" s="191" t="s">
        <v>233</v>
      </c>
      <c r="RL3" s="191" t="s">
        <v>233</v>
      </c>
      <c r="RM3" s="191" t="s">
        <v>233</v>
      </c>
      <c r="RN3" s="191" t="s">
        <v>233</v>
      </c>
      <c r="RO3" s="191" t="s">
        <v>233</v>
      </c>
      <c r="RP3" s="191" t="s">
        <v>233</v>
      </c>
      <c r="RQ3" s="191" t="s">
        <v>233</v>
      </c>
      <c r="RR3" s="191" t="s">
        <v>233</v>
      </c>
      <c r="RS3" s="191" t="s">
        <v>233</v>
      </c>
      <c r="RT3" s="191" t="s">
        <v>233</v>
      </c>
      <c r="RU3" s="191" t="s">
        <v>233</v>
      </c>
      <c r="RV3" s="191" t="s">
        <v>233</v>
      </c>
      <c r="RW3" s="191" t="s">
        <v>233</v>
      </c>
      <c r="RX3" s="191" t="s">
        <v>233</v>
      </c>
      <c r="RY3" s="191" t="s">
        <v>233</v>
      </c>
      <c r="RZ3" s="191" t="s">
        <v>233</v>
      </c>
      <c r="SA3" s="191" t="s">
        <v>233</v>
      </c>
      <c r="SB3" s="191" t="s">
        <v>233</v>
      </c>
      <c r="SC3" s="191" t="s">
        <v>233</v>
      </c>
      <c r="SD3" s="191" t="s">
        <v>233</v>
      </c>
      <c r="SE3" s="191" t="s">
        <v>233</v>
      </c>
      <c r="SF3" s="191" t="s">
        <v>233</v>
      </c>
      <c r="SG3" s="191" t="s">
        <v>233</v>
      </c>
      <c r="SH3" s="191" t="s">
        <v>233</v>
      </c>
      <c r="SI3" s="191" t="s">
        <v>233</v>
      </c>
      <c r="SJ3" s="191" t="s">
        <v>233</v>
      </c>
      <c r="SK3" s="191" t="s">
        <v>233</v>
      </c>
      <c r="SL3" s="191" t="s">
        <v>233</v>
      </c>
      <c r="SM3" s="191" t="s">
        <v>233</v>
      </c>
      <c r="SN3" s="191" t="s">
        <v>233</v>
      </c>
      <c r="SO3" s="191" t="s">
        <v>233</v>
      </c>
      <c r="SP3" s="191" t="s">
        <v>233</v>
      </c>
      <c r="SQ3" s="191" t="s">
        <v>233</v>
      </c>
      <c r="SR3" s="191" t="s">
        <v>233</v>
      </c>
      <c r="SS3" s="191" t="s">
        <v>233</v>
      </c>
      <c r="ST3" s="191" t="s">
        <v>233</v>
      </c>
      <c r="SU3" s="191" t="s">
        <v>233</v>
      </c>
      <c r="SV3" s="191" t="s">
        <v>233</v>
      </c>
      <c r="SW3" s="191" t="s">
        <v>233</v>
      </c>
      <c r="SX3" s="191" t="s">
        <v>233</v>
      </c>
      <c r="SY3" s="191" t="s">
        <v>233</v>
      </c>
      <c r="SZ3" s="191" t="s">
        <v>233</v>
      </c>
      <c r="TA3" s="191" t="s">
        <v>233</v>
      </c>
      <c r="TB3" s="191" t="s">
        <v>233</v>
      </c>
      <c r="TC3" s="191" t="s">
        <v>233</v>
      </c>
      <c r="TD3" s="191" t="s">
        <v>233</v>
      </c>
      <c r="TE3" s="191" t="s">
        <v>233</v>
      </c>
      <c r="TF3" s="191" t="s">
        <v>233</v>
      </c>
      <c r="TG3" s="191" t="s">
        <v>233</v>
      </c>
      <c r="TH3" s="191" t="s">
        <v>233</v>
      </c>
      <c r="TI3" s="191" t="s">
        <v>233</v>
      </c>
      <c r="TJ3" s="191" t="s">
        <v>233</v>
      </c>
      <c r="TK3" s="191" t="s">
        <v>233</v>
      </c>
      <c r="TL3" s="191" t="s">
        <v>233</v>
      </c>
      <c r="TM3" s="191" t="s">
        <v>233</v>
      </c>
      <c r="TN3" s="191" t="s">
        <v>233</v>
      </c>
      <c r="TO3" s="191" t="s">
        <v>233</v>
      </c>
      <c r="TP3" s="191" t="s">
        <v>233</v>
      </c>
      <c r="TQ3" s="191" t="s">
        <v>233</v>
      </c>
      <c r="TR3" s="191" t="s">
        <v>233</v>
      </c>
      <c r="TS3" s="191" t="s">
        <v>233</v>
      </c>
      <c r="TT3" s="191" t="s">
        <v>233</v>
      </c>
      <c r="TU3" s="191" t="s">
        <v>233</v>
      </c>
      <c r="TV3" s="191" t="s">
        <v>233</v>
      </c>
      <c r="TW3" s="191" t="s">
        <v>233</v>
      </c>
      <c r="TX3" s="191" t="s">
        <v>233</v>
      </c>
      <c r="TY3" s="191" t="s">
        <v>233</v>
      </c>
      <c r="TZ3" s="191" t="s">
        <v>233</v>
      </c>
      <c r="UA3" s="191" t="s">
        <v>233</v>
      </c>
      <c r="UB3" s="191" t="s">
        <v>233</v>
      </c>
      <c r="UC3" s="191" t="s">
        <v>233</v>
      </c>
      <c r="UD3" s="191" t="s">
        <v>233</v>
      </c>
      <c r="UE3" s="191" t="s">
        <v>233</v>
      </c>
      <c r="UF3" s="191" t="s">
        <v>233</v>
      </c>
      <c r="UG3" s="191" t="s">
        <v>233</v>
      </c>
      <c r="UH3" s="191" t="s">
        <v>233</v>
      </c>
      <c r="UI3" s="191" t="s">
        <v>233</v>
      </c>
      <c r="UJ3" s="191" t="s">
        <v>233</v>
      </c>
      <c r="UK3" s="191" t="s">
        <v>233</v>
      </c>
      <c r="UL3" s="191" t="s">
        <v>233</v>
      </c>
      <c r="UM3" s="191" t="s">
        <v>233</v>
      </c>
      <c r="UN3" s="191" t="s">
        <v>233</v>
      </c>
      <c r="UO3" s="191" t="s">
        <v>233</v>
      </c>
      <c r="UP3" s="191" t="s">
        <v>233</v>
      </c>
      <c r="UQ3" s="191" t="s">
        <v>233</v>
      </c>
      <c r="UR3" s="191" t="s">
        <v>233</v>
      </c>
      <c r="US3" s="191" t="s">
        <v>233</v>
      </c>
      <c r="UT3" s="191" t="s">
        <v>233</v>
      </c>
      <c r="UU3" s="191" t="s">
        <v>233</v>
      </c>
      <c r="UV3" s="191" t="s">
        <v>233</v>
      </c>
      <c r="UW3" s="191" t="s">
        <v>233</v>
      </c>
      <c r="UX3" s="191" t="s">
        <v>233</v>
      </c>
      <c r="UY3" s="191" t="s">
        <v>233</v>
      </c>
      <c r="UZ3" s="191" t="s">
        <v>233</v>
      </c>
      <c r="VA3" s="191" t="s">
        <v>233</v>
      </c>
      <c r="VB3" s="191" t="s">
        <v>233</v>
      </c>
      <c r="VC3" s="191" t="s">
        <v>233</v>
      </c>
      <c r="VD3" s="191" t="s">
        <v>233</v>
      </c>
      <c r="VE3" s="191" t="s">
        <v>233</v>
      </c>
      <c r="VF3" s="191" t="s">
        <v>233</v>
      </c>
      <c r="VG3" s="191" t="s">
        <v>233</v>
      </c>
      <c r="VH3" s="191" t="s">
        <v>233</v>
      </c>
      <c r="VI3" s="191" t="s">
        <v>233</v>
      </c>
      <c r="VJ3" s="191" t="s">
        <v>233</v>
      </c>
      <c r="VK3" s="191" t="s">
        <v>233</v>
      </c>
      <c r="VL3" s="191" t="s">
        <v>233</v>
      </c>
      <c r="VM3" s="191" t="s">
        <v>233</v>
      </c>
      <c r="VN3" s="191" t="s">
        <v>233</v>
      </c>
      <c r="VO3" s="191" t="s">
        <v>233</v>
      </c>
      <c r="VP3" s="191" t="s">
        <v>233</v>
      </c>
      <c r="VQ3" s="191" t="s">
        <v>233</v>
      </c>
      <c r="VR3" s="191" t="s">
        <v>233</v>
      </c>
      <c r="VS3" s="191" t="s">
        <v>233</v>
      </c>
      <c r="VT3" s="191" t="s">
        <v>233</v>
      </c>
      <c r="VU3" s="191" t="s">
        <v>233</v>
      </c>
      <c r="VV3" s="191" t="s">
        <v>233</v>
      </c>
      <c r="VW3" s="191" t="s">
        <v>233</v>
      </c>
      <c r="VX3" s="191" t="s">
        <v>233</v>
      </c>
      <c r="VY3" s="191" t="s">
        <v>233</v>
      </c>
      <c r="VZ3" s="191" t="s">
        <v>233</v>
      </c>
      <c r="WA3" s="191" t="s">
        <v>233</v>
      </c>
      <c r="WB3" s="191" t="s">
        <v>233</v>
      </c>
      <c r="WC3" s="191" t="s">
        <v>233</v>
      </c>
      <c r="WD3" s="191" t="s">
        <v>233</v>
      </c>
      <c r="WE3" s="191" t="s">
        <v>233</v>
      </c>
      <c r="WF3" s="191" t="s">
        <v>233</v>
      </c>
      <c r="WG3" s="191" t="s">
        <v>233</v>
      </c>
      <c r="WH3" s="191" t="s">
        <v>233</v>
      </c>
      <c r="WI3" s="191" t="s">
        <v>233</v>
      </c>
      <c r="WJ3" s="191" t="s">
        <v>233</v>
      </c>
      <c r="WK3" s="191" t="s">
        <v>233</v>
      </c>
      <c r="WL3" s="191" t="s">
        <v>233</v>
      </c>
      <c r="WM3" s="191" t="s">
        <v>233</v>
      </c>
      <c r="WN3" s="191" t="s">
        <v>233</v>
      </c>
      <c r="WO3" s="191" t="s">
        <v>233</v>
      </c>
      <c r="WP3" s="191" t="s">
        <v>233</v>
      </c>
      <c r="WQ3" s="191" t="s">
        <v>233</v>
      </c>
      <c r="WR3" s="191" t="s">
        <v>233</v>
      </c>
      <c r="WS3" s="191" t="s">
        <v>233</v>
      </c>
      <c r="WT3" s="191" t="s">
        <v>233</v>
      </c>
      <c r="WU3" s="191" t="s">
        <v>233</v>
      </c>
      <c r="WV3" s="191" t="s">
        <v>233</v>
      </c>
      <c r="WW3" s="191" t="s">
        <v>233</v>
      </c>
      <c r="WX3" s="191" t="s">
        <v>233</v>
      </c>
      <c r="WY3" s="191" t="s">
        <v>233</v>
      </c>
      <c r="WZ3" s="191" t="s">
        <v>233</v>
      </c>
      <c r="XA3" s="191" t="s">
        <v>233</v>
      </c>
      <c r="XB3" s="191" t="s">
        <v>233</v>
      </c>
      <c r="XC3" s="191" t="s">
        <v>233</v>
      </c>
      <c r="XD3" s="191" t="s">
        <v>233</v>
      </c>
      <c r="XE3" s="191" t="s">
        <v>233</v>
      </c>
      <c r="XF3" s="191" t="s">
        <v>233</v>
      </c>
      <c r="XG3" s="191" t="s">
        <v>233</v>
      </c>
      <c r="XH3" s="191" t="s">
        <v>233</v>
      </c>
      <c r="XI3" s="191" t="s">
        <v>233</v>
      </c>
      <c r="XJ3" s="191" t="s">
        <v>233</v>
      </c>
      <c r="XK3" s="191" t="s">
        <v>233</v>
      </c>
      <c r="XL3" s="191" t="s">
        <v>233</v>
      </c>
      <c r="XM3" s="191" t="s">
        <v>233</v>
      </c>
      <c r="XN3" s="191" t="s">
        <v>233</v>
      </c>
      <c r="XO3" s="191" t="s">
        <v>233</v>
      </c>
      <c r="XP3" s="191" t="s">
        <v>233</v>
      </c>
      <c r="XQ3" s="191" t="s">
        <v>233</v>
      </c>
      <c r="XR3" s="191" t="s">
        <v>233</v>
      </c>
      <c r="XS3" s="191" t="s">
        <v>233</v>
      </c>
      <c r="XT3" s="191" t="s">
        <v>233</v>
      </c>
      <c r="XU3" s="191" t="s">
        <v>233</v>
      </c>
      <c r="XV3" s="191" t="s">
        <v>233</v>
      </c>
      <c r="XW3" s="191" t="s">
        <v>233</v>
      </c>
      <c r="XX3" s="191" t="s">
        <v>233</v>
      </c>
      <c r="XY3" s="191" t="s">
        <v>233</v>
      </c>
      <c r="XZ3" s="191" t="s">
        <v>233</v>
      </c>
      <c r="YA3" s="191" t="s">
        <v>233</v>
      </c>
      <c r="YB3" s="191" t="s">
        <v>233</v>
      </c>
      <c r="YC3" s="191" t="s">
        <v>233</v>
      </c>
      <c r="YD3" s="191" t="s">
        <v>233</v>
      </c>
      <c r="YE3" s="191" t="s">
        <v>233</v>
      </c>
      <c r="YF3" s="191" t="s">
        <v>233</v>
      </c>
      <c r="YG3" s="191" t="s">
        <v>233</v>
      </c>
      <c r="YH3" s="191" t="s">
        <v>233</v>
      </c>
      <c r="YI3" s="191" t="s">
        <v>233</v>
      </c>
      <c r="YJ3" s="191" t="s">
        <v>233</v>
      </c>
      <c r="YK3" s="191" t="s">
        <v>233</v>
      </c>
      <c r="YL3" s="191" t="s">
        <v>233</v>
      </c>
      <c r="YM3" s="191" t="s">
        <v>233</v>
      </c>
      <c r="YN3" s="191" t="s">
        <v>233</v>
      </c>
      <c r="YO3" s="191" t="s">
        <v>233</v>
      </c>
      <c r="YP3" s="191" t="s">
        <v>233</v>
      </c>
      <c r="YQ3" s="191" t="s">
        <v>233</v>
      </c>
      <c r="YR3" s="191" t="s">
        <v>233</v>
      </c>
      <c r="YS3" s="191" t="s">
        <v>233</v>
      </c>
      <c r="YT3" s="191" t="s">
        <v>233</v>
      </c>
      <c r="YU3" s="191" t="s">
        <v>233</v>
      </c>
      <c r="YV3" s="191" t="s">
        <v>233</v>
      </c>
      <c r="YW3" s="191" t="s">
        <v>233</v>
      </c>
      <c r="YX3" s="191" t="s">
        <v>233</v>
      </c>
      <c r="YY3" s="191" t="s">
        <v>233</v>
      </c>
      <c r="YZ3" s="191" t="s">
        <v>233</v>
      </c>
      <c r="ZA3" s="191" t="s">
        <v>233</v>
      </c>
      <c r="ZB3" s="191" t="s">
        <v>233</v>
      </c>
      <c r="ZC3" s="191" t="s">
        <v>233</v>
      </c>
      <c r="ZD3" s="191" t="s">
        <v>233</v>
      </c>
      <c r="ZE3" s="191" t="s">
        <v>233</v>
      </c>
      <c r="ZF3" s="191" t="s">
        <v>233</v>
      </c>
      <c r="ZG3" s="191" t="s">
        <v>233</v>
      </c>
      <c r="ZH3" s="191" t="s">
        <v>233</v>
      </c>
      <c r="ZI3" s="191" t="s">
        <v>233</v>
      </c>
      <c r="ZJ3" s="191" t="s">
        <v>233</v>
      </c>
      <c r="ZK3" s="191" t="s">
        <v>233</v>
      </c>
      <c r="ZL3" s="191" t="s">
        <v>233</v>
      </c>
      <c r="ZM3" s="191" t="s">
        <v>233</v>
      </c>
      <c r="ZN3" s="191" t="s">
        <v>233</v>
      </c>
      <c r="ZO3" s="191" t="s">
        <v>233</v>
      </c>
      <c r="ZP3" s="191" t="s">
        <v>233</v>
      </c>
      <c r="ZQ3" s="191" t="s">
        <v>233</v>
      </c>
      <c r="ZR3" s="191" t="s">
        <v>233</v>
      </c>
      <c r="ZS3" s="191" t="s">
        <v>233</v>
      </c>
      <c r="ZT3" s="191" t="s">
        <v>233</v>
      </c>
      <c r="ZU3" s="191" t="s">
        <v>233</v>
      </c>
      <c r="ZV3" s="191" t="s">
        <v>233</v>
      </c>
      <c r="ZW3" s="191" t="s">
        <v>233</v>
      </c>
      <c r="ZX3" s="191" t="s">
        <v>233</v>
      </c>
      <c r="ZY3" s="191" t="s">
        <v>233</v>
      </c>
      <c r="ZZ3" s="191" t="s">
        <v>233</v>
      </c>
    </row>
    <row r="4" spans="1:702" s="192" customFormat="1" ht="12.75" thickBot="1" x14ac:dyDescent="0.25">
      <c r="A4" s="244" t="s">
        <v>828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634</v>
      </c>
      <c r="E4" s="192" t="s">
        <v>634</v>
      </c>
      <c r="F4" s="192" t="s">
        <v>634</v>
      </c>
      <c r="G4" s="192" t="s">
        <v>634</v>
      </c>
      <c r="H4" s="192" t="s">
        <v>828</v>
      </c>
      <c r="I4" s="192" t="s">
        <v>828</v>
      </c>
      <c r="J4" s="192" t="s">
        <v>845</v>
      </c>
      <c r="K4" s="192" t="s">
        <v>845</v>
      </c>
      <c r="L4" s="192" t="s">
        <v>845</v>
      </c>
      <c r="M4" s="193" t="s">
        <v>845</v>
      </c>
      <c r="N4" s="192" t="s">
        <v>845</v>
      </c>
      <c r="O4" s="192" t="s">
        <v>845</v>
      </c>
      <c r="P4" s="192" t="s">
        <v>845</v>
      </c>
      <c r="Q4" s="192" t="s">
        <v>845</v>
      </c>
      <c r="R4" s="192" t="s">
        <v>845</v>
      </c>
      <c r="S4" s="192" t="s">
        <v>634</v>
      </c>
      <c r="T4" s="192" t="s">
        <v>634</v>
      </c>
      <c r="U4" s="192" t="s">
        <v>828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343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326</v>
      </c>
      <c r="E5" s="192" t="s">
        <v>326</v>
      </c>
      <c r="F5" s="192" t="s">
        <v>325</v>
      </c>
      <c r="G5" s="192" t="s">
        <v>325</v>
      </c>
      <c r="H5" s="192" t="s">
        <v>343</v>
      </c>
      <c r="I5" s="192" t="s">
        <v>343</v>
      </c>
      <c r="J5" s="192" t="s">
        <v>304</v>
      </c>
      <c r="K5" s="192" t="s">
        <v>304</v>
      </c>
      <c r="L5" s="192" t="s">
        <v>304</v>
      </c>
      <c r="M5" s="193" t="s">
        <v>304</v>
      </c>
      <c r="N5" s="192" t="s">
        <v>325</v>
      </c>
      <c r="O5" s="192" t="s">
        <v>325</v>
      </c>
      <c r="P5" s="192" t="s">
        <v>304</v>
      </c>
      <c r="Q5" s="192" t="s">
        <v>304</v>
      </c>
      <c r="R5" s="192" t="s">
        <v>325</v>
      </c>
      <c r="S5" s="192" t="s">
        <v>326</v>
      </c>
      <c r="T5" s="192" t="s">
        <v>325</v>
      </c>
      <c r="U5" s="192" t="s">
        <v>343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749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720</v>
      </c>
      <c r="E6" s="192" t="s">
        <v>720</v>
      </c>
      <c r="F6" s="192" t="s">
        <v>719</v>
      </c>
      <c r="G6" s="192" t="s">
        <v>719</v>
      </c>
      <c r="H6" s="192" t="s">
        <v>749</v>
      </c>
      <c r="I6" s="192" t="s">
        <v>749</v>
      </c>
      <c r="J6" s="192" t="s">
        <v>726</v>
      </c>
      <c r="K6" s="192" t="s">
        <v>726</v>
      </c>
      <c r="L6" s="192" t="s">
        <v>726</v>
      </c>
      <c r="M6" s="193" t="s">
        <v>726</v>
      </c>
      <c r="N6" s="192" t="s">
        <v>719</v>
      </c>
      <c r="O6" s="192" t="s">
        <v>719</v>
      </c>
      <c r="P6" s="192" t="s">
        <v>726</v>
      </c>
      <c r="Q6" s="192" t="s">
        <v>726</v>
      </c>
      <c r="R6" s="192" t="s">
        <v>719</v>
      </c>
      <c r="S6" s="192" t="s">
        <v>720</v>
      </c>
      <c r="T6" s="192" t="s">
        <v>719</v>
      </c>
      <c r="U6" s="192" t="s">
        <v>749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436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436</v>
      </c>
      <c r="E16" s="192" t="s">
        <v>436</v>
      </c>
      <c r="F16" s="192" t="s">
        <v>437</v>
      </c>
      <c r="G16" s="192" t="s">
        <v>437</v>
      </c>
      <c r="H16" s="192" t="s">
        <v>436</v>
      </c>
      <c r="I16" s="192" t="s">
        <v>436</v>
      </c>
      <c r="J16" s="192" t="s">
        <v>434</v>
      </c>
      <c r="K16" s="192" t="s">
        <v>434</v>
      </c>
      <c r="L16" s="192" t="s">
        <v>434</v>
      </c>
      <c r="M16" s="193" t="s">
        <v>434</v>
      </c>
      <c r="N16" s="192" t="s">
        <v>436</v>
      </c>
      <c r="O16" s="192" t="s">
        <v>436</v>
      </c>
      <c r="P16" s="192" t="s">
        <v>434</v>
      </c>
      <c r="Q16" s="192" t="s">
        <v>434</v>
      </c>
      <c r="R16" s="192" t="s">
        <v>436</v>
      </c>
      <c r="S16" s="192" t="s">
        <v>436</v>
      </c>
      <c r="T16" s="192" t="s">
        <v>437</v>
      </c>
      <c r="U16" s="192" t="s">
        <v>436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470</v>
      </c>
      <c r="B17" s="195" t="str">
        <f>VLOOKUP(VLOOKUP(HLOOKUP($B$2,DB_Artikel,ROW()-1,FALSE),Auswahlfelder!$D$36:$E$38,2,FALSE),Auswahlfelder!$A$36:$B$38,2,FALSE)</f>
        <v>automatisch</v>
      </c>
      <c r="C17" s="211" t="str">
        <f>'Quick Input'!I22</f>
        <v>Formverfahren</v>
      </c>
      <c r="D17" s="192" t="s">
        <v>468</v>
      </c>
      <c r="E17" s="192" t="s">
        <v>468</v>
      </c>
      <c r="F17" s="192" t="s">
        <v>468</v>
      </c>
      <c r="G17" s="192" t="s">
        <v>468</v>
      </c>
      <c r="H17" s="192" t="s">
        <v>470</v>
      </c>
      <c r="I17" s="192" t="s">
        <v>470</v>
      </c>
      <c r="J17" s="192" t="s">
        <v>468</v>
      </c>
      <c r="K17" s="192" t="s">
        <v>468</v>
      </c>
      <c r="L17" s="192" t="s">
        <v>468</v>
      </c>
      <c r="M17" s="193" t="s">
        <v>468</v>
      </c>
      <c r="N17" s="192" t="s">
        <v>470</v>
      </c>
      <c r="O17" s="192" t="s">
        <v>470</v>
      </c>
      <c r="P17" s="192" t="s">
        <v>468</v>
      </c>
      <c r="Q17" s="192" t="s">
        <v>468</v>
      </c>
      <c r="R17" s="192" t="s">
        <v>470</v>
      </c>
      <c r="S17" s="192" t="s">
        <v>468</v>
      </c>
      <c r="T17" s="192" t="s">
        <v>468</v>
      </c>
      <c r="U17" s="192" t="s">
        <v>470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372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Sandkerne</v>
      </c>
      <c r="D18" s="192" t="s">
        <v>371</v>
      </c>
      <c r="E18" s="192" t="s">
        <v>371</v>
      </c>
      <c r="F18" s="192" t="s">
        <v>371</v>
      </c>
      <c r="G18" s="192" t="s">
        <v>371</v>
      </c>
      <c r="H18" s="192" t="s">
        <v>372</v>
      </c>
      <c r="I18" s="192" t="s">
        <v>372</v>
      </c>
      <c r="J18" s="192" t="s">
        <v>372</v>
      </c>
      <c r="K18" s="192" t="s">
        <v>372</v>
      </c>
      <c r="L18" s="192" t="s">
        <v>372</v>
      </c>
      <c r="M18" s="193" t="s">
        <v>372</v>
      </c>
      <c r="N18" s="192" t="s">
        <v>372</v>
      </c>
      <c r="O18" s="192" t="s">
        <v>372</v>
      </c>
      <c r="P18" s="192" t="s">
        <v>372</v>
      </c>
      <c r="Q18" s="192" t="s">
        <v>372</v>
      </c>
      <c r="R18" s="192" t="s">
        <v>372</v>
      </c>
      <c r="S18" s="192" t="s">
        <v>371</v>
      </c>
      <c r="T18" s="192" t="s">
        <v>371</v>
      </c>
      <c r="U18" s="192" t="s">
        <v>372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761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Input'!I24</f>
        <v>Kernherstellverfahren</v>
      </c>
      <c r="D19" s="192" t="s">
        <v>763</v>
      </c>
      <c r="E19" s="192" t="s">
        <v>763</v>
      </c>
      <c r="F19" s="192" t="s">
        <v>761</v>
      </c>
      <c r="G19" s="192" t="s">
        <v>761</v>
      </c>
      <c r="H19" s="192" t="s">
        <v>761</v>
      </c>
      <c r="I19" s="192" t="s">
        <v>761</v>
      </c>
      <c r="J19" s="192" t="s">
        <v>761</v>
      </c>
      <c r="K19" s="192" t="s">
        <v>761</v>
      </c>
      <c r="L19" s="192" t="s">
        <v>761</v>
      </c>
      <c r="M19" s="193" t="s">
        <v>761</v>
      </c>
      <c r="N19" s="192" t="s">
        <v>763</v>
      </c>
      <c r="O19" s="192" t="s">
        <v>763</v>
      </c>
      <c r="P19" s="192" t="s">
        <v>761</v>
      </c>
      <c r="Q19" s="192" t="s">
        <v>761</v>
      </c>
      <c r="R19" s="192" t="s">
        <v>763</v>
      </c>
      <c r="S19" s="192" t="s">
        <v>763</v>
      </c>
      <c r="T19" s="192" t="s">
        <v>761</v>
      </c>
      <c r="U19" s="192" t="s">
        <v>761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Input'!I25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Input'!I26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Input'!I27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Input'!I28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Input'!I29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Input'!I30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441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Input'!I31</f>
        <v>Materialprüfzertifikat</v>
      </c>
      <c r="D26" s="192" t="s">
        <v>441</v>
      </c>
      <c r="E26" s="192" t="s">
        <v>441</v>
      </c>
      <c r="F26" s="192" t="s">
        <v>441</v>
      </c>
      <c r="G26" s="192" t="s">
        <v>441</v>
      </c>
      <c r="H26" s="192" t="s">
        <v>441</v>
      </c>
      <c r="I26" s="192" t="s">
        <v>441</v>
      </c>
      <c r="J26" s="192" t="s">
        <v>262</v>
      </c>
      <c r="K26" s="192" t="s">
        <v>262</v>
      </c>
      <c r="L26" s="192" t="s">
        <v>262</v>
      </c>
      <c r="M26" s="193" t="s">
        <v>262</v>
      </c>
      <c r="N26" s="192" t="s">
        <v>262</v>
      </c>
      <c r="O26" s="192" t="s">
        <v>262</v>
      </c>
      <c r="P26" s="192" t="s">
        <v>262</v>
      </c>
      <c r="Q26" s="192" t="s">
        <v>262</v>
      </c>
      <c r="R26" s="192" t="s">
        <v>262</v>
      </c>
      <c r="S26" s="192" t="s">
        <v>441</v>
      </c>
      <c r="T26" s="192" t="s">
        <v>441</v>
      </c>
      <c r="U26" s="192" t="s">
        <v>441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567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Input'!I32</f>
        <v>Wärmebehandlung</v>
      </c>
      <c r="D27" s="192" t="s">
        <v>296</v>
      </c>
      <c r="E27" s="192" t="s">
        <v>296</v>
      </c>
      <c r="F27" s="192" t="s">
        <v>295</v>
      </c>
      <c r="G27" s="192" t="s">
        <v>295</v>
      </c>
      <c r="H27" s="192" t="s">
        <v>567</v>
      </c>
      <c r="I27" s="192" t="s">
        <v>567</v>
      </c>
      <c r="J27" s="192" t="s">
        <v>569</v>
      </c>
      <c r="K27" s="192" t="s">
        <v>569</v>
      </c>
      <c r="L27" s="192" t="s">
        <v>568</v>
      </c>
      <c r="M27" s="193" t="s">
        <v>568</v>
      </c>
      <c r="N27" s="192" t="s">
        <v>294</v>
      </c>
      <c r="O27" s="192" t="s">
        <v>294</v>
      </c>
      <c r="P27" s="192" t="s">
        <v>569</v>
      </c>
      <c r="Q27" s="192" t="s">
        <v>568</v>
      </c>
      <c r="R27" s="192" t="s">
        <v>294</v>
      </c>
      <c r="S27" s="192" t="s">
        <v>296</v>
      </c>
      <c r="T27" s="192" t="s">
        <v>295</v>
      </c>
      <c r="U27" s="192" t="s">
        <v>567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262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Input'!I33</f>
        <v>Reparaturschweißung</v>
      </c>
      <c r="D28" s="192" t="s">
        <v>452</v>
      </c>
      <c r="E28" s="192" t="s">
        <v>452</v>
      </c>
      <c r="F28" s="192" t="s">
        <v>452</v>
      </c>
      <c r="G28" s="192" t="s">
        <v>452</v>
      </c>
      <c r="H28" s="192" t="s">
        <v>262</v>
      </c>
      <c r="I28" s="192" t="s">
        <v>262</v>
      </c>
      <c r="J28" s="192" t="s">
        <v>262</v>
      </c>
      <c r="K28" s="192" t="s">
        <v>262</v>
      </c>
      <c r="L28" s="192" t="s">
        <v>262</v>
      </c>
      <c r="M28" s="193" t="s">
        <v>262</v>
      </c>
      <c r="N28" s="192" t="s">
        <v>262</v>
      </c>
      <c r="O28" s="192" t="s">
        <v>262</v>
      </c>
      <c r="P28" s="192" t="s">
        <v>262</v>
      </c>
      <c r="Q28" s="192" t="s">
        <v>262</v>
      </c>
      <c r="R28" s="192" t="s">
        <v>262</v>
      </c>
      <c r="S28" s="192" t="s">
        <v>452</v>
      </c>
      <c r="T28" s="192" t="s">
        <v>452</v>
      </c>
      <c r="U28" s="192" t="s">
        <v>262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86">
        <v>42947</v>
      </c>
      <c r="B29" s="686">
        <f t="shared" ref="B29:B39" si="12">HLOOKUP($B$2,DB_Artikel,ROW()-1,FALSE)</f>
        <v>42947</v>
      </c>
      <c r="C29" s="211" t="str">
        <f>'Quick Input'!I34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Input'!I35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Input'!I36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Input'!I37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Input'!I38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Input'!I39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Input'!I40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Input'!I41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Input'!I42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Input'!I43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Input'!I44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Input'!I45</f>
        <v>Produktionsregion</v>
      </c>
      <c r="D40" s="192" t="s">
        <v>599</v>
      </c>
      <c r="E40" s="192" t="s">
        <v>599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599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Input'!I46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Input'!I47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Input'!I48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118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Input'!I49</f>
        <v>Firmengröße</v>
      </c>
      <c r="D44" s="192" t="s">
        <v>118</v>
      </c>
      <c r="E44" s="192" t="s">
        <v>118</v>
      </c>
      <c r="F44" s="192" t="s">
        <v>118</v>
      </c>
      <c r="G44" s="192" t="s">
        <v>118</v>
      </c>
      <c r="H44" s="192" t="s">
        <v>118</v>
      </c>
      <c r="I44" s="192" t="s">
        <v>118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118</v>
      </c>
      <c r="T44" s="192" t="s">
        <v>118</v>
      </c>
      <c r="U44" s="192" t="s">
        <v>118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Input'!I50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839</v>
      </c>
      <c r="B46" s="213" t="str">
        <f t="shared" si="13"/>
        <v>FY 17/18</v>
      </c>
      <c r="C46" s="211" t="str">
        <f>CONCATENATE('Quick Input'!I51,"/start")</f>
        <v>Zielpreis Bauteil/start</v>
      </c>
      <c r="D46" s="192" t="s">
        <v>839</v>
      </c>
      <c r="E46" s="192" t="s">
        <v>839</v>
      </c>
      <c r="F46" s="192" t="s">
        <v>839</v>
      </c>
      <c r="G46" s="192" t="s">
        <v>839</v>
      </c>
      <c r="H46" s="192" t="s">
        <v>839</v>
      </c>
      <c r="I46" s="192" t="s">
        <v>839</v>
      </c>
      <c r="J46" s="192" t="s">
        <v>839</v>
      </c>
      <c r="K46" s="192" t="s">
        <v>839</v>
      </c>
      <c r="L46" s="192" t="s">
        <v>839</v>
      </c>
      <c r="M46" s="192" t="s">
        <v>839</v>
      </c>
      <c r="N46" s="192" t="s">
        <v>839</v>
      </c>
      <c r="O46" s="192" t="s">
        <v>839</v>
      </c>
      <c r="P46" s="192" t="s">
        <v>839</v>
      </c>
      <c r="Q46" s="192" t="s">
        <v>839</v>
      </c>
      <c r="R46" s="192" t="s">
        <v>839</v>
      </c>
      <c r="S46" s="192" t="s">
        <v>839</v>
      </c>
      <c r="T46" s="192" t="s">
        <v>839</v>
      </c>
      <c r="U46" s="192" t="s">
        <v>839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Input'!I52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Input'!I53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Input'!I54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Input'!I55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Input'!I56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Input'!I57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Input'!I58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2">
        <f t="shared" si="13"/>
        <v>7.0000000000000007E-2</v>
      </c>
      <c r="C54" s="450" t="str">
        <f>'Quick Input'!I59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2">
        <f t="shared" si="13"/>
        <v>7.0000000000000007E-2</v>
      </c>
      <c r="C55" s="450" t="str">
        <f>'Quick Input'!I60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808</v>
      </c>
      <c r="B56" s="452" t="str">
        <f>VLOOKUP(VLOOKUP(HLOOKUP($B$2,DB_Artikel,ROW()-1,FALSE),Auswahlfelder!$D$71:$E$73,2,FALSE),Auswahlfelder!$A$71:$B$73,2,FALSE)</f>
        <v>Heizöl</v>
      </c>
      <c r="C56" s="450" t="str">
        <f>'Quick Input'!I61</f>
        <v>Energieart</v>
      </c>
      <c r="D56" s="214" t="s">
        <v>110</v>
      </c>
      <c r="E56" s="214" t="s">
        <v>110</v>
      </c>
      <c r="F56" s="214" t="s">
        <v>110</v>
      </c>
      <c r="G56" s="214" t="s">
        <v>110</v>
      </c>
      <c r="H56" s="214" t="s">
        <v>110</v>
      </c>
      <c r="I56" s="214" t="s">
        <v>110</v>
      </c>
      <c r="J56" s="214" t="s">
        <v>110</v>
      </c>
      <c r="K56" s="214" t="s">
        <v>110</v>
      </c>
      <c r="L56" s="214" t="s">
        <v>110</v>
      </c>
      <c r="M56" s="214" t="s">
        <v>110</v>
      </c>
      <c r="N56" s="214" t="s">
        <v>110</v>
      </c>
      <c r="O56" s="214" t="s">
        <v>110</v>
      </c>
      <c r="P56" s="214" t="s">
        <v>110</v>
      </c>
      <c r="Q56" s="214" t="s">
        <v>110</v>
      </c>
      <c r="R56" s="214" t="s">
        <v>107</v>
      </c>
      <c r="S56" s="214" t="s">
        <v>110</v>
      </c>
      <c r="T56" s="214" t="s">
        <v>110</v>
      </c>
      <c r="U56" s="214" t="s">
        <v>808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50" t="str">
        <f>'Quick Input'!I62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50" t="str">
        <f>'Quick Input'!I63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50" t="str">
        <f>'Quick Input'!I64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64" t="str">
        <f>'Quick Input'!I65</f>
        <v>Anteil Kühleisen Volumen</v>
      </c>
      <c r="D60" s="765" t="s">
        <v>262</v>
      </c>
      <c r="E60" s="214" t="s">
        <v>262</v>
      </c>
      <c r="F60" s="214" t="s">
        <v>262</v>
      </c>
      <c r="G60" s="214" t="s">
        <v>262</v>
      </c>
      <c r="H60" s="214">
        <v>0.1</v>
      </c>
      <c r="I60" s="214">
        <v>0.1</v>
      </c>
      <c r="J60" s="214" t="s">
        <v>262</v>
      </c>
      <c r="K60" s="214" t="s">
        <v>262</v>
      </c>
      <c r="L60" s="214" t="s">
        <v>262</v>
      </c>
      <c r="M60" s="214" t="s">
        <v>262</v>
      </c>
      <c r="N60" s="214" t="s">
        <v>262</v>
      </c>
      <c r="O60" s="214" t="s">
        <v>262</v>
      </c>
      <c r="P60" s="214" t="s">
        <v>262</v>
      </c>
      <c r="Q60" s="214" t="s">
        <v>262</v>
      </c>
      <c r="R60" s="214" t="s">
        <v>262</v>
      </c>
      <c r="S60" s="214" t="s">
        <v>262</v>
      </c>
      <c r="T60" s="214" t="s">
        <v>262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50" t="str">
        <f>'Quick Input'!I66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50" t="str">
        <f>'Quick Input'!I67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2">
        <f t="shared" si="14"/>
        <v>3.8053333333333335E-2</v>
      </c>
      <c r="C63" s="450" t="str">
        <f>'Quick Input'!I68</f>
        <v>Fertigungsausschuss Formen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50" t="str">
        <f>'Quick Input'!I69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50" t="str">
        <f>'Quick Input'!I70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50" t="str">
        <f>'Quick Input'!I71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2">
        <f t="shared" si="14"/>
        <v>1.796E-2</v>
      </c>
      <c r="C67" s="450" t="str">
        <f>'Quick Input'!I72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50" t="str">
        <f>'Quick Input'!I73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50" t="str">
        <f>'Quick Input'!I74</f>
        <v>Kosten US-Prüfung</v>
      </c>
      <c r="D69" s="768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50" t="str">
        <f>'Quick Input'!I75</f>
        <v>Kosten FE-Prüfung</v>
      </c>
      <c r="D70" s="768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50" t="str">
        <f>'Quick Input'!I76</f>
        <v>Kosten X-Prüfung</v>
      </c>
      <c r="D71" s="768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67" customFormat="1" ht="12" x14ac:dyDescent="0.2">
      <c r="A72" s="765">
        <v>0</v>
      </c>
      <c r="B72" s="213">
        <f t="shared" si="14"/>
        <v>0</v>
      </c>
      <c r="C72" s="766" t="str">
        <f>'Quick Input'!I77</f>
        <v>Anteil Nachprüfung</v>
      </c>
      <c r="D72" s="765">
        <v>0.2</v>
      </c>
      <c r="E72" s="765">
        <v>0.2</v>
      </c>
      <c r="F72" s="765">
        <v>0</v>
      </c>
      <c r="G72" s="765">
        <v>0</v>
      </c>
      <c r="H72" s="765">
        <v>0</v>
      </c>
      <c r="I72" s="765">
        <v>0</v>
      </c>
      <c r="J72" s="765">
        <v>0</v>
      </c>
      <c r="K72" s="765">
        <v>0</v>
      </c>
      <c r="L72" s="765">
        <v>0.5</v>
      </c>
      <c r="M72" s="765">
        <v>0.5</v>
      </c>
      <c r="N72" s="765">
        <v>0</v>
      </c>
      <c r="O72" s="765">
        <v>0</v>
      </c>
      <c r="P72" s="765">
        <v>0</v>
      </c>
      <c r="Q72" s="765">
        <v>0.5</v>
      </c>
      <c r="R72" s="765">
        <v>0</v>
      </c>
      <c r="S72" s="765">
        <v>0.2</v>
      </c>
      <c r="T72" s="765">
        <v>0</v>
      </c>
      <c r="U72" s="765">
        <v>0</v>
      </c>
      <c r="V72" s="765"/>
      <c r="W72" s="765"/>
      <c r="X72" s="765"/>
      <c r="Y72" s="765"/>
      <c r="Z72" s="765"/>
      <c r="AA72" s="765"/>
      <c r="AB72" s="765"/>
      <c r="AC72" s="765"/>
      <c r="AD72" s="765"/>
      <c r="AE72" s="765"/>
      <c r="AF72" s="765"/>
      <c r="AG72" s="765"/>
      <c r="AH72" s="765"/>
      <c r="AI72" s="765"/>
      <c r="AJ72" s="765"/>
      <c r="AK72" s="765"/>
      <c r="AL72" s="765"/>
      <c r="AM72" s="765"/>
      <c r="AN72" s="765"/>
      <c r="AO72" s="765"/>
      <c r="AP72" s="765"/>
      <c r="AQ72" s="765"/>
      <c r="AR72" s="765"/>
      <c r="AS72" s="765"/>
      <c r="AT72" s="765"/>
      <c r="AU72" s="765"/>
      <c r="AV72" s="765"/>
      <c r="AW72" s="765"/>
      <c r="AX72" s="765"/>
      <c r="AY72" s="765"/>
      <c r="AZ72" s="765"/>
      <c r="BA72" s="765"/>
      <c r="BB72" s="765"/>
      <c r="BC72" s="765"/>
      <c r="BD72" s="765"/>
      <c r="BE72" s="765"/>
      <c r="BF72" s="765"/>
      <c r="BG72" s="765"/>
      <c r="BH72" s="765"/>
      <c r="BI72" s="765"/>
      <c r="BJ72" s="765"/>
      <c r="BK72" s="765"/>
      <c r="BL72" s="765"/>
      <c r="BM72" s="765"/>
      <c r="BN72" s="765"/>
      <c r="BO72" s="765"/>
      <c r="BP72" s="765"/>
      <c r="BQ72" s="765"/>
      <c r="BR72" s="765"/>
      <c r="BS72" s="765"/>
      <c r="BT72" s="765"/>
      <c r="BU72" s="765"/>
      <c r="BV72" s="765"/>
      <c r="BW72" s="765"/>
      <c r="BX72" s="765"/>
      <c r="BY72" s="765"/>
      <c r="BZ72" s="765"/>
      <c r="CA72" s="765"/>
      <c r="CB72" s="765"/>
      <c r="CC72" s="765"/>
      <c r="CD72" s="765"/>
      <c r="CE72" s="765"/>
      <c r="CF72" s="765"/>
      <c r="CG72" s="765"/>
      <c r="CH72" s="765"/>
      <c r="CI72" s="765"/>
      <c r="CJ72" s="765"/>
      <c r="CK72" s="765"/>
      <c r="CL72" s="765"/>
      <c r="CM72" s="765"/>
      <c r="CN72" s="765"/>
      <c r="CO72" s="765"/>
      <c r="CP72" s="765"/>
      <c r="CQ72" s="765"/>
      <c r="CR72" s="765"/>
      <c r="CS72" s="765"/>
      <c r="CT72" s="765"/>
      <c r="CU72" s="765"/>
      <c r="CV72" s="765"/>
      <c r="CW72" s="765"/>
      <c r="CX72" s="765"/>
      <c r="CY72" s="765"/>
      <c r="CZ72" s="765"/>
      <c r="DA72" s="765"/>
      <c r="DB72" s="765"/>
      <c r="DC72" s="765"/>
      <c r="DD72" s="765"/>
      <c r="DE72" s="765"/>
      <c r="DF72" s="765"/>
      <c r="DG72" s="765"/>
      <c r="DH72" s="765"/>
      <c r="DI72" s="765"/>
      <c r="DJ72" s="765"/>
      <c r="DK72" s="765"/>
      <c r="DL72" s="765"/>
      <c r="DM72" s="765"/>
      <c r="DN72" s="765"/>
      <c r="DO72" s="765"/>
      <c r="DP72" s="765"/>
      <c r="DQ72" s="765"/>
      <c r="DR72" s="765"/>
      <c r="DS72" s="765"/>
      <c r="DT72" s="765"/>
      <c r="DU72" s="765"/>
      <c r="DV72" s="765"/>
      <c r="DW72" s="765"/>
      <c r="DX72" s="765"/>
      <c r="DY72" s="765"/>
      <c r="DZ72" s="765"/>
      <c r="EA72" s="765"/>
      <c r="EB72" s="765"/>
      <c r="EC72" s="765"/>
      <c r="ED72" s="765"/>
      <c r="EE72" s="765"/>
      <c r="EF72" s="765"/>
      <c r="EG72" s="765"/>
      <c r="EH72" s="765"/>
      <c r="EI72" s="765"/>
      <c r="EJ72" s="765"/>
      <c r="EK72" s="765"/>
      <c r="EL72" s="765"/>
      <c r="EM72" s="765"/>
      <c r="EN72" s="765"/>
      <c r="EO72" s="765"/>
      <c r="EP72" s="765"/>
      <c r="EQ72" s="765"/>
      <c r="ER72" s="765"/>
      <c r="ES72" s="765"/>
      <c r="ET72" s="765"/>
      <c r="EU72" s="765"/>
      <c r="EV72" s="765"/>
      <c r="EW72" s="765"/>
      <c r="EX72" s="765"/>
      <c r="EY72" s="765"/>
      <c r="EZ72" s="765"/>
      <c r="FA72" s="765"/>
      <c r="FB72" s="765"/>
      <c r="FC72" s="765"/>
      <c r="FD72" s="765"/>
      <c r="FE72" s="765"/>
      <c r="FF72" s="765"/>
      <c r="FG72" s="765"/>
      <c r="FH72" s="765"/>
      <c r="FI72" s="765"/>
      <c r="FJ72" s="765"/>
      <c r="FK72" s="765"/>
      <c r="FL72" s="765"/>
      <c r="FM72" s="765"/>
      <c r="FN72" s="765"/>
      <c r="FO72" s="765"/>
      <c r="FP72" s="765"/>
      <c r="FQ72" s="765"/>
      <c r="FR72" s="765"/>
      <c r="FS72" s="765"/>
      <c r="FT72" s="765"/>
      <c r="FU72" s="765"/>
      <c r="FV72" s="765"/>
      <c r="FW72" s="765"/>
      <c r="FX72" s="765"/>
      <c r="FY72" s="765"/>
      <c r="FZ72" s="765"/>
      <c r="GA72" s="765"/>
      <c r="GB72" s="765"/>
      <c r="GC72" s="765"/>
      <c r="GD72" s="765"/>
      <c r="GE72" s="765"/>
      <c r="GF72" s="765"/>
      <c r="GG72" s="765"/>
      <c r="GH72" s="765"/>
      <c r="GI72" s="765"/>
      <c r="GJ72" s="765"/>
      <c r="GK72" s="765"/>
      <c r="GL72" s="765"/>
      <c r="GM72" s="765"/>
      <c r="GN72" s="765"/>
      <c r="GO72" s="765"/>
      <c r="GP72" s="765"/>
      <c r="GQ72" s="765"/>
      <c r="GR72" s="765"/>
      <c r="GS72" s="765"/>
      <c r="GT72" s="765"/>
      <c r="GU72" s="765"/>
      <c r="GV72" s="765"/>
      <c r="GW72" s="765"/>
      <c r="GX72" s="765"/>
      <c r="GY72" s="765"/>
      <c r="GZ72" s="765"/>
      <c r="HA72" s="765"/>
      <c r="HB72" s="765"/>
      <c r="HC72" s="765"/>
      <c r="HD72" s="765"/>
      <c r="HE72" s="765"/>
      <c r="HF72" s="765"/>
      <c r="HG72" s="765"/>
      <c r="HH72" s="765"/>
      <c r="HI72" s="765"/>
      <c r="HJ72" s="765"/>
      <c r="HK72" s="765"/>
      <c r="HL72" s="765"/>
      <c r="HM72" s="765"/>
      <c r="HN72" s="765"/>
      <c r="HO72" s="765"/>
      <c r="HP72" s="765"/>
      <c r="HQ72" s="765"/>
      <c r="HR72" s="765"/>
      <c r="HS72" s="765"/>
      <c r="HT72" s="765"/>
      <c r="HU72" s="765"/>
      <c r="HV72" s="765"/>
      <c r="HW72" s="765"/>
      <c r="HX72" s="765"/>
      <c r="HY72" s="765"/>
      <c r="HZ72" s="765"/>
      <c r="IA72" s="765"/>
      <c r="IB72" s="765"/>
      <c r="IC72" s="765"/>
      <c r="ID72" s="765"/>
      <c r="IE72" s="765"/>
      <c r="IF72" s="765"/>
      <c r="IG72" s="765"/>
      <c r="IH72" s="765"/>
      <c r="II72" s="765"/>
      <c r="IJ72" s="765"/>
      <c r="IK72" s="765"/>
      <c r="IL72" s="765"/>
      <c r="IM72" s="765"/>
      <c r="IN72" s="765"/>
      <c r="IO72" s="765"/>
      <c r="IP72" s="765"/>
      <c r="IQ72" s="765"/>
      <c r="IR72" s="765"/>
      <c r="IS72" s="765"/>
      <c r="IT72" s="765"/>
      <c r="IU72" s="765"/>
      <c r="IV72" s="765"/>
    </row>
    <row r="73" spans="1:256" s="192" customFormat="1" ht="12" x14ac:dyDescent="0.2">
      <c r="A73" s="765">
        <v>0</v>
      </c>
      <c r="B73" s="213">
        <f t="shared" si="14"/>
        <v>0</v>
      </c>
      <c r="C73" s="450" t="str">
        <f>'Quick Input'!I78</f>
        <v>Reparaturanteil (%)</v>
      </c>
      <c r="D73" s="765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65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50" t="str">
        <f>'Quick Input'!I79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50" t="str">
        <f>'Quick Input'!I80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50" t="str">
        <f>'Quick Input'!I81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50" t="str">
        <f>'Quick Input'!I82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881</v>
      </c>
      <c r="B78" s="196" t="str">
        <f t="shared" si="14"/>
        <v>P. Pawar</v>
      </c>
      <c r="C78" s="450" t="str">
        <f>'Quick Input'!I83</f>
        <v>Bearbeiter</v>
      </c>
      <c r="D78" s="197" t="s">
        <v>881</v>
      </c>
      <c r="E78" s="197" t="s">
        <v>881</v>
      </c>
      <c r="F78" s="197" t="s">
        <v>881</v>
      </c>
      <c r="G78" s="197" t="s">
        <v>881</v>
      </c>
      <c r="H78" s="197" t="s">
        <v>881</v>
      </c>
      <c r="I78" s="197" t="s">
        <v>881</v>
      </c>
      <c r="J78" s="197" t="s">
        <v>881</v>
      </c>
      <c r="K78" s="197" t="s">
        <v>881</v>
      </c>
      <c r="L78" s="197" t="s">
        <v>881</v>
      </c>
      <c r="M78" s="198" t="s">
        <v>881</v>
      </c>
      <c r="N78" s="197" t="s">
        <v>881</v>
      </c>
      <c r="O78" s="197" t="s">
        <v>881</v>
      </c>
      <c r="P78" s="197" t="s">
        <v>881</v>
      </c>
      <c r="Q78" s="197" t="s">
        <v>881</v>
      </c>
      <c r="R78" s="197" t="s">
        <v>881</v>
      </c>
      <c r="S78" s="197" t="s">
        <v>881</v>
      </c>
      <c r="T78" s="197" t="s">
        <v>881</v>
      </c>
      <c r="U78" s="197" t="s">
        <v>881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293"/>
  <sheetViews>
    <sheetView workbookViewId="0">
      <pane xSplit="4" ySplit="3" topLeftCell="E213" activePane="bottomRight" state="frozenSplit"/>
      <selection activeCell="L30" sqref="L30"/>
      <selection pane="topRight" activeCell="L30" sqref="L30"/>
      <selection pane="bottomLeft" activeCell="L30" sqref="L30"/>
      <selection pane="bottomRight" activeCell="F231" sqref="F231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68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363</v>
      </c>
      <c r="E3" s="569" t="s">
        <v>496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7">
        <v>42</v>
      </c>
      <c r="C4" s="95" t="s">
        <v>99</v>
      </c>
      <c r="D4" s="98" t="s">
        <v>94</v>
      </c>
      <c r="E4" s="574" t="s">
        <v>498</v>
      </c>
      <c r="F4" s="657">
        <f>IFERROR(IF(Refkalkulation!H$24=0,SUM(F$5:F$7),Refkalkulation!H$24),0)</f>
        <v>7.0000000000000007E-2</v>
      </c>
      <c r="G4" s="7"/>
      <c r="H4" s="7"/>
      <c r="I4" s="657">
        <f>IFERROR(IF(Refkalkulation!K$24=0,SUM(I$5:I$7),Refkalkulation!K$24),0)</f>
        <v>7.0000000000000007E-2</v>
      </c>
      <c r="J4" s="7"/>
      <c r="K4" s="7"/>
      <c r="L4" s="657">
        <f>IFERROR(IF(Refkalkulation!N$24=0,SUM(L$5:L$7),Refkalkulation!N$24),0)</f>
        <v>7.0000000000000007E-2</v>
      </c>
      <c r="M4" s="7"/>
      <c r="N4" s="7"/>
      <c r="O4" s="657"/>
      <c r="P4" s="7"/>
      <c r="Q4" s="7"/>
      <c r="R4" s="657"/>
      <c r="S4" s="7"/>
      <c r="T4" s="7"/>
      <c r="U4" s="657"/>
      <c r="V4" s="11"/>
      <c r="X4" s="511"/>
    </row>
    <row r="5" spans="2:24" x14ac:dyDescent="0.2">
      <c r="B5" s="467">
        <v>42</v>
      </c>
      <c r="C5" s="96" t="s">
        <v>188</v>
      </c>
      <c r="D5" s="100" t="s">
        <v>94</v>
      </c>
      <c r="E5" s="569" t="s">
        <v>497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7">
        <v>42</v>
      </c>
      <c r="C6" s="96" t="s">
        <v>125</v>
      </c>
      <c r="D6" s="100" t="s">
        <v>359</v>
      </c>
      <c r="E6" s="569" t="s">
        <v>497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7">
        <v>42</v>
      </c>
      <c r="C7" s="97" t="s">
        <v>124</v>
      </c>
      <c r="D7" s="102" t="s">
        <v>359</v>
      </c>
      <c r="E7" s="570" t="s">
        <v>497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96"/>
    </row>
    <row r="8" spans="2:24" ht="15" x14ac:dyDescent="0.25">
      <c r="B8" s="467">
        <v>43</v>
      </c>
      <c r="C8" s="95" t="s">
        <v>129</v>
      </c>
      <c r="D8" s="98"/>
      <c r="E8" s="574" t="s">
        <v>498</v>
      </c>
      <c r="F8" s="657">
        <f>IFERROR(IF(Refkalkulation!H$117=0,SUM(F$9:F$12),Refkalkulation!H$117),0)</f>
        <v>0.1</v>
      </c>
      <c r="G8" s="7"/>
      <c r="H8" s="7"/>
      <c r="I8" s="657">
        <f>IFERROR(IF(Refkalkulation!K$117=0,SUM(I$9:I$12),Refkalkulation!K$117),0)</f>
        <v>0.1</v>
      </c>
      <c r="J8" s="7"/>
      <c r="K8" s="7"/>
      <c r="L8" s="657">
        <f>IFERROR(IF(Refkalkulation!N$117=0,SUM(L$9:L$12),Refkalkulation!N$117),0)</f>
        <v>0.1</v>
      </c>
      <c r="M8" s="7"/>
      <c r="N8" s="7"/>
      <c r="O8" s="657"/>
      <c r="P8" s="7"/>
      <c r="Q8" s="7"/>
      <c r="R8" s="657"/>
      <c r="S8" s="7"/>
      <c r="T8" s="7"/>
      <c r="U8" s="657"/>
      <c r="V8" s="11"/>
      <c r="X8" s="511"/>
    </row>
    <row r="9" spans="2:24" x14ac:dyDescent="0.2">
      <c r="B9" s="467">
        <v>43</v>
      </c>
      <c r="C9" s="96" t="s">
        <v>116</v>
      </c>
      <c r="D9" s="100" t="s">
        <v>94</v>
      </c>
      <c r="E9" s="569" t="s">
        <v>497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7">
        <v>43</v>
      </c>
      <c r="C10" s="96" t="s">
        <v>125</v>
      </c>
      <c r="D10" s="100" t="s">
        <v>359</v>
      </c>
      <c r="E10" s="569" t="s">
        <v>497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7">
        <v>43</v>
      </c>
      <c r="C11" s="96" t="s">
        <v>124</v>
      </c>
      <c r="D11" s="100" t="s">
        <v>359</v>
      </c>
      <c r="E11" s="569" t="s">
        <v>497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7">
        <v>43</v>
      </c>
      <c r="C12" s="97" t="s">
        <v>139</v>
      </c>
      <c r="D12" s="102" t="s">
        <v>359</v>
      </c>
      <c r="E12" s="570" t="s">
        <v>497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96"/>
    </row>
    <row r="13" spans="2:24" ht="15" x14ac:dyDescent="0.25">
      <c r="B13" s="467">
        <v>32</v>
      </c>
      <c r="C13" s="95" t="s">
        <v>236</v>
      </c>
      <c r="D13" s="98" t="s">
        <v>94</v>
      </c>
      <c r="E13" s="574" t="s">
        <v>498</v>
      </c>
      <c r="F13" s="657">
        <f>IFERROR(IF(Refkalkulation!H$127=0,'Länder-DB'!$I$25*F$14,Refkalkulation!H$127),0)</f>
        <v>0</v>
      </c>
      <c r="G13" s="7"/>
      <c r="H13" s="7"/>
      <c r="I13" s="657">
        <f>IFERROR(IF(Refkalkulation!K$127=0,'Länder-DB'!$I$25*I$14,Refkalkulation!K$127),0)</f>
        <v>0</v>
      </c>
      <c r="J13" s="7"/>
      <c r="K13" s="7"/>
      <c r="L13" s="657">
        <f>IFERROR(IF(Refkalkulation!N$127=0,'Länder-DB'!$I$25*L$14,Refkalkulation!N$127),0)</f>
        <v>0</v>
      </c>
      <c r="M13" s="7"/>
      <c r="N13" s="7"/>
      <c r="O13" s="657"/>
      <c r="P13" s="7"/>
      <c r="Q13" s="7"/>
      <c r="R13" s="657"/>
      <c r="S13" s="7"/>
      <c r="T13" s="7"/>
      <c r="U13" s="657"/>
      <c r="V13" s="11"/>
      <c r="X13" s="511"/>
    </row>
    <row r="14" spans="2:24" ht="15" thickBot="1" x14ac:dyDescent="0.25">
      <c r="B14" s="467">
        <v>32</v>
      </c>
      <c r="C14" s="96" t="s">
        <v>556</v>
      </c>
      <c r="D14" s="779">
        <v>0.15</v>
      </c>
      <c r="E14" s="569" t="s">
        <v>497</v>
      </c>
      <c r="F14" s="210">
        <f>1+$D$14*(2-VLOOKUP('Quick Input'!M$49,Auswahlfelder!$D$26:$E$28,2,FALSE))</f>
        <v>1</v>
      </c>
      <c r="G14" s="10"/>
      <c r="H14" s="10"/>
      <c r="I14" s="210">
        <f>1+$D$14*(2-VLOOKUP('Quick Input'!P$49,Auswahlfelder!$D$26:$E$28,2,FALSE))</f>
        <v>1</v>
      </c>
      <c r="J14" s="10"/>
      <c r="K14" s="10"/>
      <c r="L14" s="210">
        <f>1+$D$14*(2-VLOOKUP('Quick Input'!S$49,Auswahlfelder!$D$26:$E$28,2,FALSE))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96"/>
    </row>
    <row r="15" spans="2:24" ht="15" x14ac:dyDescent="0.25">
      <c r="B15" s="467">
        <v>32</v>
      </c>
      <c r="C15" s="95" t="s">
        <v>232</v>
      </c>
      <c r="D15" s="98"/>
      <c r="E15" s="574" t="s">
        <v>498</v>
      </c>
      <c r="F15" s="657">
        <f>IFERROR(IF(Refkalkulation!H$128=0,SUM(F$16:F$18),Refkalkulation!H$128),0)</f>
        <v>0.08</v>
      </c>
      <c r="G15" s="7"/>
      <c r="H15" s="7"/>
      <c r="I15" s="657">
        <f>IFERROR(IF(Refkalkulation!K$128=0,SUM(I$16:I$18),Refkalkulation!K$128),0)</f>
        <v>0.09</v>
      </c>
      <c r="J15" s="7"/>
      <c r="K15" s="7"/>
      <c r="L15" s="657">
        <f>IFERROR(IF(Refkalkulation!N$128=0,SUM(L$16:L$18),Refkalkulation!N$128),0)</f>
        <v>0.08</v>
      </c>
      <c r="M15" s="7"/>
      <c r="N15" s="7"/>
      <c r="O15" s="657"/>
      <c r="P15" s="7"/>
      <c r="Q15" s="7"/>
      <c r="R15" s="657"/>
      <c r="S15" s="7"/>
      <c r="T15" s="7"/>
      <c r="U15" s="657"/>
      <c r="V15" s="11"/>
      <c r="X15" s="511"/>
    </row>
    <row r="16" spans="2:24" x14ac:dyDescent="0.2">
      <c r="B16" s="467">
        <v>32</v>
      </c>
      <c r="C16" s="96" t="s">
        <v>116</v>
      </c>
      <c r="D16" s="100" t="s">
        <v>94</v>
      </c>
      <c r="E16" s="569" t="s">
        <v>497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4" x14ac:dyDescent="0.2">
      <c r="B17" s="467">
        <v>32</v>
      </c>
      <c r="C17" s="96" t="s">
        <v>125</v>
      </c>
      <c r="D17" s="100" t="s">
        <v>359</v>
      </c>
      <c r="E17" s="569" t="s">
        <v>497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4" ht="15" thickBot="1" x14ac:dyDescent="0.25">
      <c r="B18" s="467">
        <v>32</v>
      </c>
      <c r="C18" s="96" t="s">
        <v>124</v>
      </c>
      <c r="D18" s="100" t="s">
        <v>359</v>
      </c>
      <c r="E18" s="569" t="s">
        <v>497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4" ht="15" x14ac:dyDescent="0.25">
      <c r="B19" s="531">
        <v>35</v>
      </c>
      <c r="C19" s="95" t="s">
        <v>657</v>
      </c>
      <c r="D19" s="98"/>
      <c r="E19" s="574" t="s">
        <v>498</v>
      </c>
      <c r="F19" s="643" t="str">
        <f>'Quick Input'!M$45</f>
        <v>Deutschland</v>
      </c>
      <c r="G19" s="419"/>
      <c r="H19" s="420"/>
      <c r="I19" s="643" t="str">
        <f>'Quick Input'!P$45</f>
        <v>Polen</v>
      </c>
      <c r="J19" s="419"/>
      <c r="K19" s="420"/>
      <c r="L19" s="643" t="str">
        <f>'Quick Input'!S$45</f>
        <v>Deutschland</v>
      </c>
      <c r="M19" s="419"/>
      <c r="N19" s="420"/>
      <c r="O19" s="643"/>
      <c r="P19" s="419"/>
      <c r="Q19" s="420"/>
      <c r="R19" s="643"/>
      <c r="S19" s="419"/>
      <c r="T19" s="420"/>
      <c r="U19" s="643"/>
      <c r="V19" s="8"/>
      <c r="X19" s="690"/>
    </row>
    <row r="20" spans="2:24" x14ac:dyDescent="0.2">
      <c r="B20" s="467">
        <v>35</v>
      </c>
      <c r="C20" s="96" t="s">
        <v>270</v>
      </c>
      <c r="D20" s="100" t="s">
        <v>94</v>
      </c>
      <c r="E20" s="569" t="s">
        <v>498</v>
      </c>
      <c r="F20" s="210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29"/>
      <c r="H20" s="433"/>
      <c r="I20" s="210">
        <f>VLOOKUP(I$19,DB_Länder,3,FALSE)*(1+IF('Quick Input'!P$46=Auswahlfelder!$D$7,0,IF('Quick Input'!P$46=Auswahlfelder!$D$8,0.5*VLOOKUP(I$19,DB_Länder,14,FALSE),(VLOOKUP(I$19,DB_Länder,14,FALSE)+VLOOKUP(I$19,DB_Länder,15,FALSE))/3)))</f>
        <v>5.4818280000000001</v>
      </c>
      <c r="J20" s="429"/>
      <c r="K20" s="433"/>
      <c r="L20" s="210">
        <f>VLOOKUP(L$19,DB_Länder,3,FALSE)*(1+IF('Quick Input'!S$46=Auswahlfelder!$D$7,0,IF('Quick Input'!S$46=Auswahlfelder!$D$8,0.5*VLOOKUP(L$19,DB_Länder,14,FALSE),(VLOOKUP(L$19,DB_Länder,14,FALSE)+VLOOKUP(L$19,DB_Länder,15,FALSE))/3)))</f>
        <v>24.820870000000003</v>
      </c>
      <c r="M20" s="429"/>
      <c r="N20" s="433"/>
      <c r="O20" s="210"/>
      <c r="P20" s="429"/>
      <c r="Q20" s="433"/>
      <c r="R20" s="210"/>
      <c r="S20" s="429"/>
      <c r="T20" s="433"/>
      <c r="U20" s="210"/>
      <c r="V20" s="11"/>
      <c r="X20" s="511"/>
    </row>
    <row r="21" spans="2:24" x14ac:dyDescent="0.2">
      <c r="B21" s="467">
        <v>35</v>
      </c>
      <c r="C21" s="96" t="s">
        <v>271</v>
      </c>
      <c r="D21" s="100" t="s">
        <v>94</v>
      </c>
      <c r="E21" s="569" t="s">
        <v>498</v>
      </c>
      <c r="F21" s="210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29"/>
      <c r="H21" s="433"/>
      <c r="I21" s="210">
        <f>VLOOKUP(I$19,DB_Länder,4,FALSE)*(1+IF('Quick Input'!P$46=Auswahlfelder!$D$7,0,IF('Quick Input'!P$46=Auswahlfelder!$D$8,0.5*VLOOKUP(I$19,DB_Länder,14,FALSE),(VLOOKUP(I$19,DB_Länder,14,FALSE)+VLOOKUP(I$19,DB_Länder,15,FALSE))/3)))</f>
        <v>7.4557889999999984</v>
      </c>
      <c r="J21" s="429"/>
      <c r="K21" s="433"/>
      <c r="L21" s="210">
        <f>VLOOKUP(L$19,DB_Länder,4,FALSE)*(1+IF('Quick Input'!S$46=Auswahlfelder!$D$7,0,IF('Quick Input'!S$46=Auswahlfelder!$D$8,0.5*VLOOKUP(L$19,DB_Länder,14,FALSE),(VLOOKUP(L$19,DB_Länder,14,FALSE)+VLOOKUP(L$19,DB_Länder,15,FALSE))/3)))</f>
        <v>29.420724999999997</v>
      </c>
      <c r="M21" s="429"/>
      <c r="N21" s="433"/>
      <c r="O21" s="210"/>
      <c r="P21" s="429"/>
      <c r="Q21" s="433"/>
      <c r="R21" s="210"/>
      <c r="S21" s="429"/>
      <c r="T21" s="433"/>
      <c r="U21" s="210"/>
      <c r="V21" s="11"/>
      <c r="X21" s="511"/>
    </row>
    <row r="22" spans="2:24" ht="15" thickBot="1" x14ac:dyDescent="0.25">
      <c r="B22" s="532">
        <v>35</v>
      </c>
      <c r="C22" s="97" t="s">
        <v>272</v>
      </c>
      <c r="D22" s="102" t="s">
        <v>94</v>
      </c>
      <c r="E22" s="570" t="s">
        <v>498</v>
      </c>
      <c r="F22" s="210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34"/>
      <c r="H22" s="435"/>
      <c r="I22" s="210">
        <f>VLOOKUP(I$19,DB_Länder,5,FALSE)*(1+IF('Quick Input'!P$46=Auswahlfelder!$D$7,0,IF('Quick Input'!P$46=Auswahlfelder!$D$8,0.5*VLOOKUP(I$19,DB_Länder,14,FALSE),(VLOOKUP(I$19,DB_Länder,14,FALSE)+VLOOKUP(I$19,DB_Länder,15,FALSE))/3)))</f>
        <v>10.008107999999998</v>
      </c>
      <c r="J22" s="434"/>
      <c r="K22" s="435"/>
      <c r="L22" s="210">
        <f>VLOOKUP(L$19,DB_Länder,5,FALSE)*(1+IF('Quick Input'!S$46=Auswahlfelder!$D$7,0,IF('Quick Input'!S$46=Auswahlfelder!$D$8,0.5*VLOOKUP(L$19,DB_Länder,14,FALSE),(VLOOKUP(L$19,DB_Länder,14,FALSE)+VLOOKUP(L$19,DB_Länder,15,FALSE))/3)))</f>
        <v>33.535694999999997</v>
      </c>
      <c r="M22" s="434"/>
      <c r="N22" s="435"/>
      <c r="O22" s="210"/>
      <c r="P22" s="434"/>
      <c r="Q22" s="435"/>
      <c r="R22" s="210"/>
      <c r="S22" s="434"/>
      <c r="T22" s="435"/>
      <c r="U22" s="210"/>
      <c r="V22" s="126"/>
      <c r="X22" s="511"/>
    </row>
    <row r="23" spans="2:24" ht="15" x14ac:dyDescent="0.25">
      <c r="B23" s="467">
        <v>15</v>
      </c>
      <c r="C23" s="95" t="s">
        <v>367</v>
      </c>
      <c r="D23" s="98" t="s">
        <v>94</v>
      </c>
      <c r="E23" s="574" t="s">
        <v>498</v>
      </c>
      <c r="F23" s="657">
        <f>IFERROR(IF(Refkalkulation!H$16=0,'Länder-DB'!$M$21-2%+SUM(F$24:F$26),Refkalkulation!H$16),0)</f>
        <v>5.5500000000000001E-2</v>
      </c>
      <c r="G23" s="7"/>
      <c r="H23" s="7"/>
      <c r="I23" s="657">
        <f>IFERROR(IF(Refkalkulation!K$16=0,'Länder-DB'!$M$21-2%+SUM(I$24:I$26),Refkalkulation!K$16),0)</f>
        <v>5.5500000000000001E-2</v>
      </c>
      <c r="J23" s="7"/>
      <c r="K23" s="7"/>
      <c r="L23" s="657">
        <f>IFERROR(IF(Refkalkulation!N$16=0,'Länder-DB'!$M$21-2%+SUM(L$24:L$26),Refkalkulation!N$16),0)</f>
        <v>5.5500000000000001E-2</v>
      </c>
      <c r="M23" s="7"/>
      <c r="N23" s="7"/>
      <c r="O23" s="657"/>
      <c r="P23" s="7"/>
      <c r="Q23" s="7"/>
      <c r="R23" s="657"/>
      <c r="S23" s="7"/>
      <c r="T23" s="7"/>
      <c r="U23" s="657"/>
      <c r="V23" s="11"/>
      <c r="X23" s="511"/>
    </row>
    <row r="24" spans="2:24" x14ac:dyDescent="0.2">
      <c r="B24" s="467">
        <v>15</v>
      </c>
      <c r="C24" s="96" t="s">
        <v>368</v>
      </c>
      <c r="D24" s="100" t="s">
        <v>94</v>
      </c>
      <c r="E24" s="569" t="s">
        <v>497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4" x14ac:dyDescent="0.2">
      <c r="B25" s="467">
        <v>15</v>
      </c>
      <c r="C25" s="96" t="s">
        <v>124</v>
      </c>
      <c r="D25" s="100" t="s">
        <v>94</v>
      </c>
      <c r="E25" s="569" t="s">
        <v>497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4" ht="15" thickBot="1" x14ac:dyDescent="0.25">
      <c r="B26" s="467">
        <v>15</v>
      </c>
      <c r="C26" s="97" t="s">
        <v>125</v>
      </c>
      <c r="D26" s="102" t="s">
        <v>449</v>
      </c>
      <c r="E26" s="570" t="s">
        <v>497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4" ht="15" x14ac:dyDescent="0.25">
      <c r="B27" s="467">
        <v>30</v>
      </c>
      <c r="C27" s="95" t="s">
        <v>131</v>
      </c>
      <c r="D27" s="98">
        <v>1</v>
      </c>
      <c r="E27" s="574" t="s">
        <v>498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0.62559999999999993</v>
      </c>
      <c r="J27" s="7"/>
      <c r="K27" s="7"/>
      <c r="L27" s="148">
        <f>MIN(100%,('Quick Input'!S$50+L$28+L$29)*L$30)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4" x14ac:dyDescent="0.2">
      <c r="B28" s="467">
        <v>30</v>
      </c>
      <c r="C28" s="96" t="s">
        <v>124</v>
      </c>
      <c r="D28" s="100" t="s">
        <v>392</v>
      </c>
      <c r="E28" s="569" t="s">
        <v>497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/>
      <c r="P28" s="10"/>
      <c r="Q28" s="10"/>
      <c r="R28" s="155"/>
      <c r="S28" s="10"/>
      <c r="T28" s="10"/>
      <c r="U28" s="155"/>
      <c r="V28" s="11"/>
      <c r="X28" s="511"/>
    </row>
    <row r="29" spans="2:24" x14ac:dyDescent="0.2">
      <c r="B29" s="467">
        <v>30</v>
      </c>
      <c r="C29" s="96" t="s">
        <v>125</v>
      </c>
      <c r="D29" s="100"/>
      <c r="E29" s="569" t="s">
        <v>497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/>
      <c r="P29" s="10"/>
      <c r="Q29" s="10"/>
      <c r="R29" s="155"/>
      <c r="S29" s="10"/>
      <c r="T29" s="10"/>
      <c r="U29" s="155"/>
      <c r="V29" s="5"/>
      <c r="X29" s="511"/>
    </row>
    <row r="30" spans="2:24" ht="15" thickBot="1" x14ac:dyDescent="0.25">
      <c r="B30" s="467">
        <v>30</v>
      </c>
      <c r="C30" s="96" t="s">
        <v>130</v>
      </c>
      <c r="D30" s="100"/>
      <c r="E30" s="569" t="s">
        <v>497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/>
      <c r="P30" s="10"/>
      <c r="Q30" s="10"/>
      <c r="R30" s="155"/>
      <c r="S30" s="10"/>
      <c r="T30" s="10"/>
      <c r="U30" s="155"/>
      <c r="V30" s="1197"/>
    </row>
    <row r="31" spans="2:24" ht="15" x14ac:dyDescent="0.25">
      <c r="B31" s="467">
        <v>58</v>
      </c>
      <c r="C31" s="95" t="s">
        <v>362</v>
      </c>
      <c r="D31" s="98"/>
      <c r="E31" s="568"/>
      <c r="F31" s="156">
        <f>F$32*F$33*F$34</f>
        <v>2000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/>
      <c r="P31" s="28"/>
      <c r="Q31" s="28"/>
      <c r="R31" s="156"/>
      <c r="S31" s="28"/>
      <c r="T31" s="28"/>
      <c r="U31" s="156"/>
      <c r="V31" s="11"/>
    </row>
    <row r="32" spans="2:24" x14ac:dyDescent="0.2">
      <c r="B32" s="467">
        <f>B31</f>
        <v>58</v>
      </c>
      <c r="C32" s="96" t="s">
        <v>140</v>
      </c>
      <c r="D32" s="100" t="s">
        <v>94</v>
      </c>
      <c r="E32" s="569" t="s">
        <v>498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/>
      <c r="P32" s="4"/>
      <c r="Q32" s="4"/>
      <c r="R32" s="157"/>
      <c r="S32" s="4"/>
      <c r="T32" s="4"/>
      <c r="U32" s="157"/>
      <c r="V32" s="11"/>
    </row>
    <row r="33" spans="2:24" x14ac:dyDescent="0.2">
      <c r="B33" s="467">
        <f>B32</f>
        <v>58</v>
      </c>
      <c r="C33" s="96" t="s">
        <v>132</v>
      </c>
      <c r="D33" s="100" t="s">
        <v>94</v>
      </c>
      <c r="E33" s="569" t="s">
        <v>498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/>
      <c r="P33" s="4"/>
      <c r="Q33" s="4"/>
      <c r="R33" s="158"/>
      <c r="S33" s="4"/>
      <c r="T33" s="4"/>
      <c r="U33" s="158"/>
      <c r="V33" s="5"/>
    </row>
    <row r="34" spans="2:24" ht="15" thickBot="1" x14ac:dyDescent="0.25">
      <c r="B34" s="467">
        <f>B33</f>
        <v>58</v>
      </c>
      <c r="C34" s="96" t="s">
        <v>133</v>
      </c>
      <c r="D34" s="100" t="s">
        <v>392</v>
      </c>
      <c r="E34" s="569" t="s">
        <v>497</v>
      </c>
      <c r="F34" s="159">
        <f>MAX(0.9,SQRT(MIN(1,F$39+65%)))</f>
        <v>1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/>
      <c r="P34" s="4"/>
      <c r="Q34" s="4"/>
      <c r="R34" s="159"/>
      <c r="S34" s="4"/>
      <c r="T34" s="4"/>
      <c r="U34" s="159"/>
      <c r="V34" s="5"/>
    </row>
    <row r="35" spans="2:24" ht="15" x14ac:dyDescent="0.25">
      <c r="B35" s="467">
        <f>B34</f>
        <v>58</v>
      </c>
      <c r="C35" s="95" t="s">
        <v>137</v>
      </c>
      <c r="D35" s="98"/>
      <c r="E35" s="568"/>
      <c r="F35" s="156">
        <f>F$31*(1+F$36)*Refkalkulation!H$50</f>
        <v>2120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/>
      <c r="P35" s="28"/>
      <c r="Q35" s="28"/>
      <c r="R35" s="156"/>
      <c r="S35" s="28"/>
      <c r="T35" s="28"/>
      <c r="U35" s="156"/>
      <c r="V35" s="8"/>
    </row>
    <row r="36" spans="2:24" ht="15" thickBot="1" x14ac:dyDescent="0.25">
      <c r="B36" s="467">
        <f>B35</f>
        <v>58</v>
      </c>
      <c r="C36" s="96" t="s">
        <v>135</v>
      </c>
      <c r="D36" s="100"/>
      <c r="E36" s="569" t="s">
        <v>497</v>
      </c>
      <c r="F36" s="149">
        <f>IF(OR(F$39&lt;23%,VLOOKUP(Refkalkulation!H$52,DB_Maschinen,2,FALSE)='Maschinen-DB'!$D$22),0,5.25%+F$46*0.75%)</f>
        <v>0.06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/>
      <c r="P36" s="10"/>
      <c r="Q36" s="10"/>
      <c r="R36" s="149"/>
      <c r="S36" s="10"/>
      <c r="T36" s="10"/>
      <c r="U36" s="149"/>
      <c r="V36" s="1196"/>
    </row>
    <row r="37" spans="2:24" ht="15" x14ac:dyDescent="0.25">
      <c r="B37" s="467">
        <v>6</v>
      </c>
      <c r="C37" s="95" t="s">
        <v>502</v>
      </c>
      <c r="D37" s="98" t="s">
        <v>94</v>
      </c>
      <c r="E37" s="574" t="s">
        <v>498</v>
      </c>
      <c r="F37" s="345">
        <f>F$31*'Quick Input'!M$16/10000</f>
        <v>40</v>
      </c>
      <c r="G37" s="7"/>
      <c r="H37" s="7"/>
      <c r="I37" s="345">
        <f>I$31*'Quick Input'!P$16/10000</f>
        <v>36</v>
      </c>
      <c r="J37" s="7"/>
      <c r="K37" s="7"/>
      <c r="L37" s="345">
        <f>L$31*'Quick Input'!S$16/10000</f>
        <v>36</v>
      </c>
      <c r="M37" s="7"/>
      <c r="N37" s="7"/>
      <c r="O37" s="345"/>
      <c r="P37" s="28"/>
      <c r="Q37" s="28"/>
      <c r="R37" s="345"/>
      <c r="S37" s="28"/>
      <c r="T37" s="28"/>
      <c r="U37" s="345"/>
      <c r="V37" s="11"/>
    </row>
    <row r="38" spans="2:24" x14ac:dyDescent="0.2">
      <c r="B38" s="467">
        <v>6</v>
      </c>
      <c r="C38" s="96" t="s">
        <v>507</v>
      </c>
      <c r="D38" s="100" t="s">
        <v>94</v>
      </c>
      <c r="E38" s="569" t="s">
        <v>498</v>
      </c>
      <c r="F38" s="159">
        <f>F$37*VLOOKUP('Quick Input'!M$10,DB_Material,5,FALSE)</f>
        <v>108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/>
      <c r="P38" s="10"/>
      <c r="Q38" s="10"/>
      <c r="R38" s="159"/>
      <c r="S38" s="10"/>
      <c r="T38" s="10"/>
      <c r="U38" s="159"/>
      <c r="V38" s="5"/>
    </row>
    <row r="39" spans="2:24" ht="15" thickBot="1" x14ac:dyDescent="0.25">
      <c r="B39" s="467">
        <v>6</v>
      </c>
      <c r="C39" s="96" t="s">
        <v>134</v>
      </c>
      <c r="D39" s="100" t="s">
        <v>94</v>
      </c>
      <c r="E39" s="569" t="s">
        <v>498</v>
      </c>
      <c r="F39" s="160">
        <f>'Quick Input'!M$20/(F$32*F$33*'Quick Input'!M$16/10)</f>
        <v>0.37037037037037035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/>
      <c r="P39" s="4"/>
      <c r="Q39" s="4"/>
      <c r="R39" s="160"/>
      <c r="S39" s="4"/>
      <c r="T39" s="4"/>
      <c r="U39" s="160"/>
      <c r="V39" s="1197"/>
    </row>
    <row r="40" spans="2:24" ht="15" x14ac:dyDescent="0.25">
      <c r="B40" s="467">
        <v>3</v>
      </c>
      <c r="C40" s="95" t="s">
        <v>393</v>
      </c>
      <c r="D40" s="98">
        <v>1</v>
      </c>
      <c r="E40" s="574" t="s">
        <v>498</v>
      </c>
      <c r="F40" s="345">
        <f>(F$41+F$43)*F$46</f>
        <v>57.737662165399797</v>
      </c>
      <c r="G40" s="7"/>
      <c r="H40" s="7"/>
      <c r="I40" s="345">
        <f>(I$41+I$43)*I$46</f>
        <v>7.3082233762111191</v>
      </c>
      <c r="J40" s="7"/>
      <c r="K40" s="7"/>
      <c r="L40" s="345">
        <f>(L$41+L$43)*L$46</f>
        <v>7.3082233762111191</v>
      </c>
      <c r="M40" s="7"/>
      <c r="N40" s="7"/>
      <c r="O40" s="345"/>
      <c r="P40" s="7"/>
      <c r="Q40" s="7"/>
      <c r="R40" s="345"/>
      <c r="S40" s="7"/>
      <c r="T40" s="7"/>
      <c r="U40" s="345"/>
      <c r="V40" s="11"/>
    </row>
    <row r="41" spans="2:24" x14ac:dyDescent="0.2">
      <c r="B41" s="467">
        <v>3</v>
      </c>
      <c r="C41" s="96" t="s">
        <v>366</v>
      </c>
      <c r="D41" s="100">
        <v>1</v>
      </c>
      <c r="E41" s="569" t="s">
        <v>498</v>
      </c>
      <c r="F41" s="159">
        <f>'Quick Input'!M$19</f>
        <v>40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/>
      <c r="P41" s="10"/>
      <c r="Q41" s="10"/>
      <c r="R41" s="159"/>
      <c r="S41" s="10"/>
      <c r="T41" s="10"/>
      <c r="U41" s="159"/>
      <c r="V41" s="11"/>
    </row>
    <row r="42" spans="2:24" ht="15" x14ac:dyDescent="0.25">
      <c r="B42" s="467">
        <v>3</v>
      </c>
      <c r="C42" s="96" t="s">
        <v>268</v>
      </c>
      <c r="D42" s="580" t="s">
        <v>392</v>
      </c>
      <c r="E42" s="569" t="s">
        <v>497</v>
      </c>
      <c r="F42" s="201">
        <f>'Länder-DB'!$M$19+F$44+F$45+F$47</f>
        <v>0.44344155413499481</v>
      </c>
      <c r="G42" s="10"/>
      <c r="H42" s="10"/>
      <c r="I42" s="201">
        <f>'Länder-DB'!$M$19+I$44+I$45+I$47</f>
        <v>0.46164467524222386</v>
      </c>
      <c r="J42" s="10"/>
      <c r="K42" s="10"/>
      <c r="L42" s="201">
        <f>'Länder-DB'!$M$19+L$44+L$45+L$47</f>
        <v>0.46164467524222386</v>
      </c>
      <c r="M42" s="10"/>
      <c r="N42" s="10"/>
      <c r="O42" s="201"/>
      <c r="P42" s="10"/>
      <c r="Q42" s="10"/>
      <c r="R42" s="201"/>
      <c r="S42" s="10"/>
      <c r="T42" s="10"/>
      <c r="U42" s="201"/>
      <c r="V42" s="11"/>
      <c r="X42" s="511"/>
    </row>
    <row r="43" spans="2:24" x14ac:dyDescent="0.2">
      <c r="B43" s="467">
        <v>3</v>
      </c>
      <c r="C43" s="96" t="s">
        <v>476</v>
      </c>
      <c r="D43" s="100">
        <v>1</v>
      </c>
      <c r="E43" s="569" t="s">
        <v>497</v>
      </c>
      <c r="F43" s="159">
        <f>F$41*F$42</f>
        <v>17.737662165399794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/>
      <c r="P43" s="10"/>
      <c r="Q43" s="10"/>
      <c r="R43" s="159"/>
      <c r="S43" s="10"/>
      <c r="T43" s="10"/>
      <c r="U43" s="159"/>
      <c r="V43" s="11"/>
    </row>
    <row r="44" spans="2:24" x14ac:dyDescent="0.2">
      <c r="B44" s="467">
        <v>3</v>
      </c>
      <c r="C44" s="96" t="s">
        <v>474</v>
      </c>
      <c r="D44" s="100" t="s">
        <v>392</v>
      </c>
      <c r="E44" s="569" t="s">
        <v>497</v>
      </c>
      <c r="F44" s="201">
        <f>2.5%*MAX(0,('Quick Input'!M$17-8)/4)</f>
        <v>4.3750000000000004E-2</v>
      </c>
      <c r="G44" s="10"/>
      <c r="H44" s="10"/>
      <c r="I44" s="201">
        <f>2.5%*MAX(0,('Quick Input'!P$17-8)/4)</f>
        <v>4.3750000000000004E-2</v>
      </c>
      <c r="J44" s="10"/>
      <c r="K44" s="10"/>
      <c r="L44" s="201">
        <f>2.5%*MAX(0,('Quick Input'!S$17-8)/4)</f>
        <v>4.3750000000000004E-2</v>
      </c>
      <c r="M44" s="10"/>
      <c r="N44" s="10"/>
      <c r="O44" s="201"/>
      <c r="P44" s="10"/>
      <c r="Q44" s="10"/>
      <c r="R44" s="201"/>
      <c r="S44" s="10"/>
      <c r="T44" s="10"/>
      <c r="U44" s="201"/>
      <c r="V44" s="11"/>
      <c r="X44" s="511"/>
    </row>
    <row r="45" spans="2:24" x14ac:dyDescent="0.2">
      <c r="B45" s="467">
        <v>3</v>
      </c>
      <c r="C45" s="96" t="s">
        <v>477</v>
      </c>
      <c r="D45" s="100">
        <v>1</v>
      </c>
      <c r="E45" s="569" t="s">
        <v>497</v>
      </c>
      <c r="F45" s="201">
        <f>MAX(0%,20%*(40%-F$58))</f>
        <v>5.9691554134994773E-2</v>
      </c>
      <c r="G45" s="10"/>
      <c r="H45" s="10"/>
      <c r="I45" s="201">
        <f>MAX(0%,20%*(40%-I$58))</f>
        <v>7.7894675242223807E-2</v>
      </c>
      <c r="J45" s="10"/>
      <c r="K45" s="10"/>
      <c r="L45" s="201">
        <f>20%*(40%-L$58)</f>
        <v>7.7894675242223807E-2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11"/>
    </row>
    <row r="46" spans="2:24" x14ac:dyDescent="0.2">
      <c r="B46" s="467">
        <v>3</v>
      </c>
      <c r="C46" s="96" t="s">
        <v>376</v>
      </c>
      <c r="D46" s="100">
        <v>1</v>
      </c>
      <c r="E46" s="569" t="s">
        <v>498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/>
      <c r="P46" s="4"/>
      <c r="Q46" s="4"/>
      <c r="R46" s="162"/>
      <c r="S46" s="4"/>
      <c r="T46" s="4"/>
      <c r="U46" s="162"/>
      <c r="V46" s="5"/>
    </row>
    <row r="47" spans="2:24" ht="15.75" thickBot="1" x14ac:dyDescent="0.3">
      <c r="B47" s="532">
        <v>3</v>
      </c>
      <c r="C47" s="97" t="s">
        <v>475</v>
      </c>
      <c r="D47" s="1025" t="s">
        <v>392</v>
      </c>
      <c r="E47" s="570" t="s">
        <v>497</v>
      </c>
      <c r="F47" s="343">
        <f>-4%*F$46+12%*ABS(F$46/2-1)</f>
        <v>1.9999999999999997E-2</v>
      </c>
      <c r="G47" s="13"/>
      <c r="H47" s="13"/>
      <c r="I47" s="343">
        <f>-4%*I$46+12%*ABS(I$46/2-1)</f>
        <v>1.9999999999999997E-2</v>
      </c>
      <c r="J47" s="13"/>
      <c r="K47" s="13"/>
      <c r="L47" s="343">
        <f>-4%*L$46+12%*ABS(L$46/2-1)</f>
        <v>1.9999999999999997E-2</v>
      </c>
      <c r="M47" s="13"/>
      <c r="N47" s="13"/>
      <c r="O47" s="343"/>
      <c r="P47" s="13"/>
      <c r="Q47" s="13"/>
      <c r="R47" s="343"/>
      <c r="S47" s="13"/>
      <c r="T47" s="13"/>
      <c r="U47" s="343"/>
      <c r="V47" s="126"/>
      <c r="X47" s="511"/>
    </row>
    <row r="48" spans="2:24" ht="15.75" thickBot="1" x14ac:dyDescent="0.3">
      <c r="B48" s="936"/>
      <c r="C48" s="1023" t="s">
        <v>907</v>
      </c>
      <c r="D48" s="102"/>
      <c r="E48" s="570" t="s">
        <v>497</v>
      </c>
      <c r="F48" s="1024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24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24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24"/>
      <c r="P48" s="13"/>
      <c r="Q48" s="13"/>
      <c r="R48" s="1024"/>
      <c r="S48" s="13"/>
      <c r="T48" s="13"/>
      <c r="U48" s="1024"/>
      <c r="V48" s="32"/>
      <c r="X48" s="511"/>
    </row>
    <row r="49" spans="2:22" ht="15" x14ac:dyDescent="0.25">
      <c r="B49" s="467">
        <v>47</v>
      </c>
      <c r="C49" s="95" t="s">
        <v>384</v>
      </c>
      <c r="D49" s="98" t="s">
        <v>94</v>
      </c>
      <c r="E49" s="574" t="s">
        <v>498</v>
      </c>
      <c r="F49" s="202">
        <f>F$56*IF(F$52,F$33,F$32)+2*F$53+(F$56-1)*(F$53+2.5)</f>
        <v>65.79473319220206</v>
      </c>
      <c r="G49" s="7"/>
      <c r="H49" s="7"/>
      <c r="I49" s="202">
        <f>I$56*IF(I$52,I$33,I$32)+2*I$53+(I$56-1)*(I$53+2.5)</f>
        <v>68.79473319220206</v>
      </c>
      <c r="J49" s="7"/>
      <c r="K49" s="7"/>
      <c r="L49" s="202">
        <f>L$56*IF(L$52,L$33,L$32)+2*L$53+(L$56-1)*(L$53+2.5)</f>
        <v>68.79473319220206</v>
      </c>
      <c r="M49" s="7"/>
      <c r="N49" s="7"/>
      <c r="O49" s="202"/>
      <c r="P49" s="28"/>
      <c r="Q49" s="28"/>
      <c r="R49" s="202"/>
      <c r="S49" s="28"/>
      <c r="T49" s="28"/>
      <c r="U49" s="202"/>
      <c r="V49" s="11"/>
    </row>
    <row r="50" spans="2:22" ht="15" x14ac:dyDescent="0.25">
      <c r="B50" s="467">
        <v>47</v>
      </c>
      <c r="C50" s="99" t="s">
        <v>385</v>
      </c>
      <c r="D50" s="100" t="s">
        <v>94</v>
      </c>
      <c r="E50" s="569" t="s">
        <v>498</v>
      </c>
      <c r="F50" s="203">
        <f>F$57*IF(F$52,F$32,F$33)+2*F$53+(F$57-1)*(2.5+F$53)</f>
        <v>55.79473319220206</v>
      </c>
      <c r="G50" s="10"/>
      <c r="H50" s="10"/>
      <c r="I50" s="203">
        <f>I$57*IF(I$52,I$32,I$33)+2*I$53+(I$57-1)*(2.5+I$53)</f>
        <v>58.79473319220206</v>
      </c>
      <c r="J50" s="10"/>
      <c r="K50" s="10"/>
      <c r="L50" s="203">
        <f>L$57*IF(L$52,L$32,L$33)+2*L$53+(L$57-1)*(2.5+L$53)</f>
        <v>58.79473319220206</v>
      </c>
      <c r="M50" s="10"/>
      <c r="N50" s="10"/>
      <c r="O50" s="203"/>
      <c r="P50" s="4"/>
      <c r="Q50" s="4"/>
      <c r="R50" s="203"/>
      <c r="S50" s="4"/>
      <c r="T50" s="4"/>
      <c r="U50" s="203"/>
      <c r="V50" s="11"/>
    </row>
    <row r="51" spans="2:22" ht="15" x14ac:dyDescent="0.25">
      <c r="B51" s="467">
        <v>47</v>
      </c>
      <c r="C51" s="99" t="s">
        <v>383</v>
      </c>
      <c r="D51" s="100" t="s">
        <v>94</v>
      </c>
      <c r="E51" s="569" t="s">
        <v>498</v>
      </c>
      <c r="F51" s="203">
        <f>'Quick Input'!M16/10+2.5*F$53</f>
        <v>39.743416490252571</v>
      </c>
      <c r="G51" s="10"/>
      <c r="H51" s="10"/>
      <c r="I51" s="203">
        <f>'Quick Input'!P16/10+2.5*I$53</f>
        <v>43.493416490252571</v>
      </c>
      <c r="J51" s="10"/>
      <c r="K51" s="10"/>
      <c r="L51" s="203">
        <f>'Quick Input'!S16/10+2.5*L$53</f>
        <v>43.493416490252571</v>
      </c>
      <c r="M51" s="10"/>
      <c r="N51" s="10"/>
      <c r="O51" s="203"/>
      <c r="P51" s="10"/>
      <c r="Q51" s="10"/>
      <c r="R51" s="203"/>
      <c r="S51" s="10"/>
      <c r="T51" s="10"/>
      <c r="U51" s="203"/>
      <c r="V51" s="11"/>
    </row>
    <row r="52" spans="2:22" x14ac:dyDescent="0.2">
      <c r="B52" s="467">
        <v>47</v>
      </c>
      <c r="C52" s="96" t="s">
        <v>478</v>
      </c>
      <c r="D52" s="100" t="s">
        <v>94</v>
      </c>
      <c r="E52" s="569" t="s">
        <v>497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/>
      <c r="P52" s="4"/>
      <c r="Q52" s="4"/>
      <c r="R52" s="157"/>
      <c r="S52" s="4"/>
      <c r="T52" s="4"/>
      <c r="U52" s="157"/>
      <c r="V52" s="11"/>
    </row>
    <row r="53" spans="2:22" x14ac:dyDescent="0.2">
      <c r="B53" s="467">
        <v>47</v>
      </c>
      <c r="C53" s="96" t="s">
        <v>394</v>
      </c>
      <c r="D53" s="100" t="s">
        <v>392</v>
      </c>
      <c r="E53" s="569" t="s">
        <v>497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/>
      <c r="P53" s="4"/>
      <c r="Q53" s="4"/>
      <c r="R53" s="157"/>
      <c r="S53" s="4"/>
      <c r="T53" s="4"/>
      <c r="U53" s="157"/>
      <c r="V53" s="11"/>
    </row>
    <row r="54" spans="2:22" x14ac:dyDescent="0.2">
      <c r="B54" s="467">
        <v>47</v>
      </c>
      <c r="C54" s="96" t="s">
        <v>479</v>
      </c>
      <c r="D54" s="100" t="s">
        <v>94</v>
      </c>
      <c r="E54" s="569" t="s">
        <v>497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/>
      <c r="P54" s="4"/>
      <c r="Q54" s="4"/>
      <c r="R54" s="157"/>
      <c r="S54" s="4"/>
      <c r="T54" s="4"/>
      <c r="U54" s="157"/>
      <c r="V54" s="11"/>
    </row>
    <row r="55" spans="2:22" x14ac:dyDescent="0.2">
      <c r="B55" s="467">
        <v>47</v>
      </c>
      <c r="C55" s="96" t="s">
        <v>480</v>
      </c>
      <c r="D55" s="100" t="s">
        <v>94</v>
      </c>
      <c r="E55" s="569" t="s">
        <v>497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/>
      <c r="P55" s="4"/>
      <c r="Q55" s="4"/>
      <c r="R55" s="157"/>
      <c r="S55" s="4"/>
      <c r="T55" s="4"/>
      <c r="U55" s="157"/>
      <c r="V55" s="11"/>
    </row>
    <row r="56" spans="2:22" x14ac:dyDescent="0.2">
      <c r="B56" s="467">
        <v>47</v>
      </c>
      <c r="C56" s="96" t="s">
        <v>459</v>
      </c>
      <c r="D56" s="100" t="s">
        <v>392</v>
      </c>
      <c r="E56" s="569" t="s">
        <v>497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/>
      <c r="P56" s="4"/>
      <c r="Q56" s="4"/>
      <c r="R56" s="158"/>
      <c r="S56" s="4"/>
      <c r="T56" s="4"/>
      <c r="U56" s="158"/>
      <c r="V56" s="11"/>
    </row>
    <row r="57" spans="2:22" x14ac:dyDescent="0.2">
      <c r="B57" s="467">
        <v>47</v>
      </c>
      <c r="C57" s="96" t="s">
        <v>386</v>
      </c>
      <c r="D57" s="100" t="s">
        <v>94</v>
      </c>
      <c r="E57" s="569" t="s">
        <v>497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/>
      <c r="P57" s="4"/>
      <c r="Q57" s="4"/>
      <c r="R57" s="158"/>
      <c r="S57" s="4"/>
      <c r="T57" s="4"/>
      <c r="U57" s="158"/>
      <c r="V57" s="5"/>
    </row>
    <row r="58" spans="2:22" ht="15" thickBot="1" x14ac:dyDescent="0.25">
      <c r="B58" s="467">
        <v>47</v>
      </c>
      <c r="C58" s="96" t="s">
        <v>428</v>
      </c>
      <c r="D58" s="596" t="s">
        <v>482</v>
      </c>
      <c r="E58" s="569" t="s">
        <v>498</v>
      </c>
      <c r="F58" s="284">
        <f>(F$41*F$46)/2.7/(F$49*F$50*F$51/1000)</f>
        <v>0.10154222932502616</v>
      </c>
      <c r="G58" s="10"/>
      <c r="H58" s="10"/>
      <c r="I58" s="284">
        <f>(I$41*I$46)/2.7/(I$49*I$50*I$51/1000)</f>
        <v>1.0526623788881013E-2</v>
      </c>
      <c r="J58" s="10"/>
      <c r="K58" s="10"/>
      <c r="L58" s="284">
        <f>(L$41*L$46)/2.7/(L$49*L$50*L$51/1000)</f>
        <v>1.0526623788881013E-2</v>
      </c>
      <c r="M58" s="10"/>
      <c r="N58" s="10"/>
      <c r="O58" s="284"/>
      <c r="P58" s="4"/>
      <c r="Q58" s="4"/>
      <c r="R58" s="284"/>
      <c r="S58" s="4"/>
      <c r="T58" s="4"/>
      <c r="U58" s="284"/>
      <c r="V58" s="5"/>
    </row>
    <row r="59" spans="2:22" ht="15" x14ac:dyDescent="0.25">
      <c r="B59" s="531">
        <v>24</v>
      </c>
      <c r="C59" s="95" t="s">
        <v>511</v>
      </c>
      <c r="D59" s="98"/>
      <c r="E59" s="574" t="s">
        <v>498</v>
      </c>
      <c r="F59" s="161">
        <f>IFERROR(MAX(F$61,MIN(F$62,IF(F$73,F$72,F$72+1))),F$61)</f>
        <v>9</v>
      </c>
      <c r="G59" s="419"/>
      <c r="H59" s="420"/>
      <c r="I59" s="161">
        <f>IFERROR(MAX(I$61,MIN(I$62,IF(I$73,I$72,I$72+1))),I$61)</f>
        <v>12</v>
      </c>
      <c r="J59" s="419"/>
      <c r="K59" s="420"/>
      <c r="L59" s="161">
        <f>IFERROR(MAX(L$61,MIN(L$62,IF(L$73,L$72,L$72+1))),L$61)</f>
        <v>12</v>
      </c>
      <c r="M59" s="419"/>
      <c r="N59" s="420"/>
      <c r="O59" s="161"/>
      <c r="P59" s="419"/>
      <c r="Q59" s="420"/>
      <c r="R59" s="161"/>
      <c r="S59" s="419"/>
      <c r="T59" s="420"/>
      <c r="U59" s="161"/>
      <c r="V59" s="8"/>
    </row>
    <row r="60" spans="2:22" x14ac:dyDescent="0.2">
      <c r="B60" s="553">
        <v>24</v>
      </c>
      <c r="C60" s="554" t="s">
        <v>827</v>
      </c>
      <c r="D60" s="100"/>
      <c r="E60" s="569" t="s">
        <v>497</v>
      </c>
      <c r="F60" s="543" t="str">
        <f>'Quick Input'!M$22</f>
        <v>halbautomatisch</v>
      </c>
      <c r="G60" s="421"/>
      <c r="H60" s="422"/>
      <c r="I60" s="543" t="str">
        <f>'Quick Input'!P$22</f>
        <v>Handformen</v>
      </c>
      <c r="J60" s="421"/>
      <c r="K60" s="422"/>
      <c r="L60" s="543" t="str">
        <f>'Quick Input'!S$22</f>
        <v>Handformen</v>
      </c>
      <c r="M60" s="421"/>
      <c r="N60" s="422"/>
      <c r="O60" s="543"/>
      <c r="P60" s="421"/>
      <c r="Q60" s="422"/>
      <c r="R60" s="543"/>
      <c r="S60" s="421"/>
      <c r="T60" s="422"/>
      <c r="U60" s="543"/>
      <c r="V60" s="11"/>
    </row>
    <row r="61" spans="2:22" x14ac:dyDescent="0.2">
      <c r="B61" s="553">
        <v>24</v>
      </c>
      <c r="C61" s="96" t="s">
        <v>461</v>
      </c>
      <c r="D61" s="100" t="s">
        <v>528</v>
      </c>
      <c r="E61" s="569" t="s">
        <v>498</v>
      </c>
      <c r="F61" s="677">
        <f>VLOOKUP(F$60,'Maschinen-DB'!$B$22:$C$37,2,FALSE)</f>
        <v>9</v>
      </c>
      <c r="G61" s="421"/>
      <c r="H61" s="422"/>
      <c r="I61" s="677">
        <f>VLOOKUP(I$60,'Maschinen-DB'!$B$22:$C$37,2,FALSE)</f>
        <v>12</v>
      </c>
      <c r="J61" s="421"/>
      <c r="K61" s="422"/>
      <c r="L61" s="677">
        <f>VLOOKUP(L$60,'Maschinen-DB'!$B$22:$C$37,2,FALSE)</f>
        <v>12</v>
      </c>
      <c r="M61" s="421"/>
      <c r="N61" s="422"/>
      <c r="O61" s="677"/>
      <c r="P61" s="421"/>
      <c r="Q61" s="422"/>
      <c r="R61" s="677"/>
      <c r="S61" s="421"/>
      <c r="T61" s="422"/>
      <c r="U61" s="677"/>
      <c r="V61" s="5"/>
    </row>
    <row r="62" spans="2:22" x14ac:dyDescent="0.2">
      <c r="B62" s="553">
        <v>24</v>
      </c>
      <c r="C62" s="96" t="s">
        <v>460</v>
      </c>
      <c r="D62" s="100"/>
      <c r="E62" s="569" t="s">
        <v>498</v>
      </c>
      <c r="F62" s="158">
        <f>VLOOKUP(F$60,'Maschinen-DB'!$B$22:$C$37,2,TRUE)</f>
        <v>11</v>
      </c>
      <c r="G62" s="421"/>
      <c r="H62" s="422"/>
      <c r="I62" s="158">
        <f>VLOOKUP(I$60,'Maschinen-DB'!$B$22:$C$37,2,TRUE)</f>
        <v>15</v>
      </c>
      <c r="J62" s="421"/>
      <c r="K62" s="422"/>
      <c r="L62" s="158">
        <f>VLOOKUP(L$60,'Maschinen-DB'!$B$22:$C$37,2,TRUE)</f>
        <v>15</v>
      </c>
      <c r="M62" s="421"/>
      <c r="N62" s="422"/>
      <c r="O62" s="158"/>
      <c r="P62" s="421"/>
      <c r="Q62" s="422"/>
      <c r="R62" s="158"/>
      <c r="S62" s="421"/>
      <c r="T62" s="422"/>
      <c r="U62" s="158"/>
      <c r="V62" s="5"/>
    </row>
    <row r="63" spans="2:22" x14ac:dyDescent="0.2">
      <c r="B63" s="553">
        <v>24</v>
      </c>
      <c r="C63" s="96" t="s">
        <v>462</v>
      </c>
      <c r="D63" s="100"/>
      <c r="E63" s="571"/>
      <c r="F63" s="158">
        <f>VLOOKUP(F$61,DB_Maschinen,5,FALSE)/10</f>
        <v>130</v>
      </c>
      <c r="G63" s="421"/>
      <c r="H63" s="422"/>
      <c r="I63" s="158">
        <f>VLOOKUP(I$61,DB_Maschinen,5,FALSE)/10</f>
        <v>250</v>
      </c>
      <c r="J63" s="421"/>
      <c r="K63" s="422"/>
      <c r="L63" s="158">
        <f>VLOOKUP(L$61,DB_Maschinen,5,FALSE)/10</f>
        <v>250</v>
      </c>
      <c r="M63" s="421"/>
      <c r="N63" s="422"/>
      <c r="O63" s="158"/>
      <c r="P63" s="421"/>
      <c r="Q63" s="422"/>
      <c r="R63" s="158"/>
      <c r="S63" s="421"/>
      <c r="T63" s="422"/>
      <c r="U63" s="158"/>
      <c r="V63" s="5"/>
    </row>
    <row r="64" spans="2:22" ht="15" thickBot="1" x14ac:dyDescent="0.25">
      <c r="B64" s="553">
        <v>24</v>
      </c>
      <c r="C64" s="97" t="s">
        <v>463</v>
      </c>
      <c r="D64" s="102"/>
      <c r="E64" s="571"/>
      <c r="F64" s="158">
        <f>VLOOKUP(F$62,DB_Maschinen,5,FALSE)/10</f>
        <v>180</v>
      </c>
      <c r="G64" s="421"/>
      <c r="H64" s="422"/>
      <c r="I64" s="158">
        <f>VLOOKUP(I$62,DB_Maschinen,5,FALSE)/10</f>
        <v>500</v>
      </c>
      <c r="J64" s="421"/>
      <c r="K64" s="422"/>
      <c r="L64" s="158">
        <f>VLOOKUP(L$62,DB_Maschinen,5,FALSE)/10</f>
        <v>500</v>
      </c>
      <c r="M64" s="421"/>
      <c r="N64" s="422"/>
      <c r="O64" s="158"/>
      <c r="P64" s="421"/>
      <c r="Q64" s="422"/>
      <c r="R64" s="158"/>
      <c r="S64" s="421"/>
      <c r="T64" s="422"/>
      <c r="U64" s="158"/>
      <c r="V64" s="5"/>
    </row>
    <row r="65" spans="2:24" ht="15" x14ac:dyDescent="0.25">
      <c r="B65" s="467">
        <v>25</v>
      </c>
      <c r="C65" s="99" t="s">
        <v>533</v>
      </c>
      <c r="D65" s="100"/>
      <c r="E65" s="571"/>
      <c r="F65" s="640">
        <f>IFERROR(Refkalkulation!H$52,F$61)</f>
        <v>9</v>
      </c>
      <c r="G65" s="421"/>
      <c r="H65" s="422"/>
      <c r="I65" s="640">
        <f>IFERROR(Refkalkulation!K$52,I$61)</f>
        <v>3</v>
      </c>
      <c r="J65" s="421"/>
      <c r="K65" s="422"/>
      <c r="L65" s="640">
        <f>IFERROR(Refkalkulation!N$52,L$61)</f>
        <v>3</v>
      </c>
      <c r="M65" s="421"/>
      <c r="N65" s="422"/>
      <c r="O65" s="640"/>
      <c r="P65" s="421"/>
      <c r="Q65" s="422"/>
      <c r="R65" s="640"/>
      <c r="S65" s="421"/>
      <c r="T65" s="422"/>
      <c r="U65" s="640"/>
      <c r="V65" s="11"/>
      <c r="W65" s="511"/>
    </row>
    <row r="66" spans="2:24" x14ac:dyDescent="0.2">
      <c r="B66" s="553">
        <f>B65</f>
        <v>25</v>
      </c>
      <c r="C66" s="96" t="s">
        <v>510</v>
      </c>
      <c r="D66" s="100"/>
      <c r="E66" s="571"/>
      <c r="F66" s="641">
        <f>VLOOKUP(F$65,DB_Maschinen,5,FALSE)/10</f>
        <v>130</v>
      </c>
      <c r="G66" s="421"/>
      <c r="H66" s="422"/>
      <c r="I66" s="641">
        <f>VLOOKUP(I$65,DB_Maschinen,5,FALSE)/10</f>
        <v>80</v>
      </c>
      <c r="J66" s="421"/>
      <c r="K66" s="422"/>
      <c r="L66" s="641">
        <f>VLOOKUP(L$65,DB_Maschinen,5,FALSE)/10</f>
        <v>80</v>
      </c>
      <c r="M66" s="421"/>
      <c r="N66" s="422"/>
      <c r="O66" s="641"/>
      <c r="P66" s="421"/>
      <c r="Q66" s="422"/>
      <c r="R66" s="641"/>
      <c r="S66" s="421"/>
      <c r="T66" s="422"/>
      <c r="U66" s="641"/>
      <c r="V66" s="5"/>
      <c r="W66" s="511"/>
    </row>
    <row r="67" spans="2:24" x14ac:dyDescent="0.2">
      <c r="B67" s="553">
        <f>B66</f>
        <v>25</v>
      </c>
      <c r="C67" s="96" t="s">
        <v>512</v>
      </c>
      <c r="D67" s="100"/>
      <c r="E67" s="571"/>
      <c r="F67" s="641">
        <f>VLOOKUP(F$65,DB_Maschinen,6,FALSE)/10</f>
        <v>130</v>
      </c>
      <c r="G67" s="421"/>
      <c r="H67" s="422"/>
      <c r="I67" s="641">
        <f>VLOOKUP(I$65,DB_Maschinen,6,FALSE)/10</f>
        <v>60</v>
      </c>
      <c r="J67" s="421"/>
      <c r="K67" s="422"/>
      <c r="L67" s="641">
        <f>VLOOKUP(L$65,DB_Maschinen,6,FALSE)/10</f>
        <v>60</v>
      </c>
      <c r="M67" s="421"/>
      <c r="N67" s="422"/>
      <c r="O67" s="641"/>
      <c r="P67" s="421"/>
      <c r="Q67" s="422"/>
      <c r="R67" s="641"/>
      <c r="S67" s="421"/>
      <c r="T67" s="422"/>
      <c r="U67" s="641"/>
      <c r="V67" s="5"/>
      <c r="W67" s="511"/>
    </row>
    <row r="68" spans="2:24" x14ac:dyDescent="0.2">
      <c r="B68" s="553">
        <f>B67</f>
        <v>25</v>
      </c>
      <c r="C68" s="96" t="s">
        <v>513</v>
      </c>
      <c r="D68" s="100"/>
      <c r="E68" s="571"/>
      <c r="F68" s="641">
        <f>VLOOKUP(F$65,DB_Maschinen,7,FALSE)/10</f>
        <v>80</v>
      </c>
      <c r="G68" s="421"/>
      <c r="H68" s="422"/>
      <c r="I68" s="641">
        <f>VLOOKUP(I$65,DB_Maschinen,7,FALSE)/10</f>
        <v>60</v>
      </c>
      <c r="J68" s="421"/>
      <c r="K68" s="422"/>
      <c r="L68" s="641">
        <f>VLOOKUP(L$65,DB_Maschinen,7,FALSE)/10</f>
        <v>60</v>
      </c>
      <c r="M68" s="421"/>
      <c r="N68" s="422"/>
      <c r="O68" s="641"/>
      <c r="P68" s="421"/>
      <c r="Q68" s="422"/>
      <c r="R68" s="641"/>
      <c r="S68" s="421"/>
      <c r="T68" s="422"/>
      <c r="U68" s="641"/>
      <c r="V68" s="5"/>
      <c r="W68" s="511"/>
    </row>
    <row r="69" spans="2:24" ht="15" thickBot="1" x14ac:dyDescent="0.25">
      <c r="B69" s="628">
        <f>B68</f>
        <v>25</v>
      </c>
      <c r="C69" s="97" t="s">
        <v>514</v>
      </c>
      <c r="D69" s="102"/>
      <c r="E69" s="572"/>
      <c r="F69" s="642">
        <f>F$68/VLOOKUP(F$65,DB_Maschinen,10,FALSE)*VLOOKUP(F$65,DB_Maschinen,11,FALSE)</f>
        <v>60</v>
      </c>
      <c r="G69" s="423"/>
      <c r="H69" s="424"/>
      <c r="I69" s="642">
        <f>I$68/VLOOKUP(I$65,DB_Maschinen,10,FALSE)*VLOOKUP(I$65,DB_Maschinen,11,FALSE)</f>
        <v>40</v>
      </c>
      <c r="J69" s="423"/>
      <c r="K69" s="424"/>
      <c r="L69" s="642">
        <f>L$68/VLOOKUP(L$65,DB_Maschinen,10,FALSE)*VLOOKUP(L$65,DB_Maschinen,11,FALSE)</f>
        <v>40</v>
      </c>
      <c r="M69" s="423"/>
      <c r="N69" s="424"/>
      <c r="O69" s="642"/>
      <c r="P69" s="423"/>
      <c r="Q69" s="424"/>
      <c r="R69" s="642"/>
      <c r="S69" s="423"/>
      <c r="T69" s="424"/>
      <c r="U69" s="642"/>
      <c r="V69" s="32"/>
      <c r="W69" s="511"/>
    </row>
    <row r="70" spans="2:24" ht="15" x14ac:dyDescent="0.25">
      <c r="B70" s="467">
        <v>48</v>
      </c>
      <c r="C70" s="99" t="s">
        <v>508</v>
      </c>
      <c r="D70" s="100"/>
      <c r="E70" s="569" t="s">
        <v>498</v>
      </c>
      <c r="F70" s="627">
        <f>IF(F$65&lt;F$72,F$72,MAX(F$61,MIN(F$62,IF(F$73,F$72,F$72+1))))</f>
        <v>9</v>
      </c>
      <c r="G70" s="421"/>
      <c r="H70" s="422"/>
      <c r="I70" s="627">
        <f>IF(I$65&lt;I$72,I$72,MAX(I$61,MIN(I$62,IF(I$73,I$72,I$72+1))))</f>
        <v>12</v>
      </c>
      <c r="J70" s="421"/>
      <c r="K70" s="422"/>
      <c r="L70" s="627">
        <f>IF(L$65&lt;L$72,L$72,MAX(L$61,MIN(L$62,IF(L$73,L$72,L$72+1))))</f>
        <v>12</v>
      </c>
      <c r="M70" s="421"/>
      <c r="N70" s="422"/>
      <c r="O70" s="627"/>
      <c r="P70" s="421"/>
      <c r="Q70" s="422"/>
      <c r="R70" s="627"/>
      <c r="S70" s="421"/>
      <c r="T70" s="422"/>
      <c r="U70" s="627"/>
      <c r="V70" s="11"/>
      <c r="X70" s="511"/>
    </row>
    <row r="71" spans="2:24" x14ac:dyDescent="0.2">
      <c r="B71" s="553">
        <f>B70</f>
        <v>48</v>
      </c>
      <c r="C71" s="554" t="s">
        <v>826</v>
      </c>
      <c r="D71" s="100"/>
      <c r="E71" s="569" t="s">
        <v>497</v>
      </c>
      <c r="F71" s="543" t="str">
        <f>VLOOKUP(F$72,DB_Maschinen,17,FALSE)</f>
        <v>automatisch</v>
      </c>
      <c r="G71" s="421"/>
      <c r="H71" s="422"/>
      <c r="I71" s="543" t="str">
        <f>VLOOKUP(I$72,DB_Maschinen,17,FALSE)</f>
        <v>automatisch</v>
      </c>
      <c r="J71" s="421"/>
      <c r="K71" s="422"/>
      <c r="L71" s="543" t="str">
        <f>VLOOKUP(L$72,DB_Maschinen,17,FALSE)</f>
        <v>automatisch</v>
      </c>
      <c r="M71" s="421"/>
      <c r="N71" s="422"/>
      <c r="O71" s="543"/>
      <c r="P71" s="421"/>
      <c r="Q71" s="422"/>
      <c r="R71" s="543"/>
      <c r="S71" s="421"/>
      <c r="T71" s="422"/>
      <c r="U71" s="543"/>
      <c r="V71" s="11"/>
    </row>
    <row r="72" spans="2:24" x14ac:dyDescent="0.2">
      <c r="B72" s="553">
        <f>B71</f>
        <v>48</v>
      </c>
      <c r="C72" s="96" t="s">
        <v>464</v>
      </c>
      <c r="D72" s="100"/>
      <c r="E72" s="569" t="s">
        <v>497</v>
      </c>
      <c r="F72" s="158">
        <f>VLOOKUP(F$49*10,'Maschinen-DB'!$G$21:$R$37,12,TRUE)+1</f>
        <v>2</v>
      </c>
      <c r="G72" s="421"/>
      <c r="H72" s="422"/>
      <c r="I72" s="158">
        <f>VLOOKUP(I$49*10,'Maschinen-DB'!$G$21:$R$37,12,TRUE)+1</f>
        <v>3</v>
      </c>
      <c r="J72" s="421"/>
      <c r="K72" s="422"/>
      <c r="L72" s="158">
        <f>VLOOKUP(L$49*10,'Maschinen-DB'!$G$21:$R$37,12,TRUE)+1</f>
        <v>3</v>
      </c>
      <c r="M72" s="421"/>
      <c r="N72" s="422"/>
      <c r="O72" s="158"/>
      <c r="P72" s="421"/>
      <c r="Q72" s="422"/>
      <c r="R72" s="158"/>
      <c r="S72" s="421"/>
      <c r="T72" s="422"/>
      <c r="U72" s="158"/>
      <c r="V72" s="5"/>
    </row>
    <row r="73" spans="2:24" x14ac:dyDescent="0.2">
      <c r="B73" s="553">
        <f>B72</f>
        <v>48</v>
      </c>
      <c r="C73" s="96" t="s">
        <v>465</v>
      </c>
      <c r="D73" s="100"/>
      <c r="E73" s="569" t="s">
        <v>497</v>
      </c>
      <c r="F73" s="158" t="b">
        <f>AND(VLOOKUP(F$72,DB_Maschinen,6,FALSE)&gt;F$50*10,VLOOKUP(F$72,DB_Maschinen,7,FALSE)&gt;F$51)</f>
        <v>0</v>
      </c>
      <c r="G73" s="421"/>
      <c r="H73" s="422"/>
      <c r="I73" s="158" t="b">
        <f>AND(VLOOKUP(I$72,DB_Maschinen,6,FALSE)&gt;I$50*10,VLOOKUP(I$72,DB_Maschinen,7,FALSE)&gt;I$51)</f>
        <v>1</v>
      </c>
      <c r="J73" s="421"/>
      <c r="K73" s="422"/>
      <c r="L73" s="158" t="b">
        <f>AND(VLOOKUP(L$72,DB_Maschinen,6,FALSE)&gt;L$50*10,VLOOKUP(L$72,DB_Maschinen,7,FALSE)&gt;L$51)</f>
        <v>1</v>
      </c>
      <c r="M73" s="421"/>
      <c r="N73" s="422"/>
      <c r="O73" s="158"/>
      <c r="P73" s="421"/>
      <c r="Q73" s="422"/>
      <c r="R73" s="158"/>
      <c r="S73" s="421"/>
      <c r="T73" s="422"/>
      <c r="U73" s="158"/>
      <c r="V73" s="5"/>
      <c r="X73" s="511"/>
    </row>
    <row r="74" spans="2:24" ht="15" thickBot="1" x14ac:dyDescent="0.25">
      <c r="B74" s="553">
        <f>B73</f>
        <v>48</v>
      </c>
      <c r="C74" s="554" t="str">
        <f>CONCATENATE(IF('Quick Input'!$G$2,"Empfehlung ","suggestion "),'Quick Input'!$I$22)</f>
        <v>Empfehlung Formverfahren</v>
      </c>
      <c r="D74" s="583" t="s">
        <v>395</v>
      </c>
      <c r="E74" s="571"/>
      <c r="F74" s="555" t="str">
        <f>VLOOKUP(VLOOKUP(F71,Auswahlfelder!$D$36:$E$38,2,FALSE),Auswahlfelder!$A$36:$B$38,2,FALSE)</f>
        <v>automatisch</v>
      </c>
      <c r="G74" s="423"/>
      <c r="H74" s="424"/>
      <c r="I74" s="555" t="str">
        <f>VLOOKUP(VLOOKUP(I71,Auswahlfelder!$D$36:$E$38,2,FALSE),Auswahlfelder!$A$36:$B$38,2,FALSE)</f>
        <v>automatisch</v>
      </c>
      <c r="J74" s="423"/>
      <c r="K74" s="424"/>
      <c r="L74" s="555" t="str">
        <f>VLOOKUP(VLOOKUP(L71,Auswahlfelder!$D$36:$E$38,2,FALSE),Auswahlfelder!$A$36:$B$38,2,FALSE)</f>
        <v>automatisch</v>
      </c>
      <c r="M74" s="423"/>
      <c r="N74" s="424"/>
      <c r="O74" s="555"/>
      <c r="P74" s="423"/>
      <c r="Q74" s="424"/>
      <c r="R74" s="555"/>
      <c r="S74" s="423"/>
      <c r="T74" s="424"/>
      <c r="U74" s="555"/>
      <c r="V74" s="1197"/>
    </row>
    <row r="75" spans="2:24" ht="15" x14ac:dyDescent="0.25">
      <c r="B75" s="467">
        <v>56</v>
      </c>
      <c r="C75" s="95" t="s">
        <v>389</v>
      </c>
      <c r="D75" s="98" t="s">
        <v>392</v>
      </c>
      <c r="E75" s="574" t="s">
        <v>498</v>
      </c>
      <c r="F75" s="156">
        <f>(F$77-F$78)/1000/1.64/F$46</f>
        <v>605.25346382895225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/>
      <c r="P75" s="28"/>
      <c r="Q75" s="28"/>
      <c r="R75" s="156"/>
      <c r="S75" s="28"/>
      <c r="T75" s="28"/>
      <c r="U75" s="156"/>
      <c r="V75" s="11"/>
    </row>
    <row r="76" spans="2:24" x14ac:dyDescent="0.2">
      <c r="B76" s="467">
        <v>56</v>
      </c>
      <c r="C76" s="96" t="str">
        <f>IF('Quick Input'!$G$2,"Kastenausnutzung (Volumen)","used box size")</f>
        <v>Kastenausnutzung (Volumen)</v>
      </c>
      <c r="D76" s="583" t="s">
        <v>395</v>
      </c>
      <c r="E76" s="569" t="s">
        <v>498</v>
      </c>
      <c r="F76" s="504">
        <f>F$78/F$77</f>
        <v>2.1089072308203591E-2</v>
      </c>
      <c r="G76" s="597" t="str">
        <f>TEXT(F$76,"0,0 %")</f>
        <v>2,1 %</v>
      </c>
      <c r="H76" s="10"/>
      <c r="I76" s="504">
        <f>I$78/I$77</f>
        <v>9.3775963088855007E-3</v>
      </c>
      <c r="J76" s="597" t="str">
        <f>TEXT(I$76,"0,0 %")</f>
        <v>0,9 %</v>
      </c>
      <c r="K76" s="10"/>
      <c r="L76" s="504">
        <f>L$78/L$77</f>
        <v>9.3775963088855007E-3</v>
      </c>
      <c r="M76" s="597" t="str">
        <f>TEXT(L$76,"0,0 %")</f>
        <v>0,9 %</v>
      </c>
      <c r="N76" s="10"/>
      <c r="O76" s="504"/>
      <c r="P76" s="597"/>
      <c r="Q76" s="4"/>
      <c r="R76" s="504"/>
      <c r="S76" s="597"/>
      <c r="T76" s="4"/>
      <c r="U76" s="504"/>
      <c r="V76" s="5"/>
    </row>
    <row r="77" spans="2:24" x14ac:dyDescent="0.2">
      <c r="B77" s="467">
        <v>56</v>
      </c>
      <c r="C77" s="96" t="s">
        <v>390</v>
      </c>
      <c r="D77" s="100">
        <v>1</v>
      </c>
      <c r="E77" s="571"/>
      <c r="F77" s="276">
        <f>F$66*F$67*IF(VLOOKUP(F$70,DB_Maschinen,2,FALSE)='Maschinen-DB'!$D$21,MAX(F$51,F$69),IF(F$69&gt;F$51,F$69,F$68))</f>
        <v>1014000</v>
      </c>
      <c r="G77" s="10"/>
      <c r="H77" s="10"/>
      <c r="I77" s="276">
        <f>I$66*I$67*IF(VLOOKUP(I$70,DB_Maschinen,2,FALSE)='Maschinen-DB'!$D$21,MAX(I$51,I$69),IF(I$69&gt;I$51,I$69,I$68))</f>
        <v>288000</v>
      </c>
      <c r="J77" s="10"/>
      <c r="K77" s="10"/>
      <c r="L77" s="276">
        <f>L$66*L$67*IF(VLOOKUP(L$70,DB_Maschinen,2,FALSE)='Maschinen-DB'!$D$21,MAX(L$51,L$69),IF(L$69&gt;L$51,L$69,L$68))</f>
        <v>288000</v>
      </c>
      <c r="M77" s="10"/>
      <c r="N77" s="10"/>
      <c r="O77" s="276"/>
      <c r="P77" s="10"/>
      <c r="Q77" s="10"/>
      <c r="R77" s="276"/>
      <c r="S77" s="10"/>
      <c r="T77" s="10"/>
      <c r="U77" s="276"/>
      <c r="V77" s="5"/>
      <c r="X77" s="511"/>
    </row>
    <row r="78" spans="2:24" ht="15" thickBot="1" x14ac:dyDescent="0.25">
      <c r="B78" s="467">
        <v>56</v>
      </c>
      <c r="C78" s="97" t="s">
        <v>391</v>
      </c>
      <c r="D78" s="102">
        <v>1</v>
      </c>
      <c r="E78" s="572"/>
      <c r="F78" s="598">
        <f>F$40*1000/VLOOKUP('Quick Input'!M$10,DB_Material,5,FALSE)</f>
        <v>21384.319320518443</v>
      </c>
      <c r="G78" s="13"/>
      <c r="H78" s="13"/>
      <c r="I78" s="598">
        <f>I$40*1000/VLOOKUP('Quick Input'!P$10,DB_Material,5,FALSE)</f>
        <v>2700.7477369590242</v>
      </c>
      <c r="J78" s="13"/>
      <c r="K78" s="13"/>
      <c r="L78" s="598">
        <f>L$40*1000/VLOOKUP('Quick Input'!S$10,DB_Material,5,FALSE)</f>
        <v>2700.7477369590242</v>
      </c>
      <c r="M78" s="13"/>
      <c r="N78" s="13"/>
      <c r="O78" s="598"/>
      <c r="P78" s="13"/>
      <c r="Q78" s="13"/>
      <c r="R78" s="598"/>
      <c r="S78" s="13"/>
      <c r="T78" s="13"/>
      <c r="U78" s="598"/>
      <c r="V78" s="32"/>
    </row>
    <row r="79" spans="2:24" ht="15" x14ac:dyDescent="0.25">
      <c r="B79" s="467">
        <v>57</v>
      </c>
      <c r="C79" s="95" t="s">
        <v>382</v>
      </c>
      <c r="D79" s="98">
        <v>1</v>
      </c>
      <c r="E79" s="574" t="s">
        <v>498</v>
      </c>
      <c r="F79" s="903">
        <f>(1-F$82)*('Länder-DB'!$M$23+4%)*F$80*F$81+F$82*F$83*F$84</f>
        <v>3.378297098077607E-3</v>
      </c>
      <c r="G79" s="7"/>
      <c r="H79" s="7"/>
      <c r="I79" s="903">
        <f>(1-I$82)*('Länder-DB'!$M$23+4%)*I$80*I$81+I$82*I$84*I$83</f>
        <v>2.2750000000000001E-3</v>
      </c>
      <c r="J79" s="7"/>
      <c r="K79" s="7"/>
      <c r="L79" s="903">
        <f>(1-L$82)*('Länder-DB'!$M$23+4%)*L$80*L$81+L$82*L$84*L$83</f>
        <v>2.2750000000000001E-3</v>
      </c>
      <c r="M79" s="7"/>
      <c r="N79" s="7"/>
      <c r="O79" s="903"/>
      <c r="P79" s="28"/>
      <c r="Q79" s="28"/>
      <c r="R79" s="903"/>
      <c r="S79" s="28"/>
      <c r="T79" s="28"/>
      <c r="U79" s="903"/>
      <c r="V79" s="11"/>
      <c r="W79" s="117"/>
    </row>
    <row r="80" spans="2:24" x14ac:dyDescent="0.2">
      <c r="B80" s="467">
        <v>57</v>
      </c>
      <c r="C80" s="96" t="s">
        <v>481</v>
      </c>
      <c r="D80" s="100" t="s">
        <v>392</v>
      </c>
      <c r="E80" s="569" t="s">
        <v>575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/>
      <c r="P80" s="10"/>
      <c r="Q80" s="10"/>
      <c r="R80" s="154"/>
      <c r="S80" s="10"/>
      <c r="T80" s="10"/>
      <c r="U80" s="154"/>
      <c r="V80" s="5"/>
      <c r="X80" s="511"/>
    </row>
    <row r="81" spans="2:24" x14ac:dyDescent="0.2">
      <c r="B81" s="467">
        <v>57</v>
      </c>
      <c r="C81" s="96" t="s">
        <v>862</v>
      </c>
      <c r="D81" s="100">
        <v>1</v>
      </c>
      <c r="E81" s="569" t="s">
        <v>575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/>
      <c r="P81" s="10"/>
      <c r="Q81" s="10"/>
      <c r="R81" s="159"/>
      <c r="S81" s="10"/>
      <c r="T81" s="10"/>
      <c r="U81" s="159"/>
      <c r="V81" s="11"/>
      <c r="X81" s="511"/>
    </row>
    <row r="82" spans="2:24" x14ac:dyDescent="0.2">
      <c r="B82" s="467">
        <v>57</v>
      </c>
      <c r="C82" s="96" t="s">
        <v>863</v>
      </c>
      <c r="D82" s="100" t="s">
        <v>392</v>
      </c>
      <c r="E82" s="569" t="s">
        <v>575</v>
      </c>
      <c r="F82" s="154">
        <f>IF(VLOOKUP('Quick Input'!M$23,Auswahlfelder!$D$49:$E$51,2,FALSE)=1,0,1.05*Refkalkulation!H$67*Refkalkulation!H$50/(F$77-F$78)*1000)</f>
        <v>2.1156224315965606E-2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/>
      <c r="P82" s="10"/>
      <c r="Q82" s="10"/>
      <c r="R82" s="154"/>
      <c r="S82" s="10"/>
      <c r="T82" s="10"/>
      <c r="U82" s="154"/>
      <c r="V82" s="11"/>
      <c r="X82" s="511"/>
    </row>
    <row r="83" spans="2:24" ht="15" x14ac:dyDescent="0.25">
      <c r="B83" s="467">
        <v>57</v>
      </c>
      <c r="C83" s="96" t="s">
        <v>426</v>
      </c>
      <c r="D83" s="935">
        <v>1.4999999999999999E-2</v>
      </c>
      <c r="E83" s="569" t="s">
        <v>575</v>
      </c>
      <c r="F83" s="153">
        <f>$D$83+0.2%-0.15%*VLOOKUP('Quick Input'!M$24,Auswahlfelder!$D$54:$E$57,2,FALSE)</f>
        <v>1.4000000000000002E-2</v>
      </c>
      <c r="G83" s="10"/>
      <c r="H83" s="10"/>
      <c r="I83" s="153">
        <f>$D$83+0.2%-0.15%*VLOOKUP('Quick Input'!P$24,Auswahlfelder!$D$54:$E$57,2,FALSE)</f>
        <v>1.4000000000000002E-2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/>
      <c r="P83" s="10"/>
      <c r="Q83" s="10"/>
      <c r="R83" s="153"/>
      <c r="S83" s="10"/>
      <c r="T83" s="10"/>
      <c r="U83" s="153"/>
      <c r="V83" s="11"/>
      <c r="X83" s="511"/>
    </row>
    <row r="84" spans="2:24" ht="15" thickBot="1" x14ac:dyDescent="0.25">
      <c r="B84" s="467">
        <v>57</v>
      </c>
      <c r="C84" s="96" t="s">
        <v>425</v>
      </c>
      <c r="D84" s="100">
        <v>1</v>
      </c>
      <c r="E84" s="569" t="s">
        <v>575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/>
      <c r="P84" s="10"/>
      <c r="Q84" s="10"/>
      <c r="R84" s="159"/>
      <c r="S84" s="10"/>
      <c r="T84" s="10"/>
      <c r="U84" s="159"/>
      <c r="V84" s="1196"/>
      <c r="X84" s="846"/>
    </row>
    <row r="85" spans="2:24" ht="15" x14ac:dyDescent="0.25">
      <c r="B85" s="467">
        <v>40</v>
      </c>
      <c r="C85" s="95" t="s">
        <v>96</v>
      </c>
      <c r="D85" s="98">
        <v>1</v>
      </c>
      <c r="E85" s="574" t="s">
        <v>497</v>
      </c>
      <c r="F85" s="204">
        <f>MIN(F$92*F$91,F$88)</f>
        <v>117</v>
      </c>
      <c r="G85" s="7"/>
      <c r="H85" s="7"/>
      <c r="I85" s="204">
        <f>MIN(I$92*I$91,I$88)</f>
        <v>117</v>
      </c>
      <c r="J85" s="7"/>
      <c r="K85" s="7"/>
      <c r="L85" s="204">
        <f>MIN(L$92*L$91,L$88)</f>
        <v>117</v>
      </c>
      <c r="M85" s="7"/>
      <c r="N85" s="7"/>
      <c r="O85" s="204"/>
      <c r="P85" s="7"/>
      <c r="Q85" s="7"/>
      <c r="R85" s="204"/>
      <c r="S85" s="7"/>
      <c r="T85" s="7"/>
      <c r="U85" s="204"/>
      <c r="V85" s="11"/>
    </row>
    <row r="86" spans="2:24" x14ac:dyDescent="0.2">
      <c r="B86" s="467">
        <v>40</v>
      </c>
      <c r="C86" s="96" t="s">
        <v>159</v>
      </c>
      <c r="D86" s="583" t="s">
        <v>504</v>
      </c>
      <c r="E86" s="571"/>
      <c r="F86" s="206">
        <f>52/'Quick Input'!M$36*F$85</f>
        <v>1.2167999999999999</v>
      </c>
      <c r="G86" s="10"/>
      <c r="H86" s="10"/>
      <c r="I86" s="206">
        <f>52/'Quick Input'!P$36*I$85</f>
        <v>1.2167999999999999</v>
      </c>
      <c r="J86" s="10"/>
      <c r="K86" s="10"/>
      <c r="L86" s="206">
        <f>52/'Quick Input'!S$36*L$85</f>
        <v>1.2167999999999999</v>
      </c>
      <c r="M86" s="10"/>
      <c r="N86" s="10"/>
      <c r="O86" s="206"/>
      <c r="P86" s="10"/>
      <c r="Q86" s="10"/>
      <c r="R86" s="206"/>
      <c r="S86" s="10"/>
      <c r="T86" s="10"/>
      <c r="U86" s="206"/>
      <c r="V86" s="11"/>
    </row>
    <row r="87" spans="2:24" x14ac:dyDescent="0.2">
      <c r="B87" s="467">
        <v>40</v>
      </c>
      <c r="C87" s="96" t="s">
        <v>161</v>
      </c>
      <c r="D87" s="100" t="s">
        <v>94</v>
      </c>
      <c r="E87" s="569" t="s">
        <v>498</v>
      </c>
      <c r="F87" s="206">
        <f>'Quick Input'!M$36/F$145</f>
        <v>104.16666666666667</v>
      </c>
      <c r="G87" s="10"/>
      <c r="H87" s="10"/>
      <c r="I87" s="206">
        <f>'Quick Input'!P$36/I145</f>
        <v>104.16666666666667</v>
      </c>
      <c r="J87" s="10"/>
      <c r="K87" s="10"/>
      <c r="L87" s="206">
        <f>'Quick Input'!S$36/L145</f>
        <v>104.16666666666667</v>
      </c>
      <c r="M87" s="10"/>
      <c r="N87" s="10"/>
      <c r="O87" s="206"/>
      <c r="P87" s="10"/>
      <c r="Q87" s="10"/>
      <c r="R87" s="206"/>
      <c r="S87" s="10"/>
      <c r="T87" s="10"/>
      <c r="U87" s="206"/>
      <c r="V87" s="11"/>
    </row>
    <row r="88" spans="2:24" x14ac:dyDescent="0.2">
      <c r="B88" s="467">
        <v>40</v>
      </c>
      <c r="C88" s="96" t="s">
        <v>160</v>
      </c>
      <c r="D88" s="100" t="s">
        <v>94</v>
      </c>
      <c r="E88" s="569" t="s">
        <v>497</v>
      </c>
      <c r="F88" s="205">
        <f>'Quick Input'!M$36/4</f>
        <v>1250</v>
      </c>
      <c r="G88" s="10"/>
      <c r="H88" s="10"/>
      <c r="I88" s="205">
        <f>'Quick Input'!P$36/4</f>
        <v>1250</v>
      </c>
      <c r="J88" s="10"/>
      <c r="K88" s="10"/>
      <c r="L88" s="205">
        <f>'Quick Input'!S$36/4</f>
        <v>1250</v>
      </c>
      <c r="M88" s="10"/>
      <c r="N88" s="10"/>
      <c r="O88" s="205"/>
      <c r="P88" s="10"/>
      <c r="Q88" s="10"/>
      <c r="R88" s="205"/>
      <c r="S88" s="10"/>
      <c r="T88" s="10"/>
      <c r="U88" s="205"/>
      <c r="V88" s="11"/>
    </row>
    <row r="89" spans="2:24" x14ac:dyDescent="0.2">
      <c r="B89" s="467">
        <v>40</v>
      </c>
      <c r="C89" s="96" t="s">
        <v>525</v>
      </c>
      <c r="D89" s="100" t="s">
        <v>94</v>
      </c>
      <c r="E89" s="569" t="s">
        <v>497</v>
      </c>
      <c r="F89" s="206">
        <f>F$87*F$41/1000</f>
        <v>4.166666666666667</v>
      </c>
      <c r="G89" s="10"/>
      <c r="H89" s="10"/>
      <c r="I89" s="206">
        <f>I$87*I$41/1000</f>
        <v>0.52083333333333337</v>
      </c>
      <c r="J89" s="10"/>
      <c r="K89" s="10"/>
      <c r="L89" s="206">
        <f>L$87*L$41/1000</f>
        <v>0.52083333333333337</v>
      </c>
      <c r="M89" s="10"/>
      <c r="N89" s="10"/>
      <c r="O89" s="206"/>
      <c r="P89" s="10"/>
      <c r="Q89" s="10"/>
      <c r="R89" s="206"/>
      <c r="S89" s="10"/>
      <c r="T89" s="10"/>
      <c r="U89" s="206"/>
      <c r="V89" s="11"/>
    </row>
    <row r="90" spans="2:24" x14ac:dyDescent="0.2">
      <c r="B90" s="467">
        <v>40</v>
      </c>
      <c r="C90" s="96" t="s">
        <v>148</v>
      </c>
      <c r="D90" s="100" t="s">
        <v>94</v>
      </c>
      <c r="E90" s="569" t="s">
        <v>497</v>
      </c>
      <c r="F90" s="205">
        <f>F$87*'Quick Input'!M$14*'Quick Input'!M$15*'Quick Input'!M$16/1000000</f>
        <v>4166.666666666667</v>
      </c>
      <c r="G90" s="10"/>
      <c r="H90" s="10"/>
      <c r="I90" s="205">
        <f>I$87*'Quick Input'!P$14*'Quick Input'!P$15*'Quick Input'!P$16/1000000</f>
        <v>4166.666666666667</v>
      </c>
      <c r="J90" s="10"/>
      <c r="K90" s="10"/>
      <c r="L90" s="205">
        <f>L$87*'Quick Input'!S$14*'Quick Input'!S$15*'Quick Input'!S$16/1000000</f>
        <v>4166.666666666667</v>
      </c>
      <c r="M90" s="10"/>
      <c r="N90" s="10"/>
      <c r="O90" s="205"/>
      <c r="P90" s="10"/>
      <c r="Q90" s="10"/>
      <c r="R90" s="205"/>
      <c r="S90" s="10"/>
      <c r="T90" s="10"/>
      <c r="U90" s="205"/>
      <c r="V90" s="5"/>
    </row>
    <row r="91" spans="2:24" x14ac:dyDescent="0.2">
      <c r="B91" s="467">
        <v>40</v>
      </c>
      <c r="C91" s="96" t="s">
        <v>147</v>
      </c>
      <c r="D91" s="100" t="s">
        <v>94</v>
      </c>
      <c r="E91" s="569" t="s">
        <v>497</v>
      </c>
      <c r="F91" s="205">
        <f>ROUNDUP(MIN(520/F$90*F$87,1200/F$89*F$87),0)</f>
        <v>13</v>
      </c>
      <c r="G91" s="10"/>
      <c r="H91" s="10"/>
      <c r="I91" s="205">
        <f>ROUNDUP(MIN(520/I$90*I$87,1200/I$89*I$87),0)</f>
        <v>13</v>
      </c>
      <c r="J91" s="10"/>
      <c r="K91" s="10"/>
      <c r="L91" s="205">
        <f>ROUNDUP(MIN(520/L$90*L$87,1200/L$89*L$87),0)</f>
        <v>13</v>
      </c>
      <c r="M91" s="10"/>
      <c r="N91" s="10"/>
      <c r="O91" s="205"/>
      <c r="P91" s="10"/>
      <c r="Q91" s="10"/>
      <c r="R91" s="205"/>
      <c r="S91" s="10"/>
      <c r="T91" s="10"/>
      <c r="U91" s="205"/>
      <c r="V91" s="5"/>
    </row>
    <row r="92" spans="2:24" x14ac:dyDescent="0.2">
      <c r="B92" s="467">
        <v>40</v>
      </c>
      <c r="C92" s="96" t="s">
        <v>146</v>
      </c>
      <c r="D92" s="100" t="s">
        <v>94</v>
      </c>
      <c r="E92" s="569" t="s">
        <v>497</v>
      </c>
      <c r="F92" s="205">
        <f>IF(F$91&gt;F$87,1,ROUNDUP(F$87/F$91,0))</f>
        <v>9</v>
      </c>
      <c r="G92" s="10"/>
      <c r="H92" s="10"/>
      <c r="I92" s="205">
        <f>IF(I$91&gt;I$87,1,ROUNDUP(I$87/I$91,0))</f>
        <v>9</v>
      </c>
      <c r="J92" s="10"/>
      <c r="K92" s="10"/>
      <c r="L92" s="205">
        <f>IF(L$91&gt;L$87,1,ROUNDUP(L$87/L$91,0))</f>
        <v>9</v>
      </c>
      <c r="M92" s="10"/>
      <c r="N92" s="10"/>
      <c r="O92" s="205"/>
      <c r="P92" s="10"/>
      <c r="Q92" s="10"/>
      <c r="R92" s="205"/>
      <c r="S92" s="10"/>
      <c r="T92" s="10"/>
      <c r="U92" s="205"/>
      <c r="V92" s="5"/>
    </row>
    <row r="93" spans="2:24" ht="15" thickBot="1" x14ac:dyDescent="0.25">
      <c r="B93" s="467">
        <v>40</v>
      </c>
      <c r="C93" s="96" t="s">
        <v>245</v>
      </c>
      <c r="D93" s="100" t="s">
        <v>94</v>
      </c>
      <c r="E93" s="569" t="s">
        <v>498</v>
      </c>
      <c r="F93" s="205">
        <f>IF(F$92&gt;3,IF(F$86&gt;3,F$92-1,1),IF(F$92&gt;1,IF(F$86&gt;2,2,1),0))</f>
        <v>1</v>
      </c>
      <c r="G93" s="10"/>
      <c r="H93" s="10"/>
      <c r="I93" s="205">
        <f>IF(I$92&gt;3,IF(I$86&gt;3,I$92-1,1),IF(I$92&gt;1,IF(I$86&gt;2,2,1),0))</f>
        <v>1</v>
      </c>
      <c r="J93" s="10"/>
      <c r="K93" s="10"/>
      <c r="L93" s="205">
        <f>IF(L$92&gt;3,IF(L$86&gt;3,L$92-1,1),IF(L$92&gt;1,IF(L$86&gt;2,2,1),0))</f>
        <v>1</v>
      </c>
      <c r="M93" s="10"/>
      <c r="N93" s="10"/>
      <c r="O93" s="205"/>
      <c r="P93" s="4"/>
      <c r="Q93" s="4"/>
      <c r="R93" s="205"/>
      <c r="S93" s="4"/>
      <c r="T93" s="4"/>
      <c r="U93" s="205"/>
      <c r="V93" s="1197"/>
    </row>
    <row r="94" spans="2:24" ht="15" x14ac:dyDescent="0.25">
      <c r="B94" s="467">
        <v>10</v>
      </c>
      <c r="C94" s="95" t="s">
        <v>97</v>
      </c>
      <c r="D94" s="98" t="s">
        <v>94</v>
      </c>
      <c r="E94" s="574" t="s">
        <v>498</v>
      </c>
      <c r="F94" s="656">
        <f>IFERROR(IF(Refkalkulation!H61=0,Refkalkulation!H$50*ROUNDUP(F$95*F$97/Refkalkulation!H$50,0),Refkalkulation!H61),0)</f>
        <v>100</v>
      </c>
      <c r="G94" s="436"/>
      <c r="H94" s="462"/>
      <c r="I94" s="656">
        <f>IFERROR(IF(Refkalkulation!K61=0,Refkalkulation!K$50*ROUNDUP(I$95*I$97/Refkalkulation!K$50,0),Refkalkulation!K61),0)</f>
        <v>100</v>
      </c>
      <c r="J94" s="436"/>
      <c r="K94" s="462"/>
      <c r="L94" s="656">
        <f>IFERROR(IF(Refkalkulation!N61=0,Refkalkulation!N$50*ROUNDUP(L$95*L$97/Refkalkulation!N$50,0),Refkalkulation!N61),0)</f>
        <v>100</v>
      </c>
      <c r="M94" s="436"/>
      <c r="N94" s="462"/>
      <c r="O94" s="656"/>
      <c r="P94" s="436"/>
      <c r="Q94" s="462"/>
      <c r="R94" s="656"/>
      <c r="S94" s="436"/>
      <c r="T94" s="462"/>
      <c r="U94" s="656"/>
      <c r="V94" s="11"/>
      <c r="X94" s="511"/>
    </row>
    <row r="95" spans="2:24" x14ac:dyDescent="0.2">
      <c r="B95" s="467">
        <v>10</v>
      </c>
      <c r="C95" s="96" t="s">
        <v>523</v>
      </c>
      <c r="D95" s="100" t="s">
        <v>94</v>
      </c>
      <c r="E95" s="569" t="s">
        <v>497</v>
      </c>
      <c r="F95" s="205">
        <f>MAX(Refkalkulation!H$50,MAX(F$85,F$87*2)-F$93*F$91)</f>
        <v>195.33333333333334</v>
      </c>
      <c r="G95" s="10"/>
      <c r="H95" s="10"/>
      <c r="I95" s="205">
        <f>MAX(Refkalkulation!K$50,MAX(I$85,I$87*2)-I$93*I$91)</f>
        <v>195.33333333333334</v>
      </c>
      <c r="J95" s="10"/>
      <c r="K95" s="10"/>
      <c r="L95" s="205">
        <f>MAX(Refkalkulation!N$50,MAX(L$85,L$87*2)-L$93*L$91)</f>
        <v>195.33333333333334</v>
      </c>
      <c r="M95" s="10"/>
      <c r="N95" s="10"/>
      <c r="O95" s="205"/>
      <c r="P95" s="10"/>
      <c r="Q95" s="10"/>
      <c r="R95" s="205"/>
      <c r="S95" s="10"/>
      <c r="T95" s="10"/>
      <c r="U95" s="205"/>
      <c r="V95" s="11"/>
    </row>
    <row r="96" spans="2:24" x14ac:dyDescent="0.2">
      <c r="B96" s="467">
        <v>10</v>
      </c>
      <c r="C96" s="96" t="s">
        <v>524</v>
      </c>
      <c r="D96" s="100" t="s">
        <v>94</v>
      </c>
      <c r="E96" s="569" t="s">
        <v>497</v>
      </c>
      <c r="F96" s="206">
        <f>F$95/F$87</f>
        <v>1.8752</v>
      </c>
      <c r="G96" s="282"/>
      <c r="H96" s="282"/>
      <c r="I96" s="206">
        <f>I$95/I$87</f>
        <v>1.8752</v>
      </c>
      <c r="J96" s="282"/>
      <c r="K96" s="282"/>
      <c r="L96" s="206">
        <f>L$95/L$87</f>
        <v>1.8752</v>
      </c>
      <c r="M96" s="282"/>
      <c r="N96" s="282"/>
      <c r="O96" s="206"/>
      <c r="P96" s="283"/>
      <c r="Q96" s="283"/>
      <c r="R96" s="206"/>
      <c r="S96" s="283"/>
      <c r="T96" s="283"/>
      <c r="U96" s="206"/>
      <c r="V96" s="11"/>
    </row>
    <row r="97" spans="2:24" ht="15" thickBot="1" x14ac:dyDescent="0.25">
      <c r="B97" s="467">
        <v>10</v>
      </c>
      <c r="C97" s="96" t="s">
        <v>162</v>
      </c>
      <c r="D97" s="100" t="s">
        <v>94</v>
      </c>
      <c r="E97" s="569" t="s">
        <v>497</v>
      </c>
      <c r="F97" s="205">
        <f>IF(F$96&lt;2.2,2,IF(F$96&gt;6,1,2))</f>
        <v>2</v>
      </c>
      <c r="G97" s="10"/>
      <c r="H97" s="10"/>
      <c r="I97" s="205">
        <f>IF(I$96&lt;2.2,2,IF(I$96&gt;6,1,2))</f>
        <v>2</v>
      </c>
      <c r="J97" s="10"/>
      <c r="K97" s="10"/>
      <c r="L97" s="205">
        <f>IF(L$96&lt;2.2,2,IF(L$96&gt;6,1,2))</f>
        <v>2</v>
      </c>
      <c r="M97" s="10"/>
      <c r="N97" s="10"/>
      <c r="O97" s="205"/>
      <c r="P97" s="4"/>
      <c r="Q97" s="4"/>
      <c r="R97" s="205"/>
      <c r="S97" s="4"/>
      <c r="T97" s="4"/>
      <c r="U97" s="205"/>
      <c r="V97" s="1197"/>
    </row>
    <row r="98" spans="2:24" ht="15" x14ac:dyDescent="0.25">
      <c r="B98" s="467">
        <v>20</v>
      </c>
      <c r="C98" s="95" t="s">
        <v>818</v>
      </c>
      <c r="D98" s="98"/>
      <c r="E98" s="574" t="s">
        <v>497</v>
      </c>
      <c r="F98" s="161">
        <f>IF(F48=0,MAX(MIN(11,F$105+3,F$105+ROUNDDOWN(IF(ISERROR(F$100),F$99,F$99+F$100),0)),F$106),F48)</f>
        <v>2</v>
      </c>
      <c r="G98" s="419"/>
      <c r="H98" s="420"/>
      <c r="I98" s="161">
        <f>IF(I48=0,MAX(MIN(11,I$105+3,I$105+ROUNDDOWN(IF(ISERROR(I$100),I$99,I$99+I$100),0)),I$106),I48)</f>
        <v>2</v>
      </c>
      <c r="J98" s="419"/>
      <c r="K98" s="420"/>
      <c r="L98" s="161">
        <f t="shared" ref="L98" si="0">IF(L48=0,MAX(MIN(11,L$105+3,L$105+ROUNDDOWN(IF(ISERROR(L$100),L$99,L$99+L$100),0)),L$106),L48)</f>
        <v>2</v>
      </c>
      <c r="M98" s="419"/>
      <c r="N98" s="420"/>
      <c r="O98" s="161"/>
      <c r="P98" s="419"/>
      <c r="Q98" s="420"/>
      <c r="R98" s="161"/>
      <c r="S98" s="419"/>
      <c r="T98" s="420"/>
      <c r="U98" s="161"/>
      <c r="V98" s="11"/>
      <c r="X98" s="511"/>
    </row>
    <row r="99" spans="2:24" x14ac:dyDescent="0.2">
      <c r="B99" s="467">
        <v>20</v>
      </c>
      <c r="C99" s="96" t="s">
        <v>173</v>
      </c>
      <c r="D99" s="100" t="s">
        <v>392</v>
      </c>
      <c r="E99" s="569" t="s">
        <v>497</v>
      </c>
      <c r="F99" s="207">
        <f>VLOOKUP('Quick Input'!M$49,Auswahlfelder!$D$26:$E$28,2,FALSE)*0.4</f>
        <v>0.8</v>
      </c>
      <c r="G99" s="425"/>
      <c r="H99" s="422"/>
      <c r="I99" s="207">
        <f>VLOOKUP('Quick Input'!P$49,Auswahlfelder!$D$26:$E$28,2,FALSE)*0.4</f>
        <v>0.8</v>
      </c>
      <c r="J99" s="425"/>
      <c r="K99" s="422"/>
      <c r="L99" s="207">
        <f>VLOOKUP('Quick Input'!S$49,Auswahlfelder!$D$26:$E$28,2,FALSE)*0.4</f>
        <v>0.8</v>
      </c>
      <c r="M99" s="425"/>
      <c r="N99" s="422"/>
      <c r="O99" s="207"/>
      <c r="P99" s="425"/>
      <c r="Q99" s="422"/>
      <c r="R99" s="207"/>
      <c r="S99" s="425"/>
      <c r="T99" s="422"/>
      <c r="U99" s="207"/>
      <c r="V99" s="11"/>
    </row>
    <row r="100" spans="2:24" x14ac:dyDescent="0.2">
      <c r="B100" s="467">
        <v>20</v>
      </c>
      <c r="C100" s="96" t="s">
        <v>543</v>
      </c>
      <c r="D100" s="100" t="s">
        <v>392</v>
      </c>
      <c r="E100" s="569" t="s">
        <v>497</v>
      </c>
      <c r="F100" s="207">
        <f>0.7*VLOOKUP('Quick Input'!M$46,Auswahlfelder!$D$7:$E$9,2,FALSE)-1</f>
        <v>0.39999999999999991</v>
      </c>
      <c r="G100" s="425"/>
      <c r="H100" s="422"/>
      <c r="I100" s="207">
        <f>0.7*VLOOKUP('Quick Input'!P$46,Auswahlfelder!$D$7:$E$9,2,FALSE)-1</f>
        <v>0.39999999999999991</v>
      </c>
      <c r="J100" s="425"/>
      <c r="K100" s="422"/>
      <c r="L100" s="207">
        <f>0.7*VLOOKUP('Quick Input'!S$46,Auswahlfelder!$D$7:$E$9,2,FALSE)-1</f>
        <v>0.39999999999999991</v>
      </c>
      <c r="M100" s="425"/>
      <c r="N100" s="422"/>
      <c r="O100" s="207"/>
      <c r="P100" s="425"/>
      <c r="Q100" s="422"/>
      <c r="R100" s="207"/>
      <c r="S100" s="425"/>
      <c r="T100" s="422"/>
      <c r="U100" s="207"/>
      <c r="V100" s="11"/>
      <c r="X100" s="511"/>
    </row>
    <row r="101" spans="2:24" x14ac:dyDescent="0.2">
      <c r="B101" s="467">
        <v>20</v>
      </c>
      <c r="C101" s="96" t="s">
        <v>509</v>
      </c>
      <c r="D101" s="100">
        <v>1</v>
      </c>
      <c r="E101" s="569" t="s">
        <v>498</v>
      </c>
      <c r="F101" s="276">
        <f>97%*VLOOKUP(F$98,DB_Ofen,5,FALSE)-10</f>
        <v>2900</v>
      </c>
      <c r="G101" s="425"/>
      <c r="H101" s="426"/>
      <c r="I101" s="276">
        <f>97%*VLOOKUP(I$98,DB_Ofen,5,FALSE)-10</f>
        <v>2900</v>
      </c>
      <c r="J101" s="425"/>
      <c r="K101" s="426"/>
      <c r="L101" s="276">
        <f>97%*VLOOKUP(L$98,DB_Ofen,5,FALSE)-10</f>
        <v>2900</v>
      </c>
      <c r="M101" s="425"/>
      <c r="N101" s="426"/>
      <c r="O101" s="276"/>
      <c r="P101" s="425"/>
      <c r="Q101" s="426"/>
      <c r="R101" s="276"/>
      <c r="S101" s="425"/>
      <c r="T101" s="426"/>
      <c r="U101" s="276"/>
      <c r="V101" s="11"/>
    </row>
    <row r="102" spans="2:24" x14ac:dyDescent="0.2">
      <c r="B102" s="467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71"/>
      <c r="F102" s="276">
        <f>VLOOKUP(Parametrikber!F$98,DB_Ofen,7,FALSE)</f>
        <v>2000</v>
      </c>
      <c r="G102" s="425"/>
      <c r="H102" s="426"/>
      <c r="I102" s="276">
        <f>VLOOKUP(Parametrikber!I$98,DB_Ofen,7,FALSE)</f>
        <v>2000</v>
      </c>
      <c r="J102" s="425"/>
      <c r="K102" s="426"/>
      <c r="L102" s="276">
        <f>VLOOKUP(Parametrikber!L$98,DB_Ofen,7,FALSE)</f>
        <v>2000</v>
      </c>
      <c r="M102" s="425"/>
      <c r="N102" s="426"/>
      <c r="O102" s="276"/>
      <c r="P102" s="425"/>
      <c r="Q102" s="426"/>
      <c r="R102" s="276"/>
      <c r="S102" s="425"/>
      <c r="T102" s="426"/>
      <c r="U102" s="276"/>
      <c r="V102" s="11"/>
    </row>
    <row r="103" spans="2:24" x14ac:dyDescent="0.2">
      <c r="B103" s="467">
        <v>20</v>
      </c>
      <c r="C103" s="96" t="str">
        <f>IF('Quick Input'!$G$2,"Nutzungsgrad Ofen (%)","Nutzungsgrad Ofen (%)")</f>
        <v>Nutzungsgrad Ofen (%)</v>
      </c>
      <c r="D103" s="100" t="s">
        <v>392</v>
      </c>
      <c r="E103" s="569" t="s">
        <v>497</v>
      </c>
      <c r="F103" s="277">
        <f>Parametrikber!F$27-12%</f>
        <v>0.6160000000000001</v>
      </c>
      <c r="G103" s="425"/>
      <c r="H103" s="426"/>
      <c r="I103" s="277">
        <f>Parametrikber!I$27-12%</f>
        <v>0.50559999999999994</v>
      </c>
      <c r="J103" s="425"/>
      <c r="K103" s="426"/>
      <c r="L103" s="277">
        <f>Parametrikber!L$27-12%</f>
        <v>0.34</v>
      </c>
      <c r="M103" s="425"/>
      <c r="N103" s="426"/>
      <c r="O103" s="277"/>
      <c r="P103" s="425"/>
      <c r="Q103" s="426"/>
      <c r="R103" s="277"/>
      <c r="S103" s="425"/>
      <c r="T103" s="426"/>
      <c r="U103" s="277"/>
      <c r="V103" s="11"/>
      <c r="X103" s="511"/>
    </row>
    <row r="104" spans="2:24" x14ac:dyDescent="0.2">
      <c r="B104" s="467">
        <v>20</v>
      </c>
      <c r="C104" s="96" t="s">
        <v>535</v>
      </c>
      <c r="D104" s="583" t="s">
        <v>504</v>
      </c>
      <c r="E104" s="569"/>
      <c r="F104" s="276">
        <f>F$40/(Refkalkulation!H$59/3600)*1.2</f>
        <v>535.25043037452167</v>
      </c>
      <c r="G104" s="425"/>
      <c r="H104" s="426"/>
      <c r="I104" s="276">
        <f>I$40/(Refkalkulation!K$59/3600)*1.2</f>
        <v>789.28812463080078</v>
      </c>
      <c r="J104" s="425"/>
      <c r="K104" s="426"/>
      <c r="L104" s="276">
        <f>L$40/(Refkalkulation!N$59/3600)*1.2</f>
        <v>789.28812463080078</v>
      </c>
      <c r="M104" s="425"/>
      <c r="N104" s="426"/>
      <c r="O104" s="276"/>
      <c r="P104" s="425"/>
      <c r="Q104" s="426"/>
      <c r="R104" s="276"/>
      <c r="S104" s="425"/>
      <c r="T104" s="426"/>
      <c r="U104" s="276"/>
      <c r="V104" s="11"/>
    </row>
    <row r="105" spans="2:24" x14ac:dyDescent="0.2">
      <c r="B105" s="467">
        <v>20</v>
      </c>
      <c r="C105" s="96" t="s">
        <v>817</v>
      </c>
      <c r="D105" s="100">
        <v>1</v>
      </c>
      <c r="E105" s="569"/>
      <c r="F105" s="276">
        <f>VLOOKUP(F211,'Maschinen-DB'!$D$4:$R$15,15,FALSE)</f>
        <v>1</v>
      </c>
      <c r="G105" s="425"/>
      <c r="H105" s="426"/>
      <c r="I105" s="276">
        <f>VLOOKUP(I211,'Maschinen-DB'!$D$4:$R$15,15,FALSE)</f>
        <v>1</v>
      </c>
      <c r="J105" s="425"/>
      <c r="K105" s="426"/>
      <c r="L105" s="276">
        <f>VLOOKUP(L211,'Maschinen-DB'!$D$4:$R$15,15,FALSE)</f>
        <v>1</v>
      </c>
      <c r="M105" s="425"/>
      <c r="N105" s="426"/>
      <c r="O105" s="276"/>
      <c r="P105" s="425"/>
      <c r="Q105" s="426"/>
      <c r="R105" s="276"/>
      <c r="S105" s="425"/>
      <c r="T105" s="426"/>
      <c r="U105" s="276"/>
      <c r="V105" s="11"/>
    </row>
    <row r="106" spans="2:24" x14ac:dyDescent="0.2">
      <c r="B106" s="467">
        <v>20</v>
      </c>
      <c r="C106" s="96" t="s">
        <v>536</v>
      </c>
      <c r="D106" s="100">
        <v>1</v>
      </c>
      <c r="E106" s="569"/>
      <c r="F106" s="276">
        <f>IF(VLOOKUP(F$105,DB_Ofen,7,FALSE)&gt;F$104,F$105,IF(VLOOKUP(F$105+1,DB_Ofen,7,FALSE)&gt;F$104,F$105+1,IF(VLOOKUP(F$105+2,DB_Ofen,7,FALSE)&gt;F$104,F$105+2,MIN(11,F$105+3))))</f>
        <v>2</v>
      </c>
      <c r="G106" s="425"/>
      <c r="H106" s="426"/>
      <c r="I106" s="276">
        <f>IF(VLOOKUP(I$105,DB_Ofen,7,FALSE)&gt;I$104,I$105,IF(VLOOKUP(I$105+1,DB_Ofen,7,FALSE)&gt;I$104,I$105+1,IF(VLOOKUP(I$105+2,DB_Ofen,7,FALSE)&gt;I$104,I$105+2,MIN(11,I$105+3))))</f>
        <v>2</v>
      </c>
      <c r="J106" s="425"/>
      <c r="K106" s="426"/>
      <c r="L106" s="276">
        <f>IF(VLOOKUP(L$105,DB_Ofen,7,FALSE)&gt;L$104,L$105,IF(VLOOKUP(L$105+1,DB_Ofen,7,FALSE)&gt;L$104,L$105+1,IF(VLOOKUP(L$105+2,DB_Ofen,7,FALSE)&gt;L$104,L$105+2,MIN(11,L$105+3))))</f>
        <v>2</v>
      </c>
      <c r="M106" s="425"/>
      <c r="N106" s="426"/>
      <c r="O106" s="276"/>
      <c r="P106" s="425"/>
      <c r="Q106" s="426"/>
      <c r="R106" s="276"/>
      <c r="S106" s="425"/>
      <c r="T106" s="426"/>
      <c r="U106" s="276"/>
      <c r="V106" s="11"/>
    </row>
    <row r="107" spans="2:24" x14ac:dyDescent="0.2">
      <c r="B107" s="467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69" t="s">
        <v>497</v>
      </c>
      <c r="F107" s="276">
        <f>VLOOKUP(F$98,DB_Ofen,8,FALSE)</f>
        <v>148000</v>
      </c>
      <c r="G107" s="425"/>
      <c r="H107" s="426"/>
      <c r="I107" s="276">
        <f>VLOOKUP(I$98,DB_Ofen,8,FALSE)</f>
        <v>148000</v>
      </c>
      <c r="J107" s="425"/>
      <c r="K107" s="426"/>
      <c r="L107" s="276">
        <f>VLOOKUP(L$98,DB_Ofen,8,FALSE)</f>
        <v>148000</v>
      </c>
      <c r="M107" s="425"/>
      <c r="N107" s="426"/>
      <c r="O107" s="276"/>
      <c r="P107" s="425"/>
      <c r="Q107" s="426"/>
      <c r="R107" s="276"/>
      <c r="S107" s="425"/>
      <c r="T107" s="426"/>
      <c r="U107" s="276"/>
      <c r="V107" s="11"/>
    </row>
    <row r="108" spans="2:24" ht="15" thickBot="1" x14ac:dyDescent="0.25">
      <c r="B108" s="467">
        <v>20</v>
      </c>
      <c r="C108" s="96" t="str">
        <f>IF('Quick Input'!$G$2,"Prozesskosten Ofen (€/h)","Prozesskosten Ofen (€/h)")</f>
        <v>Prozesskosten Ofen (€/h)</v>
      </c>
      <c r="D108" s="100"/>
      <c r="E108" s="571"/>
      <c r="F108" s="278">
        <f>(F$107/'Länder-DB'!$I$27+F$107*'Länder-DB'!$I$29)/(F$103*F$146)</f>
        <v>12.513528138528136</v>
      </c>
      <c r="G108" s="425"/>
      <c r="H108" s="422"/>
      <c r="I108" s="278">
        <f>(I$107/'Länder-DB'!$I$27+I$107*'Länder-DB'!$I$29)/(I$103*I$146)</f>
        <v>15.245912447257387</v>
      </c>
      <c r="J108" s="425"/>
      <c r="K108" s="422"/>
      <c r="L108" s="278">
        <f>(L$107/'Länder-DB'!$I$27+L$107*'Länder-DB'!$I$29)/(L$103*L$146)</f>
        <v>22.671568627450977</v>
      </c>
      <c r="M108" s="425"/>
      <c r="N108" s="422"/>
      <c r="O108" s="278"/>
      <c r="P108" s="425"/>
      <c r="Q108" s="422"/>
      <c r="R108" s="278"/>
      <c r="S108" s="425"/>
      <c r="T108" s="422"/>
      <c r="U108" s="278"/>
      <c r="V108" s="1196"/>
    </row>
    <row r="109" spans="2:24" ht="15" x14ac:dyDescent="0.25">
      <c r="B109" s="467">
        <v>50</v>
      </c>
      <c r="C109" s="95" t="s">
        <v>488</v>
      </c>
      <c r="D109" s="98"/>
      <c r="E109" s="574" t="s">
        <v>498</v>
      </c>
      <c r="F109" s="204">
        <f>F$110+F$111+F$112</f>
        <v>56</v>
      </c>
      <c r="G109" s="419"/>
      <c r="H109" s="420"/>
      <c r="I109" s="204">
        <f>I$110+I$111+I$112</f>
        <v>56.406745185862235</v>
      </c>
      <c r="J109" s="419"/>
      <c r="K109" s="420"/>
      <c r="L109" s="204">
        <f>L$110+L$111+L$112</f>
        <v>50.406745185862235</v>
      </c>
      <c r="M109" s="419"/>
      <c r="N109" s="420"/>
      <c r="O109" s="204"/>
      <c r="P109" s="419"/>
      <c r="Q109" s="420"/>
      <c r="R109" s="204"/>
      <c r="S109" s="419"/>
      <c r="T109" s="420"/>
      <c r="U109" s="204"/>
      <c r="V109" s="11"/>
    </row>
    <row r="110" spans="2:24" x14ac:dyDescent="0.2">
      <c r="B110" s="467">
        <v>50</v>
      </c>
      <c r="C110" s="96" t="s">
        <v>167</v>
      </c>
      <c r="D110" s="100" t="s">
        <v>94</v>
      </c>
      <c r="E110" s="569" t="s">
        <v>497</v>
      </c>
      <c r="F110" s="205">
        <f>VLOOKUP(Refkalkulation!H$52,DB_Maschinen,13,FALSE)</f>
        <v>50</v>
      </c>
      <c r="G110" s="421"/>
      <c r="H110" s="422"/>
      <c r="I110" s="205">
        <f>VLOOKUP(Refkalkulation!K$52,DB_Maschinen,13,FALSE)</f>
        <v>45</v>
      </c>
      <c r="J110" s="421"/>
      <c r="K110" s="422"/>
      <c r="L110" s="205">
        <f>VLOOKUP(Refkalkulation!N$52,DB_Maschinen,13,FALSE)</f>
        <v>45</v>
      </c>
      <c r="M110" s="421"/>
      <c r="N110" s="422"/>
      <c r="O110" s="205"/>
      <c r="P110" s="421"/>
      <c r="Q110" s="422"/>
      <c r="R110" s="205"/>
      <c r="S110" s="421"/>
      <c r="T110" s="422"/>
      <c r="U110" s="205"/>
      <c r="V110" s="11"/>
    </row>
    <row r="111" spans="2:24" x14ac:dyDescent="0.2">
      <c r="B111" s="467">
        <v>50</v>
      </c>
      <c r="C111" s="96" t="s">
        <v>501</v>
      </c>
      <c r="D111" s="100"/>
      <c r="E111" s="569" t="s">
        <v>497</v>
      </c>
      <c r="F111" s="205">
        <f>IF('Quick Input'!M$22=Auswahlfelder!$D$36,VLOOKUP('Quick Input'!M$21,Auswahlfelder!$D$16:$E$19,2,FALSE)*SQRT(F$40),0)</f>
        <v>0</v>
      </c>
      <c r="G111" s="431"/>
      <c r="H111" s="422"/>
      <c r="I111" s="205">
        <f>IF('Quick Input'!P$22=Auswahlfelder!$D$36,VLOOKUP('Quick Input'!P$21,Auswahlfelder!$D$16:$E$19,2,FALSE)*SQRT(I$40),0)</f>
        <v>5.4067451858622366</v>
      </c>
      <c r="J111" s="431"/>
      <c r="K111" s="422"/>
      <c r="L111" s="205">
        <f>IF('Quick Input'!S$22=Auswahlfelder!$D$36,VLOOKUP('Quick Input'!S$21,Auswahlfelder!$D$16:$E$19,2,FALSE)*SQRT(L$40),0)</f>
        <v>5.4067451858622366</v>
      </c>
      <c r="M111" s="431"/>
      <c r="N111" s="422"/>
      <c r="O111" s="205"/>
      <c r="P111" s="431"/>
      <c r="Q111" s="422"/>
      <c r="R111" s="205"/>
      <c r="S111" s="431"/>
      <c r="T111" s="422"/>
      <c r="U111" s="205"/>
      <c r="V111" s="11"/>
    </row>
    <row r="112" spans="2:24" ht="15" thickBot="1" x14ac:dyDescent="0.25">
      <c r="B112" s="467">
        <v>50</v>
      </c>
      <c r="C112" s="96" t="s">
        <v>522</v>
      </c>
      <c r="D112" s="102" t="s">
        <v>94</v>
      </c>
      <c r="E112" s="569" t="s">
        <v>497</v>
      </c>
      <c r="F112" s="205">
        <f>SQRT(VLOOKUP('Quick Input'!M$23,Auswahlfelder!$D$49:$E$51,2,FALSE)-1)*6</f>
        <v>6</v>
      </c>
      <c r="G112" s="421"/>
      <c r="H112" s="422"/>
      <c r="I112" s="205">
        <f>SQRT(VLOOKUP('Quick Input'!P$23,Auswahlfelder!$D$49:$E$51,2,FALSE)-1)*6</f>
        <v>6</v>
      </c>
      <c r="J112" s="421"/>
      <c r="K112" s="422"/>
      <c r="L112" s="205">
        <f>SQRT(VLOOKUP('Quick Input'!S$23,Auswahlfelder!$D$49:$E$51,2,FALSE)-1)*6</f>
        <v>0</v>
      </c>
      <c r="M112" s="421"/>
      <c r="N112" s="422"/>
      <c r="O112" s="205"/>
      <c r="P112" s="421"/>
      <c r="Q112" s="422"/>
      <c r="R112" s="205"/>
      <c r="S112" s="421"/>
      <c r="T112" s="422"/>
      <c r="U112" s="205"/>
      <c r="V112" s="11"/>
    </row>
    <row r="113" spans="2:24" ht="15" x14ac:dyDescent="0.25">
      <c r="B113" s="578">
        <v>52</v>
      </c>
      <c r="C113" s="95" t="s">
        <v>503</v>
      </c>
      <c r="D113" s="100" t="s">
        <v>94</v>
      </c>
      <c r="E113" s="574" t="s">
        <v>498</v>
      </c>
      <c r="F113" s="650">
        <f>IF(Refkalkulation!H$67=0,ROUND(IF('Quick Input'!M$23=Auswahlfelder!$D$49,0,(F$114*2+F$115+60%*F$37)/5),1),Refkalkulation!H$67)</f>
        <v>20</v>
      </c>
      <c r="G113" s="436"/>
      <c r="H113" s="462"/>
      <c r="I113" s="650">
        <f>IF(Refkalkulation!K$67=0,ROUND(IF('Quick Input'!P$23=Auswahlfelder!$D$49,0,(I$114*2+I$115+60%*I$37)/5),1),Refkalkulation!K$67)</f>
        <v>10.5</v>
      </c>
      <c r="J113" s="436"/>
      <c r="K113" s="462"/>
      <c r="L113" s="650">
        <f>IF(Refkalkulation!N$67=0,ROUND(IF('Quick Input'!S$23=Auswahlfelder!$D$49,0,(L$114*2+L$115+60%*L$37)/5),1),Refkalkulation!N$67)</f>
        <v>0</v>
      </c>
      <c r="M113" s="436"/>
      <c r="N113" s="462"/>
      <c r="O113" s="650"/>
      <c r="P113" s="436"/>
      <c r="Q113" s="462"/>
      <c r="R113" s="650"/>
      <c r="S113" s="436"/>
      <c r="T113" s="462"/>
      <c r="U113" s="650"/>
      <c r="V113" s="8"/>
      <c r="X113" s="511"/>
    </row>
    <row r="114" spans="2:24" x14ac:dyDescent="0.2">
      <c r="B114" s="577">
        <f>B113</f>
        <v>52</v>
      </c>
      <c r="C114" s="96" t="s">
        <v>505</v>
      </c>
      <c r="D114" s="100">
        <v>1</v>
      </c>
      <c r="E114" s="569" t="s">
        <v>497</v>
      </c>
      <c r="F114" s="344">
        <f>IF('Quick Input'!M$23=Auswahlfelder!$D$49,0,12%*'Quick Input'!M$20/1000)</f>
        <v>1.7777777777777777</v>
      </c>
      <c r="G114" s="446"/>
      <c r="H114" s="447"/>
      <c r="I114" s="344">
        <f>IF('Quick Input'!P$23=Auswahlfelder!$D$49,0,12%*'Quick Input'!P$20/1000)</f>
        <v>0.22172949002217293</v>
      </c>
      <c r="J114" s="446"/>
      <c r="K114" s="447"/>
      <c r="L114" s="344">
        <f>IF('Quick Input'!S$23=Auswahlfelder!$D$49,0,12%*'Quick Input'!S$20/1000)</f>
        <v>0</v>
      </c>
      <c r="M114" s="446"/>
      <c r="N114" s="447"/>
      <c r="O114" s="344"/>
      <c r="P114" s="446"/>
      <c r="Q114" s="447"/>
      <c r="R114" s="344"/>
      <c r="S114" s="446"/>
      <c r="T114" s="447"/>
      <c r="U114" s="344"/>
      <c r="V114" s="11"/>
    </row>
    <row r="115" spans="2:24" x14ac:dyDescent="0.2">
      <c r="B115" s="577">
        <f>B114</f>
        <v>52</v>
      </c>
      <c r="C115" s="96" t="s">
        <v>861</v>
      </c>
      <c r="D115" s="100">
        <v>1</v>
      </c>
      <c r="E115" s="569" t="s">
        <v>497</v>
      </c>
      <c r="F115" s="344">
        <f>IF(F114=0,0,MAX(0,0.9*F$37-'Quick Input'!M$20/1000))</f>
        <v>21.185185185185187</v>
      </c>
      <c r="G115" s="446"/>
      <c r="H115" s="447"/>
      <c r="I115" s="344">
        <f>IF(I114=0,0,MAX(0,0.9*I$37-'Quick Input'!P$20/1000))</f>
        <v>30.552254249815224</v>
      </c>
      <c r="J115" s="446"/>
      <c r="K115" s="447"/>
      <c r="L115" s="344">
        <f>IF(L114=0,0,MAX(0,0.9*L$37-'Quick Input'!S$20/1000))</f>
        <v>0</v>
      </c>
      <c r="M115" s="446"/>
      <c r="N115" s="447"/>
      <c r="O115" s="344"/>
      <c r="P115" s="446"/>
      <c r="Q115" s="447"/>
      <c r="R115" s="344"/>
      <c r="S115" s="446"/>
      <c r="T115" s="447"/>
      <c r="U115" s="344"/>
      <c r="V115" s="11"/>
    </row>
    <row r="116" spans="2:24" ht="15" thickBot="1" x14ac:dyDescent="0.25">
      <c r="B116" s="577">
        <f>B115</f>
        <v>52</v>
      </c>
      <c r="C116" s="97" t="s">
        <v>506</v>
      </c>
      <c r="D116" s="102" t="s">
        <v>504</v>
      </c>
      <c r="E116" s="572"/>
      <c r="F116" s="343">
        <f>('Quick Input'!M$20/1000+Refkalkulation!H$67)/('Quick Input'!M$14*'Quick Input'!M$15*'Quick Input'!M$16/1000000)</f>
        <v>0.87037037037037024</v>
      </c>
      <c r="G116" s="423"/>
      <c r="H116" s="424"/>
      <c r="I116" s="343">
        <f>('Quick Input'!P$20/1000+Refkalkulation!K$67)/('Quick Input'!P$14*'Quick Input'!P$15*'Quick Input'!P$16/1000000)</f>
        <v>4.619364375461936E-2</v>
      </c>
      <c r="J116" s="423"/>
      <c r="K116" s="424"/>
      <c r="L116" s="343">
        <f>('Quick Input'!S$20/1000+Refkalkulation!N$67)/('Quick Input'!S$14*'Quick Input'!S$15*'Quick Input'!S$16/1000000)</f>
        <v>4.619364375461936E-2</v>
      </c>
      <c r="M116" s="423"/>
      <c r="N116" s="424"/>
      <c r="O116" s="343"/>
      <c r="P116" s="423"/>
      <c r="Q116" s="424"/>
      <c r="R116" s="343"/>
      <c r="S116" s="423"/>
      <c r="T116" s="424"/>
      <c r="U116" s="343"/>
      <c r="V116" s="126"/>
      <c r="X116" s="511"/>
    </row>
    <row r="117" spans="2:24" ht="15" x14ac:dyDescent="0.25">
      <c r="B117" s="467">
        <v>51</v>
      </c>
      <c r="C117" s="95" t="s">
        <v>874</v>
      </c>
      <c r="D117" s="98"/>
      <c r="E117" s="574" t="s">
        <v>498</v>
      </c>
      <c r="F117" s="440">
        <f>IF('Quick Input'!M$23=Auswahlfelder!$D$49,0,F$118*F$119)</f>
        <v>0.18317759151905527</v>
      </c>
      <c r="G117" s="436"/>
      <c r="H117" s="420"/>
      <c r="I117" s="440">
        <f>IF('Quick Input'!P$23=Auswahlfelder!$D$49,0,I$118*I$119)</f>
        <v>0</v>
      </c>
      <c r="J117" s="436"/>
      <c r="K117" s="420"/>
      <c r="L117" s="440">
        <f>IF('Quick Input'!S$23=Auswahlfelder!$D$49,0,L$118*L$119)</f>
        <v>0</v>
      </c>
      <c r="M117" s="436"/>
      <c r="N117" s="420"/>
      <c r="O117" s="440"/>
      <c r="P117" s="436"/>
      <c r="Q117" s="420"/>
      <c r="R117" s="440"/>
      <c r="S117" s="436"/>
      <c r="T117" s="420"/>
      <c r="U117" s="440"/>
      <c r="V117" s="8"/>
      <c r="X117" s="511"/>
    </row>
    <row r="118" spans="2:24" x14ac:dyDescent="0.2">
      <c r="B118" s="467">
        <f>B117</f>
        <v>51</v>
      </c>
      <c r="C118" s="96" t="s">
        <v>864</v>
      </c>
      <c r="D118" s="100" t="s">
        <v>392</v>
      </c>
      <c r="E118" s="569" t="s">
        <v>497</v>
      </c>
      <c r="F118" s="937">
        <f>IF('Quick Input'!M$23=Auswahlfelder!$D50,F$225,('Länder-DB'!$M$47+F120)/F$121)</f>
        <v>0.18317759151905527</v>
      </c>
      <c r="G118" s="464"/>
      <c r="H118" s="465"/>
      <c r="I118" s="937">
        <f>IF('Quick Input'!P$23=Auswahlfelder!$D50,I$225,('Länder-DB'!$M$47+I120)/I$121)</f>
        <v>0</v>
      </c>
      <c r="J118" s="464"/>
      <c r="K118" s="465"/>
      <c r="L118" s="937">
        <f>IF('Quick Input'!S$23=Auswahlfelder!$D50,L$225,('Länder-DB'!$M$47+L120)/L$121)</f>
        <v>0.25</v>
      </c>
      <c r="M118" s="464"/>
      <c r="N118" s="465"/>
      <c r="O118" s="937"/>
      <c r="P118" s="464"/>
      <c r="Q118" s="465"/>
      <c r="R118" s="937"/>
      <c r="S118" s="464"/>
      <c r="T118" s="465"/>
      <c r="U118" s="937"/>
      <c r="V118" s="11"/>
    </row>
    <row r="119" spans="2:24" x14ac:dyDescent="0.2">
      <c r="B119" s="467">
        <f>B118</f>
        <v>51</v>
      </c>
      <c r="C119" s="96" t="s">
        <v>351</v>
      </c>
      <c r="D119" s="100"/>
      <c r="E119" s="569" t="s">
        <v>497</v>
      </c>
      <c r="F119" s="344">
        <f>MAX(1,SQRT(14/F$94+0.6))</f>
        <v>1</v>
      </c>
      <c r="G119" s="421"/>
      <c r="H119" s="422"/>
      <c r="I119" s="344">
        <f>MAX(1,SQRT(14/I$94+0.6))</f>
        <v>1</v>
      </c>
      <c r="J119" s="421"/>
      <c r="K119" s="422"/>
      <c r="L119" s="344">
        <f>MAX(1,SQRT(14/L$94+0.6))</f>
        <v>1</v>
      </c>
      <c r="M119" s="421"/>
      <c r="N119" s="422"/>
      <c r="O119" s="344"/>
      <c r="P119" s="421"/>
      <c r="Q119" s="422"/>
      <c r="R119" s="344"/>
      <c r="S119" s="421"/>
      <c r="T119" s="422"/>
      <c r="U119" s="344"/>
      <c r="V119" s="11"/>
      <c r="X119" s="511"/>
    </row>
    <row r="120" spans="2:24" x14ac:dyDescent="0.2">
      <c r="B120" s="467">
        <f>B119</f>
        <v>51</v>
      </c>
      <c r="C120" s="96" t="s">
        <v>353</v>
      </c>
      <c r="D120" s="100"/>
      <c r="E120" s="569" t="s">
        <v>497</v>
      </c>
      <c r="F120" s="463">
        <f>IF(Refkalkulation!H$67&gt;0,SQRT(3/Refkalkulation!H$67)/50,0)</f>
        <v>7.7459666924148338E-3</v>
      </c>
      <c r="G120" s="464"/>
      <c r="H120" s="465"/>
      <c r="I120" s="463">
        <f>IF(Refkalkulation!K$67&gt;0,SQRT(3/Refkalkulation!K$67)/50,0)</f>
        <v>0</v>
      </c>
      <c r="J120" s="464"/>
      <c r="K120" s="465"/>
      <c r="L120" s="463">
        <f>IF(Refkalkulation!N$67&gt;0,SQRT(3/Refkalkulation!N$67)/50,0)</f>
        <v>0</v>
      </c>
      <c r="M120" s="464"/>
      <c r="N120" s="465"/>
      <c r="O120" s="463"/>
      <c r="P120" s="464"/>
      <c r="Q120" s="465"/>
      <c r="R120" s="463"/>
      <c r="S120" s="464"/>
      <c r="T120" s="465"/>
      <c r="U120" s="463"/>
      <c r="V120" s="11"/>
    </row>
    <row r="121" spans="2:24" ht="15" thickBot="1" x14ac:dyDescent="0.25">
      <c r="B121" s="467">
        <f>B120</f>
        <v>51</v>
      </c>
      <c r="C121" s="97" t="s">
        <v>352</v>
      </c>
      <c r="D121" s="777">
        <v>0.65</v>
      </c>
      <c r="E121" s="570" t="s">
        <v>497</v>
      </c>
      <c r="F121" s="459">
        <f>1+0.25*(1-VLOOKUP(F$19,DB_Länder,4,FALSE)/'Länder-DB'!$D$2)</f>
        <v>1</v>
      </c>
      <c r="G121" s="460"/>
      <c r="H121" s="461"/>
      <c r="I121" s="459">
        <f>1+0.25*(1-VLOOKUP(I$19,DB_Länder,4,FALSE)/'Länder-DB'!$D$2)</f>
        <v>1.1839643652561247</v>
      </c>
      <c r="J121" s="460"/>
      <c r="K121" s="461"/>
      <c r="L121" s="459">
        <f>1+0.25*(1-VLOOKUP(L$19,DB_Länder,4,FALSE)/'Länder-DB'!$D$2)</f>
        <v>1</v>
      </c>
      <c r="M121" s="460"/>
      <c r="N121" s="461"/>
      <c r="O121" s="459"/>
      <c r="P121" s="460"/>
      <c r="Q121" s="461"/>
      <c r="R121" s="459"/>
      <c r="S121" s="460"/>
      <c r="T121" s="461"/>
      <c r="U121" s="459"/>
      <c r="V121" s="126"/>
    </row>
    <row r="122" spans="2:24" ht="15" x14ac:dyDescent="0.25">
      <c r="B122" s="578">
        <v>59</v>
      </c>
      <c r="C122" s="95" t="s">
        <v>529</v>
      </c>
      <c r="D122" s="100" t="s">
        <v>94</v>
      </c>
      <c r="E122" s="574" t="s">
        <v>498</v>
      </c>
      <c r="F122" s="345">
        <f>F123*F124*F125</f>
        <v>1.4142135623730949</v>
      </c>
      <c r="G122" s="436"/>
      <c r="H122" s="462"/>
      <c r="I122" s="345">
        <f>I123*I124*I125</f>
        <v>1.2477080261564104</v>
      </c>
      <c r="J122" s="436"/>
      <c r="K122" s="462"/>
      <c r="L122" s="345">
        <f>L123*L124*L125</f>
        <v>1.4142135623730949</v>
      </c>
      <c r="M122" s="436"/>
      <c r="N122" s="462"/>
      <c r="O122" s="345"/>
      <c r="P122" s="436"/>
      <c r="Q122" s="462"/>
      <c r="R122" s="345"/>
      <c r="S122" s="436"/>
      <c r="T122" s="462"/>
      <c r="U122" s="345"/>
      <c r="V122" s="8"/>
    </row>
    <row r="123" spans="2:24" x14ac:dyDescent="0.2">
      <c r="B123" s="577">
        <f>B122</f>
        <v>59</v>
      </c>
      <c r="C123" s="96" t="s">
        <v>531</v>
      </c>
      <c r="D123" s="100" t="s">
        <v>94</v>
      </c>
      <c r="E123" s="569" t="s">
        <v>497</v>
      </c>
      <c r="F123" s="344">
        <f>'Länder-DB'!$M$49</f>
        <v>2</v>
      </c>
      <c r="G123" s="446"/>
      <c r="H123" s="447"/>
      <c r="I123" s="344">
        <f>'Länder-DB'!$M$49</f>
        <v>2</v>
      </c>
      <c r="J123" s="446"/>
      <c r="K123" s="447"/>
      <c r="L123" s="344">
        <f>'Länder-DB'!$M$49</f>
        <v>2</v>
      </c>
      <c r="M123" s="446"/>
      <c r="N123" s="447"/>
      <c r="O123" s="344"/>
      <c r="P123" s="446"/>
      <c r="Q123" s="447"/>
      <c r="R123" s="344"/>
      <c r="S123" s="446"/>
      <c r="T123" s="447"/>
      <c r="U123" s="344"/>
      <c r="V123" s="11"/>
    </row>
    <row r="124" spans="2:24" x14ac:dyDescent="0.2">
      <c r="B124" s="577">
        <f>B123</f>
        <v>59</v>
      </c>
      <c r="C124" s="96" t="s">
        <v>530</v>
      </c>
      <c r="D124" s="100" t="s">
        <v>392</v>
      </c>
      <c r="E124" s="569" t="s">
        <v>497</v>
      </c>
      <c r="F124" s="344">
        <f>1/SQRT(VLOOKUP('Quick Input'!M$46,Auswahlfelder!$D$7:$E$9,2,FALSE))</f>
        <v>0.70710678118654746</v>
      </c>
      <c r="G124" s="446"/>
      <c r="H124" s="447"/>
      <c r="I124" s="344">
        <f>1/SQRT(VLOOKUP('Quick Input'!P$46,Auswahlfelder!$D$7:$E$9,2,FALSE))</f>
        <v>0.70710678118654746</v>
      </c>
      <c r="J124" s="446"/>
      <c r="K124" s="447"/>
      <c r="L124" s="344">
        <f>1/SQRT(VLOOKUP('Quick Input'!S$46,Auswahlfelder!$D$7:$E$9,2,FALSE))</f>
        <v>0.70710678118654746</v>
      </c>
      <c r="M124" s="446"/>
      <c r="N124" s="447"/>
      <c r="O124" s="344"/>
      <c r="P124" s="446"/>
      <c r="Q124" s="447"/>
      <c r="R124" s="344"/>
      <c r="S124" s="446"/>
      <c r="T124" s="447"/>
      <c r="U124" s="344"/>
      <c r="V124" s="11"/>
    </row>
    <row r="125" spans="2:24" ht="15" thickBot="1" x14ac:dyDescent="0.25">
      <c r="B125" s="577">
        <f>B124</f>
        <v>59</v>
      </c>
      <c r="C125" s="97" t="s">
        <v>532</v>
      </c>
      <c r="D125" s="102" t="s">
        <v>94</v>
      </c>
      <c r="E125" s="570" t="s">
        <v>497</v>
      </c>
      <c r="F125" s="626">
        <f>0.84+0.16*VLOOKUP(F$19,DB_Länder,4,FALSE)/'Länder-DB'!$D$2</f>
        <v>1</v>
      </c>
      <c r="G125" s="423"/>
      <c r="H125" s="424"/>
      <c r="I125" s="626">
        <f>0.84+0.16*VLOOKUP(I$19,DB_Länder,4,FALSE)/'Länder-DB'!$D$2</f>
        <v>0.88226280623608011</v>
      </c>
      <c r="J125" s="423"/>
      <c r="K125" s="424"/>
      <c r="L125" s="626">
        <f>0.84+0.16*VLOOKUP(L$19,DB_Länder,4,FALSE)/'Länder-DB'!$D$2</f>
        <v>1</v>
      </c>
      <c r="M125" s="423"/>
      <c r="N125" s="424"/>
      <c r="O125" s="626"/>
      <c r="P125" s="423"/>
      <c r="Q125" s="424"/>
      <c r="R125" s="626"/>
      <c r="S125" s="423"/>
      <c r="T125" s="424"/>
      <c r="U125" s="626"/>
      <c r="V125" s="126"/>
    </row>
    <row r="126" spans="2:24" ht="15" x14ac:dyDescent="0.25">
      <c r="B126" s="467">
        <v>4</v>
      </c>
      <c r="C126" s="99" t="s">
        <v>377</v>
      </c>
      <c r="D126" s="100" t="s">
        <v>528</v>
      </c>
      <c r="E126" s="571"/>
      <c r="F126" s="275">
        <f>IF(Refkalkulation!H$50=0,1,Refkalkulation!H$50)</f>
        <v>1</v>
      </c>
      <c r="G126" s="10"/>
      <c r="H126" s="10"/>
      <c r="I126" s="275">
        <f>IF(Refkalkulation!K$50=0,1,Refkalkulation!K$50)</f>
        <v>1</v>
      </c>
      <c r="J126" s="10"/>
      <c r="K126" s="10"/>
      <c r="L126" s="275">
        <f>IF(Refkalkulation!N$50=0,1,Refkalkulation!N$50)</f>
        <v>1</v>
      </c>
      <c r="M126" s="10"/>
      <c r="N126" s="10"/>
      <c r="O126" s="275"/>
      <c r="P126" s="10"/>
      <c r="Q126" s="10"/>
      <c r="R126" s="275"/>
      <c r="S126" s="10"/>
      <c r="T126" s="10"/>
      <c r="U126" s="275"/>
      <c r="V126" s="11"/>
    </row>
    <row r="127" spans="2:24" x14ac:dyDescent="0.2">
      <c r="B127" s="467">
        <v>4</v>
      </c>
      <c r="C127" s="96" t="s">
        <v>143</v>
      </c>
      <c r="D127" s="100"/>
      <c r="E127" s="571"/>
      <c r="F127" s="205">
        <f>'Quick Input'!M$44</f>
        <v>30000</v>
      </c>
      <c r="G127" s="10"/>
      <c r="H127" s="10"/>
      <c r="I127" s="205">
        <f>'Quick Input'!P$44</f>
        <v>30000</v>
      </c>
      <c r="J127" s="10"/>
      <c r="K127" s="10"/>
      <c r="L127" s="205">
        <f>'Quick Input'!S$44</f>
        <v>30000</v>
      </c>
      <c r="M127" s="10"/>
      <c r="N127" s="10"/>
      <c r="O127" s="205"/>
      <c r="P127" s="4"/>
      <c r="Q127" s="4"/>
      <c r="R127" s="205"/>
      <c r="S127" s="4"/>
      <c r="T127" s="4"/>
      <c r="U127" s="205"/>
      <c r="V127" s="11"/>
    </row>
    <row r="128" spans="2:24" x14ac:dyDescent="0.2">
      <c r="B128" s="467">
        <v>4</v>
      </c>
      <c r="C128" s="96" t="s">
        <v>430</v>
      </c>
      <c r="D128" s="100"/>
      <c r="E128" s="571"/>
      <c r="F128" s="205">
        <f>ROUNDUP(F$127/F$254,0)</f>
        <v>2</v>
      </c>
      <c r="G128" s="10"/>
      <c r="H128" s="10"/>
      <c r="I128" s="205">
        <f>ROUNDUP(I$127/I254,0)</f>
        <v>2</v>
      </c>
      <c r="J128" s="10"/>
      <c r="K128" s="10"/>
      <c r="L128" s="205">
        <f>ROUNDUP(L$127/L254,0)</f>
        <v>2</v>
      </c>
      <c r="M128" s="10"/>
      <c r="N128" s="10"/>
      <c r="O128" s="205"/>
      <c r="P128" s="4"/>
      <c r="Q128" s="4"/>
      <c r="R128" s="205"/>
      <c r="S128" s="4"/>
      <c r="T128" s="4"/>
      <c r="U128" s="205"/>
      <c r="V128" s="11"/>
    </row>
    <row r="129" spans="2:24" x14ac:dyDescent="0.2">
      <c r="B129" s="467">
        <v>4</v>
      </c>
      <c r="C129" s="96" t="s">
        <v>144</v>
      </c>
      <c r="D129" s="583" t="s">
        <v>504</v>
      </c>
      <c r="E129" s="571"/>
      <c r="F129" s="201">
        <f>(F$254*F$128-F$127)/F$127</f>
        <v>0.58533333333333337</v>
      </c>
      <c r="G129" s="10"/>
      <c r="H129" s="10"/>
      <c r="I129" s="201">
        <f>(I$254*I$128-I$127)/I$127</f>
        <v>0.56666666666666665</v>
      </c>
      <c r="J129" s="10"/>
      <c r="K129" s="10"/>
      <c r="L129" s="201">
        <f>(L$254*L$128-L$127)/L$127</f>
        <v>0.53933333333333333</v>
      </c>
      <c r="M129" s="10"/>
      <c r="N129" s="10"/>
      <c r="O129" s="201"/>
      <c r="P129" s="4"/>
      <c r="Q129" s="4"/>
      <c r="R129" s="201"/>
      <c r="S129" s="4"/>
      <c r="T129" s="4"/>
      <c r="U129" s="201"/>
      <c r="V129" s="11"/>
    </row>
    <row r="130" spans="2:24" x14ac:dyDescent="0.2">
      <c r="B130" s="467">
        <v>4</v>
      </c>
      <c r="C130" s="96" t="s">
        <v>487</v>
      </c>
      <c r="D130" s="100"/>
      <c r="E130" s="571"/>
      <c r="F130" s="205">
        <f>IF(F$129&lt;10%,1,0)</f>
        <v>0</v>
      </c>
      <c r="G130" s="10"/>
      <c r="H130" s="10"/>
      <c r="I130" s="205">
        <f>IF(I$129&lt;10%,1,0)</f>
        <v>0</v>
      </c>
      <c r="J130" s="10"/>
      <c r="K130" s="10"/>
      <c r="L130" s="205">
        <f>IF(L$129&lt;10%,1,0)</f>
        <v>0</v>
      </c>
      <c r="M130" s="10"/>
      <c r="N130" s="10"/>
      <c r="O130" s="205"/>
      <c r="P130" s="4"/>
      <c r="Q130" s="4"/>
      <c r="R130" s="205"/>
      <c r="S130" s="4"/>
      <c r="T130" s="4"/>
      <c r="U130" s="205"/>
      <c r="V130" s="11"/>
    </row>
    <row r="131" spans="2:24" ht="15" thickBot="1" x14ac:dyDescent="0.25">
      <c r="B131" s="467">
        <v>4</v>
      </c>
      <c r="C131" s="96" t="s">
        <v>860</v>
      </c>
      <c r="D131" s="100"/>
      <c r="E131" s="570" t="s">
        <v>498</v>
      </c>
      <c r="F131" s="205">
        <f>MAX(IF(VLOOKUP('Quick Input'!M$22,Auswahlfelder!$D$36:$E$38,2,FALSE)=1,1,F$128+F$130),MIN(8,ROUNDDOWN(0.38*F66*F67/F31,0)))</f>
        <v>3</v>
      </c>
      <c r="G131" s="13"/>
      <c r="H131" s="10"/>
      <c r="I131" s="205">
        <f>MAX(IF(VLOOKUP('Quick Input'!P$22,Auswahlfelder!$D$36:$E$38,2,FALSE)=1,1,I$128+I$130),MIN(8,ROUNDDOWN(0.35*I66*I67/I31,0)))</f>
        <v>1</v>
      </c>
      <c r="J131" s="13"/>
      <c r="K131" s="10"/>
      <c r="L131" s="205">
        <f>MAX(IF(VLOOKUP('Quick Input'!S$22,Auswahlfelder!$D$36:$E$38,2,FALSE)=1,1,L$128+L$130),MIN(8,ROUNDDOWN(0.35*L66*L67/L31,0)))</f>
        <v>1</v>
      </c>
      <c r="M131" s="13"/>
      <c r="N131" s="10"/>
      <c r="O131" s="205"/>
      <c r="P131" s="13"/>
      <c r="Q131" s="10"/>
      <c r="R131" s="205"/>
      <c r="S131" s="13"/>
      <c r="T131" s="10"/>
      <c r="U131" s="205"/>
      <c r="V131" s="32"/>
      <c r="X131" s="511"/>
    </row>
    <row r="132" spans="2:24" ht="15" x14ac:dyDescent="0.25">
      <c r="B132" s="467">
        <v>45</v>
      </c>
      <c r="C132" s="95" t="s">
        <v>358</v>
      </c>
      <c r="D132" s="98"/>
      <c r="E132" s="568"/>
      <c r="F132" s="161">
        <f>VLOOKUP('Quick Input'!M$22,Auswahlfelder!$D$36:$E$38,2,FALSE)</f>
        <v>2</v>
      </c>
      <c r="G132" s="419"/>
      <c r="H132" s="420"/>
      <c r="I132" s="161">
        <f>VLOOKUP('Quick Input'!P$22,Auswahlfelder!$D$36:$E$38,2,FALSE)</f>
        <v>1</v>
      </c>
      <c r="J132" s="419"/>
      <c r="K132" s="420"/>
      <c r="L132" s="161">
        <f>VLOOKUP('Quick Input'!S$22,Auswahlfelder!$D$36:$E$38,2,FALSE)</f>
        <v>1</v>
      </c>
      <c r="M132" s="419"/>
      <c r="N132" s="420"/>
      <c r="O132" s="161"/>
      <c r="P132" s="419"/>
      <c r="Q132" s="420"/>
      <c r="R132" s="161"/>
      <c r="S132" s="419"/>
      <c r="T132" s="420"/>
      <c r="U132" s="161"/>
      <c r="V132" s="11"/>
      <c r="X132" s="511"/>
    </row>
    <row r="133" spans="2:24" x14ac:dyDescent="0.2">
      <c r="B133" s="467">
        <v>45</v>
      </c>
      <c r="C133" s="96" t="s">
        <v>231</v>
      </c>
      <c r="D133" s="100" t="s">
        <v>94</v>
      </c>
      <c r="E133" s="569" t="s">
        <v>498</v>
      </c>
      <c r="F133" s="206">
        <f>ROUND(0.6+0.6/F$99,1)/2</f>
        <v>0.7</v>
      </c>
      <c r="G133" s="421"/>
      <c r="H133" s="422"/>
      <c r="I133" s="206">
        <f>ROUND(0.6+0.6/I$99,1)/2</f>
        <v>0.7</v>
      </c>
      <c r="J133" s="421"/>
      <c r="K133" s="422"/>
      <c r="L133" s="206">
        <f>ROUND(0.6+0.6/L$99,1)/2</f>
        <v>0.7</v>
      </c>
      <c r="M133" s="421"/>
      <c r="N133" s="422"/>
      <c r="O133" s="206"/>
      <c r="P133" s="421"/>
      <c r="Q133" s="422"/>
      <c r="R133" s="206"/>
      <c r="S133" s="421"/>
      <c r="T133" s="422"/>
      <c r="U133" s="206"/>
      <c r="V133" s="11"/>
      <c r="X133" s="511"/>
    </row>
    <row r="134" spans="2:24" x14ac:dyDescent="0.2">
      <c r="B134" s="467">
        <v>45</v>
      </c>
      <c r="C134" s="96" t="s">
        <v>500</v>
      </c>
      <c r="D134" s="100"/>
      <c r="E134" s="571"/>
      <c r="F134" s="206">
        <f>ROUND((0.8+0.4*(VLOOKUP('Quick Input'!M$22,Auswahlfelder!$D$36:$E$38,2,FALSE)-1))/F$27,0)</f>
        <v>2</v>
      </c>
      <c r="G134" s="421"/>
      <c r="H134" s="422"/>
      <c r="I134" s="206">
        <f>ROUND((0.8+0.4*(VLOOKUP('Quick Input'!P$22,Auswahlfelder!$D$36:$E$38,2,FALSE)-1))/I$27,0)</f>
        <v>1</v>
      </c>
      <c r="J134" s="421"/>
      <c r="K134" s="422"/>
      <c r="L134" s="206">
        <f>ROUND((0.8+0.4*(VLOOKUP('Quick Input'!S$22,Auswahlfelder!$D$36:$E$38,2,FALSE)-1))/L$27,0)</f>
        <v>2</v>
      </c>
      <c r="M134" s="421"/>
      <c r="N134" s="422"/>
      <c r="O134" s="206"/>
      <c r="P134" s="421"/>
      <c r="Q134" s="422"/>
      <c r="R134" s="206"/>
      <c r="S134" s="421"/>
      <c r="T134" s="422"/>
      <c r="U134" s="206"/>
      <c r="V134" s="11"/>
    </row>
    <row r="135" spans="2:24" x14ac:dyDescent="0.2">
      <c r="B135" s="467">
        <v>45</v>
      </c>
      <c r="C135" s="96" t="s">
        <v>515</v>
      </c>
      <c r="D135" s="100" t="s">
        <v>392</v>
      </c>
      <c r="E135" s="569" t="s">
        <v>498</v>
      </c>
      <c r="F135" s="206">
        <f>ROUND(2.5+0.5*(F$132-2)+(F$132-1)*0.8/F27+IF(AND('Quick Input'!M$23&gt;1,Parametrikber!F113&gt;0),1)+VLOOKUP('Quick Input'!M$21,Auswahlfelder!$D$16:$E$196,2,FALSE)*0.3,0)</f>
        <v>5</v>
      </c>
      <c r="G135" s="421"/>
      <c r="H135" s="422"/>
      <c r="I135" s="206">
        <f>ROUND(2.5+0.5*(I$132-2)+(I$132-1)*0.8/I27+IF(AND('Quick Input'!P$23&gt;1,Parametrikber!I113&gt;0),1)+VLOOKUP('Quick Input'!P$21,Auswahlfelder!$D$16:$E$196,2,FALSE)*0.3,0)</f>
        <v>4</v>
      </c>
      <c r="J135" s="421"/>
      <c r="K135" s="422"/>
      <c r="L135" s="206">
        <f>ROUND(2.5+0.5*(L$132-2)+(L$132-1)*0.8/L27+IF(AND('Quick Input'!S$23&gt;1,Parametrikber!L113&gt;0),1)+VLOOKUP('Quick Input'!S$21,Auswahlfelder!$D$16:$E$196,2,FALSE)*0.3,0)</f>
        <v>3</v>
      </c>
      <c r="M135" s="421"/>
      <c r="N135" s="422"/>
      <c r="O135" s="206"/>
      <c r="P135" s="421"/>
      <c r="Q135" s="422"/>
      <c r="R135" s="206"/>
      <c r="S135" s="421"/>
      <c r="T135" s="422"/>
      <c r="U135" s="206"/>
      <c r="V135" s="11"/>
      <c r="X135" s="511"/>
    </row>
    <row r="136" spans="2:24" ht="15" thickBot="1" x14ac:dyDescent="0.25">
      <c r="B136" s="467">
        <v>45</v>
      </c>
      <c r="C136" s="96" t="s">
        <v>516</v>
      </c>
      <c r="D136" s="100"/>
      <c r="E136" s="569" t="s">
        <v>498</v>
      </c>
      <c r="F136" s="205">
        <f>IF(F$132=3,1,0)</f>
        <v>0</v>
      </c>
      <c r="G136" s="421"/>
      <c r="H136" s="422"/>
      <c r="I136" s="205">
        <f>IF(I$132=3,1,0)</f>
        <v>0</v>
      </c>
      <c r="J136" s="421"/>
      <c r="K136" s="422"/>
      <c r="L136" s="205">
        <f>IF(L$132=3,1,0)</f>
        <v>0</v>
      </c>
      <c r="M136" s="421"/>
      <c r="N136" s="422"/>
      <c r="O136" s="205"/>
      <c r="P136" s="421"/>
      <c r="Q136" s="422"/>
      <c r="R136" s="205"/>
      <c r="S136" s="421"/>
      <c r="T136" s="422"/>
      <c r="U136" s="205"/>
      <c r="V136" s="1196"/>
      <c r="X136" s="511"/>
    </row>
    <row r="137" spans="2:24" ht="15" x14ac:dyDescent="0.25">
      <c r="B137" s="467">
        <v>48</v>
      </c>
      <c r="C137" s="95" t="s">
        <v>269</v>
      </c>
      <c r="D137" s="98"/>
      <c r="E137" s="568"/>
      <c r="F137" s="208">
        <f>F$142/F$149+F$152+F$155</f>
        <v>157.42587560386471</v>
      </c>
      <c r="G137" s="419"/>
      <c r="H137" s="420"/>
      <c r="I137" s="208">
        <f>I$142/I$149+I$152+I$155</f>
        <v>472.359713826242</v>
      </c>
      <c r="J137" s="419"/>
      <c r="K137" s="420"/>
      <c r="L137" s="208">
        <f>L$142/L$149+L$152+L$155</f>
        <v>704.84528985507234</v>
      </c>
      <c r="M137" s="419"/>
      <c r="N137" s="420"/>
      <c r="O137" s="208"/>
      <c r="P137" s="419"/>
      <c r="Q137" s="420"/>
      <c r="R137" s="208"/>
      <c r="S137" s="419"/>
      <c r="T137" s="420"/>
      <c r="U137" s="208"/>
      <c r="V137" s="11"/>
    </row>
    <row r="138" spans="2:24" x14ac:dyDescent="0.2">
      <c r="B138" s="467">
        <v>48</v>
      </c>
      <c r="C138" s="96" t="s">
        <v>489</v>
      </c>
      <c r="D138" s="100">
        <v>1</v>
      </c>
      <c r="E138" s="569" t="s">
        <v>497</v>
      </c>
      <c r="F138" s="205">
        <f>VLOOKUP(Refkalkulation!H$52,DB_Maschinen,15,FALSE)</f>
        <v>1200000</v>
      </c>
      <c r="G138" s="421"/>
      <c r="H138" s="422"/>
      <c r="I138" s="205">
        <f>VLOOKUP(Refkalkulation!K$52,DB_Maschinen,15,FALSE)</f>
        <v>4320000</v>
      </c>
      <c r="J138" s="421"/>
      <c r="K138" s="422"/>
      <c r="L138" s="205">
        <f>VLOOKUP(Refkalkulation!N$52,DB_Maschinen,15,FALSE)</f>
        <v>4320000</v>
      </c>
      <c r="M138" s="421"/>
      <c r="N138" s="422"/>
      <c r="O138" s="205"/>
      <c r="P138" s="421"/>
      <c r="Q138" s="422"/>
      <c r="R138" s="205"/>
      <c r="S138" s="421"/>
      <c r="T138" s="422"/>
      <c r="U138" s="205"/>
      <c r="V138" s="11"/>
    </row>
    <row r="139" spans="2:24" ht="15" x14ac:dyDescent="0.25">
      <c r="B139" s="467">
        <v>48</v>
      </c>
      <c r="C139" s="96" t="s">
        <v>490</v>
      </c>
      <c r="D139" s="525" t="s">
        <v>449</v>
      </c>
      <c r="E139" s="569" t="s">
        <v>497</v>
      </c>
      <c r="F139" s="205">
        <v>0</v>
      </c>
      <c r="G139" s="421"/>
      <c r="H139" s="422"/>
      <c r="I139" s="205">
        <v>0</v>
      </c>
      <c r="J139" s="421"/>
      <c r="K139" s="422"/>
      <c r="L139" s="205">
        <v>0</v>
      </c>
      <c r="M139" s="421"/>
      <c r="N139" s="422"/>
      <c r="O139" s="205"/>
      <c r="P139" s="421"/>
      <c r="Q139" s="422"/>
      <c r="R139" s="205"/>
      <c r="S139" s="421"/>
      <c r="T139" s="422"/>
      <c r="U139" s="205"/>
      <c r="V139" s="11"/>
    </row>
    <row r="140" spans="2:24" x14ac:dyDescent="0.2">
      <c r="B140" s="467">
        <v>48</v>
      </c>
      <c r="C140" s="96" t="s">
        <v>149</v>
      </c>
      <c r="D140" s="100">
        <v>1</v>
      </c>
      <c r="E140" s="569" t="s">
        <v>497</v>
      </c>
      <c r="F140" s="205">
        <f>'Länder-DB'!$I$27+VLOOKUP(F$19,DB_Länder,13,FALSE)</f>
        <v>10</v>
      </c>
      <c r="G140" s="427"/>
      <c r="H140" s="428"/>
      <c r="I140" s="205">
        <f>'Länder-DB'!$I$27+VLOOKUP(I$19,DB_Länder,13,FALSE)</f>
        <v>11</v>
      </c>
      <c r="J140" s="427"/>
      <c r="K140" s="428"/>
      <c r="L140" s="205">
        <f>'Länder-DB'!$I$27+VLOOKUP(L$19,DB_Länder,13,FALSE)</f>
        <v>10</v>
      </c>
      <c r="M140" s="427"/>
      <c r="N140" s="428"/>
      <c r="O140" s="205"/>
      <c r="P140" s="427"/>
      <c r="Q140" s="428"/>
      <c r="R140" s="205"/>
      <c r="S140" s="427"/>
      <c r="T140" s="428"/>
      <c r="U140" s="205"/>
      <c r="V140" s="11"/>
    </row>
    <row r="141" spans="2:24" ht="15" x14ac:dyDescent="0.25">
      <c r="B141" s="467">
        <v>48</v>
      </c>
      <c r="C141" s="96" t="s">
        <v>153</v>
      </c>
      <c r="D141" s="525" t="s">
        <v>494</v>
      </c>
      <c r="E141" s="569" t="s">
        <v>497</v>
      </c>
      <c r="F141" s="205">
        <f>'Länder-DB'!$I$29*(F$138+F$139)</f>
        <v>120000</v>
      </c>
      <c r="G141" s="421"/>
      <c r="H141" s="422"/>
      <c r="I141" s="205">
        <f>'Länder-DB'!$I$29*(I$138+I$139)</f>
        <v>432000</v>
      </c>
      <c r="J141" s="421"/>
      <c r="K141" s="422"/>
      <c r="L141" s="205">
        <f>'Länder-DB'!$I$29*(L$138+L$139)</f>
        <v>432000</v>
      </c>
      <c r="M141" s="421"/>
      <c r="N141" s="422"/>
      <c r="O141" s="205"/>
      <c r="P141" s="421"/>
      <c r="Q141" s="422"/>
      <c r="R141" s="205"/>
      <c r="S141" s="421"/>
      <c r="T141" s="422"/>
      <c r="U141" s="205"/>
      <c r="V141" s="11"/>
    </row>
    <row r="142" spans="2:24" x14ac:dyDescent="0.2">
      <c r="B142" s="467">
        <v>48</v>
      </c>
      <c r="C142" s="96" t="s">
        <v>154</v>
      </c>
      <c r="D142" s="100">
        <v>1</v>
      </c>
      <c r="E142" s="569" t="s">
        <v>497</v>
      </c>
      <c r="F142" s="286">
        <f>(F$138+F$139)/F$140+F$141</f>
        <v>240000</v>
      </c>
      <c r="G142" s="421"/>
      <c r="H142" s="422"/>
      <c r="I142" s="286">
        <f>(I$138+I$139)/I$140+I$141</f>
        <v>824727.27272727271</v>
      </c>
      <c r="J142" s="421"/>
      <c r="K142" s="422"/>
      <c r="L142" s="286">
        <f>(L$138+L$139)/L$140+L$141</f>
        <v>864000</v>
      </c>
      <c r="M142" s="421"/>
      <c r="N142" s="422"/>
      <c r="O142" s="286"/>
      <c r="P142" s="421"/>
      <c r="Q142" s="422"/>
      <c r="R142" s="286"/>
      <c r="S142" s="421"/>
      <c r="T142" s="422"/>
      <c r="U142" s="286"/>
      <c r="V142" s="11"/>
    </row>
    <row r="143" spans="2:24" x14ac:dyDescent="0.2">
      <c r="B143" s="467">
        <v>48</v>
      </c>
      <c r="C143" s="96" t="s">
        <v>228</v>
      </c>
      <c r="D143" s="100">
        <v>1</v>
      </c>
      <c r="E143" s="569" t="s">
        <v>497</v>
      </c>
      <c r="F143" s="205">
        <f>8*VLOOKUP('Quick Input'!M$46,Auswahlfelder!$D$7:$E$9,2,FALSE)</f>
        <v>16</v>
      </c>
      <c r="G143" s="421"/>
      <c r="H143" s="422"/>
      <c r="I143" s="205">
        <f>8*VLOOKUP('Quick Input'!P$46,Auswahlfelder!$D$7:$E$9,2,FALSE)</f>
        <v>16</v>
      </c>
      <c r="J143" s="421"/>
      <c r="K143" s="422"/>
      <c r="L143" s="205">
        <f>8*VLOOKUP('Quick Input'!S$46,Auswahlfelder!$D$7:$E$9,2,FALSE)</f>
        <v>16</v>
      </c>
      <c r="M143" s="421"/>
      <c r="N143" s="422"/>
      <c r="O143" s="205"/>
      <c r="P143" s="421"/>
      <c r="Q143" s="422"/>
      <c r="R143" s="205"/>
      <c r="S143" s="421"/>
      <c r="T143" s="422"/>
      <c r="U143" s="205"/>
      <c r="V143" s="11"/>
    </row>
    <row r="144" spans="2:24" x14ac:dyDescent="0.2">
      <c r="B144" s="467">
        <v>48</v>
      </c>
      <c r="C144" s="96" t="s">
        <v>151</v>
      </c>
      <c r="D144" s="100">
        <v>1</v>
      </c>
      <c r="E144" s="569" t="s">
        <v>497</v>
      </c>
      <c r="F144" s="205">
        <f>'Quick Input'!M$47</f>
        <v>5</v>
      </c>
      <c r="G144" s="421"/>
      <c r="H144" s="422"/>
      <c r="I144" s="205">
        <f>'Quick Input'!P$47</f>
        <v>5</v>
      </c>
      <c r="J144" s="421"/>
      <c r="K144" s="422"/>
      <c r="L144" s="205">
        <f>'Quick Input'!S$47</f>
        <v>5</v>
      </c>
      <c r="M144" s="421"/>
      <c r="N144" s="422"/>
      <c r="O144" s="205"/>
      <c r="P144" s="421"/>
      <c r="Q144" s="422"/>
      <c r="R144" s="205"/>
      <c r="S144" s="421"/>
      <c r="T144" s="422"/>
      <c r="U144" s="205"/>
      <c r="V144" s="11"/>
    </row>
    <row r="145" spans="2:22" x14ac:dyDescent="0.2">
      <c r="B145" s="467">
        <v>48</v>
      </c>
      <c r="C145" s="96" t="s">
        <v>22</v>
      </c>
      <c r="D145" s="100">
        <v>1</v>
      </c>
      <c r="E145" s="569" t="s">
        <v>498</v>
      </c>
      <c r="F145" s="205">
        <f>'Quick Input'!M$48</f>
        <v>48</v>
      </c>
      <c r="G145" s="421"/>
      <c r="H145" s="422"/>
      <c r="I145" s="205">
        <f>'Quick Input'!P$48</f>
        <v>48</v>
      </c>
      <c r="J145" s="421"/>
      <c r="K145" s="422"/>
      <c r="L145" s="205">
        <f>'Quick Input'!S$48</f>
        <v>48</v>
      </c>
      <c r="M145" s="421"/>
      <c r="N145" s="422"/>
      <c r="O145" s="205"/>
      <c r="P145" s="421"/>
      <c r="Q145" s="422"/>
      <c r="R145" s="205"/>
      <c r="S145" s="421"/>
      <c r="T145" s="422"/>
      <c r="U145" s="205"/>
      <c r="V145" s="11"/>
    </row>
    <row r="146" spans="2:22" x14ac:dyDescent="0.2">
      <c r="B146" s="467">
        <v>48</v>
      </c>
      <c r="C146" s="96" t="s">
        <v>156</v>
      </c>
      <c r="D146" s="100"/>
      <c r="E146" s="569" t="s">
        <v>498</v>
      </c>
      <c r="F146" s="205">
        <f>F$143*F$144*F$145</f>
        <v>3840</v>
      </c>
      <c r="G146" s="421"/>
      <c r="H146" s="422"/>
      <c r="I146" s="205">
        <f>I$143*I$144*I$145</f>
        <v>3840</v>
      </c>
      <c r="J146" s="421"/>
      <c r="K146" s="422"/>
      <c r="L146" s="205">
        <f>L$143*L$144*L$145</f>
        <v>3840</v>
      </c>
      <c r="M146" s="421"/>
      <c r="N146" s="422"/>
      <c r="O146" s="205"/>
      <c r="P146" s="421"/>
      <c r="Q146" s="422"/>
      <c r="R146" s="205"/>
      <c r="S146" s="421"/>
      <c r="T146" s="422"/>
      <c r="U146" s="205"/>
      <c r="V146" s="11"/>
    </row>
    <row r="147" spans="2:22" x14ac:dyDescent="0.2">
      <c r="B147" s="467">
        <v>48</v>
      </c>
      <c r="C147" s="96" t="s">
        <v>23</v>
      </c>
      <c r="D147" s="100"/>
      <c r="E147" s="571"/>
      <c r="F147" s="201">
        <f>F$27</f>
        <v>0.7360000000000001</v>
      </c>
      <c r="G147" s="421"/>
      <c r="H147" s="422"/>
      <c r="I147" s="201">
        <f>I$27</f>
        <v>0.62559999999999993</v>
      </c>
      <c r="J147" s="421"/>
      <c r="K147" s="422"/>
      <c r="L147" s="201">
        <f>L$27</f>
        <v>0.46</v>
      </c>
      <c r="M147" s="421"/>
      <c r="N147" s="422"/>
      <c r="O147" s="201"/>
      <c r="P147" s="421"/>
      <c r="Q147" s="422"/>
      <c r="R147" s="201"/>
      <c r="S147" s="421"/>
      <c r="T147" s="422"/>
      <c r="U147" s="201"/>
      <c r="V147" s="11"/>
    </row>
    <row r="148" spans="2:22" ht="15" x14ac:dyDescent="0.25">
      <c r="B148" s="467">
        <v>48</v>
      </c>
      <c r="C148" s="96" t="s">
        <v>150</v>
      </c>
      <c r="D148" s="525" t="s">
        <v>392</v>
      </c>
      <c r="E148" s="569" t="s">
        <v>497</v>
      </c>
      <c r="F148" s="201">
        <f>0.9*F$27</f>
        <v>0.6624000000000001</v>
      </c>
      <c r="G148" s="421"/>
      <c r="H148" s="422"/>
      <c r="I148" s="201">
        <f>0.9*I$27</f>
        <v>0.56303999999999998</v>
      </c>
      <c r="J148" s="421"/>
      <c r="K148" s="422"/>
      <c r="L148" s="201">
        <f>0.9*L$27</f>
        <v>0.41400000000000003</v>
      </c>
      <c r="M148" s="421"/>
      <c r="N148" s="422"/>
      <c r="O148" s="201"/>
      <c r="P148" s="421"/>
      <c r="Q148" s="422"/>
      <c r="R148" s="201"/>
      <c r="S148" s="421"/>
      <c r="T148" s="422"/>
      <c r="U148" s="201"/>
      <c r="V148" s="5"/>
    </row>
    <row r="149" spans="2:22" x14ac:dyDescent="0.2">
      <c r="B149" s="467">
        <v>48</v>
      </c>
      <c r="C149" s="96" t="s">
        <v>157</v>
      </c>
      <c r="D149" s="100">
        <v>1</v>
      </c>
      <c r="E149" s="569" t="s">
        <v>497</v>
      </c>
      <c r="F149" s="286">
        <f>F$146*F$148</f>
        <v>2543.6160000000004</v>
      </c>
      <c r="G149" s="421"/>
      <c r="H149" s="422"/>
      <c r="I149" s="286">
        <f>I146*I148</f>
        <v>2162.0735999999997</v>
      </c>
      <c r="J149" s="421"/>
      <c r="K149" s="422"/>
      <c r="L149" s="286">
        <f>L146*L148</f>
        <v>1589.7600000000002</v>
      </c>
      <c r="M149" s="421"/>
      <c r="N149" s="422"/>
      <c r="O149" s="286"/>
      <c r="P149" s="421"/>
      <c r="Q149" s="422"/>
      <c r="R149" s="286"/>
      <c r="S149" s="421"/>
      <c r="T149" s="422"/>
      <c r="U149" s="286"/>
      <c r="V149" s="5"/>
    </row>
    <row r="150" spans="2:22" x14ac:dyDescent="0.2">
      <c r="B150" s="467">
        <v>48</v>
      </c>
      <c r="C150" s="96" t="s">
        <v>540</v>
      </c>
      <c r="D150" s="100">
        <v>1</v>
      </c>
      <c r="E150" s="569" t="s">
        <v>497</v>
      </c>
      <c r="F150" s="162">
        <f>0.75*VLOOKUP(Refkalkulation!H$52,DB_Maschinen,12,FALSE)</f>
        <v>112.5</v>
      </c>
      <c r="G150" s="421"/>
      <c r="H150" s="422"/>
      <c r="I150" s="162">
        <f>0.75*VLOOKUP(Refkalkulation!K$52,DB_Maschinen,12,FALSE)</f>
        <v>202.5</v>
      </c>
      <c r="J150" s="421"/>
      <c r="K150" s="422"/>
      <c r="L150" s="162">
        <f>0.75*VLOOKUP(Refkalkulation!N$52,DB_Maschinen,12,FALSE)</f>
        <v>202.5</v>
      </c>
      <c r="M150" s="421"/>
      <c r="N150" s="422"/>
      <c r="O150" s="162"/>
      <c r="P150" s="421"/>
      <c r="Q150" s="422"/>
      <c r="R150" s="162"/>
      <c r="S150" s="421"/>
      <c r="T150" s="422"/>
      <c r="U150" s="162"/>
      <c r="V150" s="11"/>
    </row>
    <row r="151" spans="2:22" x14ac:dyDescent="0.2">
      <c r="B151" s="467">
        <v>48</v>
      </c>
      <c r="C151" s="96" t="s">
        <v>138</v>
      </c>
      <c r="D151" s="100">
        <v>1</v>
      </c>
      <c r="E151" s="569" t="s">
        <v>498</v>
      </c>
      <c r="F151" s="209">
        <f>VLOOKUP(F$19,DB_Länder,7,FALSE)</f>
        <v>7.0000000000000007E-2</v>
      </c>
      <c r="G151" s="421"/>
      <c r="H151" s="422"/>
      <c r="I151" s="209">
        <f>VLOOKUP(I$19,DB_Länder,7,FALSE)</f>
        <v>0.06</v>
      </c>
      <c r="J151" s="421"/>
      <c r="K151" s="422"/>
      <c r="L151" s="209">
        <f>VLOOKUP(L$19,DB_Länder,7,FALSE)</f>
        <v>7.0000000000000007E-2</v>
      </c>
      <c r="M151" s="421"/>
      <c r="N151" s="422"/>
      <c r="O151" s="209"/>
      <c r="P151" s="421"/>
      <c r="Q151" s="422"/>
      <c r="R151" s="209"/>
      <c r="S151" s="421"/>
      <c r="T151" s="422"/>
      <c r="U151" s="209"/>
      <c r="V151" s="11"/>
    </row>
    <row r="152" spans="2:22" ht="15" x14ac:dyDescent="0.25">
      <c r="B152" s="467">
        <v>48</v>
      </c>
      <c r="C152" s="96" t="s">
        <v>152</v>
      </c>
      <c r="D152" s="525" t="s">
        <v>494</v>
      </c>
      <c r="E152" s="569" t="s">
        <v>497</v>
      </c>
      <c r="F152" s="287">
        <f>F$150*F$151</f>
        <v>7.8750000000000009</v>
      </c>
      <c r="G152" s="429"/>
      <c r="H152" s="422"/>
      <c r="I152" s="287">
        <f>I$150*I$151</f>
        <v>12.15</v>
      </c>
      <c r="J152" s="429"/>
      <c r="K152" s="422"/>
      <c r="L152" s="287">
        <f>L$150*L$151</f>
        <v>14.175000000000001</v>
      </c>
      <c r="M152" s="429"/>
      <c r="N152" s="422"/>
      <c r="O152" s="287"/>
      <c r="P152" s="429"/>
      <c r="Q152" s="422"/>
      <c r="R152" s="287"/>
      <c r="S152" s="429"/>
      <c r="T152" s="422"/>
      <c r="U152" s="287"/>
      <c r="V152" s="11"/>
    </row>
    <row r="153" spans="2:22" ht="15" x14ac:dyDescent="0.25">
      <c r="B153" s="467">
        <v>48</v>
      </c>
      <c r="C153" s="96" t="s">
        <v>155</v>
      </c>
      <c r="D153" s="525" t="s">
        <v>493</v>
      </c>
      <c r="E153" s="569" t="s">
        <v>497</v>
      </c>
      <c r="F153" s="162">
        <f>VLOOKUP(Refkalkulation!H$52,DB_Maschinen,14,FALSE)</f>
        <v>1800</v>
      </c>
      <c r="G153" s="427"/>
      <c r="H153" s="422"/>
      <c r="I153" s="162">
        <f>VLOOKUP(Refkalkulation!K$52,DB_Maschinen,14,FALSE)</f>
        <v>3000</v>
      </c>
      <c r="J153" s="427"/>
      <c r="K153" s="422"/>
      <c r="L153" s="162">
        <f>VLOOKUP(Refkalkulation!N$52,DB_Maschinen,14,FALSE)</f>
        <v>3000</v>
      </c>
      <c r="M153" s="427"/>
      <c r="N153" s="422"/>
      <c r="O153" s="162"/>
      <c r="P153" s="427"/>
      <c r="Q153" s="422"/>
      <c r="R153" s="162"/>
      <c r="S153" s="427"/>
      <c r="T153" s="422"/>
      <c r="U153" s="162"/>
      <c r="V153" s="11"/>
    </row>
    <row r="154" spans="2:22" x14ac:dyDescent="0.2">
      <c r="B154" s="467">
        <v>48</v>
      </c>
      <c r="C154" s="96" t="s">
        <v>163</v>
      </c>
      <c r="D154" s="100">
        <v>1</v>
      </c>
      <c r="E154" s="569" t="s">
        <v>497</v>
      </c>
      <c r="F154" s="210">
        <f>VLOOKUP(F$19,DB_Länder,8,FALSE)</f>
        <v>6.5</v>
      </c>
      <c r="G154" s="429"/>
      <c r="H154" s="422"/>
      <c r="I154" s="210">
        <f>VLOOKUP(I$19,DB_Länder,8,FALSE)</f>
        <v>4.7300000000000004</v>
      </c>
      <c r="J154" s="429"/>
      <c r="K154" s="422"/>
      <c r="L154" s="210">
        <f>VLOOKUP(L$19,DB_Länder,8,FALSE)</f>
        <v>6.5</v>
      </c>
      <c r="M154" s="429"/>
      <c r="N154" s="422"/>
      <c r="O154" s="210"/>
      <c r="P154" s="429"/>
      <c r="Q154" s="422"/>
      <c r="R154" s="210"/>
      <c r="S154" s="429"/>
      <c r="T154" s="422"/>
      <c r="U154" s="210"/>
      <c r="V154" s="11"/>
    </row>
    <row r="155" spans="2:22" ht="15" thickBot="1" x14ac:dyDescent="0.25">
      <c r="B155" s="467">
        <v>48</v>
      </c>
      <c r="C155" s="97" t="s">
        <v>164</v>
      </c>
      <c r="D155" s="102">
        <v>1</v>
      </c>
      <c r="E155" s="570" t="s">
        <v>497</v>
      </c>
      <c r="F155" s="287">
        <f>F153*F154*12/F149</f>
        <v>55.197010869565204</v>
      </c>
      <c r="G155" s="423"/>
      <c r="H155" s="424"/>
      <c r="I155" s="287">
        <f>I153*I154*12/I149</f>
        <v>78.757725916453566</v>
      </c>
      <c r="J155" s="423"/>
      <c r="K155" s="424"/>
      <c r="L155" s="287">
        <f>L153*L154*12/L149</f>
        <v>147.19202898550722</v>
      </c>
      <c r="M155" s="423"/>
      <c r="N155" s="424"/>
      <c r="O155" s="287"/>
      <c r="P155" s="423"/>
      <c r="Q155" s="424"/>
      <c r="R155" s="287"/>
      <c r="S155" s="423"/>
      <c r="T155" s="424"/>
      <c r="U155" s="287"/>
      <c r="V155" s="32"/>
    </row>
    <row r="156" spans="2:22" ht="15" x14ac:dyDescent="0.25">
      <c r="B156" s="467">
        <v>21</v>
      </c>
      <c r="C156" s="95" t="s">
        <v>519</v>
      </c>
      <c r="D156" s="98"/>
      <c r="E156" s="568" t="s">
        <v>498</v>
      </c>
      <c r="F156" s="204">
        <f>F$157+F$158+F$161+F$208</f>
        <v>466.30434782608694</v>
      </c>
      <c r="G156" s="430"/>
      <c r="H156" s="420"/>
      <c r="I156" s="204">
        <f>I$157+I$158+I$161+I$208</f>
        <v>40.000000000000007</v>
      </c>
      <c r="J156" s="430"/>
      <c r="K156" s="420"/>
      <c r="L156" s="204">
        <f>L$157+L$158+L$161+L$208</f>
        <v>40.000000000000007</v>
      </c>
      <c r="M156" s="430"/>
      <c r="N156" s="420"/>
      <c r="O156" s="204"/>
      <c r="P156" s="430"/>
      <c r="Q156" s="420"/>
      <c r="R156" s="204"/>
      <c r="S156" s="430"/>
      <c r="T156" s="420"/>
      <c r="U156" s="204"/>
      <c r="V156" s="11"/>
    </row>
    <row r="157" spans="2:22" x14ac:dyDescent="0.2">
      <c r="B157" s="467">
        <v>21</v>
      </c>
      <c r="C157" s="96" t="s">
        <v>166</v>
      </c>
      <c r="D157" s="100">
        <v>1</v>
      </c>
      <c r="E157" s="569" t="s">
        <v>497</v>
      </c>
      <c r="F157" s="205">
        <f>60*VLOOKUP(Refkalkulation!H$52,DB_Maschinen,9,FALSE)</f>
        <v>450</v>
      </c>
      <c r="G157" s="421"/>
      <c r="H157" s="422"/>
      <c r="I157" s="205">
        <f>60*VLOOKUP(Refkalkulation!K$52,DB_Maschinen,9,FALSE)</f>
        <v>40.000000000000007</v>
      </c>
      <c r="J157" s="421"/>
      <c r="K157" s="422"/>
      <c r="L157" s="205">
        <f>60*VLOOKUP(Refkalkulation!N$52,DB_Maschinen,9,FALSE)</f>
        <v>40.000000000000007</v>
      </c>
      <c r="M157" s="421"/>
      <c r="N157" s="422"/>
      <c r="O157" s="205"/>
      <c r="P157" s="421"/>
      <c r="Q157" s="422"/>
      <c r="R157" s="205"/>
      <c r="S157" s="421"/>
      <c r="T157" s="422"/>
      <c r="U157" s="205"/>
      <c r="V157" s="11"/>
    </row>
    <row r="158" spans="2:22" x14ac:dyDescent="0.2">
      <c r="B158" s="467">
        <v>21</v>
      </c>
      <c r="C158" s="96" t="s">
        <v>495</v>
      </c>
      <c r="D158" s="100" t="s">
        <v>392</v>
      </c>
      <c r="E158" s="569" t="s">
        <v>497</v>
      </c>
      <c r="F158" s="205">
        <f>60*IF(F157=0,VLOOKUP(F$70,DB_Maschinen,13,FALSE)*(1+F$159+F$160),0)</f>
        <v>0</v>
      </c>
      <c r="G158" s="421"/>
      <c r="H158" s="422"/>
      <c r="I158" s="205">
        <f>60*IF(I157=0,VLOOKUP(I$70,DB_Maschinen,13,FALSE)*(1+I$159+I$160),0)</f>
        <v>0</v>
      </c>
      <c r="J158" s="421"/>
      <c r="K158" s="422"/>
      <c r="L158" s="205">
        <f>60*IF(L157=0,VLOOKUP(L$70,DB_Maschinen,13,FALSE)*(1+L$159+L$160),0)</f>
        <v>0</v>
      </c>
      <c r="M158" s="421"/>
      <c r="N158" s="422"/>
      <c r="O158" s="205"/>
      <c r="P158" s="421"/>
      <c r="Q158" s="422"/>
      <c r="R158" s="205"/>
      <c r="S158" s="421"/>
      <c r="T158" s="422"/>
      <c r="U158" s="205"/>
      <c r="V158" s="11"/>
    </row>
    <row r="159" spans="2:22" x14ac:dyDescent="0.2">
      <c r="B159" s="467">
        <v>21</v>
      </c>
      <c r="C159" s="96" t="s">
        <v>518</v>
      </c>
      <c r="D159" s="100" t="s">
        <v>392</v>
      </c>
      <c r="E159" s="569" t="s">
        <v>497</v>
      </c>
      <c r="F159" s="201">
        <f>18%*VLOOKUP('Quick Input'!M$21,Auswahlfelder!$D$16:$E$19,2,FALSE)</f>
        <v>0.36</v>
      </c>
      <c r="G159" s="421"/>
      <c r="H159" s="422"/>
      <c r="I159" s="201">
        <f>18%*VLOOKUP('Quick Input'!P$21,Auswahlfelder!$D$16:$E$19,2,FALSE)</f>
        <v>0.36</v>
      </c>
      <c r="J159" s="421"/>
      <c r="K159" s="422"/>
      <c r="L159" s="201">
        <f>18%*VLOOKUP('Quick Input'!S$21,Auswahlfelder!$D$16:$E$19,2,FALSE)</f>
        <v>0.36</v>
      </c>
      <c r="M159" s="421"/>
      <c r="N159" s="422"/>
      <c r="O159" s="201"/>
      <c r="P159" s="421"/>
      <c r="Q159" s="422"/>
      <c r="R159" s="201"/>
      <c r="S159" s="421"/>
      <c r="T159" s="422"/>
      <c r="U159" s="201"/>
      <c r="V159" s="11"/>
    </row>
    <row r="160" spans="2:22" x14ac:dyDescent="0.2">
      <c r="B160" s="467">
        <v>21</v>
      </c>
      <c r="C160" s="96" t="s">
        <v>520</v>
      </c>
      <c r="D160" s="100"/>
      <c r="E160" s="569" t="s">
        <v>497</v>
      </c>
      <c r="F160" s="155">
        <f>MAX(0,(F$40-8))/300</f>
        <v>0.16579220721799934</v>
      </c>
      <c r="G160" s="421"/>
      <c r="H160" s="422"/>
      <c r="I160" s="155">
        <f>MAX(0,(I$40-8))/300</f>
        <v>0</v>
      </c>
      <c r="J160" s="421"/>
      <c r="K160" s="422"/>
      <c r="L160" s="155">
        <f>MAX(0,(L$40-8))/300</f>
        <v>0</v>
      </c>
      <c r="M160" s="421"/>
      <c r="N160" s="422"/>
      <c r="O160" s="155"/>
      <c r="P160" s="421"/>
      <c r="Q160" s="422"/>
      <c r="R160" s="155"/>
      <c r="S160" s="421"/>
      <c r="T160" s="422"/>
      <c r="U160" s="155"/>
      <c r="V160" s="11"/>
    </row>
    <row r="161" spans="2:24" ht="15" thickBot="1" x14ac:dyDescent="0.25">
      <c r="B161" s="467">
        <v>21</v>
      </c>
      <c r="C161" s="468" t="s">
        <v>521</v>
      </c>
      <c r="D161" s="102"/>
      <c r="E161" s="569" t="s">
        <v>497</v>
      </c>
      <c r="F161" s="205">
        <f>IF(OR(F$157=0,F$117=0),0,15/F$27*'Quick Input'!M$50)</f>
        <v>16.304347826086953</v>
      </c>
      <c r="G161" s="421"/>
      <c r="H161" s="422"/>
      <c r="I161" s="205">
        <f>IF(OR(I$157=0,I$117=0),0,15/I$27*'Quick Input'!P$50)</f>
        <v>0</v>
      </c>
      <c r="J161" s="421"/>
      <c r="K161" s="422"/>
      <c r="L161" s="205">
        <f>IF(OR(L$157=0,L$117=0),0,15/L$27*'Quick Input'!S$50)</f>
        <v>0</v>
      </c>
      <c r="M161" s="421"/>
      <c r="N161" s="422"/>
      <c r="O161" s="205"/>
      <c r="P161" s="421"/>
      <c r="Q161" s="422"/>
      <c r="R161" s="205"/>
      <c r="S161" s="421"/>
      <c r="T161" s="422"/>
      <c r="U161" s="205"/>
      <c r="V161" s="11"/>
    </row>
    <row r="162" spans="2:24" ht="15" x14ac:dyDescent="0.25">
      <c r="B162" s="638">
        <v>27</v>
      </c>
      <c r="C162" s="95" t="s">
        <v>823</v>
      </c>
      <c r="D162" s="98">
        <v>1</v>
      </c>
      <c r="E162" s="574" t="s">
        <v>498</v>
      </c>
      <c r="F162" s="905">
        <f>IFERROR(IF(Refkalkulation!H$75=0,ROUND(F$163*(1+F$164+F$165)/60,1),Refkalkulation!H$75),0)</f>
        <v>60</v>
      </c>
      <c r="G162" s="906"/>
      <c r="H162" s="907"/>
      <c r="I162" s="905">
        <f>IFERROR(IF(Refkalkulation!K$75=0,ROUND(I$163*(1+I$164+I$165)/60,1),Refkalkulation!K$75),0)</f>
        <v>5</v>
      </c>
      <c r="J162" s="906"/>
      <c r="K162" s="907"/>
      <c r="L162" s="905">
        <f>IFERROR(IF(Refkalkulation!N$75=0,ROUND(L$163*(1+L$164+L$165)/60,1),Refkalkulation!N$75),0)</f>
        <v>5</v>
      </c>
      <c r="M162" s="906"/>
      <c r="N162" s="907"/>
      <c r="O162" s="905"/>
      <c r="P162" s="906"/>
      <c r="Q162" s="907"/>
      <c r="R162" s="905"/>
      <c r="S162" s="906"/>
      <c r="T162" s="907"/>
      <c r="U162" s="905"/>
      <c r="V162" s="11"/>
      <c r="X162" s="511"/>
    </row>
    <row r="163" spans="2:24" ht="15" x14ac:dyDescent="0.25">
      <c r="B163" s="638">
        <v>27</v>
      </c>
      <c r="C163" s="96" t="s">
        <v>537</v>
      </c>
      <c r="D163" s="525">
        <v>8</v>
      </c>
      <c r="E163" s="569" t="s">
        <v>497</v>
      </c>
      <c r="F163" s="30">
        <f>ROUND(IF(F$40&lt;$D$167,$D$163,SQRT(10*F$40)),0)</f>
        <v>24</v>
      </c>
      <c r="G163" s="421"/>
      <c r="H163" s="422"/>
      <c r="I163" s="30">
        <f>ROUND(IF(I$40&lt;$D$167,$D$163,SQRT(10*I$40)),0)</f>
        <v>8</v>
      </c>
      <c r="J163" s="421"/>
      <c r="K163" s="422"/>
      <c r="L163" s="30">
        <f>ROUND(IF(L$40&lt;$D$167,$D$163,SQRT(10*L$40)),0)</f>
        <v>8</v>
      </c>
      <c r="M163" s="421"/>
      <c r="N163" s="422"/>
      <c r="O163" s="30"/>
      <c r="P163" s="421"/>
      <c r="Q163" s="422"/>
      <c r="R163" s="30"/>
      <c r="S163" s="421"/>
      <c r="T163" s="422"/>
      <c r="U163" s="30"/>
      <c r="V163" s="11"/>
      <c r="X163" s="511"/>
    </row>
    <row r="164" spans="2:24" x14ac:dyDescent="0.2">
      <c r="B164" s="638">
        <v>27</v>
      </c>
      <c r="C164" s="96" t="s">
        <v>851</v>
      </c>
      <c r="D164" s="100" t="s">
        <v>392</v>
      </c>
      <c r="E164" s="569" t="s">
        <v>497</v>
      </c>
      <c r="F164" s="201">
        <f>12%*(VLOOKUP('Quick Input'!M$21,Auswahlfelder!$D$16:$E$19,2,FALSE)-1)+10%*(VLOOKUP(Refkalkulation!I$59,Auswahlfelder!$D$65:$E$68,2,FALSE)-1)</f>
        <v>0.12</v>
      </c>
      <c r="G164" s="421"/>
      <c r="H164" s="422"/>
      <c r="I164" s="201">
        <f>12%*(VLOOKUP('Quick Input'!P$21,Auswahlfelder!$D$16:$E$19,2,FALSE)-1)+10%*(VLOOKUP(Refkalkulation!L$59,Auswahlfelder!$D$65:$E$68,2,FALSE)-1)</f>
        <v>0.12</v>
      </c>
      <c r="J164" s="421"/>
      <c r="K164" s="422"/>
      <c r="L164" s="201" t="e">
        <f>12%*(VLOOKUP('Quick Input'!S$21,Auswahlfelder!$D$16:$E$19,2,FALSE)-1)+10%*(VLOOKUP(Refkalkulation!O$59,Auswahlfelder!$D$65:$E$68,2,FALSE)-1)</f>
        <v>#N/A</v>
      </c>
      <c r="M164" s="421"/>
      <c r="N164" s="422"/>
      <c r="O164" s="201"/>
      <c r="P164" s="421"/>
      <c r="Q164" s="422"/>
      <c r="R164" s="201"/>
      <c r="S164" s="421"/>
      <c r="T164" s="422"/>
      <c r="U164" s="201"/>
      <c r="V164" s="11"/>
    </row>
    <row r="165" spans="2:24" ht="15" thickBot="1" x14ac:dyDescent="0.25">
      <c r="B165" s="638">
        <v>27</v>
      </c>
      <c r="C165" s="96" t="s">
        <v>178</v>
      </c>
      <c r="D165" s="100" t="s">
        <v>392</v>
      </c>
      <c r="E165" s="569" t="s">
        <v>497</v>
      </c>
      <c r="F165" s="201">
        <f>SQRT('Quick Input'!M$20/100)*15%</f>
        <v>1.8257418583505536</v>
      </c>
      <c r="G165" s="421"/>
      <c r="H165" s="422"/>
      <c r="I165" s="201">
        <f>SQRT('Quick Input'!P$20/100)*15%</f>
        <v>0.64478119838560288</v>
      </c>
      <c r="J165" s="421"/>
      <c r="K165" s="422"/>
      <c r="L165" s="201">
        <f>SQRT('Quick Input'!S$20/100)*15%</f>
        <v>0.64478119838560288</v>
      </c>
      <c r="M165" s="421"/>
      <c r="N165" s="422"/>
      <c r="O165" s="201"/>
      <c r="P165" s="421"/>
      <c r="Q165" s="422"/>
      <c r="R165" s="201"/>
      <c r="S165" s="421"/>
      <c r="T165" s="422"/>
      <c r="U165" s="201"/>
      <c r="V165" s="11"/>
    </row>
    <row r="166" spans="2:24" ht="15" x14ac:dyDescent="0.25">
      <c r="B166" s="467">
        <v>27</v>
      </c>
      <c r="C166" s="95" t="s">
        <v>825</v>
      </c>
      <c r="D166" s="98"/>
      <c r="E166" s="574" t="s">
        <v>498</v>
      </c>
      <c r="F166" s="905">
        <f>IFERROR(IF(Refkalkulation!H$74=0,ROUND(F$167*(1+F$168+F$169)/60,1),Refkalkulation!H$74),0)</f>
        <v>0.7</v>
      </c>
      <c r="G166" s="906"/>
      <c r="H166" s="907"/>
      <c r="I166" s="905">
        <f>IFERROR(IF(Refkalkulation!K$74=0,ROUND(I$167*(1+I$168+I$169)/60,1),Refkalkulation!K$74),0)</f>
        <v>0.4</v>
      </c>
      <c r="J166" s="906"/>
      <c r="K166" s="907"/>
      <c r="L166" s="905">
        <f>IFERROR(IF(Refkalkulation!N$74=0,ROUND(L$167*(1+L$168+L$169)/60,1),Refkalkulation!N$74),0)</f>
        <v>0.4</v>
      </c>
      <c r="M166" s="906"/>
      <c r="N166" s="907"/>
      <c r="O166" s="905"/>
      <c r="P166" s="906"/>
      <c r="Q166" s="907"/>
      <c r="R166" s="905"/>
      <c r="S166" s="906"/>
      <c r="T166" s="907"/>
      <c r="U166" s="905"/>
      <c r="V166" s="11"/>
      <c r="X166" s="511"/>
    </row>
    <row r="167" spans="2:24" ht="15" x14ac:dyDescent="0.25">
      <c r="B167" s="467">
        <v>27</v>
      </c>
      <c r="C167" s="96" t="s">
        <v>849</v>
      </c>
      <c r="D167" s="525">
        <v>18</v>
      </c>
      <c r="E167" s="569" t="s">
        <v>497</v>
      </c>
      <c r="F167" s="30">
        <f>IF(F60=Auswahlfelder!$D$38,0,ROUND(IF(F$40&lt;$D$167,$D$168,SQRT(7*F$40)/F$46),0))</f>
        <v>20</v>
      </c>
      <c r="G167" s="421"/>
      <c r="H167" s="422"/>
      <c r="I167" s="30">
        <f>IF(I60=Auswahlfelder!$D$38,0,ROUND(IF(I$40&lt;$D$167,$D$168,SQRT(7*I$40)/I$46),0))</f>
        <v>15</v>
      </c>
      <c r="J167" s="421"/>
      <c r="K167" s="422"/>
      <c r="L167" s="30">
        <f>IF(L60=Auswahlfelder!$D$38,0,ROUND(IF(L$40&lt;$D$167,$D$168,SQRT(7*L$40)/L$46),0))</f>
        <v>15</v>
      </c>
      <c r="M167" s="421"/>
      <c r="N167" s="422"/>
      <c r="O167" s="30"/>
      <c r="P167" s="421"/>
      <c r="Q167" s="422"/>
      <c r="R167" s="30"/>
      <c r="S167" s="421"/>
      <c r="T167" s="422"/>
      <c r="U167" s="30"/>
      <c r="V167" s="11"/>
      <c r="X167" s="511"/>
    </row>
    <row r="168" spans="2:24" ht="15" x14ac:dyDescent="0.25">
      <c r="B168" s="467">
        <v>27</v>
      </c>
      <c r="C168" s="96" t="s">
        <v>850</v>
      </c>
      <c r="D168" s="525">
        <v>15</v>
      </c>
      <c r="E168" s="569" t="s">
        <v>497</v>
      </c>
      <c r="F168" s="201">
        <f>15%*(VLOOKUP('Quick Input'!M$21,Auswahlfelder!$D$16:$E$19,2,FALSE)-1)</f>
        <v>0.15</v>
      </c>
      <c r="G168" s="421"/>
      <c r="H168" s="422"/>
      <c r="I168" s="201">
        <f>15%*(VLOOKUP('Quick Input'!P$21,Auswahlfelder!$D$16:$E$19,2,FALSE)-1)</f>
        <v>0.15</v>
      </c>
      <c r="J168" s="421"/>
      <c r="K168" s="422"/>
      <c r="L168" s="201">
        <f>15%*(VLOOKUP('Quick Input'!S$21,Auswahlfelder!$D$16:$E$19,2,FALSE)-1)</f>
        <v>0.15</v>
      </c>
      <c r="M168" s="421"/>
      <c r="N168" s="422"/>
      <c r="O168" s="201"/>
      <c r="P168" s="421"/>
      <c r="Q168" s="422"/>
      <c r="R168" s="201"/>
      <c r="S168" s="421"/>
      <c r="T168" s="422"/>
      <c r="U168" s="201"/>
      <c r="V168" s="11"/>
    </row>
    <row r="169" spans="2:24" ht="15" thickBot="1" x14ac:dyDescent="0.25">
      <c r="B169" s="467">
        <v>27</v>
      </c>
      <c r="C169" s="96" t="s">
        <v>178</v>
      </c>
      <c r="D169" s="778">
        <v>0.08</v>
      </c>
      <c r="E169" s="569" t="s">
        <v>497</v>
      </c>
      <c r="F169" s="201">
        <f>SQRT('Quick Input'!M$20/100)*$D$169</f>
        <v>0.97372899112029532</v>
      </c>
      <c r="G169" s="421"/>
      <c r="H169" s="422"/>
      <c r="I169" s="201">
        <f>SQRT('Quick Input'!P$20/100)*$D$169</f>
        <v>0.3438833058056549</v>
      </c>
      <c r="J169" s="421"/>
      <c r="K169" s="422"/>
      <c r="L169" s="201">
        <f>SQRT('Quick Input'!S$20/100)*$D$169</f>
        <v>0.3438833058056549</v>
      </c>
      <c r="M169" s="421"/>
      <c r="N169" s="422"/>
      <c r="O169" s="201"/>
      <c r="P169" s="421"/>
      <c r="Q169" s="422"/>
      <c r="R169" s="201"/>
      <c r="S169" s="421"/>
      <c r="T169" s="422"/>
      <c r="U169" s="201"/>
      <c r="V169" s="11"/>
    </row>
    <row r="170" spans="2:24" ht="15" x14ac:dyDescent="0.25">
      <c r="B170" s="467">
        <v>60</v>
      </c>
      <c r="C170" s="95" t="s">
        <v>179</v>
      </c>
      <c r="D170" s="100" t="s">
        <v>94</v>
      </c>
      <c r="E170" s="574" t="s">
        <v>498</v>
      </c>
      <c r="F170" s="639">
        <f>IFERROR(IF(Refkalkulation!H$95=0,ROUND(F$171*(1+F$172+F$173+F$174),1),Refkalkulation!H$95),0)</f>
        <v>400</v>
      </c>
      <c r="G170" s="419"/>
      <c r="H170" s="420"/>
      <c r="I170" s="639">
        <f>IFERROR(IF(Refkalkulation!K$95=0,ROUND(I$171*(1+I$172+I$173+I$174),1),Refkalkulation!K$95),0)</f>
        <v>300</v>
      </c>
      <c r="J170" s="419"/>
      <c r="K170" s="420"/>
      <c r="L170" s="639">
        <f>IFERROR(IF(Refkalkulation!N$95=0,ROUND(L$171*(1+L$172+L$173+L$174),1),Refkalkulation!N$95),0)</f>
        <v>300</v>
      </c>
      <c r="M170" s="419"/>
      <c r="N170" s="420"/>
      <c r="O170" s="639"/>
      <c r="P170" s="419"/>
      <c r="Q170" s="420"/>
      <c r="R170" s="639"/>
      <c r="S170" s="419"/>
      <c r="T170" s="420"/>
      <c r="U170" s="639"/>
      <c r="V170" s="11"/>
      <c r="X170" s="511"/>
    </row>
    <row r="171" spans="2:24" ht="15" x14ac:dyDescent="0.25">
      <c r="B171" s="467">
        <v>60</v>
      </c>
      <c r="C171" s="96" t="s">
        <v>180</v>
      </c>
      <c r="D171" s="525">
        <v>20</v>
      </c>
      <c r="E171" s="569" t="s">
        <v>497</v>
      </c>
      <c r="F171" s="30">
        <f>$D$171</f>
        <v>20</v>
      </c>
      <c r="G171" s="421"/>
      <c r="H171" s="422"/>
      <c r="I171" s="30">
        <f>$D$171</f>
        <v>20</v>
      </c>
      <c r="J171" s="421"/>
      <c r="K171" s="422"/>
      <c r="L171" s="30">
        <f>$D$171</f>
        <v>20</v>
      </c>
      <c r="M171" s="421"/>
      <c r="N171" s="422"/>
      <c r="O171" s="30"/>
      <c r="P171" s="421"/>
      <c r="Q171" s="422"/>
      <c r="R171" s="30"/>
      <c r="S171" s="421"/>
      <c r="T171" s="422"/>
      <c r="U171" s="30"/>
      <c r="V171" s="11"/>
    </row>
    <row r="172" spans="2:24" x14ac:dyDescent="0.2">
      <c r="B172" s="467">
        <v>60</v>
      </c>
      <c r="C172" s="96" t="s">
        <v>181</v>
      </c>
      <c r="D172" s="100">
        <v>1</v>
      </c>
      <c r="E172" s="569" t="s">
        <v>497</v>
      </c>
      <c r="F172" s="201">
        <f>MAX(0,POWER(VLOOKUP('Quick Input'!M$21,Auswahlfelder!$D$16:$E$19,2,FALSE)-2,2)/10)</f>
        <v>0</v>
      </c>
      <c r="G172" s="431"/>
      <c r="H172" s="432"/>
      <c r="I172" s="201">
        <f>MAX(0,POWER(VLOOKUP('Quick Input'!P$21,Auswahlfelder!$D$16:$E$19,2,FALSE)-2,2)/10)</f>
        <v>0</v>
      </c>
      <c r="J172" s="431"/>
      <c r="K172" s="432"/>
      <c r="L172" s="201">
        <f>MAX(0,POWER(VLOOKUP('Quick Input'!S$21,Auswahlfelder!$D$16:$E$19,2,FALSE)-2,2)/10)</f>
        <v>0</v>
      </c>
      <c r="M172" s="431"/>
      <c r="N172" s="432"/>
      <c r="O172" s="201"/>
      <c r="P172" s="431"/>
      <c r="Q172" s="432"/>
      <c r="R172" s="201"/>
      <c r="S172" s="431"/>
      <c r="T172" s="432"/>
      <c r="U172" s="201"/>
      <c r="V172" s="11"/>
    </row>
    <row r="173" spans="2:24" x14ac:dyDescent="0.2">
      <c r="B173" s="467">
        <v>60</v>
      </c>
      <c r="C173" s="96" t="s">
        <v>539</v>
      </c>
      <c r="D173" s="100">
        <v>1</v>
      </c>
      <c r="E173" s="569" t="s">
        <v>497</v>
      </c>
      <c r="F173" s="201">
        <f>-55*VLOOKUP(F$19,DB_Länder,10,FALSE)</f>
        <v>0</v>
      </c>
      <c r="G173" s="431"/>
      <c r="H173" s="432"/>
      <c r="I173" s="201">
        <f>-55*VLOOKUP(I$19,DB_Länder,10,FALSE)</f>
        <v>0.27500000000000002</v>
      </c>
      <c r="J173" s="431"/>
      <c r="K173" s="432"/>
      <c r="L173" s="201">
        <f>-55*VLOOKUP(L$19,DB_Länder,10,FALSE)</f>
        <v>0</v>
      </c>
      <c r="M173" s="431"/>
      <c r="N173" s="432"/>
      <c r="O173" s="201"/>
      <c r="P173" s="431"/>
      <c r="Q173" s="432"/>
      <c r="R173" s="201"/>
      <c r="S173" s="431"/>
      <c r="T173" s="432"/>
      <c r="U173" s="201"/>
      <c r="V173" s="11"/>
    </row>
    <row r="174" spans="2:24" ht="15" thickBot="1" x14ac:dyDescent="0.25">
      <c r="B174" s="467">
        <v>60</v>
      </c>
      <c r="C174" s="96" t="s">
        <v>178</v>
      </c>
      <c r="D174" s="778">
        <v>0.3</v>
      </c>
      <c r="E174" s="569" t="s">
        <v>497</v>
      </c>
      <c r="F174" s="458">
        <f>SQRT('Quick Input'!M$20/2000)*$D$174</f>
        <v>0.81649658092772603</v>
      </c>
      <c r="G174" s="421"/>
      <c r="H174" s="422"/>
      <c r="I174" s="458">
        <f>SQRT('Quick Input'!P$20/2000)*$D$174</f>
        <v>0.28835491804079716</v>
      </c>
      <c r="J174" s="421"/>
      <c r="K174" s="422"/>
      <c r="L174" s="458">
        <f>SQRT('Quick Input'!S$20/2000)*$D$174</f>
        <v>0.28835491804079716</v>
      </c>
      <c r="M174" s="421"/>
      <c r="N174" s="422"/>
      <c r="O174" s="458"/>
      <c r="P174" s="421"/>
      <c r="Q174" s="422"/>
      <c r="R174" s="458"/>
      <c r="S174" s="421"/>
      <c r="T174" s="422"/>
      <c r="U174" s="458"/>
      <c r="V174" s="11"/>
    </row>
    <row r="175" spans="2:24" ht="15.75" thickBot="1" x14ac:dyDescent="0.3">
      <c r="B175" s="17">
        <v>39</v>
      </c>
      <c r="C175" s="95" t="s">
        <v>622</v>
      </c>
      <c r="D175" s="102"/>
      <c r="E175" s="568"/>
      <c r="F175" s="645">
        <f>IFERROR(IF(OR(Refkalkulation!H$101=0,F$247=0),F$247,Refkalkulation!H$101),0)</f>
        <v>0.41742621527777779</v>
      </c>
      <c r="G175" s="436"/>
      <c r="H175" s="420"/>
      <c r="I175" s="645">
        <f>IFERROR(IF(OR(Refkalkulation!K$101=0,I$247=0),I$247,Refkalkulation!K$101),0)</f>
        <v>0.30864583333333334</v>
      </c>
      <c r="J175" s="436"/>
      <c r="K175" s="420"/>
      <c r="L175" s="645">
        <f>IFERROR(IF(OR(Refkalkulation!N$101=0,L$247=0),L$247,Refkalkulation!N$101),0)</f>
        <v>0.33394097222222224</v>
      </c>
      <c r="M175" s="436"/>
      <c r="N175" s="420"/>
      <c r="O175" s="645"/>
      <c r="P175" s="436"/>
      <c r="Q175" s="420"/>
      <c r="R175" s="645"/>
      <c r="S175" s="436"/>
      <c r="T175" s="420"/>
      <c r="U175" s="645"/>
      <c r="V175" s="11"/>
      <c r="W175" s="763"/>
      <c r="X175" s="511"/>
    </row>
    <row r="176" spans="2:24" ht="15.75" thickBot="1" x14ac:dyDescent="0.3">
      <c r="B176" s="17">
        <v>39</v>
      </c>
      <c r="C176" s="95" t="s">
        <v>615</v>
      </c>
      <c r="D176" s="102"/>
      <c r="E176" s="568"/>
      <c r="F176" s="645">
        <f>IFERROR(IF(OR(Refkalkulation!H$105=0,F$250=0),F250,Refkalkulation!H$105),0)</f>
        <v>0.37082465277777776</v>
      </c>
      <c r="G176" s="436"/>
      <c r="H176" s="420"/>
      <c r="I176" s="645">
        <f>IFERROR(IF(OR(Refkalkulation!K$105=0,I$250=0),I250,Refkalkulation!K$105),0)</f>
        <v>0.34611111111111109</v>
      </c>
      <c r="J176" s="436"/>
      <c r="K176" s="420"/>
      <c r="L176" s="645">
        <f>IFERROR(IF(OR(Refkalkulation!N$105=0,L$250=0),L250,Refkalkulation!N$105),0)</f>
        <v>0.24721643518518516</v>
      </c>
      <c r="M176" s="436"/>
      <c r="N176" s="420"/>
      <c r="O176" s="645"/>
      <c r="P176" s="436"/>
      <c r="Q176" s="420"/>
      <c r="R176" s="645"/>
      <c r="S176" s="436"/>
      <c r="T176" s="420"/>
      <c r="U176" s="645"/>
      <c r="V176" s="11"/>
      <c r="W176" s="763"/>
      <c r="X176" s="511"/>
    </row>
    <row r="177" spans="2:24" ht="15" x14ac:dyDescent="0.25">
      <c r="B177" s="17">
        <v>39</v>
      </c>
      <c r="C177" s="95" t="s">
        <v>623</v>
      </c>
      <c r="D177" s="100"/>
      <c r="E177" s="6"/>
      <c r="F177" s="645">
        <f>IFERROR(IF(OR(Refkalkulation!H$108=0,F$178=0),ROUND(F178*(1+F179),2),Refkalkulation!H$108),0)</f>
        <v>1.8357928240740744</v>
      </c>
      <c r="G177" s="436"/>
      <c r="H177" s="420"/>
      <c r="I177" s="645">
        <f>IFERROR(IF(OR(Refkalkulation!K$108=0,I$178=0),ROUND(I178*(1+I179),2),Refkalkulation!K$108),0)</f>
        <v>1.7619212962962969</v>
      </c>
      <c r="J177" s="436"/>
      <c r="K177" s="420"/>
      <c r="L177" s="645">
        <f>IFERROR(IF(OR(Refkalkulation!N$108=0,L$178=0),ROUND(L178*(1+L179),2),Refkalkulation!N$108),0)</f>
        <v>1.1014756944444448</v>
      </c>
      <c r="M177" s="436"/>
      <c r="N177" s="420"/>
      <c r="O177" s="645"/>
      <c r="P177" s="436"/>
      <c r="Q177" s="420"/>
      <c r="R177" s="645"/>
      <c r="S177" s="436"/>
      <c r="T177" s="420"/>
      <c r="U177" s="645"/>
      <c r="V177" s="11"/>
      <c r="W177" s="763"/>
      <c r="X177" s="511"/>
    </row>
    <row r="178" spans="2:24" x14ac:dyDescent="0.2">
      <c r="B178" s="17">
        <v>39</v>
      </c>
      <c r="C178" s="96" t="s">
        <v>624</v>
      </c>
      <c r="D178" s="100" t="s">
        <v>94</v>
      </c>
      <c r="E178" s="571" t="s">
        <v>575</v>
      </c>
      <c r="F178" s="456">
        <f>IF('Quick Input'!M30=Auswahlfelder!$D$22,0,'Länder-DB'!$I$43*(0.7+0.3*VLOOKUP(F$19,DB_Länder,5,FALSE)/'Länder-DB'!$E$2))</f>
        <v>9</v>
      </c>
      <c r="G178" s="10"/>
      <c r="H178" s="10"/>
      <c r="I178" s="456">
        <f>IF('Quick Input'!P30=Auswahlfelder!$D$22,0,'Länder-DB'!$I$43*(0.7+0.3*VLOOKUP(I$19,DB_Länder,5,FALSE)/'Länder-DB'!$E$2))</f>
        <v>7.1398593200468934</v>
      </c>
      <c r="J178" s="10"/>
      <c r="K178" s="10"/>
      <c r="L178" s="456">
        <f>IF('Quick Input'!S30=Auswahlfelder!$D$22,0,'Länder-DB'!$I$43*(0.7+0.3*VLOOKUP(L$19,DB_Länder,5,FALSE)/'Länder-DB'!$E$2))</f>
        <v>9</v>
      </c>
      <c r="M178" s="10"/>
      <c r="N178" s="10"/>
      <c r="O178" s="456"/>
      <c r="P178" s="10"/>
      <c r="Q178" s="10"/>
      <c r="R178" s="456"/>
      <c r="S178" s="10"/>
      <c r="T178" s="10"/>
      <c r="U178" s="456"/>
      <c r="V178" s="11"/>
    </row>
    <row r="179" spans="2:24" ht="15" thickBot="1" x14ac:dyDescent="0.25">
      <c r="B179" s="759">
        <v>39</v>
      </c>
      <c r="C179" s="97" t="s">
        <v>178</v>
      </c>
      <c r="D179" s="102"/>
      <c r="E179" s="572" t="s">
        <v>575</v>
      </c>
      <c r="F179" s="343">
        <f>SQRT(MAX(0,'Quick Input'!M$19-0.5))*35%</f>
        <v>2.1997158907458934</v>
      </c>
      <c r="G179" s="423"/>
      <c r="H179" s="424"/>
      <c r="I179" s="343">
        <f>SQRT(MAX(0,'Quick Input'!P$19-0.5))*35%</f>
        <v>0.74246212024587477</v>
      </c>
      <c r="J179" s="423"/>
      <c r="K179" s="424"/>
      <c r="L179" s="343">
        <f>SQRT(MAX(0,'Quick Input'!S$19-0.5))*35%</f>
        <v>0.74246212024587477</v>
      </c>
      <c r="M179" s="423"/>
      <c r="N179" s="424"/>
      <c r="O179" s="343"/>
      <c r="P179" s="423"/>
      <c r="Q179" s="424"/>
      <c r="R179" s="343"/>
      <c r="S179" s="423"/>
      <c r="T179" s="424"/>
      <c r="U179" s="343"/>
      <c r="V179" s="126"/>
    </row>
    <row r="180" spans="2:24" ht="15" x14ac:dyDescent="0.25">
      <c r="B180" s="467">
        <v>13</v>
      </c>
      <c r="C180" s="95" t="s">
        <v>324</v>
      </c>
      <c r="D180" s="100"/>
      <c r="E180" s="568"/>
      <c r="F180" s="943">
        <f>IF(OR(Refkalkulation!H$90=0,F181=1),ROUND(IF(F$181&gt;2,F$182*F$183+F$184/60*F$20/F186/'Quick Input'!M$19+F$185,0),3),Refkalkulation!H$90)</f>
        <v>0.7</v>
      </c>
      <c r="G180" s="436"/>
      <c r="H180" s="420"/>
      <c r="I180" s="943">
        <f>IF(OR(Refkalkulation!K$90=0,I181=1),ROUND(IF(I$181&gt;2,I$182*I$183+I$184/60*I$20/I186/'Quick Input'!P$19+I$185,0),3),Refkalkulation!K$90)</f>
        <v>0.4</v>
      </c>
      <c r="J180" s="436"/>
      <c r="K180" s="420"/>
      <c r="L180" s="943">
        <f>IF(OR(Refkalkulation!N$90=0,L181=1),ROUND(IF(L$181&gt;2,L$182*L$183+L$184/60*L$20/L186/'Quick Input'!S$19+L$185,0),3),Refkalkulation!N$90)</f>
        <v>0.5</v>
      </c>
      <c r="M180" s="436"/>
      <c r="N180" s="420"/>
      <c r="O180" s="943"/>
      <c r="P180" s="436"/>
      <c r="Q180" s="420"/>
      <c r="R180" s="943"/>
      <c r="S180" s="436"/>
      <c r="T180" s="420"/>
      <c r="U180" s="943"/>
      <c r="V180" s="8"/>
      <c r="W180" s="763"/>
      <c r="X180" s="511"/>
    </row>
    <row r="181" spans="2:24" x14ac:dyDescent="0.2">
      <c r="B181" s="467">
        <f t="shared" ref="B181:B186" si="1">B180</f>
        <v>13</v>
      </c>
      <c r="C181" s="96" t="s">
        <v>323</v>
      </c>
      <c r="D181" s="100"/>
      <c r="E181" s="569" t="s">
        <v>497</v>
      </c>
      <c r="F181" s="30">
        <f>VLOOKUP('Quick Input'!M$32,Auswahlfelder!$D$41:$E$46,2,FALSE)</f>
        <v>6</v>
      </c>
      <c r="G181" s="421"/>
      <c r="H181" s="422"/>
      <c r="I181" s="30">
        <f>VLOOKUP('Quick Input'!P$32,Auswahlfelder!$D$41:$E$46,2,FALSE)</f>
        <v>3</v>
      </c>
      <c r="J181" s="421"/>
      <c r="K181" s="422"/>
      <c r="L181" s="30">
        <f>VLOOKUP('Quick Input'!S$32,Auswahlfelder!$D$41:$E$46,2,FALSE)</f>
        <v>2</v>
      </c>
      <c r="M181" s="421"/>
      <c r="N181" s="422"/>
      <c r="O181" s="30"/>
      <c r="P181" s="421"/>
      <c r="Q181" s="422"/>
      <c r="R181" s="30"/>
      <c r="S181" s="421"/>
      <c r="T181" s="422"/>
      <c r="U181" s="30"/>
      <c r="V181" s="11"/>
    </row>
    <row r="182" spans="2:24" x14ac:dyDescent="0.2">
      <c r="B182" s="467">
        <f t="shared" si="1"/>
        <v>13</v>
      </c>
      <c r="C182" s="96" t="s">
        <v>572</v>
      </c>
      <c r="D182" s="100"/>
      <c r="E182" s="569" t="s">
        <v>497</v>
      </c>
      <c r="F182" s="463">
        <f>(3.7+10/60*F$21)/$D$186</f>
        <v>2.4581297619047617E-2</v>
      </c>
      <c r="G182" s="464"/>
      <c r="H182" s="465"/>
      <c r="I182" s="463">
        <f>(3.7+10/60*I$21)/$D$186</f>
        <v>1.4121804285714286E-2</v>
      </c>
      <c r="J182" s="464"/>
      <c r="K182" s="465"/>
      <c r="L182" s="463">
        <f>(3.7+10/60*L$21)/$D$186</f>
        <v>2.4581297619047617E-2</v>
      </c>
      <c r="M182" s="464"/>
      <c r="N182" s="465"/>
      <c r="O182" s="463"/>
      <c r="P182" s="464"/>
      <c r="Q182" s="465"/>
      <c r="R182" s="463"/>
      <c r="S182" s="464"/>
      <c r="T182" s="465"/>
      <c r="U182" s="463"/>
      <c r="V182" s="11"/>
      <c r="X182" s="511"/>
    </row>
    <row r="183" spans="2:24" ht="15" x14ac:dyDescent="0.25">
      <c r="B183" s="467">
        <f t="shared" si="1"/>
        <v>13</v>
      </c>
      <c r="C183" s="96" t="s">
        <v>586</v>
      </c>
      <c r="D183" s="525">
        <v>3.4</v>
      </c>
      <c r="E183" s="569" t="s">
        <v>497</v>
      </c>
      <c r="F183" s="445">
        <f>IF(F181&gt;2,0.8+SQRT(F181-1)*($D$183+0.4*SQRT(F41/100)),0)</f>
        <v>8.9683165484485237</v>
      </c>
      <c r="G183" s="446"/>
      <c r="H183" s="447"/>
      <c r="I183" s="445">
        <f>IF(I181&gt;2,0.8+SQRT(I181-1)*($D$183+0.4*SQRT(I41/100)),0)</f>
        <v>5.7348172184752579</v>
      </c>
      <c r="J183" s="446"/>
      <c r="K183" s="447"/>
      <c r="L183" s="445">
        <f>IF(L181&gt;2,0.8+SQRT(L181-1)*($D$183+0.4*SQRT(L41/100)),0)</f>
        <v>0</v>
      </c>
      <c r="M183" s="446"/>
      <c r="N183" s="447"/>
      <c r="O183" s="445"/>
      <c r="P183" s="446"/>
      <c r="Q183" s="447"/>
      <c r="R183" s="445"/>
      <c r="S183" s="446"/>
      <c r="T183" s="447"/>
      <c r="U183" s="445"/>
      <c r="V183" s="11"/>
    </row>
    <row r="184" spans="2:24" ht="15" x14ac:dyDescent="0.25">
      <c r="B184" s="467">
        <f t="shared" si="1"/>
        <v>13</v>
      </c>
      <c r="C184" s="96" t="s">
        <v>882</v>
      </c>
      <c r="D184" s="525">
        <v>15</v>
      </c>
      <c r="E184" s="569" t="s">
        <v>497</v>
      </c>
      <c r="F184" s="445">
        <f>IF(F181&lt;3,0,$D$184+0.1*F186)</f>
        <v>15.8</v>
      </c>
      <c r="G184" s="939"/>
      <c r="H184" s="940"/>
      <c r="I184" s="445">
        <f>IF(I181&lt;3,0,$D$184+0.1*I186)</f>
        <v>22</v>
      </c>
      <c r="J184" s="939"/>
      <c r="K184" s="940"/>
      <c r="L184" s="445">
        <f t="shared" ref="L184" si="2">IF(L181&lt;3,0,$D$184+0.1*L186)</f>
        <v>0</v>
      </c>
      <c r="M184" s="939"/>
      <c r="N184" s="940"/>
      <c r="O184" s="445"/>
      <c r="P184" s="939"/>
      <c r="Q184" s="940"/>
      <c r="R184" s="445"/>
      <c r="S184" s="939"/>
      <c r="T184" s="940"/>
      <c r="U184" s="445"/>
      <c r="V184" s="11"/>
    </row>
    <row r="185" spans="2:24" x14ac:dyDescent="0.2">
      <c r="B185" s="467">
        <f t="shared" si="1"/>
        <v>13</v>
      </c>
      <c r="C185" s="96" t="s">
        <v>571</v>
      </c>
      <c r="D185" s="100"/>
      <c r="E185" s="569" t="s">
        <v>497</v>
      </c>
      <c r="F185" s="463">
        <f>IF(F$181&gt;2,F$151*0.00025*515*0.7,0)</f>
        <v>6.308750000000001E-3</v>
      </c>
      <c r="G185" s="446"/>
      <c r="H185" s="447"/>
      <c r="I185" s="463">
        <f>IF(I$181&gt;2,I$151*0.00025*515/0.6,0)</f>
        <v>1.2875000000000001E-2</v>
      </c>
      <c r="J185" s="446"/>
      <c r="K185" s="447"/>
      <c r="L185" s="463">
        <f>IF(L$181&gt;2,L$151*0.00025*515*0.7,0)</f>
        <v>0</v>
      </c>
      <c r="M185" s="446"/>
      <c r="N185" s="447"/>
      <c r="O185" s="463"/>
      <c r="P185" s="446"/>
      <c r="Q185" s="447"/>
      <c r="R185" s="463"/>
      <c r="S185" s="446"/>
      <c r="T185" s="447"/>
      <c r="U185" s="463"/>
      <c r="V185" s="11"/>
    </row>
    <row r="186" spans="2:24" ht="15.75" thickBot="1" x14ac:dyDescent="0.3">
      <c r="B186" s="467">
        <f t="shared" si="1"/>
        <v>13</v>
      </c>
      <c r="C186" s="97" t="s">
        <v>883</v>
      </c>
      <c r="D186" s="942">
        <v>350</v>
      </c>
      <c r="E186" s="570"/>
      <c r="F186" s="941">
        <f>ROUNDDOWN(MAX(1,$D$186/'Quick Input'!M$19),0)</f>
        <v>8</v>
      </c>
      <c r="G186" s="423"/>
      <c r="H186" s="424"/>
      <c r="I186" s="941">
        <f>ROUNDDOWN(MAX(1,$D$186/'Quick Input'!P$19),0)</f>
        <v>70</v>
      </c>
      <c r="J186" s="423"/>
      <c r="K186" s="424"/>
      <c r="L186" s="941">
        <f>ROUNDDOWN(MAX(1,$D$186/'Quick Input'!S$19),0)</f>
        <v>70</v>
      </c>
      <c r="M186" s="423"/>
      <c r="N186" s="424"/>
      <c r="O186" s="941"/>
      <c r="P186" s="423"/>
      <c r="Q186" s="424"/>
      <c r="R186" s="941"/>
      <c r="S186" s="423"/>
      <c r="T186" s="424"/>
      <c r="U186" s="941"/>
      <c r="V186" s="126"/>
    </row>
    <row r="187" spans="2:24" ht="15" x14ac:dyDescent="0.25">
      <c r="B187" s="467">
        <v>34</v>
      </c>
      <c r="C187" s="95" t="s">
        <v>457</v>
      </c>
      <c r="D187" s="100" t="s">
        <v>94</v>
      </c>
      <c r="E187" s="574" t="s">
        <v>498</v>
      </c>
      <c r="F187" s="345">
        <f>ROUND(IF('Quick Input'!M$33=Auswahlfelder!$D$60,0,F$188/60*F$22+F$190+F$191),2)</f>
        <v>0</v>
      </c>
      <c r="G187" s="436"/>
      <c r="H187" s="420"/>
      <c r="I187" s="345">
        <f>ROUND(IF('Quick Input'!P$33=Auswahlfelder!$D$60,0,I$188/60*I$22+I$190+I$191),2)</f>
        <v>0</v>
      </c>
      <c r="J187" s="436"/>
      <c r="K187" s="420"/>
      <c r="L187" s="345">
        <f>ROUND(IF('Quick Input'!S$33=Auswahlfelder!$D$60,0,L$188/60*L$22+L$190+L$191),2)</f>
        <v>0</v>
      </c>
      <c r="M187" s="436"/>
      <c r="N187" s="420"/>
      <c r="O187" s="345"/>
      <c r="P187" s="436"/>
      <c r="Q187" s="420"/>
      <c r="R187" s="345"/>
      <c r="S187" s="436"/>
      <c r="T187" s="420"/>
      <c r="U187" s="345"/>
      <c r="V187" s="8"/>
      <c r="X187" s="511"/>
    </row>
    <row r="188" spans="2:24" ht="15" x14ac:dyDescent="0.25">
      <c r="B188" s="467">
        <v>34</v>
      </c>
      <c r="C188" s="96" t="s">
        <v>587</v>
      </c>
      <c r="D188" s="525">
        <v>5</v>
      </c>
      <c r="E188" s="571"/>
      <c r="F188" s="669">
        <f>$D$188*(1+20%*(VLOOKUP('Quick Input'!M$21,Auswahlfelder!$D$16:$E$19,2,FALSE)-2))</f>
        <v>5</v>
      </c>
      <c r="G188" s="421"/>
      <c r="H188" s="422"/>
      <c r="I188" s="669">
        <f>$D$188*(1+20%*(VLOOKUP('Quick Input'!P$21,Auswahlfelder!$D$16:$E$19,2,FALSE)-2))</f>
        <v>5</v>
      </c>
      <c r="J188" s="421"/>
      <c r="K188" s="422"/>
      <c r="L188" s="669">
        <f>$D$188*(1+20%*(VLOOKUP('Quick Input'!S$21,Auswahlfelder!$D$16:$E$19,2,FALSE)-2))</f>
        <v>5</v>
      </c>
      <c r="M188" s="421"/>
      <c r="N188" s="422"/>
      <c r="O188" s="669"/>
      <c r="P188" s="421"/>
      <c r="Q188" s="422"/>
      <c r="R188" s="669"/>
      <c r="S188" s="421"/>
      <c r="T188" s="422"/>
      <c r="U188" s="669"/>
      <c r="V188" s="11"/>
    </row>
    <row r="189" spans="2:24" x14ac:dyDescent="0.2">
      <c r="B189" s="467">
        <v>34</v>
      </c>
      <c r="C189" s="96" t="s">
        <v>559</v>
      </c>
      <c r="D189" s="100" t="s">
        <v>94</v>
      </c>
      <c r="E189" s="571"/>
      <c r="F189" s="668">
        <f>IF(F187&gt;0,'Länder-DB'!$I$45,0)</f>
        <v>0</v>
      </c>
      <c r="G189" s="421"/>
      <c r="H189" s="422"/>
      <c r="I189" s="668">
        <f>IF(I187&gt;0,'Länder-DB'!$I$45,0)</f>
        <v>0</v>
      </c>
      <c r="J189" s="421"/>
      <c r="K189" s="422"/>
      <c r="L189" s="668">
        <f>IF(L187&gt;0,'Länder-DB'!$I$45,0)</f>
        <v>0</v>
      </c>
      <c r="M189" s="421"/>
      <c r="N189" s="422"/>
      <c r="O189" s="668"/>
      <c r="P189" s="421"/>
      <c r="Q189" s="422"/>
      <c r="R189" s="668"/>
      <c r="S189" s="421"/>
      <c r="T189" s="422"/>
      <c r="U189" s="668"/>
      <c r="V189" s="11"/>
      <c r="X189" s="511"/>
    </row>
    <row r="190" spans="2:24" x14ac:dyDescent="0.2">
      <c r="B190" s="467">
        <v>34</v>
      </c>
      <c r="C190" s="96" t="s">
        <v>538</v>
      </c>
      <c r="D190" s="100" t="s">
        <v>94</v>
      </c>
      <c r="E190" s="571"/>
      <c r="F190" s="344">
        <f>IF(AND('Quick Input'!M$32&lt;&gt;Auswahlfelder!$D$41,'Quick Input'!M$33=Auswahlfelder!$D$61),Refkalkulation!H$91,0)</f>
        <v>0</v>
      </c>
      <c r="G190" s="446"/>
      <c r="H190" s="447"/>
      <c r="I190" s="344">
        <f>IF(AND('Quick Input'!P$32&lt;&gt;Auswahlfelder!$D$41,'Quick Input'!P$33=Auswahlfelder!$D$61),Refkalkulation!K$91,0)</f>
        <v>0</v>
      </c>
      <c r="J190" s="446"/>
      <c r="K190" s="447"/>
      <c r="L190" s="344">
        <f>IF(AND('Quick Input'!S$32&lt;&gt;Auswahlfelder!$D$41,'Quick Input'!S$33=Auswahlfelder!$D$61),Refkalkulation!N$91,0)</f>
        <v>0</v>
      </c>
      <c r="M190" s="446"/>
      <c r="N190" s="447"/>
      <c r="O190" s="344"/>
      <c r="P190" s="446"/>
      <c r="Q190" s="447"/>
      <c r="R190" s="344"/>
      <c r="S190" s="446"/>
      <c r="T190" s="447"/>
      <c r="U190" s="344"/>
      <c r="V190" s="11"/>
    </row>
    <row r="191" spans="2:24" ht="15" thickBot="1" x14ac:dyDescent="0.25">
      <c r="B191" s="532">
        <v>34</v>
      </c>
      <c r="C191" s="97" t="s">
        <v>558</v>
      </c>
      <c r="D191" s="102" t="s">
        <v>94</v>
      </c>
      <c r="E191" s="572"/>
      <c r="F191" s="344">
        <f>Refkalkulation!H$95/3600*Refkalkulation!H$98</f>
        <v>3.726188333333333</v>
      </c>
      <c r="G191" s="423"/>
      <c r="H191" s="424"/>
      <c r="I191" s="344">
        <f>Refkalkulation!K$95/3600*Refkalkulation!K$98</f>
        <v>0.83400899999999978</v>
      </c>
      <c r="J191" s="423"/>
      <c r="K191" s="424"/>
      <c r="L191" s="344">
        <f>Refkalkulation!N$95/3600*Refkalkulation!N$98</f>
        <v>2.7946412499999997</v>
      </c>
      <c r="M191" s="423"/>
      <c r="N191" s="424"/>
      <c r="O191" s="344"/>
      <c r="P191" s="423"/>
      <c r="Q191" s="424"/>
      <c r="R191" s="344"/>
      <c r="S191" s="423"/>
      <c r="T191" s="424"/>
      <c r="U191" s="344"/>
      <c r="V191" s="126"/>
    </row>
    <row r="192" spans="2:24" ht="15" x14ac:dyDescent="0.25">
      <c r="B192" s="467">
        <v>38</v>
      </c>
      <c r="C192" s="95" t="s">
        <v>264</v>
      </c>
      <c r="D192" s="98"/>
      <c r="E192" s="568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/>
      <c r="P192" s="7"/>
      <c r="Q192" s="7"/>
      <c r="R192" s="161"/>
      <c r="S192" s="7"/>
      <c r="T192" s="7"/>
      <c r="U192" s="161"/>
      <c r="V192" s="11"/>
    </row>
    <row r="193" spans="2:24" x14ac:dyDescent="0.2">
      <c r="B193" s="467">
        <v>38</v>
      </c>
      <c r="C193" s="96" t="s">
        <v>265</v>
      </c>
      <c r="D193" s="100"/>
      <c r="E193" s="571"/>
      <c r="F193" s="542" t="str">
        <f>'Quick Input'!M31</f>
        <v>ohne</v>
      </c>
      <c r="G193" s="103"/>
      <c r="H193" s="103"/>
      <c r="I193" s="542" t="str">
        <f>'Quick Input'!P31</f>
        <v>ohne</v>
      </c>
      <c r="J193" s="10"/>
      <c r="K193" s="10"/>
      <c r="L193" s="542" t="str">
        <f>'Quick Input'!S31</f>
        <v>ohne</v>
      </c>
      <c r="M193" s="10"/>
      <c r="N193" s="10"/>
      <c r="O193" s="542"/>
      <c r="P193" s="4"/>
      <c r="Q193" s="4"/>
      <c r="R193" s="542"/>
      <c r="S193" s="4"/>
      <c r="T193" s="4"/>
      <c r="U193" s="552"/>
      <c r="V193" s="5"/>
    </row>
    <row r="194" spans="2:24" ht="15" thickBot="1" x14ac:dyDescent="0.25">
      <c r="B194" s="467">
        <v>38</v>
      </c>
      <c r="C194" s="97" t="s">
        <v>266</v>
      </c>
      <c r="D194" s="102"/>
      <c r="E194" s="573"/>
      <c r="F194" s="343">
        <f>30*VLOOKUP(F$19,DB_Länder,10,FALSE)</f>
        <v>0</v>
      </c>
      <c r="G194" s="13"/>
      <c r="H194" s="13"/>
      <c r="I194" s="343">
        <f>30*VLOOKUP(I$19,DB_Länder,10,FALSE)</f>
        <v>-0.15</v>
      </c>
      <c r="J194" s="13"/>
      <c r="K194" s="13"/>
      <c r="L194" s="343">
        <f>30*VLOOKUP(L$19,DB_Länder,10,FALSE)</f>
        <v>0</v>
      </c>
      <c r="M194" s="13"/>
      <c r="N194" s="13"/>
      <c r="O194" s="343"/>
      <c r="P194" s="13"/>
      <c r="Q194" s="13"/>
      <c r="R194" s="343"/>
      <c r="S194" s="13"/>
      <c r="T194" s="13"/>
      <c r="U194" s="343"/>
      <c r="V194" s="11"/>
    </row>
    <row r="195" spans="2:24" ht="15" x14ac:dyDescent="0.25">
      <c r="B195" s="467">
        <v>37</v>
      </c>
      <c r="C195" s="95" t="s">
        <v>840</v>
      </c>
      <c r="D195" s="100"/>
      <c r="E195" s="568"/>
      <c r="F195" s="657">
        <f>IFERROR(IF(Refkalkulation!H$70=0,('Länder-DB'!$I$49/1.5+F196+F197+F198+F199)*IF(F187&gt;0,1-'Länder-DB'!$I$47,1),Refkalkulation!H$70),0)</f>
        <v>3.6733333333333333E-2</v>
      </c>
      <c r="G195" s="419"/>
      <c r="H195" s="420"/>
      <c r="I195" s="657">
        <f>IFERROR(IF(Refkalkulation!K$70=0,('Länder-DB'!$I$49/1.5+I196+I197+I198+I199)*IF(I187&gt;0,1-'Länder-DB'!$I$47,1),Refkalkulation!K$70),0)</f>
        <v>3.6733333333333333E-2</v>
      </c>
      <c r="J195" s="419"/>
      <c r="K195" s="420"/>
      <c r="L195" s="657">
        <f>IFERROR(IF(Refkalkulation!N$70=0,('Länder-DB'!$I$49/1.5+L196+L197+L198+L199)*IF(L187&gt;0,1-'Länder-DB'!$I$47,1),Refkalkulation!N$70),0)</f>
        <v>3.4233333333333331E-2</v>
      </c>
      <c r="M195" s="419"/>
      <c r="N195" s="420"/>
      <c r="O195" s="657"/>
      <c r="P195" s="419"/>
      <c r="Q195" s="420"/>
      <c r="R195" s="657"/>
      <c r="S195" s="419"/>
      <c r="T195" s="420"/>
      <c r="U195" s="657"/>
      <c r="V195" s="11"/>
      <c r="X195" s="511"/>
    </row>
    <row r="196" spans="2:24" x14ac:dyDescent="0.2">
      <c r="B196" s="467">
        <v>37</v>
      </c>
      <c r="C196" s="96" t="s">
        <v>124</v>
      </c>
      <c r="D196" s="100">
        <v>1</v>
      </c>
      <c r="E196" s="571"/>
      <c r="F196" s="153">
        <f>(VLOOKUP('Quick Input'!M$49,Auswahlfelder!$D$26:$E$28,2,FALSE)-2)*0.25%</f>
        <v>0</v>
      </c>
      <c r="G196" s="948"/>
      <c r="H196" s="949"/>
      <c r="I196" s="153">
        <f>(VLOOKUP('Quick Input'!P$49,Auswahlfelder!$D$26:$E$28,2,FALSE)-2)*0.25%</f>
        <v>0</v>
      </c>
      <c r="J196" s="948"/>
      <c r="K196" s="949"/>
      <c r="L196" s="153">
        <f>(VLOOKUP('Quick Input'!S$49,Auswahlfelder!$D$26:$E$28,2,FALSE)-2)*0.25%</f>
        <v>0</v>
      </c>
      <c r="M196" s="948"/>
      <c r="N196" s="949"/>
      <c r="O196" s="153"/>
      <c r="P196" s="948"/>
      <c r="Q196" s="949"/>
      <c r="R196" s="153"/>
      <c r="S196" s="948"/>
      <c r="T196" s="949"/>
      <c r="U196" s="153"/>
      <c r="V196" s="11"/>
    </row>
    <row r="197" spans="2:24" x14ac:dyDescent="0.2">
      <c r="B197" s="467">
        <v>37</v>
      </c>
      <c r="C197" s="96" t="s">
        <v>445</v>
      </c>
      <c r="D197" s="100">
        <v>1</v>
      </c>
      <c r="E197" s="571"/>
      <c r="F197" s="149">
        <f>(VLOOKUP('Quick Input'!M$21,Auswahlfelder!$D$16:$E$19,2,FALSE)-2)*0.2%</f>
        <v>0</v>
      </c>
      <c r="G197" s="431"/>
      <c r="H197" s="432"/>
      <c r="I197" s="149">
        <f>(VLOOKUP('Quick Input'!P$21,Auswahlfelder!$D$16:$E$19,2,FALSE)-2)*0.2%</f>
        <v>0</v>
      </c>
      <c r="J197" s="431"/>
      <c r="K197" s="432"/>
      <c r="L197" s="149">
        <f>(VLOOKUP('Quick Input'!S$21,Auswahlfelder!$D$16:$E$19,2,FALSE)-2)*0.2%</f>
        <v>0</v>
      </c>
      <c r="M197" s="431"/>
      <c r="N197" s="432"/>
      <c r="O197" s="149"/>
      <c r="P197" s="431"/>
      <c r="Q197" s="432"/>
      <c r="R197" s="149"/>
      <c r="S197" s="431"/>
      <c r="T197" s="432"/>
      <c r="U197" s="149"/>
      <c r="V197" s="11"/>
    </row>
    <row r="198" spans="2:24" x14ac:dyDescent="0.2">
      <c r="B198" s="467">
        <v>37</v>
      </c>
      <c r="C198" s="96" t="s">
        <v>447</v>
      </c>
      <c r="D198" s="100">
        <v>1</v>
      </c>
      <c r="E198" s="571"/>
      <c r="F198" s="149">
        <f>(VLOOKUP('Quick Input'!M$23,Auswahlfelder!$D$49:$E$51,2,FALSE)-1)*0.25%</f>
        <v>2.5000000000000001E-3</v>
      </c>
      <c r="G198" s="421"/>
      <c r="H198" s="422"/>
      <c r="I198" s="149">
        <f>(VLOOKUP('Quick Input'!P$23,Auswahlfelder!$D$49:$E$51,2,FALSE)-1)*0.25%</f>
        <v>2.5000000000000001E-3</v>
      </c>
      <c r="J198" s="421"/>
      <c r="K198" s="422"/>
      <c r="L198" s="149">
        <f>(VLOOKUP('Quick Input'!S$23,Auswahlfelder!$D$49:$E$51,2,FALSE)-1)*0.25%</f>
        <v>0</v>
      </c>
      <c r="M198" s="421"/>
      <c r="N198" s="422"/>
      <c r="O198" s="149"/>
      <c r="P198" s="421"/>
      <c r="Q198" s="422"/>
      <c r="R198" s="149"/>
      <c r="S198" s="421"/>
      <c r="T198" s="422"/>
      <c r="U198" s="149"/>
      <c r="V198" s="11"/>
    </row>
    <row r="199" spans="2:24" ht="15" thickBot="1" x14ac:dyDescent="0.25">
      <c r="B199" s="467">
        <v>37</v>
      </c>
      <c r="C199" s="96" t="s">
        <v>351</v>
      </c>
      <c r="D199" s="102"/>
      <c r="E199" s="571"/>
      <c r="F199" s="149">
        <f>MIN(1.5%,6/F94*1.5%)</f>
        <v>8.9999999999999998E-4</v>
      </c>
      <c r="G199" s="421"/>
      <c r="H199" s="422"/>
      <c r="I199" s="149">
        <f>MIN(1.5%,6/I94*1.5%)</f>
        <v>8.9999999999999998E-4</v>
      </c>
      <c r="J199" s="421"/>
      <c r="K199" s="422"/>
      <c r="L199" s="149">
        <f>MIN(1.5%,6/L94*1.5%)</f>
        <v>8.9999999999999998E-4</v>
      </c>
      <c r="M199" s="421"/>
      <c r="N199" s="422"/>
      <c r="O199" s="149"/>
      <c r="P199" s="421"/>
      <c r="Q199" s="422"/>
      <c r="R199" s="149"/>
      <c r="S199" s="421"/>
      <c r="T199" s="422"/>
      <c r="U199" s="149"/>
      <c r="V199" s="11"/>
    </row>
    <row r="200" spans="2:24" ht="15" x14ac:dyDescent="0.25">
      <c r="B200" s="467">
        <v>37</v>
      </c>
      <c r="C200" s="95" t="s">
        <v>841</v>
      </c>
      <c r="D200" s="100" t="s">
        <v>94</v>
      </c>
      <c r="E200" s="574" t="s">
        <v>498</v>
      </c>
      <c r="F200" s="925">
        <f>IFERROR(IF(Refkalkulation!H$92=0,F201+F202+F203,Refkalkulation!H$92),0)</f>
        <v>0.02</v>
      </c>
      <c r="G200" s="926"/>
      <c r="H200" s="927"/>
      <c r="I200" s="925">
        <f>IFERROR(IF(Refkalkulation!K$92=0,I201+I202+I203,Refkalkulation!K$92),0)</f>
        <v>0.02</v>
      </c>
      <c r="J200" s="926"/>
      <c r="K200" s="927"/>
      <c r="L200" s="925">
        <f>IFERROR(IF(Refkalkulation!N$92=0,L201+L202+L203,Refkalkulation!N$92),0)</f>
        <v>0.02</v>
      </c>
      <c r="M200" s="926"/>
      <c r="N200" s="927"/>
      <c r="O200" s="925"/>
      <c r="P200" s="926"/>
      <c r="Q200" s="927"/>
      <c r="R200" s="925"/>
      <c r="S200" s="926"/>
      <c r="T200" s="927"/>
      <c r="U200" s="925"/>
      <c r="V200" s="11"/>
      <c r="X200" s="511"/>
    </row>
    <row r="201" spans="2:24" x14ac:dyDescent="0.2">
      <c r="B201" s="467">
        <v>37</v>
      </c>
      <c r="C201" s="96" t="s">
        <v>445</v>
      </c>
      <c r="D201" s="100" t="s">
        <v>392</v>
      </c>
      <c r="E201" s="569" t="s">
        <v>575</v>
      </c>
      <c r="F201" s="149">
        <f>0.5%+(VLOOKUP('Quick Input'!M$21,Auswahlfelder!$D$16:$E$19,2,FALSE)-2)*0.25%</f>
        <v>5.0000000000000001E-3</v>
      </c>
      <c r="G201" s="421"/>
      <c r="H201" s="422"/>
      <c r="I201" s="149">
        <f>0.5%+(VLOOKUP('Quick Input'!P$21,Auswahlfelder!$D$16:$E$19,2,FALSE)-2)*0.25%</f>
        <v>5.0000000000000001E-3</v>
      </c>
      <c r="J201" s="421"/>
      <c r="K201" s="422"/>
      <c r="L201" s="149">
        <f>0.5%+(VLOOKUP('Quick Input'!S$21,Auswahlfelder!$D$16:$E$19,2,FALSE)-2)*0.25%</f>
        <v>5.0000000000000001E-3</v>
      </c>
      <c r="M201" s="421"/>
      <c r="N201" s="422"/>
      <c r="O201" s="149"/>
      <c r="P201" s="421"/>
      <c r="Q201" s="422"/>
      <c r="R201" s="149"/>
      <c r="S201" s="421"/>
      <c r="T201" s="422"/>
      <c r="U201" s="149"/>
      <c r="V201" s="11"/>
    </row>
    <row r="202" spans="2:24" x14ac:dyDescent="0.2">
      <c r="B202" s="467">
        <v>37</v>
      </c>
      <c r="C202" s="96" t="s">
        <v>902</v>
      </c>
      <c r="D202" s="100" t="s">
        <v>392</v>
      </c>
      <c r="E202" s="569" t="s">
        <v>575</v>
      </c>
      <c r="F202" s="149">
        <f>IF('Quick Input'!M$25="ja",0.3%,0)+IF('Quick Input'!M$26="ja",0.1%,0)+IF('Quick Input'!M$27="ja",0.6%,0)</f>
        <v>4.0000000000000001E-3</v>
      </c>
      <c r="G202" s="421"/>
      <c r="H202" s="422"/>
      <c r="I202" s="149">
        <f>IF('Quick Input'!P$25="ja",0.3%,0)+IF('Quick Input'!P$26="ja",0.1%,0)+IF('Quick Input'!P$27="ja",0.6%,0)</f>
        <v>4.0000000000000001E-3</v>
      </c>
      <c r="J202" s="421"/>
      <c r="K202" s="422"/>
      <c r="L202" s="149">
        <f>IF('Quick Input'!S$25="ja",0.3%,0)+IF('Quick Input'!S$26="ja",0.1%,0)+IF('Quick Input'!S$27="ja",0.6%,0)</f>
        <v>4.0000000000000001E-3</v>
      </c>
      <c r="M202" s="421"/>
      <c r="N202" s="422"/>
      <c r="O202" s="149"/>
      <c r="P202" s="421"/>
      <c r="Q202" s="422"/>
      <c r="R202" s="149"/>
      <c r="S202" s="421"/>
      <c r="T202" s="422"/>
      <c r="U202" s="149"/>
      <c r="V202" s="11"/>
    </row>
    <row r="203" spans="2:24" ht="15" thickBot="1" x14ac:dyDescent="0.25">
      <c r="B203" s="467">
        <v>37</v>
      </c>
      <c r="C203" s="96" t="s">
        <v>351</v>
      </c>
      <c r="D203" s="100" t="s">
        <v>392</v>
      </c>
      <c r="E203" s="569" t="s">
        <v>575</v>
      </c>
      <c r="F203" s="149">
        <f>MIN(0.5%,3/F94*4%)</f>
        <v>1.1999999999999999E-3</v>
      </c>
      <c r="G203" s="421"/>
      <c r="H203" s="422"/>
      <c r="I203" s="149">
        <f>MIN(0.5%,3/I94*4%)</f>
        <v>1.1999999999999999E-3</v>
      </c>
      <c r="J203" s="421"/>
      <c r="K203" s="422"/>
      <c r="L203" s="149">
        <f t="shared" ref="L203" si="3">MIN(0.5%,3/L94*4%)</f>
        <v>1.1999999999999999E-3</v>
      </c>
      <c r="M203" s="421"/>
      <c r="N203" s="422"/>
      <c r="O203" s="149"/>
      <c r="P203" s="421"/>
      <c r="Q203" s="422"/>
      <c r="R203" s="149"/>
      <c r="S203" s="421"/>
      <c r="T203" s="422"/>
      <c r="U203" s="149"/>
      <c r="V203" s="11"/>
    </row>
    <row r="204" spans="2:24" ht="15.75" thickBot="1" x14ac:dyDescent="0.3">
      <c r="B204" s="467">
        <v>43</v>
      </c>
      <c r="C204" s="95" t="s">
        <v>842</v>
      </c>
      <c r="D204" s="98"/>
      <c r="E204" s="574" t="s">
        <v>498</v>
      </c>
      <c r="F204" s="657">
        <f>IF(Refkalkulation!H$123=0,'Länder-DB'!$I$33,Refkalkulation!H$123)</f>
        <v>0.12</v>
      </c>
      <c r="G204" s="7"/>
      <c r="H204" s="7"/>
      <c r="I204" s="657">
        <f>IF(Refkalkulation!K$123=0,'Länder-DB'!$I$33,Refkalkulation!K$123)</f>
        <v>0.12</v>
      </c>
      <c r="J204" s="7"/>
      <c r="K204" s="7"/>
      <c r="L204" s="657">
        <f>IF(Refkalkulation!N$123=0,'Länder-DB'!$I$33,Refkalkulation!N$123)</f>
        <v>0.12</v>
      </c>
      <c r="M204" s="7"/>
      <c r="N204" s="7"/>
      <c r="O204" s="657"/>
      <c r="P204" s="7"/>
      <c r="Q204" s="7"/>
      <c r="R204" s="657"/>
      <c r="S204" s="7"/>
      <c r="T204" s="7"/>
      <c r="U204" s="657"/>
      <c r="V204" s="11"/>
      <c r="X204" s="511"/>
    </row>
    <row r="205" spans="2:24" ht="15" x14ac:dyDescent="0.25">
      <c r="B205" s="531">
        <v>62</v>
      </c>
      <c r="C205" s="95" t="s">
        <v>563</v>
      </c>
      <c r="D205" s="98"/>
      <c r="E205" s="574" t="s">
        <v>498</v>
      </c>
      <c r="F205" s="208">
        <f>F$206*F$209/MIN(F$207,F$255/Refkalkulation!H$61)</f>
        <v>0</v>
      </c>
      <c r="G205" s="419"/>
      <c r="H205" s="420"/>
      <c r="I205" s="208">
        <f>I$206*I$209/MIN(I$207,I$255/Refkalkulation!K$61)</f>
        <v>0</v>
      </c>
      <c r="J205" s="419"/>
      <c r="K205" s="420"/>
      <c r="L205" s="208">
        <f>L$206*L$209/MIN(L$207,L$255/Refkalkulation!N$61)</f>
        <v>0</v>
      </c>
      <c r="M205" s="419"/>
      <c r="N205" s="420"/>
      <c r="O205" s="208"/>
      <c r="P205" s="419"/>
      <c r="Q205" s="420"/>
      <c r="R205" s="208"/>
      <c r="S205" s="419"/>
      <c r="T205" s="420"/>
      <c r="U205" s="208"/>
      <c r="V205" s="8"/>
      <c r="X205" s="511"/>
    </row>
    <row r="206" spans="2:24" x14ac:dyDescent="0.2">
      <c r="B206" s="467">
        <f>B205</f>
        <v>62</v>
      </c>
      <c r="C206" s="96" t="s">
        <v>633</v>
      </c>
      <c r="D206" s="100"/>
      <c r="E206" s="569" t="s">
        <v>497</v>
      </c>
      <c r="F206" s="210">
        <f>IFERROR(Refkalkulation!H$58*F$41,0)</f>
        <v>0</v>
      </c>
      <c r="G206" s="421"/>
      <c r="H206" s="422"/>
      <c r="I206" s="210">
        <f>IFERROR(Refkalkulation!K$58*I$41,0)</f>
        <v>0</v>
      </c>
      <c r="J206" s="421"/>
      <c r="K206" s="422"/>
      <c r="L206" s="210">
        <f>IFERROR(Refkalkulation!N$58*L$41,0)</f>
        <v>0</v>
      </c>
      <c r="M206" s="421"/>
      <c r="N206" s="422"/>
      <c r="O206" s="210"/>
      <c r="P206" s="421"/>
      <c r="Q206" s="422"/>
      <c r="R206" s="210"/>
      <c r="S206" s="421"/>
      <c r="T206" s="422"/>
      <c r="U206" s="210"/>
      <c r="V206" s="11"/>
      <c r="W206" s="480"/>
    </row>
    <row r="207" spans="2:24" ht="15" x14ac:dyDescent="0.25">
      <c r="B207" s="467">
        <f>B206</f>
        <v>62</v>
      </c>
      <c r="C207" s="96" t="s">
        <v>914</v>
      </c>
      <c r="D207" s="525">
        <v>8</v>
      </c>
      <c r="E207" s="569" t="s">
        <v>497</v>
      </c>
      <c r="F207" s="205">
        <f>'Länder-DB'!$M$51</f>
        <v>40</v>
      </c>
      <c r="G207" s="421"/>
      <c r="H207" s="422"/>
      <c r="I207" s="205">
        <f>'Länder-DB'!$M$51</f>
        <v>40</v>
      </c>
      <c r="J207" s="421"/>
      <c r="K207" s="422"/>
      <c r="L207" s="205">
        <f>'Länder-DB'!$M$51</f>
        <v>40</v>
      </c>
      <c r="M207" s="421"/>
      <c r="N207" s="422"/>
      <c r="O207" s="205"/>
      <c r="P207" s="421"/>
      <c r="Q207" s="422"/>
      <c r="R207" s="205"/>
      <c r="S207" s="421"/>
      <c r="T207" s="422"/>
      <c r="U207" s="205"/>
      <c r="V207" s="5"/>
    </row>
    <row r="208" spans="2:24" ht="15" x14ac:dyDescent="0.25">
      <c r="B208" s="467">
        <f>B207</f>
        <v>62</v>
      </c>
      <c r="C208" s="96" t="s">
        <v>632</v>
      </c>
      <c r="D208" s="525">
        <v>14</v>
      </c>
      <c r="E208" s="569" t="s">
        <v>631</v>
      </c>
      <c r="F208" s="774">
        <f>IF(F206=0,0,IFERROR(IF('Quick Input'!M22=Auswahlfelder!$D$38,$D$207,$D$208),0))</f>
        <v>0</v>
      </c>
      <c r="G208" s="421"/>
      <c r="H208" s="422"/>
      <c r="I208" s="774">
        <f>IF(I206=0,0,IFERROR(IF('Quick Input'!P22=Auswahlfelder!$D$38,$D$207,$D$208),0))</f>
        <v>0</v>
      </c>
      <c r="J208" s="421"/>
      <c r="K208" s="422"/>
      <c r="L208" s="774">
        <f>IF(L206=0,0,IFERROR(IF('Quick Input'!S22=Auswahlfelder!$D$38,$D$207,$D$208),0))</f>
        <v>0</v>
      </c>
      <c r="M208" s="421"/>
      <c r="N208" s="422"/>
      <c r="O208" s="774"/>
      <c r="P208" s="421"/>
      <c r="Q208" s="422"/>
      <c r="R208" s="774"/>
      <c r="S208" s="421"/>
      <c r="T208" s="422"/>
      <c r="U208" s="774"/>
      <c r="V208" s="5"/>
    </row>
    <row r="209" spans="2:27" ht="15" thickBot="1" x14ac:dyDescent="0.25">
      <c r="B209" s="532">
        <f>B207</f>
        <v>62</v>
      </c>
      <c r="C209" s="97" t="s">
        <v>564</v>
      </c>
      <c r="D209" s="102"/>
      <c r="E209" s="570" t="s">
        <v>497</v>
      </c>
      <c r="F209" s="685">
        <f>'Länder-DB'!$M$53*(1+18%*(VLOOKUP('Quick Input'!M$45,DB_Länder,5,FALSE)/'Länder-DB'!$E$2-1))</f>
        <v>3.08</v>
      </c>
      <c r="G209" s="423"/>
      <c r="H209" s="424"/>
      <c r="I209" s="685">
        <f>'Länder-DB'!$M$53*(1+18%*(VLOOKUP('Quick Input'!P$45,DB_Länder,5,FALSE)/'Länder-DB'!$E$2-1))</f>
        <v>2.6980511137162955</v>
      </c>
      <c r="J209" s="423"/>
      <c r="K209" s="424"/>
      <c r="L209" s="685">
        <f>'Länder-DB'!$M$53*(1+18%*(VLOOKUP('Quick Input'!S$45,DB_Länder,5,FALSE)/'Länder-DB'!$E$2-1))</f>
        <v>3.08</v>
      </c>
      <c r="M209" s="423"/>
      <c r="N209" s="424"/>
      <c r="O209" s="685"/>
      <c r="P209" s="423"/>
      <c r="Q209" s="424"/>
      <c r="R209" s="685"/>
      <c r="S209" s="423"/>
      <c r="T209" s="424"/>
      <c r="U209" s="685"/>
      <c r="V209" s="32"/>
    </row>
    <row r="210" spans="2:27" ht="15" x14ac:dyDescent="0.25">
      <c r="B210" s="17">
        <v>20</v>
      </c>
      <c r="C210" s="99" t="s">
        <v>813</v>
      </c>
      <c r="D210" s="100"/>
      <c r="E210" s="568" t="s">
        <v>498</v>
      </c>
      <c r="F210" s="896">
        <f>F212+F213+F214</f>
        <v>5.2999999999999999E-2</v>
      </c>
      <c r="G210" s="897"/>
      <c r="H210" s="897"/>
      <c r="I210" s="896">
        <f>I212+I213+I214</f>
        <v>0.1237</v>
      </c>
      <c r="J210" s="897"/>
      <c r="K210" s="897"/>
      <c r="L210" s="896">
        <f t="shared" ref="L210" si="4">L212+L213+L214</f>
        <v>5.2999999999999999E-2</v>
      </c>
      <c r="M210" s="897"/>
      <c r="N210" s="897"/>
      <c r="O210" s="896"/>
      <c r="P210" s="897"/>
      <c r="Q210" s="897"/>
      <c r="R210" s="896"/>
      <c r="S210" s="897"/>
      <c r="T210" s="897"/>
      <c r="U210" s="896"/>
      <c r="V210" s="11"/>
    </row>
    <row r="211" spans="2:27" x14ac:dyDescent="0.2">
      <c r="B211" s="467">
        <f>B210</f>
        <v>20</v>
      </c>
      <c r="C211" s="96" t="s">
        <v>811</v>
      </c>
      <c r="D211" s="100"/>
      <c r="E211" s="571" t="s">
        <v>575</v>
      </c>
      <c r="F211" s="456" t="str">
        <f>IFERROR(VLOOKUP(Refkalkulation!H30,Auswahlfelder!$D$71:$D$73,1,FALSE),VLOOKUP(Refkalkulation!H30,Auswahlfelder!$C$71:$D$73,2,FALSE))</f>
        <v>Gas</v>
      </c>
      <c r="G211" s="10"/>
      <c r="H211" s="10"/>
      <c r="I211" s="456" t="str">
        <f>IFERROR(VLOOKUP(Refkalkulation!K30,Auswahlfelder!$D$71:$D$73,1,FALSE),VLOOKUP(Refkalkulation!K30,Auswahlfelder!$C$71:$D$73,2,FALSE))</f>
        <v>Gas</v>
      </c>
      <c r="J211" s="10"/>
      <c r="K211" s="10"/>
      <c r="L211" s="456" t="str">
        <f>IFERROR(VLOOKUP(Refkalkulation!N30,Auswahlfelder!$D$71:$D$73,1,FALSE),VLOOKUP(Refkalkulation!N30,Auswahlfelder!$C$71:$D$73,2,FALSE))</f>
        <v>Gas</v>
      </c>
      <c r="M211" s="10"/>
      <c r="N211" s="10"/>
      <c r="O211" s="456"/>
      <c r="P211" s="10"/>
      <c r="Q211" s="10"/>
      <c r="R211" s="456"/>
      <c r="S211" s="10"/>
      <c r="T211" s="10"/>
      <c r="U211" s="456"/>
      <c r="V211" s="11"/>
    </row>
    <row r="212" spans="2:27" x14ac:dyDescent="0.2">
      <c r="B212" s="467">
        <f>B211</f>
        <v>20</v>
      </c>
      <c r="C212" s="96" t="s">
        <v>814</v>
      </c>
      <c r="D212" s="844"/>
      <c r="E212" s="571" t="s">
        <v>575</v>
      </c>
      <c r="F212" s="463">
        <f>IF(F$211=Auswahlfelder!$D71,VLOOKUP('Quick Input'!M$45,DB_Länder,9,FALSE),0)</f>
        <v>5.2999999999999999E-2</v>
      </c>
      <c r="G212" s="421"/>
      <c r="H212" s="422"/>
      <c r="I212" s="463">
        <f>IF(I$211=Auswahlfelder!$D71,VLOOKUP('Quick Input'!P$45,DB_Länder,9,FALSE),0)</f>
        <v>0.1237</v>
      </c>
      <c r="J212" s="421"/>
      <c r="K212" s="422"/>
      <c r="L212" s="463">
        <f>IF(L$211=Auswahlfelder!$D71,VLOOKUP('Quick Input'!S$45,DB_Länder,9,FALSE),0)</f>
        <v>5.2999999999999999E-2</v>
      </c>
      <c r="M212" s="421"/>
      <c r="N212" s="422"/>
      <c r="O212" s="463"/>
      <c r="P212" s="421"/>
      <c r="Q212" s="422"/>
      <c r="R212" s="463"/>
      <c r="S212" s="421"/>
      <c r="T212" s="422"/>
      <c r="U212" s="463"/>
      <c r="V212" s="11"/>
    </row>
    <row r="213" spans="2:27" x14ac:dyDescent="0.2">
      <c r="B213" s="467">
        <f>B212</f>
        <v>20</v>
      </c>
      <c r="C213" s="96" t="s">
        <v>815</v>
      </c>
      <c r="E213" s="571" t="s">
        <v>575</v>
      </c>
      <c r="F213" s="463">
        <f>IF(F$211=Auswahlfelder!$D72,VLOOKUP('Quick Input'!M$45,DB_Länder,7,FALSE),0)</f>
        <v>0</v>
      </c>
      <c r="G213" s="421"/>
      <c r="H213" s="422"/>
      <c r="I213" s="463">
        <f>IF(I$211=Auswahlfelder!$D72,VLOOKUP('Quick Input'!P$45,DB_Länder,7,FALSE),0)</f>
        <v>0</v>
      </c>
      <c r="J213" s="421"/>
      <c r="K213" s="422"/>
      <c r="L213" s="463">
        <f>IF(L$211=Auswahlfelder!$D72,VLOOKUP('Quick Input'!S$45,DB_Länder,7,FALSE),0)</f>
        <v>0</v>
      </c>
      <c r="M213" s="421"/>
      <c r="N213" s="422"/>
      <c r="O213" s="463"/>
      <c r="P213" s="421"/>
      <c r="Q213" s="422"/>
      <c r="R213" s="463"/>
      <c r="S213" s="421"/>
      <c r="T213" s="422"/>
      <c r="U213" s="463"/>
      <c r="V213" s="11"/>
    </row>
    <row r="214" spans="2:27" ht="15" x14ac:dyDescent="0.25">
      <c r="B214" s="467">
        <f>B213</f>
        <v>20</v>
      </c>
      <c r="C214" s="96" t="s">
        <v>819</v>
      </c>
      <c r="D214" s="697">
        <f>11.8*1000</f>
        <v>11800</v>
      </c>
      <c r="E214" s="571"/>
      <c r="F214" s="463">
        <f>IF(F$211=Auswahlfelder!$D73,F215/$D$214,0)</f>
        <v>0</v>
      </c>
      <c r="G214" s="421"/>
      <c r="H214" s="422"/>
      <c r="I214" s="463">
        <f>IF(I$211=Auswahlfelder!$D73,I215/$D$214,0)</f>
        <v>0</v>
      </c>
      <c r="J214" s="421"/>
      <c r="K214" s="422"/>
      <c r="L214" s="463">
        <f>IF(L$211=Auswahlfelder!$D73,L215/$D$214,0)</f>
        <v>0</v>
      </c>
      <c r="M214" s="421"/>
      <c r="N214" s="422"/>
      <c r="O214" s="463"/>
      <c r="P214" s="421"/>
      <c r="Q214" s="422"/>
      <c r="R214" s="463"/>
      <c r="S214" s="421"/>
      <c r="T214" s="422"/>
      <c r="U214" s="463"/>
      <c r="V214" s="11"/>
    </row>
    <row r="215" spans="2:27" ht="15" thickBot="1" x14ac:dyDescent="0.25">
      <c r="B215" s="532">
        <f>B214</f>
        <v>20</v>
      </c>
      <c r="C215" s="97" t="s">
        <v>820</v>
      </c>
      <c r="D215" s="915">
        <v>135</v>
      </c>
      <c r="E215" s="572" t="s">
        <v>575</v>
      </c>
      <c r="F215" s="459">
        <f>IFERROR(VLOOKUP("Heizöl",#REF!,4,FALSE),VLOOKUP("Heizöl",'Länder-DB'!$A$20:$B$51,2,FALSE))+$D$215</f>
        <v>568</v>
      </c>
      <c r="G215" s="423"/>
      <c r="H215" s="424"/>
      <c r="I215" s="459">
        <f>IFERROR(VLOOKUP("Heizöl",#REF!,4,FALSE),VLOOKUP("Heizöl",'Länder-DB'!$A$20:$B$51,2,FALSE))+$D$215</f>
        <v>568</v>
      </c>
      <c r="J215" s="423"/>
      <c r="K215" s="424"/>
      <c r="L215" s="459">
        <f>IFERROR(VLOOKUP("Heizöl",#REF!,4,FALSE),VLOOKUP("Heizöl",'Länder-DB'!$A$20:$B$51,2,FALSE))+$D$215</f>
        <v>568</v>
      </c>
      <c r="M215" s="423"/>
      <c r="N215" s="424"/>
      <c r="O215" s="459"/>
      <c r="P215" s="423"/>
      <c r="Q215" s="424"/>
      <c r="R215" s="459"/>
      <c r="S215" s="423"/>
      <c r="T215" s="424"/>
      <c r="U215" s="459"/>
      <c r="V215" s="126"/>
      <c r="X215" s="511"/>
    </row>
    <row r="216" spans="2:27" ht="15" x14ac:dyDescent="0.25">
      <c r="B216" s="578">
        <v>20</v>
      </c>
      <c r="C216" s="95" t="s">
        <v>903</v>
      </c>
      <c r="D216" s="98"/>
      <c r="E216" s="574" t="s">
        <v>498</v>
      </c>
      <c r="F216" s="161">
        <f>VLOOKUP(F$105,DB_Ofen,7,FALSE)</f>
        <v>400</v>
      </c>
      <c r="G216" s="436"/>
      <c r="H216" s="420"/>
      <c r="I216" s="161">
        <f>VLOOKUP(I$105,DB_Ofen,7,FALSE)</f>
        <v>400</v>
      </c>
      <c r="J216" s="436"/>
      <c r="K216" s="420"/>
      <c r="L216" s="161">
        <f>VLOOKUP(L$105,DB_Ofen,7,FALSE)</f>
        <v>400</v>
      </c>
      <c r="M216" s="436"/>
      <c r="N216" s="420"/>
      <c r="O216" s="161"/>
      <c r="P216" s="436"/>
      <c r="Q216" s="420"/>
      <c r="R216" s="161"/>
      <c r="S216" s="436"/>
      <c r="T216" s="420"/>
      <c r="U216" s="161"/>
      <c r="V216" s="8"/>
      <c r="X216" s="511"/>
    </row>
    <row r="217" spans="2:27" x14ac:dyDescent="0.2">
      <c r="B217" s="577">
        <f>B216</f>
        <v>20</v>
      </c>
      <c r="C217" s="96" t="s">
        <v>904</v>
      </c>
      <c r="D217" s="100"/>
      <c r="E217" s="569" t="s">
        <v>498</v>
      </c>
      <c r="F217" s="627">
        <f>VLOOKUP(F$105+1,DB_Ofen,7,FALSE)</f>
        <v>2000</v>
      </c>
      <c r="G217" s="421"/>
      <c r="H217" s="422"/>
      <c r="I217" s="627">
        <f>VLOOKUP(I$105+1,DB_Ofen,7,FALSE)</f>
        <v>2000</v>
      </c>
      <c r="J217" s="421"/>
      <c r="K217" s="422"/>
      <c r="L217" s="627">
        <f>VLOOKUP(L$105+1,DB_Ofen,7,FALSE)</f>
        <v>2000</v>
      </c>
      <c r="M217" s="421"/>
      <c r="N217" s="422"/>
      <c r="O217" s="627"/>
      <c r="P217" s="421"/>
      <c r="Q217" s="422"/>
      <c r="R217" s="627"/>
      <c r="S217" s="421"/>
      <c r="T217" s="422"/>
      <c r="U217" s="627"/>
      <c r="V217" s="11"/>
    </row>
    <row r="218" spans="2:27" x14ac:dyDescent="0.2">
      <c r="B218" s="577">
        <f t="shared" ref="B218:B219" si="5">B217</f>
        <v>20</v>
      </c>
      <c r="C218" s="96" t="s">
        <v>905</v>
      </c>
      <c r="D218" s="100"/>
      <c r="E218" s="569" t="s">
        <v>498</v>
      </c>
      <c r="F218" s="627">
        <f>VLOOKUP(F$105+2,DB_Ofen,7,FALSE)</f>
        <v>3000</v>
      </c>
      <c r="G218" s="446"/>
      <c r="H218" s="447"/>
      <c r="I218" s="627">
        <f>VLOOKUP(I$105+2,DB_Ofen,7,FALSE)</f>
        <v>3000</v>
      </c>
      <c r="J218" s="446"/>
      <c r="K218" s="447"/>
      <c r="L218" s="627">
        <f>VLOOKUP(L$105+2,DB_Ofen,7,FALSE)</f>
        <v>3000</v>
      </c>
      <c r="M218" s="446"/>
      <c r="N218" s="447"/>
      <c r="O218" s="627"/>
      <c r="P218" s="446"/>
      <c r="Q218" s="447"/>
      <c r="R218" s="627"/>
      <c r="S218" s="446"/>
      <c r="T218" s="447"/>
      <c r="U218" s="627"/>
      <c r="V218" s="11"/>
    </row>
    <row r="219" spans="2:27" ht="15" thickBot="1" x14ac:dyDescent="0.25">
      <c r="B219" s="936">
        <f t="shared" si="5"/>
        <v>20</v>
      </c>
      <c r="C219" s="97" t="s">
        <v>906</v>
      </c>
      <c r="D219" s="102"/>
      <c r="E219" s="570" t="s">
        <v>498</v>
      </c>
      <c r="F219" s="1022">
        <f>IFERROR(VLOOKUP(F$105+3,DB_Ofen,7,FALSE),"")</f>
        <v>5000</v>
      </c>
      <c r="G219" s="460"/>
      <c r="H219" s="461"/>
      <c r="I219" s="1022">
        <f>IFERROR(VLOOKUP(I$105+3,DB_Ofen,7,FALSE),"")</f>
        <v>5000</v>
      </c>
      <c r="J219" s="460"/>
      <c r="K219" s="461"/>
      <c r="L219" s="1022">
        <f>IFERROR(VLOOKUP(L$105+3,DB_Ofen,7,FALSE),"")</f>
        <v>5000</v>
      </c>
      <c r="M219" s="460"/>
      <c r="N219" s="461"/>
      <c r="O219" s="1022"/>
      <c r="P219" s="460"/>
      <c r="Q219" s="461"/>
      <c r="R219" s="1022"/>
      <c r="S219" s="460"/>
      <c r="T219" s="461"/>
      <c r="U219" s="1022"/>
      <c r="V219" s="126"/>
    </row>
    <row r="220" spans="2:27" ht="15" x14ac:dyDescent="0.25">
      <c r="B220" s="467">
        <v>63</v>
      </c>
      <c r="C220" s="95" t="s">
        <v>705</v>
      </c>
      <c r="D220" s="100"/>
      <c r="E220" s="568" t="s">
        <v>498</v>
      </c>
      <c r="F220" s="345">
        <f>F221+F222/60*F21</f>
        <v>13.884145</v>
      </c>
      <c r="G220" s="436"/>
      <c r="H220" s="420"/>
      <c r="I220" s="345">
        <f>I221+I222/60*I21</f>
        <v>9.4911577999999999</v>
      </c>
      <c r="J220" s="436"/>
      <c r="K220" s="420"/>
      <c r="L220" s="345">
        <f>L221+L222/60*L21</f>
        <v>13.884145</v>
      </c>
      <c r="M220" s="436"/>
      <c r="N220" s="420"/>
      <c r="O220" s="345"/>
      <c r="P220" s="436"/>
      <c r="Q220" s="420"/>
      <c r="R220" s="345"/>
      <c r="S220" s="436"/>
      <c r="T220" s="420"/>
      <c r="U220" s="345"/>
      <c r="V220" s="8"/>
      <c r="W220" s="763"/>
      <c r="X220" s="511"/>
    </row>
    <row r="221" spans="2:27" x14ac:dyDescent="0.2">
      <c r="B221" s="467">
        <f t="shared" ref="B221:B224" si="6">B220</f>
        <v>63</v>
      </c>
      <c r="C221" s="96" t="s">
        <v>709</v>
      </c>
      <c r="D221" s="843"/>
      <c r="E221" s="569" t="s">
        <v>497</v>
      </c>
      <c r="F221" s="456">
        <f>'Länder-DB'!$M$41</f>
        <v>8</v>
      </c>
      <c r="G221" s="421"/>
      <c r="H221" s="422"/>
      <c r="I221" s="456">
        <f>'Länder-DB'!$M$41</f>
        <v>8</v>
      </c>
      <c r="J221" s="421"/>
      <c r="K221" s="422"/>
      <c r="L221" s="456">
        <f>'Länder-DB'!$M$41</f>
        <v>8</v>
      </c>
      <c r="M221" s="421"/>
      <c r="N221" s="422"/>
      <c r="O221" s="456"/>
      <c r="P221" s="421"/>
      <c r="Q221" s="422"/>
      <c r="R221" s="456"/>
      <c r="S221" s="421"/>
      <c r="T221" s="422"/>
      <c r="U221" s="456"/>
      <c r="V221" s="11"/>
    </row>
    <row r="222" spans="2:27" x14ac:dyDescent="0.2">
      <c r="B222" s="467">
        <f t="shared" si="6"/>
        <v>63</v>
      </c>
      <c r="C222" s="96" t="s">
        <v>708</v>
      </c>
      <c r="D222" s="844"/>
      <c r="E222" s="569" t="s">
        <v>497</v>
      </c>
      <c r="F222" s="445">
        <f>'Länder-DB'!$M$45</f>
        <v>12</v>
      </c>
      <c r="G222" s="421"/>
      <c r="H222" s="422"/>
      <c r="I222" s="445">
        <f>'Länder-DB'!$M$45</f>
        <v>12</v>
      </c>
      <c r="J222" s="421"/>
      <c r="K222" s="422"/>
      <c r="L222" s="445">
        <f>'Länder-DB'!$M$45</f>
        <v>12</v>
      </c>
      <c r="M222" s="421"/>
      <c r="N222" s="422"/>
      <c r="O222" s="445"/>
      <c r="P222" s="421"/>
      <c r="Q222" s="422"/>
      <c r="R222" s="445"/>
      <c r="S222" s="421"/>
      <c r="T222" s="422"/>
      <c r="U222" s="445"/>
      <c r="V222" s="11"/>
      <c r="X222" s="511"/>
    </row>
    <row r="223" spans="2:27" x14ac:dyDescent="0.2">
      <c r="B223" s="467">
        <f t="shared" si="6"/>
        <v>63</v>
      </c>
      <c r="C223" s="96" t="s">
        <v>706</v>
      </c>
      <c r="D223" s="844"/>
      <c r="E223" s="569" t="s">
        <v>498</v>
      </c>
      <c r="F223" s="445">
        <f>ROUND('Länder-DB'!$M$43*(1+F224),1)</f>
        <v>14.8</v>
      </c>
      <c r="G223" s="446"/>
      <c r="H223" s="447"/>
      <c r="I223" s="445">
        <f>ROUND('Länder-DB'!$M$43*(1+I224),1)</f>
        <v>25.4</v>
      </c>
      <c r="J223" s="446"/>
      <c r="K223" s="447"/>
      <c r="L223" s="445">
        <f>ROUND('Länder-DB'!$M$43*(1+L224),1)</f>
        <v>25.4</v>
      </c>
      <c r="M223" s="446"/>
      <c r="N223" s="447"/>
      <c r="O223" s="445"/>
      <c r="P223" s="446"/>
      <c r="Q223" s="447"/>
      <c r="R223" s="445"/>
      <c r="S223" s="446"/>
      <c r="T223" s="447"/>
      <c r="U223" s="445"/>
      <c r="V223" s="11"/>
    </row>
    <row r="224" spans="2:27" ht="15" thickBot="1" x14ac:dyDescent="0.25">
      <c r="B224" s="532">
        <f t="shared" si="6"/>
        <v>63</v>
      </c>
      <c r="C224" s="97" t="s">
        <v>711</v>
      </c>
      <c r="D224" s="102"/>
      <c r="E224" s="570" t="s">
        <v>631</v>
      </c>
      <c r="F224" s="845">
        <f>0.08*(-6+F23/4%+6%/VLOOKUP('Quick Input'!M$10,'Material-DB'!$A$4:$R$37,18,FALSE))</f>
        <v>-0.26233333333333336</v>
      </c>
      <c r="G224" s="460"/>
      <c r="H224" s="461"/>
      <c r="I224" s="845">
        <f>0.08*(-6+I23/4%+6%/VLOOKUP('Quick Input'!P$10,'Material-DB'!$A$4:$R$37,18,FALSE))</f>
        <v>0.27100000000000002</v>
      </c>
      <c r="J224" s="460"/>
      <c r="K224" s="461"/>
      <c r="L224" s="845">
        <f>0.08*(-6+L23/4%+6%/VLOOKUP('Quick Input'!S$10,'Material-DB'!$A$4:$R$37,18,FALSE))</f>
        <v>0.27100000000000002</v>
      </c>
      <c r="M224" s="460"/>
      <c r="N224" s="461"/>
      <c r="O224" s="845"/>
      <c r="P224" s="460"/>
      <c r="Q224" s="461"/>
      <c r="R224" s="845"/>
      <c r="S224" s="460"/>
      <c r="T224" s="461"/>
      <c r="U224" s="845"/>
      <c r="V224" s="126"/>
      <c r="AA224" s="511"/>
    </row>
    <row r="225" spans="2:26" ht="15" x14ac:dyDescent="0.25">
      <c r="B225" s="467" t="s">
        <v>69</v>
      </c>
      <c r="C225" s="95" t="s">
        <v>865</v>
      </c>
      <c r="D225" s="100"/>
      <c r="E225" s="574" t="s">
        <v>498</v>
      </c>
      <c r="F225" s="896">
        <f>IFERROR((F229/60*F232*2)/Refkalkulation!H$67,0)</f>
        <v>0.18317759151905527</v>
      </c>
      <c r="G225" s="897"/>
      <c r="H225" s="897"/>
      <c r="I225" s="896">
        <f>IFERROR((I229/60*I232*2)/Refkalkulation!K$67,0)</f>
        <v>0</v>
      </c>
      <c r="J225" s="897"/>
      <c r="K225" s="897"/>
      <c r="L225" s="896">
        <f>IFERROR((L229/60*L232*2)/Refkalkulation!N$67,0)</f>
        <v>0</v>
      </c>
      <c r="M225" s="897"/>
      <c r="N225" s="897"/>
      <c r="O225" s="896"/>
      <c r="P225" s="897"/>
      <c r="Q225" s="897"/>
      <c r="R225" s="896"/>
      <c r="S225" s="897"/>
      <c r="T225" s="897"/>
      <c r="U225" s="896"/>
      <c r="V225" s="8"/>
      <c r="W225" s="763"/>
      <c r="X225" s="511"/>
    </row>
    <row r="226" spans="2:26" x14ac:dyDescent="0.2">
      <c r="B226" s="467" t="str">
        <f t="shared" ref="B226:B234" si="7">B225</f>
        <v>?</v>
      </c>
      <c r="C226" s="96" t="s">
        <v>870</v>
      </c>
      <c r="D226" s="100"/>
      <c r="E226" s="569" t="s">
        <v>497</v>
      </c>
      <c r="F226" s="445" t="str">
        <f>IF('Quick Input'!M$23=Auswahlfelder!$D$51,Auswahlfelder!$D$54,VLOOKUP('Quick Input'!M$24,Auswahlfelder!$D$54:$E$57,1,FALSE))</f>
        <v>Hot Box</v>
      </c>
      <c r="G226" s="446"/>
      <c r="H226" s="447"/>
      <c r="I226" s="445" t="str">
        <f>IF('Quick Input'!P$23=Auswahlfelder!$D$51,Auswahlfelder!$D$54,VLOOKUP('Quick Input'!P$24,Auswahlfelder!$D$54:$E$57,1,FALSE))</f>
        <v>Hot Box</v>
      </c>
      <c r="J226" s="446"/>
      <c r="K226" s="447"/>
      <c r="L226" s="445" t="str">
        <f>IF('Quick Input'!S$23=Auswahlfelder!$D$51,Auswahlfelder!$D$54,VLOOKUP('Quick Input'!S$24,Auswahlfelder!$D$54:$E$57,1,FALSE))</f>
        <v>Cold Box</v>
      </c>
      <c r="M226" s="446"/>
      <c r="N226" s="447"/>
      <c r="O226" s="445"/>
      <c r="P226" s="446"/>
      <c r="Q226" s="447"/>
      <c r="R226" s="445"/>
      <c r="S226" s="446"/>
      <c r="T226" s="447"/>
      <c r="U226" s="445"/>
      <c r="V226" s="11"/>
    </row>
    <row r="227" spans="2:26" x14ac:dyDescent="0.2">
      <c r="B227" s="467" t="str">
        <f t="shared" si="7"/>
        <v>?</v>
      </c>
      <c r="C227" s="96" t="s">
        <v>871</v>
      </c>
      <c r="D227" s="100"/>
      <c r="E227" s="569" t="s">
        <v>497</v>
      </c>
      <c r="F227" s="932">
        <f>VLOOKUP(F226,Auswahlfelder!$D$54:$E$57,2,FALSE)</f>
        <v>2</v>
      </c>
      <c r="G227" s="446"/>
      <c r="H227" s="447"/>
      <c r="I227" s="932">
        <f>VLOOKUP(I226,Auswahlfelder!$D$54:$E$57,2,FALSE)</f>
        <v>2</v>
      </c>
      <c r="J227" s="446"/>
      <c r="K227" s="447"/>
      <c r="L227" s="932">
        <f>VLOOKUP(L226,Auswahlfelder!$D$54:$E$57,2,FALSE)</f>
        <v>1</v>
      </c>
      <c r="M227" s="446"/>
      <c r="N227" s="447"/>
      <c r="O227" s="932"/>
      <c r="P227" s="446"/>
      <c r="Q227" s="447"/>
      <c r="R227" s="932"/>
      <c r="S227" s="446"/>
      <c r="T227" s="447"/>
      <c r="U227" s="932"/>
      <c r="V227" s="11"/>
      <c r="Z227" s="1212"/>
    </row>
    <row r="228" spans="2:26" x14ac:dyDescent="0.2">
      <c r="B228" s="1182" t="str">
        <f t="shared" si="7"/>
        <v>?</v>
      </c>
      <c r="C228" s="96" t="s">
        <v>866</v>
      </c>
      <c r="D228" s="844"/>
      <c r="E228" s="569"/>
      <c r="F228" s="932">
        <f>IF(F227=1,IFERROR(VLOOKUP(Refkalkulation!H$67/2,'Maschinen-DB'!$K$47:$O$51,5,TRUE),1)+1,IFERROR(VLOOKUP(Refkalkulation!H$67/2,'Maschinen-DB'!$K$57:$O$59,5,TRUE),7))</f>
        <v>7</v>
      </c>
      <c r="G228" s="421"/>
      <c r="H228" s="422"/>
      <c r="I228" s="932">
        <f>IF(I227=1,IFERROR(VLOOKUP(Refkalkulation!K$67/2,'Maschinen-DB'!$K$47:$O$51,5,TRUE),1)+1,IFERROR(VLOOKUP(Refkalkulation!K$67/2,'Maschinen-DB'!$K$57:$O$59,5,TRUE),7))</f>
        <v>7</v>
      </c>
      <c r="J228" s="421"/>
      <c r="K228" s="422"/>
      <c r="L228" s="932">
        <f>IF(L227=1,IFERROR(VLOOKUP(Refkalkulation!N$67/2,'Maschinen-DB'!$K$47:$O$51,5,TRUE),1)+1,IFERROR(VLOOKUP(Refkalkulation!N$67/2,'Maschinen-DB'!$K$57:$O$59,5,TRUE),7))</f>
        <v>2</v>
      </c>
      <c r="M228" s="421"/>
      <c r="N228" s="422"/>
      <c r="O228" s="932"/>
      <c r="P228" s="421"/>
      <c r="Q228" s="422"/>
      <c r="R228" s="932"/>
      <c r="S228" s="421"/>
      <c r="T228" s="422"/>
      <c r="U228" s="932"/>
      <c r="V228" s="11"/>
      <c r="Y228" s="511"/>
      <c r="Z228" s="511"/>
    </row>
    <row r="229" spans="2:26" ht="15" x14ac:dyDescent="0.25">
      <c r="B229" s="1182" t="str">
        <f t="shared" si="7"/>
        <v>?</v>
      </c>
      <c r="C229" s="96" t="s">
        <v>868</v>
      </c>
      <c r="D229" s="697">
        <v>0</v>
      </c>
      <c r="E229" s="569" t="s">
        <v>497</v>
      </c>
      <c r="F229" s="1214">
        <f>IF(F227=1,VLOOKUP(F228,'Maschinen-DB'!$C$46:$N$51,7,FALSE)/60+IF(F227=3,$D$231,IF(F227=4,$D$232,0)),IF(F227=2,VLOOKUP(F228,'Maschinen-DB'!$C$57:$N$59,7,FALSE)/60+D229+IF(F227=3,$D$231,IF(F227=4,$D$232,0))))</f>
        <v>1.3333333333333333</v>
      </c>
      <c r="G229" s="421"/>
      <c r="H229" s="422"/>
      <c r="I229" s="456">
        <f>VLOOKUP(I228,'Maschinen-DB'!$C$46:$N$59,7,FALSE)/60+IF(I227=2,$D$229,IF(I227=3,$D$231,IF(I227=4,$D$232,0)))</f>
        <v>1.3333333333333333</v>
      </c>
      <c r="J229" s="421"/>
      <c r="K229" s="422"/>
      <c r="L229" s="456">
        <f>VLOOKUP(L228,'Maschinen-DB'!$C$46:$N$59,7,FALSE)/60+IF(L227=2,$D$229,IF(L227=3,$D$231,IF(L227=4,$D$232,0)))</f>
        <v>1.1666666666666667</v>
      </c>
      <c r="M229" s="421"/>
      <c r="N229" s="422"/>
      <c r="O229" s="456"/>
      <c r="P229" s="421"/>
      <c r="Q229" s="422"/>
      <c r="R229" s="456"/>
      <c r="S229" s="421"/>
      <c r="T229" s="422"/>
      <c r="U229" s="456"/>
      <c r="V229" s="11"/>
      <c r="Z229" s="511"/>
    </row>
    <row r="230" spans="2:26" ht="15" x14ac:dyDescent="0.25">
      <c r="B230" s="1182"/>
      <c r="C230" s="96" t="s">
        <v>1000</v>
      </c>
      <c r="D230" s="697"/>
      <c r="E230" s="569"/>
      <c r="F230" s="456">
        <f>VLOOKUP(F228,'Maschinen-DB'!$C$46:$N$59,12,FALSE)</f>
        <v>300000</v>
      </c>
      <c r="G230" s="421"/>
      <c r="H230" s="422"/>
      <c r="I230" s="456">
        <f>VLOOKUP(I228,'Maschinen-DB'!$C$46:$N$59,12,FALSE)</f>
        <v>300000</v>
      </c>
      <c r="J230" s="421"/>
      <c r="K230" s="422"/>
      <c r="L230" s="456">
        <f>VLOOKUP(L228,'Maschinen-DB'!$C$46:$N$59,12,FALSE)</f>
        <v>250000</v>
      </c>
      <c r="M230" s="421"/>
      <c r="N230" s="422"/>
      <c r="O230" s="456"/>
      <c r="P230" s="421"/>
      <c r="Q230" s="422"/>
      <c r="R230" s="456"/>
      <c r="S230" s="421"/>
      <c r="T230" s="422"/>
      <c r="U230" s="456"/>
      <c r="V230" s="11"/>
      <c r="Y230" s="511"/>
      <c r="Z230" s="511"/>
    </row>
    <row r="231" spans="2:26" ht="15" x14ac:dyDescent="0.25">
      <c r="B231" s="1182" t="str">
        <f>B229</f>
        <v>?</v>
      </c>
      <c r="C231" s="96" t="s">
        <v>869</v>
      </c>
      <c r="D231" s="697">
        <v>1.5</v>
      </c>
      <c r="E231" s="569" t="s">
        <v>497</v>
      </c>
      <c r="F231" s="456">
        <f>(VLOOKUP(F228,'Maschinen-DB'!$C$46:$N$59,12,FALSE)/'Länder-DB'!$I$27+VLOOKUP(F228,'Maschinen-DB'!$C$46:$N$59,12,FALSE)*'Länder-DB'!$I$29)/F149</f>
        <v>23.588466183574877</v>
      </c>
      <c r="G231" s="421"/>
      <c r="H231" s="422"/>
      <c r="I231" s="456">
        <f>(VLOOKUP(I228,'Maschinen-DB'!$C$46:$N$59,12,FALSE)/'Länder-DB'!$I$27+VLOOKUP(I228,'Maschinen-DB'!$C$46:$N$59,12,FALSE)*'Länder-DB'!$I$29)/I149</f>
        <v>27.751136686558684</v>
      </c>
      <c r="J231" s="421"/>
      <c r="K231" s="422"/>
      <c r="L231" s="456">
        <f>(VLOOKUP(L228,'Maschinen-DB'!$C$46:$N$59,12,FALSE)/'Länder-DB'!$I$27+VLOOKUP(L228,'Maschinen-DB'!$C$46:$N$59,12,FALSE)*'Länder-DB'!$I$29)/L149</f>
        <v>31.451288244766502</v>
      </c>
      <c r="M231" s="421"/>
      <c r="N231" s="422"/>
      <c r="O231" s="456"/>
      <c r="P231" s="421"/>
      <c r="Q231" s="422"/>
      <c r="R231" s="456"/>
      <c r="S231" s="421"/>
      <c r="T231" s="422"/>
      <c r="U231" s="456"/>
      <c r="V231" s="11"/>
      <c r="X231" s="511"/>
    </row>
    <row r="232" spans="2:26" ht="15" x14ac:dyDescent="0.25">
      <c r="B232" s="467" t="str">
        <f t="shared" si="7"/>
        <v>?</v>
      </c>
      <c r="C232" s="96" t="s">
        <v>872</v>
      </c>
      <c r="D232" s="697">
        <v>1.1000000000000001</v>
      </c>
      <c r="E232" s="569" t="s">
        <v>497</v>
      </c>
      <c r="F232" s="344">
        <f>F231+F233*F21</f>
        <v>82.429916183574875</v>
      </c>
      <c r="G232" s="427"/>
      <c r="H232" s="428"/>
      <c r="I232" s="344">
        <f>I231+I233*I21</f>
        <v>42.662714686558679</v>
      </c>
      <c r="J232" s="427"/>
      <c r="K232" s="428"/>
      <c r="L232" s="344">
        <f>L231+L233*L21</f>
        <v>60.872013244766499</v>
      </c>
      <c r="M232" s="427"/>
      <c r="N232" s="428"/>
      <c r="O232" s="344"/>
      <c r="P232" s="427"/>
      <c r="Q232" s="428"/>
      <c r="R232" s="344"/>
      <c r="S232" s="427"/>
      <c r="T232" s="428"/>
      <c r="U232" s="344"/>
      <c r="V232" s="11"/>
      <c r="Z232" s="511"/>
    </row>
    <row r="233" spans="2:26" x14ac:dyDescent="0.2">
      <c r="B233" s="467" t="str">
        <f t="shared" si="7"/>
        <v>?</v>
      </c>
      <c r="C233" s="96" t="s">
        <v>867</v>
      </c>
      <c r="D233" s="100"/>
      <c r="E233" s="569" t="s">
        <v>497</v>
      </c>
      <c r="F233" s="445">
        <f>MAX(1,ROUNDDOWN(MIN(2,F228/2),0))</f>
        <v>2</v>
      </c>
      <c r="G233" s="446"/>
      <c r="H233" s="447"/>
      <c r="I233" s="445">
        <f>MAX(1,ROUNDDOWN(MIN(2,I228/2),0))</f>
        <v>2</v>
      </c>
      <c r="J233" s="446"/>
      <c r="K233" s="447"/>
      <c r="L233" s="445">
        <f t="shared" ref="L233" si="8">MAX(1,ROUNDDOWN(MIN(2,L228/2),0))</f>
        <v>1</v>
      </c>
      <c r="M233" s="446"/>
      <c r="N233" s="447"/>
      <c r="O233" s="445"/>
      <c r="P233" s="446"/>
      <c r="Q233" s="447"/>
      <c r="R233" s="445"/>
      <c r="S233" s="446"/>
      <c r="T233" s="447"/>
      <c r="U233" s="445"/>
      <c r="V233" s="11"/>
      <c r="Z233" s="511"/>
    </row>
    <row r="234" spans="2:26" ht="15" thickBot="1" x14ac:dyDescent="0.25">
      <c r="B234" s="936" t="str">
        <f t="shared" si="7"/>
        <v>?</v>
      </c>
      <c r="C234" s="97" t="s">
        <v>347</v>
      </c>
      <c r="D234" s="102"/>
      <c r="E234" s="570"/>
      <c r="F234" s="439"/>
      <c r="G234" s="423"/>
      <c r="H234" s="424"/>
      <c r="I234" s="439"/>
      <c r="J234" s="423"/>
      <c r="K234" s="424"/>
      <c r="L234" s="439"/>
      <c r="M234" s="423"/>
      <c r="N234" s="424"/>
      <c r="O234" s="439"/>
      <c r="P234" s="423"/>
      <c r="Q234" s="424"/>
      <c r="R234" s="439"/>
      <c r="S234" s="423"/>
      <c r="T234" s="424"/>
      <c r="U234" s="439"/>
      <c r="V234" s="126"/>
    </row>
    <row r="235" spans="2:26" ht="15" x14ac:dyDescent="0.25">
      <c r="B235" s="467" t="s">
        <v>69</v>
      </c>
      <c r="C235" s="99" t="s">
        <v>854</v>
      </c>
      <c r="D235" s="100"/>
      <c r="E235" s="574" t="s">
        <v>498</v>
      </c>
      <c r="F235" s="161">
        <f>IFERROR(F236*(1+F237+F238),0)</f>
        <v>34.941609682128771</v>
      </c>
      <c r="G235" s="930"/>
      <c r="H235" s="931"/>
      <c r="I235" s="161">
        <f>IFERROR(I236*(1+I237+I238),0)</f>
        <v>26.139248634013285</v>
      </c>
      <c r="J235" s="930"/>
      <c r="K235" s="931"/>
      <c r="L235" s="161">
        <f t="shared" ref="L235" si="9">IFERROR(L236*(1+L237+L238),0)</f>
        <v>26.139248634013285</v>
      </c>
      <c r="M235" s="930"/>
      <c r="N235" s="931"/>
      <c r="O235" s="161"/>
      <c r="P235" s="930"/>
      <c r="Q235" s="931"/>
      <c r="R235" s="161"/>
      <c r="S235" s="930"/>
      <c r="T235" s="931"/>
      <c r="U235" s="161"/>
      <c r="V235" s="11"/>
      <c r="X235" s="511"/>
    </row>
    <row r="236" spans="2:26" ht="15" x14ac:dyDescent="0.25">
      <c r="B236" s="467" t="str">
        <f>B235</f>
        <v>?</v>
      </c>
      <c r="C236" s="96" t="s">
        <v>852</v>
      </c>
      <c r="D236" s="697">
        <v>20</v>
      </c>
      <c r="E236" s="569" t="s">
        <v>497</v>
      </c>
      <c r="F236" s="30">
        <f>IF('Quick Input'!M$25="ja",$D$236,0)</f>
        <v>20</v>
      </c>
      <c r="G236" s="421"/>
      <c r="H236" s="422"/>
      <c r="I236" s="30">
        <f>IF('Quick Input'!P$25="ja",$D$236,0)</f>
        <v>20</v>
      </c>
      <c r="J236" s="421"/>
      <c r="K236" s="422"/>
      <c r="L236" s="30">
        <f>IF('Quick Input'!S$25="ja",$D$236,0)</f>
        <v>20</v>
      </c>
      <c r="M236" s="421"/>
      <c r="N236" s="422"/>
      <c r="O236" s="30"/>
      <c r="P236" s="421"/>
      <c r="Q236" s="422"/>
      <c r="R236" s="30"/>
      <c r="S236" s="421"/>
      <c r="T236" s="422"/>
      <c r="U236" s="30"/>
      <c r="V236" s="11"/>
    </row>
    <row r="237" spans="2:26" x14ac:dyDescent="0.2">
      <c r="B237" s="467" t="str">
        <f>B236</f>
        <v>?</v>
      </c>
      <c r="C237" s="96" t="s">
        <v>181</v>
      </c>
      <c r="D237" s="100"/>
      <c r="E237" s="569" t="s">
        <v>497</v>
      </c>
      <c r="F237" s="201">
        <f>MAX(0,POWER(VLOOKUP('Quick Input'!M$21,Auswahlfelder!$D$16:$E$19,2,FALSE)-1,2)/15)</f>
        <v>6.6666666666666666E-2</v>
      </c>
      <c r="G237" s="431"/>
      <c r="H237" s="432"/>
      <c r="I237" s="201">
        <f>MAX(0,POWER(VLOOKUP('Quick Input'!P$21,Auswahlfelder!$D$16:$E$19,2,FALSE)-1,2)/15)</f>
        <v>6.6666666666666666E-2</v>
      </c>
      <c r="J237" s="431"/>
      <c r="K237" s="432"/>
      <c r="L237" s="201">
        <f>MAX(0,POWER(VLOOKUP('Quick Input'!S$21,Auswahlfelder!$D$16:$E$19,2,FALSE)-1,2)/15)</f>
        <v>6.6666666666666666E-2</v>
      </c>
      <c r="M237" s="431"/>
      <c r="N237" s="432"/>
      <c r="O237" s="201"/>
      <c r="P237" s="431"/>
      <c r="Q237" s="432"/>
      <c r="R237" s="201"/>
      <c r="S237" s="431"/>
      <c r="T237" s="432"/>
      <c r="U237" s="201"/>
      <c r="V237" s="11"/>
      <c r="X237" s="511"/>
    </row>
    <row r="238" spans="2:26" ht="15" thickBot="1" x14ac:dyDescent="0.25">
      <c r="B238" s="532" t="str">
        <f>B237</f>
        <v>?</v>
      </c>
      <c r="C238" s="97" t="s">
        <v>178</v>
      </c>
      <c r="D238" s="778">
        <v>0.25</v>
      </c>
      <c r="E238" s="569" t="s">
        <v>497</v>
      </c>
      <c r="F238" s="895">
        <f>SQRT('Quick Input'!M$20/2000)*$D$238</f>
        <v>0.6804138174397717</v>
      </c>
      <c r="G238" s="423"/>
      <c r="H238" s="424"/>
      <c r="I238" s="895">
        <f>SQRT('Quick Input'!P$20/2000)*$D$238</f>
        <v>0.24029576503399763</v>
      </c>
      <c r="J238" s="423"/>
      <c r="K238" s="424"/>
      <c r="L238" s="895">
        <f>SQRT('Quick Input'!S$20/2000)*$D$238</f>
        <v>0.24029576503399763</v>
      </c>
      <c r="M238" s="423"/>
      <c r="N238" s="424"/>
      <c r="O238" s="895"/>
      <c r="P238" s="423"/>
      <c r="Q238" s="424"/>
      <c r="R238" s="895"/>
      <c r="S238" s="423"/>
      <c r="T238" s="424"/>
      <c r="U238" s="895"/>
      <c r="V238" s="11"/>
    </row>
    <row r="239" spans="2:26" ht="15" x14ac:dyDescent="0.25">
      <c r="B239" s="467" t="s">
        <v>69</v>
      </c>
      <c r="C239" s="95" t="s">
        <v>859</v>
      </c>
      <c r="D239" s="100"/>
      <c r="E239" s="574" t="s">
        <v>498</v>
      </c>
      <c r="F239" s="750">
        <f>IFERROR(F240*F241/F242/'Quick Input'!M$19*1000,0)</f>
        <v>32.083333333333336</v>
      </c>
      <c r="G239" s="897"/>
      <c r="H239" s="897"/>
      <c r="I239" s="750">
        <f>IFERROR(I240*I241/I242/'Quick Input'!P$19*1000,0)</f>
        <v>42.777777777777786</v>
      </c>
      <c r="J239" s="897"/>
      <c r="K239" s="897"/>
      <c r="L239" s="750">
        <f>IFERROR(L240*L241/L242/'Quick Input'!S$19*1000,0)</f>
        <v>42.777777777777786</v>
      </c>
      <c r="M239" s="897"/>
      <c r="N239" s="897"/>
      <c r="O239" s="750"/>
      <c r="P239" s="897"/>
      <c r="Q239" s="897"/>
      <c r="R239" s="750"/>
      <c r="S239" s="897"/>
      <c r="T239" s="897"/>
      <c r="U239" s="750"/>
      <c r="V239" s="8"/>
      <c r="W239" s="763"/>
      <c r="X239" s="511"/>
    </row>
    <row r="240" spans="2:26" ht="15" x14ac:dyDescent="0.25">
      <c r="B240" s="467" t="str">
        <f t="shared" ref="B240:B242" si="10">B239</f>
        <v>?</v>
      </c>
      <c r="C240" s="96" t="s">
        <v>856</v>
      </c>
      <c r="D240" s="697">
        <v>22</v>
      </c>
      <c r="E240" s="569" t="s">
        <v>497</v>
      </c>
      <c r="F240" s="30">
        <f>IF('Quick Input'!M$26="ja",$D$240,0)</f>
        <v>22</v>
      </c>
      <c r="G240" s="421"/>
      <c r="H240" s="422"/>
      <c r="I240" s="30">
        <f>IF('Quick Input'!P$26="ja",$D$240,0)</f>
        <v>22</v>
      </c>
      <c r="J240" s="421"/>
      <c r="K240" s="422"/>
      <c r="L240" s="30">
        <f>IF('Quick Input'!S$26="ja",$D$240,0)</f>
        <v>22</v>
      </c>
      <c r="M240" s="421"/>
      <c r="N240" s="422"/>
      <c r="O240" s="30"/>
      <c r="P240" s="421"/>
      <c r="Q240" s="422"/>
      <c r="R240" s="30"/>
      <c r="S240" s="421"/>
      <c r="T240" s="422"/>
      <c r="U240" s="30"/>
      <c r="V240" s="11"/>
    </row>
    <row r="241" spans="2:24" ht="15" x14ac:dyDescent="0.25">
      <c r="B241" s="467" t="str">
        <f t="shared" si="10"/>
        <v>?</v>
      </c>
      <c r="C241" s="96" t="s">
        <v>857</v>
      </c>
      <c r="D241" s="697">
        <v>3.5</v>
      </c>
      <c r="E241" s="569" t="s">
        <v>497</v>
      </c>
      <c r="F241" s="344">
        <f>$D$241/60</f>
        <v>5.8333333333333334E-2</v>
      </c>
      <c r="G241" s="421"/>
      <c r="H241" s="422"/>
      <c r="I241" s="344">
        <f>$D$241/60</f>
        <v>5.8333333333333334E-2</v>
      </c>
      <c r="J241" s="421"/>
      <c r="K241" s="422"/>
      <c r="L241" s="344">
        <f>$D$241/60</f>
        <v>5.8333333333333334E-2</v>
      </c>
      <c r="M241" s="421"/>
      <c r="N241" s="422"/>
      <c r="O241" s="344"/>
      <c r="P241" s="421"/>
      <c r="Q241" s="422"/>
      <c r="R241" s="344"/>
      <c r="S241" s="421"/>
      <c r="T241" s="422"/>
      <c r="U241" s="344"/>
      <c r="V241" s="11"/>
      <c r="X241" s="511"/>
    </row>
    <row r="242" spans="2:24" ht="15.75" thickBot="1" x14ac:dyDescent="0.3">
      <c r="B242" s="532" t="str">
        <f t="shared" si="10"/>
        <v>?</v>
      </c>
      <c r="C242" s="97" t="s">
        <v>858</v>
      </c>
      <c r="D242" s="947">
        <v>30</v>
      </c>
      <c r="E242" s="569" t="s">
        <v>497</v>
      </c>
      <c r="F242" s="932">
        <f>MAX(MIN(ROUNDDOWN($D$242/'Quick Input'!M$19,0),Refkalkulation!H$61),1)</f>
        <v>1</v>
      </c>
      <c r="G242" s="427"/>
      <c r="H242" s="428"/>
      <c r="I242" s="932">
        <f>MAX(MIN(ROUNDDOWN($D$242/'Quick Input'!P$19,0),Refkalkulation!K$61),1)</f>
        <v>6</v>
      </c>
      <c r="J242" s="427"/>
      <c r="K242" s="428"/>
      <c r="L242" s="932">
        <f>MAX(MIN(ROUNDDOWN($D$242/'Quick Input'!S$19,0),Refkalkulation!N$61),1)</f>
        <v>6</v>
      </c>
      <c r="M242" s="427"/>
      <c r="N242" s="428"/>
      <c r="O242" s="932"/>
      <c r="P242" s="427"/>
      <c r="Q242" s="428"/>
      <c r="R242" s="932"/>
      <c r="S242" s="427"/>
      <c r="T242" s="428"/>
      <c r="U242" s="932"/>
      <c r="V242" s="11"/>
    </row>
    <row r="243" spans="2:24" ht="15" x14ac:dyDescent="0.25">
      <c r="B243" s="467" t="s">
        <v>69</v>
      </c>
      <c r="C243" s="99" t="s">
        <v>855</v>
      </c>
      <c r="D243" s="100"/>
      <c r="E243" s="574" t="s">
        <v>498</v>
      </c>
      <c r="F243" s="161">
        <f>IFERROR(F244*(1+F245+F246),0)</f>
        <v>0</v>
      </c>
      <c r="G243" s="930"/>
      <c r="H243" s="931"/>
      <c r="I243" s="161">
        <f>IFERROR(I244*(1+I245+I246),0)</f>
        <v>0</v>
      </c>
      <c r="J243" s="930"/>
      <c r="K243" s="931"/>
      <c r="L243" s="161">
        <f t="shared" ref="L243" si="11">IFERROR(L244*(1+L245+L246),0)</f>
        <v>0</v>
      </c>
      <c r="M243" s="930"/>
      <c r="N243" s="931"/>
      <c r="O243" s="161"/>
      <c r="P243" s="930"/>
      <c r="Q243" s="931"/>
      <c r="R243" s="161"/>
      <c r="S243" s="930"/>
      <c r="T243" s="931"/>
      <c r="U243" s="161"/>
      <c r="V243" s="11"/>
      <c r="X243" s="511"/>
    </row>
    <row r="244" spans="2:24" ht="15" x14ac:dyDescent="0.25">
      <c r="B244" s="467" t="str">
        <f>B243</f>
        <v>?</v>
      </c>
      <c r="C244" s="96" t="s">
        <v>853</v>
      </c>
      <c r="D244" s="697">
        <v>15</v>
      </c>
      <c r="E244" s="569" t="s">
        <v>497</v>
      </c>
      <c r="F244" s="30">
        <f>IF('Quick Input'!M$27="nein",0,$D$244+IF('Quick Input'!M$19&gt;8,$D$245,0))</f>
        <v>0</v>
      </c>
      <c r="G244" s="421"/>
      <c r="H244" s="422"/>
      <c r="I244" s="30">
        <f>IF('Quick Input'!P$27="nein",0,$D$244+IF('Quick Input'!P$19&gt;8,$D$245,0))</f>
        <v>0</v>
      </c>
      <c r="J244" s="421"/>
      <c r="K244" s="422"/>
      <c r="L244" s="30">
        <f>IF('Quick Input'!S$27="nein",0,$D$244+IF('Quick Input'!S$19&gt;8,$D$245,0))</f>
        <v>0</v>
      </c>
      <c r="M244" s="421"/>
      <c r="N244" s="422"/>
      <c r="O244" s="30"/>
      <c r="P244" s="421"/>
      <c r="Q244" s="422"/>
      <c r="R244" s="30"/>
      <c r="S244" s="421"/>
      <c r="T244" s="422"/>
      <c r="U244" s="30"/>
      <c r="V244" s="11"/>
    </row>
    <row r="245" spans="2:24" ht="15" x14ac:dyDescent="0.25">
      <c r="B245" s="467" t="str">
        <f t="shared" ref="B245:B246" si="12">B244</f>
        <v>?</v>
      </c>
      <c r="C245" s="96" t="s">
        <v>901</v>
      </c>
      <c r="D245" s="697">
        <v>35</v>
      </c>
      <c r="E245" s="569" t="s">
        <v>497</v>
      </c>
      <c r="F245" s="201">
        <f>MAX(0,POWER(VLOOKUP('Quick Input'!M$21,Auswahlfelder!$D$16:$E$19,2,FALSE)-1,2)/8)</f>
        <v>0.125</v>
      </c>
      <c r="G245" s="431"/>
      <c r="H245" s="432"/>
      <c r="I245" s="201">
        <f>MAX(0,POWER(VLOOKUP('Quick Input'!P$21,Auswahlfelder!$D$16:$E$19,2,FALSE)-1,2)/8)</f>
        <v>0.125</v>
      </c>
      <c r="J245" s="431"/>
      <c r="K245" s="432"/>
      <c r="L245" s="201">
        <f>MAX(0,POWER(VLOOKUP('Quick Input'!S$21,Auswahlfelder!$D$16:$E$19,2,FALSE)-1,2)/8)</f>
        <v>0.125</v>
      </c>
      <c r="M245" s="431"/>
      <c r="N245" s="432"/>
      <c r="O245" s="201"/>
      <c r="P245" s="431"/>
      <c r="Q245" s="432"/>
      <c r="R245" s="201"/>
      <c r="S245" s="431"/>
      <c r="T245" s="432"/>
      <c r="U245" s="201"/>
      <c r="V245" s="11"/>
      <c r="X245" s="511"/>
    </row>
    <row r="246" spans="2:24" ht="15" thickBot="1" x14ac:dyDescent="0.25">
      <c r="B246" s="532" t="str">
        <f t="shared" si="12"/>
        <v>?</v>
      </c>
      <c r="C246" s="97" t="s">
        <v>178</v>
      </c>
      <c r="D246" s="778">
        <v>0.35</v>
      </c>
      <c r="E246" s="570" t="s">
        <v>497</v>
      </c>
      <c r="F246" s="343">
        <f>SQRT('Quick Input'!M$20/2000)*$D$246</f>
        <v>0.95257934441568026</v>
      </c>
      <c r="G246" s="423"/>
      <c r="H246" s="424"/>
      <c r="I246" s="343">
        <f>SQRT('Quick Input'!P$20/2000)*$D$246</f>
        <v>0.33641407104759669</v>
      </c>
      <c r="J246" s="423"/>
      <c r="K246" s="424"/>
      <c r="L246" s="343">
        <f>SQRT('Quick Input'!S$20/2000)*$D$246</f>
        <v>0.33641407104759669</v>
      </c>
      <c r="M246" s="423"/>
      <c r="N246" s="424"/>
      <c r="O246" s="343"/>
      <c r="P246" s="423"/>
      <c r="Q246" s="424"/>
      <c r="R246" s="343"/>
      <c r="S246" s="423"/>
      <c r="T246" s="424"/>
      <c r="U246" s="343"/>
      <c r="V246" s="126"/>
    </row>
    <row r="247" spans="2:24" ht="15" x14ac:dyDescent="0.25">
      <c r="B247" s="17">
        <v>39</v>
      </c>
      <c r="C247" s="99" t="s">
        <v>613</v>
      </c>
      <c r="D247" s="100"/>
      <c r="E247" s="568" t="s">
        <v>498</v>
      </c>
      <c r="F247" s="750">
        <f>IF('Quick Input'!M$28=Auswahlfelder!$D$22,0,ROUND(F248*(1+F$249),2))</f>
        <v>14.06</v>
      </c>
      <c r="G247" s="10"/>
      <c r="H247" s="10"/>
      <c r="I247" s="750">
        <f>IF('Quick Input'!P$28=Auswahlfelder!$D$22,0,ROUND(I248*(1+I$249),2))</f>
        <v>3.32</v>
      </c>
      <c r="J247" s="10"/>
      <c r="K247" s="10"/>
      <c r="L247" s="750">
        <f>IF('Quick Input'!S$28=Auswahlfelder!$D$22,0,ROUND(L248*(1+L$249),2))</f>
        <v>7.39</v>
      </c>
      <c r="M247" s="10"/>
      <c r="N247" s="10"/>
      <c r="O247" s="750"/>
      <c r="P247" s="10"/>
      <c r="Q247" s="10"/>
      <c r="R247" s="750"/>
      <c r="S247" s="10"/>
      <c r="T247" s="10"/>
      <c r="U247" s="750"/>
      <c r="V247" s="11"/>
    </row>
    <row r="248" spans="2:24" x14ac:dyDescent="0.2">
      <c r="B248" s="17">
        <v>39</v>
      </c>
      <c r="C248" s="96" t="s">
        <v>614</v>
      </c>
      <c r="D248" s="100"/>
      <c r="E248" s="571" t="s">
        <v>575</v>
      </c>
      <c r="F248" s="456">
        <f>'Länder-DB'!$I$39*(0.2+0.8*VLOOKUP(F$19,DB_Länder,5,FALSE)/'Länder-DB'!$E$2)</f>
        <v>4</v>
      </c>
      <c r="G248" s="10"/>
      <c r="H248" s="10"/>
      <c r="I248" s="456">
        <f>'Länder-DB'!$I$39*(0.2+0.8*VLOOKUP(I$19,DB_Länder,5,FALSE)/'Länder-DB'!$E$2)</f>
        <v>1.7953888237592812</v>
      </c>
      <c r="J248" s="10"/>
      <c r="K248" s="10"/>
      <c r="L248" s="456">
        <f>'Länder-DB'!$I$39*(0.2+0.8*VLOOKUP(L$19,DB_Länder,5,FALSE)/'Länder-DB'!$E$2)</f>
        <v>4</v>
      </c>
      <c r="M248" s="10"/>
      <c r="N248" s="10"/>
      <c r="O248" s="456"/>
      <c r="P248" s="10"/>
      <c r="Q248" s="10"/>
      <c r="R248" s="456"/>
      <c r="S248" s="10"/>
      <c r="T248" s="10"/>
      <c r="U248" s="456"/>
      <c r="V248" s="11"/>
    </row>
    <row r="249" spans="2:24" ht="15" thickBot="1" x14ac:dyDescent="0.25">
      <c r="B249" s="17">
        <v>39</v>
      </c>
      <c r="C249" s="96" t="s">
        <v>178</v>
      </c>
      <c r="D249" s="102"/>
      <c r="E249" s="572" t="s">
        <v>575</v>
      </c>
      <c r="F249" s="343">
        <f>SQRT(MAX(0,'Quick Input'!M$19-0.5))*40%</f>
        <v>2.5139610179953071</v>
      </c>
      <c r="G249" s="10"/>
      <c r="H249" s="10"/>
      <c r="I249" s="343">
        <f>SQRT(MAX(0,'Quick Input'!P$19-0.5))*40%</f>
        <v>0.84852813742385702</v>
      </c>
      <c r="J249" s="10"/>
      <c r="K249" s="10"/>
      <c r="L249" s="343">
        <f>SQRT(MAX(0,'Quick Input'!S$19-0.5))*40%</f>
        <v>0.84852813742385702</v>
      </c>
      <c r="M249" s="10"/>
      <c r="N249" s="10"/>
      <c r="O249" s="343"/>
      <c r="P249" s="10"/>
      <c r="Q249" s="10"/>
      <c r="R249" s="343"/>
      <c r="S249" s="10"/>
      <c r="T249" s="10"/>
      <c r="U249" s="343"/>
      <c r="V249" s="11"/>
    </row>
    <row r="250" spans="2:24" ht="15" x14ac:dyDescent="0.25">
      <c r="B250" s="17">
        <v>39</v>
      </c>
      <c r="C250" s="95" t="s">
        <v>615</v>
      </c>
      <c r="D250" s="100"/>
      <c r="E250" s="568" t="s">
        <v>498</v>
      </c>
      <c r="F250" s="345">
        <f>IF('Quick Input'!M29=Auswahlfelder!$D$22,0,ROUND(F251*(1+F252),2))</f>
        <v>24.85</v>
      </c>
      <c r="G250" s="7"/>
      <c r="H250" s="7"/>
      <c r="I250" s="345">
        <f>IF('Quick Input'!P29=Auswahlfelder!$D$22,0,ROUND(I251*(1+I252),2))</f>
        <v>7.25</v>
      </c>
      <c r="J250" s="7"/>
      <c r="K250" s="7"/>
      <c r="L250" s="345">
        <f>IF('Quick Input'!S29=Auswahlfelder!$D$22,0,ROUND(L251*(1+L252),2))</f>
        <v>12.36</v>
      </c>
      <c r="M250" s="7"/>
      <c r="N250" s="7"/>
      <c r="O250" s="345"/>
      <c r="P250" s="7"/>
      <c r="Q250" s="7"/>
      <c r="R250" s="345"/>
      <c r="S250" s="7"/>
      <c r="T250" s="7"/>
      <c r="U250" s="345"/>
      <c r="V250" s="11"/>
    </row>
    <row r="251" spans="2:24" x14ac:dyDescent="0.2">
      <c r="B251" s="17">
        <v>39</v>
      </c>
      <c r="C251" s="96" t="s">
        <v>616</v>
      </c>
      <c r="D251" s="100"/>
      <c r="E251" s="571" t="s">
        <v>575</v>
      </c>
      <c r="F251" s="456">
        <f>'Länder-DB'!$I$41*(0.4+0.6*VLOOKUP(F$19,DB_Länder,5,FALSE)/'Länder-DB'!$E$2)</f>
        <v>6</v>
      </c>
      <c r="G251" s="10"/>
      <c r="H251" s="10"/>
      <c r="I251" s="456">
        <f>'Länder-DB'!$I$41*(0.4+0.6*VLOOKUP(I$19,DB_Länder,5,FALSE)/'Länder-DB'!$E$2)</f>
        <v>3.519812426729191</v>
      </c>
      <c r="J251" s="10"/>
      <c r="K251" s="10"/>
      <c r="L251" s="456">
        <f>'Länder-DB'!$I$41*(0.4+0.6*VLOOKUP(L$19,DB_Länder,5,FALSE)/'Länder-DB'!$E$2)</f>
        <v>6</v>
      </c>
      <c r="M251" s="10"/>
      <c r="N251" s="10"/>
      <c r="O251" s="456"/>
      <c r="P251" s="10"/>
      <c r="Q251" s="10"/>
      <c r="R251" s="456"/>
      <c r="S251" s="10"/>
      <c r="T251" s="10"/>
      <c r="U251" s="456"/>
      <c r="V251" s="11"/>
    </row>
    <row r="252" spans="2:24" ht="15" thickBot="1" x14ac:dyDescent="0.25">
      <c r="B252" s="285">
        <v>39</v>
      </c>
      <c r="C252" s="97" t="s">
        <v>178</v>
      </c>
      <c r="D252" s="102"/>
      <c r="E252" s="572" t="s">
        <v>575</v>
      </c>
      <c r="F252" s="343">
        <f>SQRT(MAX(0,'Quick Input'!M$19-0.5))*50%</f>
        <v>3.1424512724941338</v>
      </c>
      <c r="G252" s="423"/>
      <c r="H252" s="424"/>
      <c r="I252" s="343">
        <f>SQRT(MAX(0,'Quick Input'!P$19-0.5))*50%</f>
        <v>1.0606601717798212</v>
      </c>
      <c r="J252" s="423"/>
      <c r="K252" s="424"/>
      <c r="L252" s="343">
        <f>SQRT(MAX(0,'Quick Input'!S$19-0.5))*50%</f>
        <v>1.0606601717798212</v>
      </c>
      <c r="M252" s="423"/>
      <c r="N252" s="424"/>
      <c r="O252" s="343"/>
      <c r="P252" s="423"/>
      <c r="Q252" s="424"/>
      <c r="R252" s="343"/>
      <c r="S252" s="423"/>
      <c r="T252" s="424"/>
      <c r="U252" s="343"/>
      <c r="V252" s="126"/>
    </row>
    <row r="253" spans="2:24" ht="15" thickBot="1" x14ac:dyDescent="0.25">
      <c r="B253" s="751">
        <v>39</v>
      </c>
      <c r="C253" s="752"/>
      <c r="D253" s="753" t="s">
        <v>617</v>
      </c>
      <c r="E253" s="754"/>
      <c r="F253" s="755" t="str">
        <f>CONCATENATE(IF(F247&gt;0,"US ",""),IF(F250&gt;0,"PT ",""),IF(F177&gt;0,IF(Deutsch,"Röntgen ","X-ray "),""),IF(SUM(F175:F177)=0,IF(Deutsch,"ohne Prfg.","no test"),IF(Deutsch,"prüfen","test")))</f>
        <v>US PT Röntgen prüfen</v>
      </c>
      <c r="G253" s="756"/>
      <c r="H253" s="756"/>
      <c r="I253" s="755" t="str">
        <f>CONCATENATE(IF(I247&gt;0,"US ",""),IF(I250&gt;0,"PT ",""),IF(I177&gt;0,IF(Deutsch,"Röntgen ","X-ray "),""),IF(SUM(I175:I177)=0,IF(Deutsch,"ohne Prfg.","no test"),IF(Deutsch,"prüfen","test")))</f>
        <v>US PT Röntgen prüfen</v>
      </c>
      <c r="J253" s="756"/>
      <c r="K253" s="756"/>
      <c r="L253" s="755" t="str">
        <f>CONCATENATE(IF(L247&gt;0,"US ",""),IF(L250&gt;0,"PT ",""),IF(L177&gt;0,IF(Deutsch,"Röntgen ","X-ray "),""),IF(SUM(L175:L177)=0,IF(Deutsch,"ohne Prfg.","no test"),IF(Deutsch,"prüfen","test")))</f>
        <v>US PT Röntgen prüfen</v>
      </c>
      <c r="M253" s="756"/>
      <c r="N253" s="756"/>
      <c r="O253" s="755"/>
      <c r="P253" s="756"/>
      <c r="Q253" s="756"/>
      <c r="R253" s="755"/>
      <c r="S253" s="756"/>
      <c r="T253" s="756"/>
      <c r="U253" s="755"/>
      <c r="V253" s="757"/>
    </row>
    <row r="254" spans="2:24" ht="15" x14ac:dyDescent="0.25">
      <c r="B254" s="467">
        <v>44</v>
      </c>
      <c r="C254" s="95" t="s">
        <v>378</v>
      </c>
      <c r="D254" s="98"/>
      <c r="E254" s="574" t="s">
        <v>498</v>
      </c>
      <c r="F254" s="204">
        <f>ROUNDDOWN(F$46*HLOOKUP(F$259,'Länder-DB'!$M$54:$O$55,2,FALSE)*(1-F$261-F$262-F$263),-1)</f>
        <v>23780</v>
      </c>
      <c r="G254" s="7"/>
      <c r="H254" s="7"/>
      <c r="I254" s="204">
        <f>ROUNDDOWN(I$46*HLOOKUP(I$259,'Länder-DB'!$M$54:$O$55,2,FALSE)*(1-I$261-I$262-I$263),-1)</f>
        <v>23500</v>
      </c>
      <c r="J254" s="7"/>
      <c r="K254" s="7"/>
      <c r="L254" s="204">
        <f>ROUNDDOWN(L$46*HLOOKUP(L$259,'Länder-DB'!$M$54:$O$55,2,FALSE)*(1-L$261-L$262-L$263),-1)</f>
        <v>23090</v>
      </c>
      <c r="M254" s="7"/>
      <c r="N254" s="7"/>
      <c r="O254" s="204"/>
      <c r="P254" s="28"/>
      <c r="Q254" s="28"/>
      <c r="R254" s="204"/>
      <c r="S254" s="28"/>
      <c r="T254" s="28"/>
      <c r="U254" s="204"/>
      <c r="V254" s="11"/>
    </row>
    <row r="255" spans="2:24" x14ac:dyDescent="0.2">
      <c r="B255" s="467">
        <v>44</v>
      </c>
      <c r="C255" s="468" t="s">
        <v>541</v>
      </c>
      <c r="D255" s="100">
        <v>1</v>
      </c>
      <c r="E255" s="571"/>
      <c r="F255" s="557">
        <f>IFERROR('Quick Input'!M$44,1)</f>
        <v>30000</v>
      </c>
      <c r="G255" s="10"/>
      <c r="H255" s="10"/>
      <c r="I255" s="557">
        <f>IFERROR('Quick Input'!P$44,1)</f>
        <v>30000</v>
      </c>
      <c r="J255" s="10"/>
      <c r="K255" s="10"/>
      <c r="L255" s="557">
        <f>IFERROR('Quick Input'!S$44,1)</f>
        <v>30000</v>
      </c>
      <c r="M255" s="10"/>
      <c r="N255" s="10"/>
      <c r="O255" s="557"/>
      <c r="P255" s="4"/>
      <c r="Q255" s="4"/>
      <c r="R255" s="557"/>
      <c r="S255" s="4"/>
      <c r="T255" s="4"/>
      <c r="U255" s="557"/>
      <c r="V255" s="11"/>
    </row>
    <row r="256" spans="2:24" x14ac:dyDescent="0.2">
      <c r="B256" s="467">
        <v>44</v>
      </c>
      <c r="C256" s="468" t="s">
        <v>486</v>
      </c>
      <c r="D256" s="100">
        <v>1</v>
      </c>
      <c r="E256" s="571"/>
      <c r="F256" s="557">
        <f>ROUNDDOWN(F$46*'Länder-DB'!$M$55*(1-F$261-F$262-F$263),-1)</f>
        <v>950</v>
      </c>
      <c r="G256" s="558"/>
      <c r="H256" s="10"/>
      <c r="I256" s="557">
        <f>ROUNDDOWN(I$46*'Länder-DB'!$M$55*(1-I$261-I$262-I$263),-1)</f>
        <v>940</v>
      </c>
      <c r="J256" s="558"/>
      <c r="K256" s="10"/>
      <c r="L256" s="557">
        <f>ROUNDDOWN(L$46*'Länder-DB'!$M$55*(1-L$261-L$262-L$263),-1)</f>
        <v>920</v>
      </c>
      <c r="M256" s="558"/>
      <c r="N256" s="10"/>
      <c r="O256" s="557"/>
      <c r="P256" s="558"/>
      <c r="Q256" s="10"/>
      <c r="R256" s="557"/>
      <c r="S256" s="558"/>
      <c r="T256" s="10"/>
      <c r="U256" s="557"/>
      <c r="V256" s="11"/>
    </row>
    <row r="257" spans="1:24" x14ac:dyDescent="0.2">
      <c r="B257" s="467">
        <v>44</v>
      </c>
      <c r="C257" s="468" t="s">
        <v>483</v>
      </c>
      <c r="D257" s="100">
        <v>1</v>
      </c>
      <c r="E257" s="571"/>
      <c r="F257" s="557">
        <f>F$46*'Länder-DB'!$N$55*(1-F$261-F$262-F$263)</f>
        <v>9512.4705882352937</v>
      </c>
      <c r="G257" s="558"/>
      <c r="H257" s="10"/>
      <c r="I257" s="557">
        <f>I$46*'Länder-DB'!$N$55*(1-I$261-I$262-I$263)</f>
        <v>9402.0705882352941</v>
      </c>
      <c r="J257" s="10"/>
      <c r="K257" s="10"/>
      <c r="L257" s="557">
        <f>L$46*'Länder-DB'!$N$55*(1-L$261-L$262-L$263)</f>
        <v>9236.4705882352937</v>
      </c>
      <c r="M257" s="10"/>
      <c r="N257" s="10"/>
      <c r="O257" s="557"/>
      <c r="P257" s="4"/>
      <c r="Q257" s="4"/>
      <c r="R257" s="557"/>
      <c r="S257" s="4"/>
      <c r="T257" s="4"/>
      <c r="U257" s="557"/>
      <c r="V257" s="11"/>
    </row>
    <row r="258" spans="1:24" x14ac:dyDescent="0.2">
      <c r="B258" s="467">
        <v>44</v>
      </c>
      <c r="C258" s="468" t="s">
        <v>484</v>
      </c>
      <c r="D258" s="100">
        <v>1</v>
      </c>
      <c r="E258" s="571"/>
      <c r="F258" s="557">
        <f>F$46*'Länder-DB'!$O$55*(1-F$261-F$262-F$263)</f>
        <v>23781.176470588238</v>
      </c>
      <c r="G258" s="558"/>
      <c r="H258" s="10"/>
      <c r="I258" s="557">
        <f>I$46*'Länder-DB'!$O$55*(1-I$261-I$262-I$263)</f>
        <v>23505.176470588234</v>
      </c>
      <c r="J258" s="10"/>
      <c r="K258" s="10"/>
      <c r="L258" s="557">
        <f>L$46*'Länder-DB'!$O$55*(1-L$261-L$262-L$263)</f>
        <v>23091.176470588234</v>
      </c>
      <c r="M258" s="10"/>
      <c r="N258" s="10"/>
      <c r="O258" s="557"/>
      <c r="P258" s="4"/>
      <c r="Q258" s="4"/>
      <c r="R258" s="557"/>
      <c r="S258" s="4"/>
      <c r="T258" s="4"/>
      <c r="U258" s="557"/>
      <c r="V258" s="11"/>
    </row>
    <row r="259" spans="1:24" x14ac:dyDescent="0.2">
      <c r="B259" s="467">
        <v>44</v>
      </c>
      <c r="C259" s="468" t="s">
        <v>485</v>
      </c>
      <c r="D259" s="583" t="s">
        <v>504</v>
      </c>
      <c r="E259" s="569" t="s">
        <v>498</v>
      </c>
      <c r="F259" s="557" t="str">
        <f>IF(F$255&gt;MIN(F$258,2*F$257),'Länder-DB'!$O$54,IF(F$255&gt;MIN(F$257,3*F$256),'Länder-DB'!$N$54,'Länder-DB'!$M$54))</f>
        <v>Alu</v>
      </c>
      <c r="G259" s="10"/>
      <c r="H259" s="10"/>
      <c r="I259" s="557" t="str">
        <f>IF(I$255&gt;MIN(I$258,2*I$257),'Länder-DB'!$O$54,IF(I$255&gt;MIN(I$257,3*I$256),'Länder-DB'!$N$54,'Länder-DB'!$M$54))</f>
        <v>Alu</v>
      </c>
      <c r="J259" s="10"/>
      <c r="K259" s="10"/>
      <c r="L259" s="557" t="str">
        <f>IF(L$255&gt;MIN(L$258,2*L$257),'Länder-DB'!$O$54,IF(L$255&gt;MIN(L$257,3*L$256),'Länder-DB'!$N$54,'Länder-DB'!$M$54))</f>
        <v>Alu</v>
      </c>
      <c r="M259" s="10"/>
      <c r="N259" s="10"/>
      <c r="O259" s="557"/>
      <c r="P259" s="10"/>
      <c r="Q259" s="10"/>
      <c r="R259" s="557"/>
      <c r="S259" s="10"/>
      <c r="T259" s="10"/>
      <c r="U259" s="557"/>
      <c r="V259" s="11"/>
    </row>
    <row r="260" spans="1:24" x14ac:dyDescent="0.2">
      <c r="B260" s="467">
        <v>44</v>
      </c>
      <c r="C260" s="468" t="s">
        <v>542</v>
      </c>
      <c r="D260" s="583" t="s">
        <v>504</v>
      </c>
      <c r="E260" s="569" t="s">
        <v>498</v>
      </c>
      <c r="F260" s="557">
        <f>ROUNDUP(F255/F254,0)</f>
        <v>2</v>
      </c>
      <c r="G260" s="10"/>
      <c r="H260" s="10"/>
      <c r="I260" s="557">
        <f>ROUNDUP(I255/I254,0)</f>
        <v>2</v>
      </c>
      <c r="J260" s="10"/>
      <c r="K260" s="10"/>
      <c r="L260" s="557">
        <f>ROUNDUP(L255/L254,0)</f>
        <v>2</v>
      </c>
      <c r="M260" s="10"/>
      <c r="N260" s="10"/>
      <c r="O260" s="557"/>
      <c r="P260" s="4"/>
      <c r="Q260" s="4"/>
      <c r="R260" s="557"/>
      <c r="S260" s="4"/>
      <c r="T260" s="4"/>
      <c r="U260" s="557"/>
      <c r="V260" s="11"/>
    </row>
    <row r="261" spans="1:24" x14ac:dyDescent="0.2">
      <c r="B261" s="467">
        <v>44</v>
      </c>
      <c r="C261" s="96" t="s">
        <v>142</v>
      </c>
      <c r="D261" s="100" t="s">
        <v>392</v>
      </c>
      <c r="E261" s="569" t="s">
        <v>497</v>
      </c>
      <c r="F261" s="149">
        <f>10%*(0.85-F$27)</f>
        <v>1.1399999999999988E-2</v>
      </c>
      <c r="G261" s="10"/>
      <c r="H261" s="10"/>
      <c r="I261" s="149">
        <f>10%*(0.85-I$27)</f>
        <v>2.2440000000000005E-2</v>
      </c>
      <c r="J261" s="10"/>
      <c r="K261" s="10"/>
      <c r="L261" s="149">
        <f>10%*(0.85-L$27)</f>
        <v>3.9E-2</v>
      </c>
      <c r="M261" s="10"/>
      <c r="N261" s="10"/>
      <c r="O261" s="149"/>
      <c r="P261" s="4"/>
      <c r="Q261" s="4"/>
      <c r="R261" s="149"/>
      <c r="S261" s="4"/>
      <c r="T261" s="4"/>
      <c r="U261" s="149"/>
      <c r="V261" s="11"/>
    </row>
    <row r="262" spans="1:24" x14ac:dyDescent="0.2">
      <c r="B262" s="467">
        <v>44</v>
      </c>
      <c r="C262" s="96" t="s">
        <v>141</v>
      </c>
      <c r="D262" s="100" t="s">
        <v>392</v>
      </c>
      <c r="E262" s="569" t="s">
        <v>497</v>
      </c>
      <c r="F262" s="149">
        <f>1.5%*(VLOOKUP('Quick Input'!M$21,Auswahlfelder!$D$16:$E$19,2,FALSE)-1)</f>
        <v>1.4999999999999999E-2</v>
      </c>
      <c r="G262" s="10"/>
      <c r="H262" s="10"/>
      <c r="I262" s="149">
        <f>1.5%*(VLOOKUP('Quick Input'!P$21,Auswahlfelder!$D$16:$E$19,2,FALSE)-1)</f>
        <v>1.4999999999999999E-2</v>
      </c>
      <c r="J262" s="10"/>
      <c r="K262" s="10"/>
      <c r="L262" s="149">
        <f>1.5%*(VLOOKUP('Quick Input'!S$21,Auswahlfelder!$D$16:$E$19,2,FALSE)-1)</f>
        <v>1.4999999999999999E-2</v>
      </c>
      <c r="M262" s="10"/>
      <c r="N262" s="10"/>
      <c r="O262" s="149"/>
      <c r="P262" s="10"/>
      <c r="Q262" s="10"/>
      <c r="R262" s="149"/>
      <c r="S262" s="10"/>
      <c r="T262" s="10"/>
      <c r="U262" s="149"/>
      <c r="V262" s="5"/>
    </row>
    <row r="263" spans="1:24" ht="15" thickBot="1" x14ac:dyDescent="0.25">
      <c r="B263" s="467">
        <v>44</v>
      </c>
      <c r="C263" s="97" t="s">
        <v>145</v>
      </c>
      <c r="D263" s="102" t="s">
        <v>392</v>
      </c>
      <c r="E263" s="570" t="s">
        <v>497</v>
      </c>
      <c r="F263" s="646">
        <f>4%*(('Quick Input'!$E$18-1.2)/('Quick Input'!M$18-1.2))</f>
        <v>2.2352941176470589E-2</v>
      </c>
      <c r="G263" s="13"/>
      <c r="H263" s="13"/>
      <c r="I263" s="646">
        <f>4%*(('Quick Input'!$E$18-1.2)/('Quick Input'!P$18-1.2))</f>
        <v>2.2352941176470589E-2</v>
      </c>
      <c r="J263" s="13"/>
      <c r="K263" s="13"/>
      <c r="L263" s="646">
        <f>4%*(('Quick Input'!$E$18-1.2)/('Quick Input'!S$18-1.2))</f>
        <v>2.2352941176470589E-2</v>
      </c>
      <c r="M263" s="13"/>
      <c r="N263" s="13"/>
      <c r="O263" s="646"/>
      <c r="P263" s="27"/>
      <c r="Q263" s="27"/>
      <c r="R263" s="646"/>
      <c r="S263" s="27"/>
      <c r="T263" s="27"/>
      <c r="U263" s="646"/>
      <c r="V263" s="32"/>
    </row>
    <row r="264" spans="1:24" ht="15" x14ac:dyDescent="0.25">
      <c r="B264" s="467">
        <v>49</v>
      </c>
      <c r="C264" s="95" t="s">
        <v>573</v>
      </c>
      <c r="D264" s="98"/>
      <c r="E264" s="574" t="s">
        <v>498</v>
      </c>
      <c r="F264" s="204">
        <f>ROUND(F266*(1+F267+F268),-2)</f>
        <v>10600</v>
      </c>
      <c r="G264" s="419"/>
      <c r="H264" s="420"/>
      <c r="I264" s="204">
        <f>ROUND(I266*(1+I267+I268),-2)</f>
        <v>8800</v>
      </c>
      <c r="J264" s="419"/>
      <c r="K264" s="420"/>
      <c r="L264" s="204">
        <f>ROUND(L266*(1+L267+L268),-2)</f>
        <v>10100</v>
      </c>
      <c r="M264" s="419"/>
      <c r="N264" s="420"/>
      <c r="O264" s="204"/>
      <c r="P264" s="419"/>
      <c r="Q264" s="420"/>
      <c r="R264" s="204"/>
      <c r="S264" s="419"/>
      <c r="T264" s="420"/>
      <c r="U264" s="204"/>
      <c r="V264" s="11"/>
      <c r="X264" s="511"/>
    </row>
    <row r="265" spans="1:24" x14ac:dyDescent="0.2">
      <c r="B265" s="467">
        <v>49</v>
      </c>
      <c r="C265" s="96" t="s">
        <v>183</v>
      </c>
      <c r="D265" s="100"/>
      <c r="E265" s="569" t="s">
        <v>575</v>
      </c>
      <c r="F265" s="205">
        <f>SQRT(F$31)*10</f>
        <v>447.21359549995793</v>
      </c>
      <c r="G265" s="421"/>
      <c r="H265" s="422"/>
      <c r="I265" s="205">
        <f>SQRT(I$31)*10</f>
        <v>424.26406871192853</v>
      </c>
      <c r="J265" s="421"/>
      <c r="K265" s="422"/>
      <c r="L265" s="205">
        <f>SQRT(L$31)*10</f>
        <v>424.26406871192853</v>
      </c>
      <c r="M265" s="421"/>
      <c r="N265" s="422"/>
      <c r="O265" s="205"/>
      <c r="P265" s="421"/>
      <c r="Q265" s="422"/>
      <c r="R265" s="205"/>
      <c r="S265" s="421"/>
      <c r="T265" s="422"/>
      <c r="U265" s="205"/>
      <c r="V265" s="11"/>
      <c r="W265" s="480"/>
    </row>
    <row r="266" spans="1:24" x14ac:dyDescent="0.2">
      <c r="B266" s="467">
        <v>49</v>
      </c>
      <c r="C266" s="96" t="s">
        <v>574</v>
      </c>
      <c r="D266" s="100"/>
      <c r="E266" s="569" t="s">
        <v>497</v>
      </c>
      <c r="F266" s="205">
        <f>F$265*SQRT(Refkalkulation!H$50)*0.15*SQRT(HLOOKUP(F$259,'Länder-DB'!$M$54:$O$55,2,FALSE))</f>
        <v>10606.601717798214</v>
      </c>
      <c r="G266" s="421"/>
      <c r="H266" s="422"/>
      <c r="I266" s="205">
        <f>I$265*SQRT(Refkalkulation!K$50)*0.15*SQRT(HLOOKUP(I$259,'Länder-DB'!$M$54:$O$55,2,FALSE))</f>
        <v>10062.305898749055</v>
      </c>
      <c r="J266" s="421"/>
      <c r="K266" s="422"/>
      <c r="L266" s="205">
        <f>L$265*SQRT(Refkalkulation!N$50)*0.15*SQRT(HLOOKUP(L$259,'Länder-DB'!$M$54:$O$55,2,FALSE))</f>
        <v>10062.305898749055</v>
      </c>
      <c r="M266" s="421"/>
      <c r="N266" s="422"/>
      <c r="O266" s="205"/>
      <c r="P266" s="421"/>
      <c r="Q266" s="422"/>
      <c r="R266" s="205"/>
      <c r="S266" s="421"/>
      <c r="T266" s="422"/>
      <c r="U266" s="205"/>
      <c r="V266" s="5"/>
    </row>
    <row r="267" spans="1:24" x14ac:dyDescent="0.2">
      <c r="B267" s="467">
        <v>49</v>
      </c>
      <c r="C267" s="96" t="s">
        <v>182</v>
      </c>
      <c r="D267" s="100"/>
      <c r="E267" s="569" t="s">
        <v>497</v>
      </c>
      <c r="F267" s="201">
        <f>10%*(VLOOKUP('Quick Input'!M$21,Auswahlfelder!$D$16:$E$19,2,FALSE)-2)</f>
        <v>0</v>
      </c>
      <c r="G267" s="421"/>
      <c r="H267" s="422"/>
      <c r="I267" s="201">
        <f>10%*(VLOOKUP('Quick Input'!P$21,Auswahlfelder!$D$16:$E$19,2,FALSE)-2)</f>
        <v>0</v>
      </c>
      <c r="J267" s="421"/>
      <c r="K267" s="422"/>
      <c r="L267" s="201">
        <f>10%*(VLOOKUP('Quick Input'!S$21,Auswahlfelder!$D$16:$E$19,2,FALSE)-2)</f>
        <v>0</v>
      </c>
      <c r="M267" s="421"/>
      <c r="N267" s="422"/>
      <c r="O267" s="201"/>
      <c r="P267" s="421"/>
      <c r="Q267" s="422"/>
      <c r="R267" s="201"/>
      <c r="S267" s="421"/>
      <c r="T267" s="422"/>
      <c r="U267" s="201"/>
      <c r="V267" s="5"/>
    </row>
    <row r="268" spans="1:24" ht="15" thickBot="1" x14ac:dyDescent="0.25">
      <c r="B268" s="467">
        <v>49</v>
      </c>
      <c r="C268" s="96" t="s">
        <v>184</v>
      </c>
      <c r="D268" s="102"/>
      <c r="E268" s="570" t="s">
        <v>497</v>
      </c>
      <c r="F268" s="201">
        <f>18%*(VLOOKUP(F$19,DB_Länder,5,FALSE)/'Länder-DB'!$E$2-1)</f>
        <v>0</v>
      </c>
      <c r="G268" s="423"/>
      <c r="H268" s="422"/>
      <c r="I268" s="201">
        <f>18%*(VLOOKUP(I$19,DB_Länder,5,FALSE)/'Länder-DB'!$E$2-1)</f>
        <v>-0.12400937866354043</v>
      </c>
      <c r="J268" s="423"/>
      <c r="K268" s="422"/>
      <c r="L268" s="201">
        <f>18%*(VLOOKUP(L$19,DB_Länder,5,FALSE)/'Länder-DB'!$E$2-1)</f>
        <v>0</v>
      </c>
      <c r="M268" s="423"/>
      <c r="N268" s="422"/>
      <c r="O268" s="201"/>
      <c r="P268" s="423"/>
      <c r="Q268" s="422"/>
      <c r="R268" s="201"/>
      <c r="S268" s="423"/>
      <c r="T268" s="422"/>
      <c r="U268" s="201"/>
      <c r="V268" s="32"/>
    </row>
    <row r="269" spans="1:24" ht="15" x14ac:dyDescent="0.25">
      <c r="B269" s="467">
        <v>55</v>
      </c>
      <c r="C269" s="95" t="s">
        <v>379</v>
      </c>
      <c r="D269" s="100"/>
      <c r="E269" s="574" t="s">
        <v>498</v>
      </c>
      <c r="F269" s="161">
        <f>ROUND(IF('Quick Input'!M23=Auswahlfelder!$D$49,0,350+ROUND(SQRT(F270*1000)*$D$270,0)/F271),-2)</f>
        <v>2300</v>
      </c>
      <c r="G269" s="436"/>
      <c r="H269" s="420"/>
      <c r="I269" s="161">
        <f>ROUND(IF('Quick Input'!P23=Auswahlfelder!$D$49,0,350+ROUND(SQRT(I270*1000)*$D$270,0)/I271),-2)</f>
        <v>1100</v>
      </c>
      <c r="J269" s="436"/>
      <c r="K269" s="420"/>
      <c r="L269" s="161">
        <f>ROUND(IF('Quick Input'!S23=Auswahlfelder!$D$49,0,350+ROUND(SQRT(L270*1000)*$D$270,0)/L271),-2)</f>
        <v>0</v>
      </c>
      <c r="M269" s="436"/>
      <c r="N269" s="420"/>
      <c r="O269" s="161"/>
      <c r="P269" s="436"/>
      <c r="Q269" s="420"/>
      <c r="R269" s="161"/>
      <c r="S269" s="436"/>
      <c r="T269" s="420"/>
      <c r="U269" s="161"/>
      <c r="V269" s="8"/>
    </row>
    <row r="270" spans="1:24" x14ac:dyDescent="0.2">
      <c r="B270" s="467">
        <f>B269</f>
        <v>55</v>
      </c>
      <c r="C270" s="96" t="s">
        <v>589</v>
      </c>
      <c r="D270" s="916">
        <v>1.9</v>
      </c>
      <c r="E270" s="569" t="s">
        <v>497</v>
      </c>
      <c r="F270" s="456">
        <f>200+20*Refkalkulation!H$67*SQRT(IF('Quick Input'!M$23=Auswahlfelder!$D$51,0.8,F227*2))</f>
        <v>1000</v>
      </c>
      <c r="G270" s="421"/>
      <c r="H270" s="422"/>
      <c r="I270" s="456">
        <f>200+20*Refkalkulation!K$67*SQRT(IF('Quick Input'!P$23=Auswahlfelder!$D$51,0.8,I227*2))</f>
        <v>200</v>
      </c>
      <c r="J270" s="421"/>
      <c r="K270" s="422"/>
      <c r="L270" s="456">
        <f>200+20*Refkalkulation!N$67*SQRT(IF('Quick Input'!S$23=Auswahlfelder!$D$51,0.8,L227*2))</f>
        <v>200</v>
      </c>
      <c r="M270" s="421"/>
      <c r="N270" s="422"/>
      <c r="O270" s="456"/>
      <c r="P270" s="421"/>
      <c r="Q270" s="422"/>
      <c r="R270" s="456"/>
      <c r="S270" s="421"/>
      <c r="T270" s="422"/>
      <c r="U270" s="456"/>
      <c r="V270" s="11"/>
    </row>
    <row r="271" spans="1:24" ht="15" thickBot="1" x14ac:dyDescent="0.25">
      <c r="B271" s="532">
        <f>B270</f>
        <v>55</v>
      </c>
      <c r="C271" s="97" t="s">
        <v>352</v>
      </c>
      <c r="D271" s="102"/>
      <c r="E271" s="570" t="s">
        <v>497</v>
      </c>
      <c r="F271" s="459">
        <f>1+0.25*(1-VLOOKUP(F$19,DB_Länder,4,FALSE)/'Länder-DB'!$D$2)</f>
        <v>1</v>
      </c>
      <c r="G271" s="460"/>
      <c r="H271" s="461"/>
      <c r="I271" s="459">
        <f>1+0.25*(1-VLOOKUP(I$19,DB_Länder,4,FALSE)/'Länder-DB'!$D$2)</f>
        <v>1.1839643652561247</v>
      </c>
      <c r="J271" s="460"/>
      <c r="K271" s="461"/>
      <c r="L271" s="459">
        <f>1+0.25*(1-VLOOKUP(L$19,DB_Länder,4,FALSE)/'Länder-DB'!$D$2)</f>
        <v>1</v>
      </c>
      <c r="M271" s="460"/>
      <c r="N271" s="461"/>
      <c r="O271" s="459"/>
      <c r="P271" s="460"/>
      <c r="Q271" s="461"/>
      <c r="R271" s="459"/>
      <c r="S271" s="460"/>
      <c r="T271" s="461"/>
      <c r="U271" s="459"/>
      <c r="V271" s="126"/>
    </row>
    <row r="272" spans="1:24" x14ac:dyDescent="0.2">
      <c r="A272" s="511"/>
      <c r="B272" s="511"/>
      <c r="C272" s="511"/>
      <c r="D272" s="511"/>
      <c r="E272" s="511"/>
      <c r="F272" s="511"/>
      <c r="G272" s="511"/>
      <c r="H272" s="511"/>
      <c r="I272" s="511"/>
      <c r="J272" s="511"/>
      <c r="K272" s="511"/>
      <c r="L272" s="511"/>
      <c r="M272" s="511"/>
      <c r="N272" s="511"/>
      <c r="O272" s="511"/>
      <c r="P272" s="511"/>
      <c r="Q272" s="511"/>
      <c r="R272" s="511"/>
      <c r="S272" s="511"/>
      <c r="T272" s="511"/>
      <c r="U272" s="511"/>
      <c r="V272" s="511"/>
      <c r="W272" s="511"/>
      <c r="X272" s="511"/>
    </row>
    <row r="274" spans="5:25" ht="15" thickBot="1" x14ac:dyDescent="0.25"/>
    <row r="275" spans="5:25" s="55" customFormat="1" ht="15" thickBot="1" x14ac:dyDescent="0.25">
      <c r="E275" s="599">
        <v>0</v>
      </c>
      <c r="F275" s="593" t="s">
        <v>527</v>
      </c>
      <c r="G275" s="594"/>
      <c r="H275" s="589">
        <v>0</v>
      </c>
      <c r="I275" s="593" t="s">
        <v>527</v>
      </c>
      <c r="J275" s="594"/>
      <c r="K275" s="589">
        <v>0</v>
      </c>
      <c r="L275" s="593" t="s">
        <v>527</v>
      </c>
      <c r="M275" s="594"/>
      <c r="N275" s="589">
        <v>0</v>
      </c>
      <c r="O275" s="593" t="s">
        <v>527</v>
      </c>
      <c r="P275" s="594"/>
      <c r="Q275" s="589">
        <v>0</v>
      </c>
      <c r="R275" s="593" t="s">
        <v>527</v>
      </c>
      <c r="S275" s="594"/>
      <c r="T275" s="589">
        <v>0</v>
      </c>
      <c r="U275" s="593" t="s">
        <v>527</v>
      </c>
      <c r="V275" s="594"/>
      <c r="W275" s="647" t="s">
        <v>395</v>
      </c>
      <c r="X275" s="595" t="s">
        <v>526</v>
      </c>
      <c r="Y275" s="600"/>
    </row>
    <row r="276" spans="5:25" ht="15" thickBot="1" x14ac:dyDescent="0.25">
      <c r="E276" s="124">
        <f>IF(F276,E275+1,E275)</f>
        <v>1</v>
      </c>
      <c r="F276" s="589" t="b">
        <f>F$71&lt;&gt;F$60</f>
        <v>1</v>
      </c>
      <c r="G276" s="602"/>
      <c r="H276" s="589">
        <f>IF(I276,H275+1,H275)</f>
        <v>1</v>
      </c>
      <c r="I276" s="589" t="b">
        <f>I$71&lt;&gt;I$60</f>
        <v>1</v>
      </c>
      <c r="J276" s="589"/>
      <c r="K276" s="589">
        <f>IF(L276,K275+1,K275)</f>
        <v>1</v>
      </c>
      <c r="L276" s="589" t="b">
        <f>L$71&lt;&gt;L$60</f>
        <v>1</v>
      </c>
      <c r="M276" s="589"/>
      <c r="N276" s="589">
        <f>IF(O276,N275+1,N275)</f>
        <v>0</v>
      </c>
      <c r="O276" s="589" t="b">
        <f>O$71&lt;&gt;O$60</f>
        <v>0</v>
      </c>
      <c r="P276" s="589"/>
      <c r="Q276" s="589">
        <f>IF(R276,Q275+1,Q275)</f>
        <v>0</v>
      </c>
      <c r="R276" s="589" t="b">
        <f>R$71&lt;&gt;R$60</f>
        <v>0</v>
      </c>
      <c r="S276" s="589"/>
      <c r="T276" s="589">
        <f>IF(U276,T275+1,T275)</f>
        <v>0</v>
      </c>
      <c r="U276" s="589" t="b">
        <f>U$71&lt;&gt;U$60</f>
        <v>0</v>
      </c>
      <c r="V276" s="603"/>
      <c r="W276" s="124" t="str">
        <f>C74</f>
        <v>Empfehlung Formverfahren</v>
      </c>
      <c r="X276" s="592" t="s">
        <v>578</v>
      </c>
      <c r="Y276" s="37"/>
    </row>
    <row r="277" spans="5:25" ht="15" thickBot="1" x14ac:dyDescent="0.25">
      <c r="E277" s="124">
        <f>IF(F276,E276+1,E276)</f>
        <v>2</v>
      </c>
      <c r="F277" s="591" t="str">
        <f>F74</f>
        <v>automatisch</v>
      </c>
      <c r="G277" s="602"/>
      <c r="H277" s="589">
        <f>IF(I276,H276+1,H276)</f>
        <v>2</v>
      </c>
      <c r="I277" s="591" t="str">
        <f>I74</f>
        <v>automatisch</v>
      </c>
      <c r="J277" s="591"/>
      <c r="K277" s="589">
        <f>IF(L276,K276+1,K276)</f>
        <v>2</v>
      </c>
      <c r="L277" s="591" t="str">
        <f>L74</f>
        <v>automatisch</v>
      </c>
      <c r="M277" s="591"/>
      <c r="N277" s="589">
        <f>IF(O276,N276+1,N276)</f>
        <v>0</v>
      </c>
      <c r="O277" s="591">
        <f>O74</f>
        <v>0</v>
      </c>
      <c r="P277" s="591"/>
      <c r="Q277" s="589">
        <f>IF(R276,Q276+1,Q276)</f>
        <v>0</v>
      </c>
      <c r="R277" s="591">
        <f>R74</f>
        <v>0</v>
      </c>
      <c r="S277" s="591"/>
      <c r="T277" s="589">
        <f>IF(U276,T276+1,T276)</f>
        <v>0</v>
      </c>
      <c r="U277" s="591">
        <f>U74</f>
        <v>0</v>
      </c>
      <c r="V277" s="604"/>
      <c r="W277" s="590"/>
      <c r="X277" s="27"/>
      <c r="Y277" s="32"/>
    </row>
    <row r="278" spans="5:25" ht="15" thickBot="1" x14ac:dyDescent="0.25">
      <c r="E278" s="124">
        <f>IF(F278,E277+1,E277)</f>
        <v>3</v>
      </c>
      <c r="F278" s="589" t="b">
        <f>IFERROR(F78/F77&lt;3%,FALSE)</f>
        <v>1</v>
      </c>
      <c r="G278" s="602"/>
      <c r="H278" s="589">
        <f>IF(I278,H277+1,H277)</f>
        <v>3</v>
      </c>
      <c r="I278" s="589" t="b">
        <f>IFERROR(I78/I77&lt;3%,FALSE)</f>
        <v>1</v>
      </c>
      <c r="J278" s="589"/>
      <c r="K278" s="589">
        <f>IF(L278,K277+1,K277)</f>
        <v>3</v>
      </c>
      <c r="L278" s="589" t="b">
        <f>IFERROR(L78/L77&lt;3%,FALSE)</f>
        <v>1</v>
      </c>
      <c r="M278" s="589"/>
      <c r="N278" s="589">
        <f>IF(O278,N277+1,N277)</f>
        <v>0</v>
      </c>
      <c r="O278" s="589" t="b">
        <f>IFERROR(O78/O77&lt;3%,FALSE)</f>
        <v>0</v>
      </c>
      <c r="P278" s="589"/>
      <c r="Q278" s="589">
        <f>IF(R278,Q277+1,Q277)</f>
        <v>0</v>
      </c>
      <c r="R278" s="589" t="b">
        <f>IFERROR(R78/R77&lt;3%,FALSE)</f>
        <v>0</v>
      </c>
      <c r="S278" s="589"/>
      <c r="T278" s="589">
        <f>IF(U278,T277+1,T277)</f>
        <v>0</v>
      </c>
      <c r="U278" s="589" t="b">
        <f>IFERROR(U78/U77&lt;3%,FALSE)</f>
        <v>0</v>
      </c>
      <c r="V278" s="589"/>
      <c r="W278" s="592" t="str">
        <f>C76</f>
        <v>Kastenausnutzung (Volumen)</v>
      </c>
      <c r="X278" s="592" t="s">
        <v>579</v>
      </c>
      <c r="Y278" s="37"/>
    </row>
    <row r="279" spans="5:25" ht="15" thickBot="1" x14ac:dyDescent="0.25">
      <c r="E279" s="124">
        <f>IF(F278,E278+1,E278)</f>
        <v>4</v>
      </c>
      <c r="F279" s="694" t="str">
        <f>IF(F278,TEXT(F$76,"0%")," ")</f>
        <v>2%</v>
      </c>
      <c r="G279" s="602"/>
      <c r="H279" s="589">
        <f>IF(I278,H278+1,H278)</f>
        <v>4</v>
      </c>
      <c r="I279" s="694" t="str">
        <f>IF(I278,TEXT(I$76,"0%")," ")</f>
        <v>1%</v>
      </c>
      <c r="J279" s="591"/>
      <c r="K279" s="589">
        <f>IF(L278,K278+1,K278)</f>
        <v>4</v>
      </c>
      <c r="L279" s="694" t="str">
        <f>IF(L278,TEXT(L$76,"0%")," ")</f>
        <v>1%</v>
      </c>
      <c r="M279" s="591"/>
      <c r="N279" s="589">
        <f>IF(O278,N278+1,N278)</f>
        <v>0</v>
      </c>
      <c r="O279" s="694" t="str">
        <f>IF(O278,TEXT(O$76,"0%")," ")</f>
        <v xml:space="preserve"> </v>
      </c>
      <c r="P279" s="591"/>
      <c r="Q279" s="589">
        <f>IF(R278,Q278+1,Q278)</f>
        <v>0</v>
      </c>
      <c r="R279" s="694" t="str">
        <f>IF(R278,TEXT(R$76,"0%")," ")</f>
        <v xml:space="preserve"> </v>
      </c>
      <c r="S279" s="591"/>
      <c r="T279" s="589">
        <f>IF(U278,T278+1,T278)</f>
        <v>0</v>
      </c>
      <c r="U279" s="694" t="str">
        <f>IF(U278,TEXT(U$76,"0%")," ")</f>
        <v xml:space="preserve"> </v>
      </c>
      <c r="V279" s="591"/>
      <c r="W279" s="27"/>
      <c r="X279" s="27"/>
      <c r="Y279" s="32"/>
    </row>
    <row r="280" spans="5:25" ht="15" thickBot="1" x14ac:dyDescent="0.25">
      <c r="E280" s="124">
        <f>IF(F280,E279+1,E279)</f>
        <v>4</v>
      </c>
      <c r="F280" s="589" t="b">
        <f>IFERROR(Refkalkulation!H66/(Refkalkulation!H66+Refkalkulation!H60)&gt;15%,FALSE)</f>
        <v>0</v>
      </c>
      <c r="G280" s="602"/>
      <c r="H280" s="589">
        <f>IF(I280,H279+1,H279)</f>
        <v>5</v>
      </c>
      <c r="I280" s="589" t="b">
        <f>IFERROR(Refkalkulation!K66/(Refkalkulation!K66+Refkalkulation!K60)&gt;15%,FALSE)</f>
        <v>1</v>
      </c>
      <c r="J280" s="589"/>
      <c r="K280" s="589">
        <f>IF(L280,K279+1,K279)</f>
        <v>5</v>
      </c>
      <c r="L280" s="589" t="b">
        <f>IFERROR(Refkalkulation!N66/(Refkalkulation!N66+Refkalkulation!N60)&gt;15%,FALSE)</f>
        <v>1</v>
      </c>
      <c r="M280" s="589"/>
      <c r="N280" s="589">
        <f>IF(O280,N279+1,N279)</f>
        <v>0</v>
      </c>
      <c r="O280" s="589" t="b">
        <f>IFERROR(Refkalkulation!#REF!/(Refkalkulation!#REF!+Refkalkulation!#REF!)&gt;15%,FALSE)</f>
        <v>0</v>
      </c>
      <c r="P280" s="589"/>
      <c r="Q280" s="589">
        <f>IF(R280,Q279+1,Q279)</f>
        <v>0</v>
      </c>
      <c r="R280" s="589" t="b">
        <f>IFERROR(Refkalkulation!#REF!/(Refkalkulation!#REF!+Refkalkulation!#REF!)&gt;15%,FALSE)</f>
        <v>0</v>
      </c>
      <c r="S280" s="589"/>
      <c r="T280" s="589">
        <f>IF(U280,T279+1,T279)</f>
        <v>0</v>
      </c>
      <c r="U280" s="589" t="b">
        <f>IFERROR(Refkalkulation!#REF!/(Refkalkulation!#REF!+Refkalkulation!#REF!)&gt;15%,FALSE)</f>
        <v>0</v>
      </c>
      <c r="V280" s="589"/>
      <c r="W280" s="592" t="s">
        <v>545</v>
      </c>
      <c r="X280" s="592" t="s">
        <v>581</v>
      </c>
      <c r="Y280" s="37"/>
    </row>
    <row r="281" spans="5:25" ht="15" thickBot="1" x14ac:dyDescent="0.25">
      <c r="E281" s="124">
        <f>IF(F280,E280+1,E280)</f>
        <v>4</v>
      </c>
      <c r="F281" s="695" t="str">
        <f>TEXT(Refkalkulation!H62/(Refkalkulation!H62+Refkalkulation!H59*Refkalkulation!H61/60/Refkalkulation!H50),"0,0 %")</f>
        <v>6,7 %</v>
      </c>
      <c r="G281" s="602"/>
      <c r="H281" s="589">
        <f>IF(I280,H280+1,H280)</f>
        <v>6</v>
      </c>
      <c r="I281" s="693" t="str">
        <f>TEXT(Refkalkulation!K62/(Refkalkulation!K62+Refkalkulation!K59*Refkalkulation!K61/60/Refkalkulation!K50),"0,0 %")</f>
        <v>45,8 %</v>
      </c>
      <c r="J281" s="591"/>
      <c r="K281" s="589">
        <f>IF(L280,K280+1,K280)</f>
        <v>6</v>
      </c>
      <c r="L281" s="693" t="str">
        <f>TEXT(Refkalkulation!N62/(Refkalkulation!N62+Refkalkulation!N59*Refkalkulation!N61/60/Refkalkulation!N50),"0,0 %")</f>
        <v>43,1 %</v>
      </c>
      <c r="M281" s="591"/>
      <c r="N281" s="589">
        <f>IF(O280,N280+1,N280)</f>
        <v>0</v>
      </c>
      <c r="O281" s="693" t="e">
        <f>TEXT(Refkalkulation!#REF!/(Refkalkulation!#REF!+Refkalkulation!#REF!*Refkalkulation!#REF!/60/Refkalkulation!#REF!),"0,0 %")</f>
        <v>#REF!</v>
      </c>
      <c r="P281" s="591"/>
      <c r="Q281" s="589">
        <f>IF(R280,Q280+1,Q280)</f>
        <v>0</v>
      </c>
      <c r="R281" s="693" t="e">
        <f>TEXT(Refkalkulation!#REF!/(Refkalkulation!#REF!+Refkalkulation!#REF!*Refkalkulation!#REF!/60/Refkalkulation!#REF!),"0,0 %")</f>
        <v>#REF!</v>
      </c>
      <c r="S281" s="591"/>
      <c r="T281" s="589">
        <f>IF(U280,T280+1,T280)</f>
        <v>0</v>
      </c>
      <c r="U281" s="693" t="e">
        <f>TEXT(Refkalkulation!#REF!/(Refkalkulation!#REF!+Refkalkulation!#REF!*Refkalkulation!#REF!/60/Refkalkulation!#REF!),"0,0 %")</f>
        <v>#REF!</v>
      </c>
      <c r="V281" s="591"/>
      <c r="W281" s="27"/>
      <c r="X281" s="27"/>
      <c r="Y281" s="32"/>
    </row>
    <row r="282" spans="5:25" ht="15" thickBot="1" x14ac:dyDescent="0.25">
      <c r="E282" s="124">
        <f>IF(F282,E281+1,E281)</f>
        <v>5</v>
      </c>
      <c r="F282" s="589" t="b">
        <f>IFERROR(F260&gt;1,FALSE)</f>
        <v>1</v>
      </c>
      <c r="G282" s="602"/>
      <c r="H282" s="589">
        <f>IF(I282,H281+1,H281)</f>
        <v>7</v>
      </c>
      <c r="I282" s="589" t="b">
        <f>IFERROR(I260&gt;1,FALSE)</f>
        <v>1</v>
      </c>
      <c r="J282" s="589"/>
      <c r="K282" s="589">
        <f>IF(L282,K281+1,K281)</f>
        <v>7</v>
      </c>
      <c r="L282" s="589" t="b">
        <f>IFERROR(L260&gt;1,FALSE)</f>
        <v>1</v>
      </c>
      <c r="M282" s="589"/>
      <c r="N282" s="589">
        <f>IF(O282,N281+1,N281)</f>
        <v>0</v>
      </c>
      <c r="O282" s="589" t="b">
        <f>IFERROR(O260&gt;1,FALSE)</f>
        <v>0</v>
      </c>
      <c r="P282" s="589"/>
      <c r="Q282" s="589">
        <f>IF(R282,Q281+1,Q281)</f>
        <v>0</v>
      </c>
      <c r="R282" s="589" t="b">
        <f>IFERROR(R260&gt;1,FALSE)</f>
        <v>0</v>
      </c>
      <c r="S282" s="589"/>
      <c r="T282" s="589">
        <f>IF(U282,T281+1,T281)</f>
        <v>0</v>
      </c>
      <c r="U282" s="589" t="b">
        <f>IFERROR(U260&gt;1,FALSE)</f>
        <v>0</v>
      </c>
      <c r="V282" s="589"/>
      <c r="W282" s="592" t="s">
        <v>544</v>
      </c>
      <c r="X282" s="592" t="s">
        <v>577</v>
      </c>
      <c r="Y282" s="37"/>
    </row>
    <row r="283" spans="5:25" ht="15" thickBot="1" x14ac:dyDescent="0.25">
      <c r="E283" s="124">
        <f>IF(F282,E282+1,E282)</f>
        <v>6</v>
      </c>
      <c r="F283" s="606" t="str">
        <f>CONCATENATE(F260,IF(Deutsch," WKZ aus "," tool from "),F259)</f>
        <v>2 WKZ aus Alu</v>
      </c>
      <c r="G283" s="602"/>
      <c r="H283" s="589">
        <f>IF(I282,H282+1,H282)</f>
        <v>8</v>
      </c>
      <c r="I283" s="606" t="str">
        <f>CONCATENATE(I260,IF(Deutsch," WKZ aus "," tool from "),I259)</f>
        <v>2 WKZ aus Alu</v>
      </c>
      <c r="J283" s="591"/>
      <c r="K283" s="589">
        <f>IF(L282,K282+1,K282)</f>
        <v>8</v>
      </c>
      <c r="L283" s="606" t="str">
        <f>CONCATENATE(L260,IF(Deutsch," WKZ aus "," tool from "),L259)</f>
        <v>2 WKZ aus Alu</v>
      </c>
      <c r="M283" s="591"/>
      <c r="N283" s="589">
        <f>IF(O282,N282+1,N282)</f>
        <v>0</v>
      </c>
      <c r="O283" s="606" t="str">
        <f>CONCATENATE(O260,IF(Deutsch," WKZ aus "," tool from "),O259)</f>
        <v xml:space="preserve"> WKZ aus </v>
      </c>
      <c r="P283" s="591"/>
      <c r="Q283" s="589">
        <f>IF(R282,Q282+1,Q282)</f>
        <v>0</v>
      </c>
      <c r="R283" s="606" t="str">
        <f>CONCATENATE(R260,IF(Deutsch," WKZ aus "," tool from "),R259)</f>
        <v xml:space="preserve"> WKZ aus </v>
      </c>
      <c r="S283" s="591"/>
      <c r="T283" s="589">
        <f>IF(U282,T282+1,T282)</f>
        <v>0</v>
      </c>
      <c r="U283" s="606" t="str">
        <f>CONCATENATE(U260,IF(Deutsch," WKZ aus "," tool from "),U259)</f>
        <v xml:space="preserve"> WKZ aus </v>
      </c>
      <c r="V283" s="591"/>
      <c r="W283" s="27"/>
      <c r="X283" s="27"/>
      <c r="Y283" s="32"/>
    </row>
    <row r="284" spans="5:25" ht="15" thickBot="1" x14ac:dyDescent="0.25">
      <c r="E284" s="124">
        <f>IF(F284,E283+1,E283)</f>
        <v>6</v>
      </c>
      <c r="F284" s="687" t="b">
        <f>IFERROR(F$129&lt;30%,FALSE)</f>
        <v>0</v>
      </c>
      <c r="G284" s="602"/>
      <c r="H284" s="589">
        <f>IF(I284,H283+1,H283)</f>
        <v>8</v>
      </c>
      <c r="I284" s="687" t="b">
        <f>IFERROR(I$129&lt;30%,FALSE)</f>
        <v>0</v>
      </c>
      <c r="J284" s="589"/>
      <c r="K284" s="589">
        <f>IF(L284,K283+1,K283)</f>
        <v>8</v>
      </c>
      <c r="L284" s="687" t="b">
        <f>IFERROR(L$129&lt;30%,FALSE)</f>
        <v>0</v>
      </c>
      <c r="M284" s="589"/>
      <c r="N284" s="589">
        <f>IF(O284,N283+1,N283)</f>
        <v>1</v>
      </c>
      <c r="O284" s="687" t="b">
        <f>IFERROR(O$129&lt;30%,FALSE)</f>
        <v>1</v>
      </c>
      <c r="P284" s="589"/>
      <c r="Q284" s="589">
        <f>IF(R284,Q283+1,Q283)</f>
        <v>1</v>
      </c>
      <c r="R284" s="687" t="b">
        <f>IFERROR(R$129&lt;30%,FALSE)</f>
        <v>1</v>
      </c>
      <c r="S284" s="589"/>
      <c r="T284" s="589">
        <f>IF(U284,T283+1,T283)</f>
        <v>1</v>
      </c>
      <c r="U284" s="687" t="b">
        <f>IFERROR(U$129&lt;30%,FALSE)</f>
        <v>1</v>
      </c>
      <c r="V284" s="589"/>
      <c r="W284" s="592" t="s">
        <v>576</v>
      </c>
      <c r="X284" s="592" t="s">
        <v>580</v>
      </c>
      <c r="Y284" s="37"/>
    </row>
    <row r="285" spans="5:25" ht="15" thickBot="1" x14ac:dyDescent="0.25">
      <c r="E285" s="124">
        <f>IF(F284,E284+1,E284)</f>
        <v>6</v>
      </c>
      <c r="F285" s="693" t="str">
        <f>TEXT(F$129,"0 %")</f>
        <v>59 %</v>
      </c>
      <c r="G285" s="602"/>
      <c r="H285" s="589">
        <f>IF(I284,H284+1,H284)</f>
        <v>8</v>
      </c>
      <c r="I285" s="693" t="str">
        <f>TEXT(I$129,"0 %")</f>
        <v>57 %</v>
      </c>
      <c r="J285" s="591"/>
      <c r="K285" s="589">
        <f>IF(L284,K284+1,K284)</f>
        <v>8</v>
      </c>
      <c r="L285" s="693" t="str">
        <f>TEXT(L$129,"0 %")</f>
        <v>54 %</v>
      </c>
      <c r="M285" s="591"/>
      <c r="N285" s="589">
        <f>IF(O284,N284+1,N284)</f>
        <v>2</v>
      </c>
      <c r="O285" s="693" t="str">
        <f>TEXT(O$129,"0 %")</f>
        <v>0 %</v>
      </c>
      <c r="P285" s="591"/>
      <c r="Q285" s="589">
        <f>IF(R284,Q284+1,Q284)</f>
        <v>2</v>
      </c>
      <c r="R285" s="693" t="str">
        <f>TEXT(R$129,"0 %")</f>
        <v>0 %</v>
      </c>
      <c r="S285" s="591"/>
      <c r="T285" s="589">
        <f>IF(U284,T284+1,T284)</f>
        <v>2</v>
      </c>
      <c r="U285" s="693" t="str">
        <f>TEXT(U$129,"0 %")</f>
        <v>0 %</v>
      </c>
      <c r="V285" s="591"/>
      <c r="W285" s="27"/>
      <c r="X285" s="27"/>
      <c r="Y285" s="32"/>
    </row>
    <row r="286" spans="5:25" ht="15" thickBot="1" x14ac:dyDescent="0.25">
      <c r="E286" s="124">
        <f>IF(F286,E285+1,E285)</f>
        <v>6</v>
      </c>
      <c r="F286" s="589" t="b">
        <f>IFERROR(F61&gt;F70,FALSE)</f>
        <v>0</v>
      </c>
      <c r="G286" s="602"/>
      <c r="H286" s="589">
        <f>IF(I286,H285+1,H285)</f>
        <v>8</v>
      </c>
      <c r="I286" s="589" t="b">
        <f>IFERROR(I61&gt;I70,FALSE)</f>
        <v>0</v>
      </c>
      <c r="J286" s="589"/>
      <c r="K286" s="589">
        <f>IF(L286,K285+1,K285)</f>
        <v>8</v>
      </c>
      <c r="L286" s="589" t="b">
        <f>IFERROR(L61&gt;L70,FALSE)</f>
        <v>0</v>
      </c>
      <c r="M286" s="589"/>
      <c r="N286" s="589">
        <f>IF(O286,N285+1,N285)</f>
        <v>2</v>
      </c>
      <c r="O286" s="589" t="b">
        <f>IFERROR(O61&gt;O70,FALSE)</f>
        <v>0</v>
      </c>
      <c r="P286" s="589"/>
      <c r="Q286" s="589">
        <f>IF(R286,Q285+1,Q285)</f>
        <v>2</v>
      </c>
      <c r="R286" s="589" t="b">
        <f>IFERROR(R61&gt;R70,FALSE)</f>
        <v>0</v>
      </c>
      <c r="S286" s="589"/>
      <c r="T286" s="589">
        <f>IF(U286,T285+1,T285)</f>
        <v>2</v>
      </c>
      <c r="U286" s="589" t="b">
        <f>IFERROR(U61&gt;U70,FALSE)</f>
        <v>0</v>
      </c>
      <c r="V286" s="589"/>
      <c r="W286" s="592" t="s">
        <v>627</v>
      </c>
      <c r="X286" s="592" t="s">
        <v>628</v>
      </c>
      <c r="Y286" s="37"/>
    </row>
    <row r="287" spans="5:25" ht="15" thickBot="1" x14ac:dyDescent="0.25">
      <c r="E287" s="124">
        <f>IF(F286,E286+1,E286)</f>
        <v>6</v>
      </c>
      <c r="F287" s="606" t="str">
        <f>IF(F286,"","")</f>
        <v/>
      </c>
      <c r="G287" s="602"/>
      <c r="H287" s="589">
        <f>IF(I286,H286+1,H286)</f>
        <v>8</v>
      </c>
      <c r="I287" s="606" t="str">
        <f>IF(I286,"","")</f>
        <v/>
      </c>
      <c r="J287" s="591"/>
      <c r="K287" s="589">
        <f>IF(L286,K286+1,K286)</f>
        <v>8</v>
      </c>
      <c r="L287" s="606" t="str">
        <f>IF(L286,"","")</f>
        <v/>
      </c>
      <c r="M287" s="591"/>
      <c r="N287" s="589">
        <f>IF(O286,N286+1,N286)</f>
        <v>2</v>
      </c>
      <c r="O287" s="606" t="str">
        <f>IF(O286,"","")</f>
        <v/>
      </c>
      <c r="P287" s="591"/>
      <c r="Q287" s="589">
        <f>IF(R286,Q286+1,Q286)</f>
        <v>2</v>
      </c>
      <c r="R287" s="606" t="str">
        <f>IF(R286,"","")</f>
        <v/>
      </c>
      <c r="S287" s="591"/>
      <c r="T287" s="589">
        <f>IF(U286,T286+1,T286)</f>
        <v>2</v>
      </c>
      <c r="U287" s="606" t="str">
        <f>IF(U286,"","")</f>
        <v/>
      </c>
      <c r="V287" s="591"/>
      <c r="W287" s="27"/>
      <c r="X287" s="27"/>
      <c r="Y287" s="32"/>
    </row>
    <row r="288" spans="5:25" ht="15" thickBot="1" x14ac:dyDescent="0.25">
      <c r="E288" s="124">
        <f>IF(F288,E287+1,E287)</f>
        <v>7</v>
      </c>
      <c r="F288" s="589" t="b">
        <v>1</v>
      </c>
      <c r="G288" s="602"/>
      <c r="H288" s="589">
        <f>IF(I288,H287+1,H287)</f>
        <v>9</v>
      </c>
      <c r="I288" s="589" t="b">
        <v>1</v>
      </c>
      <c r="J288" s="589"/>
      <c r="K288" s="589">
        <f>IF(L288,K287+1,K287)</f>
        <v>9</v>
      </c>
      <c r="L288" s="589" t="b">
        <v>1</v>
      </c>
      <c r="M288" s="589"/>
      <c r="N288" s="589">
        <f>IF(O288,N287+1,N287)</f>
        <v>3</v>
      </c>
      <c r="O288" s="589" t="b">
        <v>1</v>
      </c>
      <c r="P288" s="589"/>
      <c r="Q288" s="589">
        <f>IF(R288,Q287+1,Q287)</f>
        <v>3</v>
      </c>
      <c r="R288" s="589" t="b">
        <v>1</v>
      </c>
      <c r="S288" s="589"/>
      <c r="T288" s="589">
        <f>IF(U288,T287+1,T287)</f>
        <v>3</v>
      </c>
      <c r="U288" s="589" t="b">
        <v>1</v>
      </c>
      <c r="V288" s="589"/>
      <c r="W288" s="592" t="s">
        <v>33</v>
      </c>
      <c r="X288" s="592" t="s">
        <v>33</v>
      </c>
      <c r="Y288" s="37"/>
    </row>
    <row r="289" spans="5:25" ht="15" thickBot="1" x14ac:dyDescent="0.25">
      <c r="E289" s="124">
        <f>IF(F288,E288+1,E288)</f>
        <v>8</v>
      </c>
      <c r="F289" s="606" t="s">
        <v>33</v>
      </c>
      <c r="G289" s="602"/>
      <c r="H289" s="589">
        <f>IF(I288,H288+1,H288)</f>
        <v>10</v>
      </c>
      <c r="I289" s="606" t="s">
        <v>33</v>
      </c>
      <c r="J289" s="591"/>
      <c r="K289" s="589">
        <f>IF(L288,K288+1,K288)</f>
        <v>10</v>
      </c>
      <c r="L289" s="606" t="s">
        <v>33</v>
      </c>
      <c r="M289" s="591"/>
      <c r="N289" s="589">
        <f>IF(O288,N288+1,N288)</f>
        <v>4</v>
      </c>
      <c r="O289" s="606" t="s">
        <v>33</v>
      </c>
      <c r="P289" s="591"/>
      <c r="Q289" s="589">
        <f>IF(R288,Q288+1,Q288)</f>
        <v>4</v>
      </c>
      <c r="R289" s="606" t="s">
        <v>33</v>
      </c>
      <c r="S289" s="591"/>
      <c r="T289" s="589">
        <f>IF(U288,T288+1,T288)</f>
        <v>4</v>
      </c>
      <c r="U289" s="606" t="s">
        <v>33</v>
      </c>
      <c r="V289" s="591"/>
      <c r="W289" s="27"/>
      <c r="X289" s="27"/>
      <c r="Y289" s="32"/>
    </row>
    <row r="290" spans="5:25" ht="15" thickBot="1" x14ac:dyDescent="0.25">
      <c r="E290" s="124">
        <f>IF(F290,E289+1,E289)</f>
        <v>9</v>
      </c>
      <c r="F290" s="589" t="b">
        <v>1</v>
      </c>
      <c r="G290" s="602"/>
      <c r="H290" s="589">
        <f>IF(I290,H289+1,H289)</f>
        <v>11</v>
      </c>
      <c r="I290" s="589" t="b">
        <v>1</v>
      </c>
      <c r="J290" s="589"/>
      <c r="K290" s="589">
        <f>IF(L290,K289+1,K289)</f>
        <v>11</v>
      </c>
      <c r="L290" s="589" t="b">
        <v>1</v>
      </c>
      <c r="M290" s="589"/>
      <c r="N290" s="589">
        <f>IF(O290,N289+1,N289)</f>
        <v>5</v>
      </c>
      <c r="O290" s="589" t="b">
        <v>1</v>
      </c>
      <c r="P290" s="589"/>
      <c r="Q290" s="589">
        <f>IF(R290,Q289+1,Q289)</f>
        <v>5</v>
      </c>
      <c r="R290" s="589" t="b">
        <v>1</v>
      </c>
      <c r="S290" s="589"/>
      <c r="T290" s="589">
        <f>IF(U290,T289+1,T289)</f>
        <v>5</v>
      </c>
      <c r="U290" s="589" t="b">
        <v>1</v>
      </c>
      <c r="V290" s="589"/>
      <c r="W290" s="592" t="s">
        <v>33</v>
      </c>
      <c r="X290" s="592" t="s">
        <v>33</v>
      </c>
      <c r="Y290" s="37"/>
    </row>
    <row r="291" spans="5:25" ht="15" thickBot="1" x14ac:dyDescent="0.25">
      <c r="E291" s="124">
        <f>IF(F290,E290+1,E290)</f>
        <v>10</v>
      </c>
      <c r="F291" s="606" t="s">
        <v>33</v>
      </c>
      <c r="G291" s="602"/>
      <c r="H291" s="589">
        <f>IF(I290,H290+1,H290)</f>
        <v>12</v>
      </c>
      <c r="I291" s="606" t="s">
        <v>33</v>
      </c>
      <c r="J291" s="591"/>
      <c r="K291" s="589">
        <f>IF(L290,K290+1,K290)</f>
        <v>12</v>
      </c>
      <c r="L291" s="606" t="s">
        <v>33</v>
      </c>
      <c r="M291" s="591"/>
      <c r="N291" s="589">
        <f>IF(O290,N290+1,N290)</f>
        <v>6</v>
      </c>
      <c r="O291" s="606" t="s">
        <v>33</v>
      </c>
      <c r="P291" s="591"/>
      <c r="Q291" s="589">
        <f>IF(R290,Q290+1,Q290)</f>
        <v>6</v>
      </c>
      <c r="R291" s="606" t="s">
        <v>33</v>
      </c>
      <c r="S291" s="591"/>
      <c r="T291" s="589">
        <f>IF(U290,T290+1,T290)</f>
        <v>6</v>
      </c>
      <c r="U291" s="606" t="s">
        <v>33</v>
      </c>
      <c r="V291" s="591"/>
      <c r="W291" s="27"/>
      <c r="X291" s="27"/>
      <c r="Y291" s="32"/>
    </row>
    <row r="292" spans="5:25" ht="15" thickBot="1" x14ac:dyDescent="0.25">
      <c r="E292" s="124">
        <f>IF(F292,E291+1,E291)</f>
        <v>11</v>
      </c>
      <c r="F292" s="589" t="b">
        <v>1</v>
      </c>
      <c r="G292" s="602"/>
      <c r="H292" s="589">
        <f>IF(I292,H291+1,H291)</f>
        <v>13</v>
      </c>
      <c r="I292" s="589" t="b">
        <v>1</v>
      </c>
      <c r="J292" s="589"/>
      <c r="K292" s="589">
        <f>IF(L292,K291+1,K291)</f>
        <v>13</v>
      </c>
      <c r="L292" s="589" t="b">
        <v>1</v>
      </c>
      <c r="M292" s="589"/>
      <c r="N292" s="589">
        <f>IF(O292,N291+1,N291)</f>
        <v>7</v>
      </c>
      <c r="O292" s="589" t="b">
        <v>1</v>
      </c>
      <c r="P292" s="589"/>
      <c r="Q292" s="589">
        <f>IF(R292,Q291+1,Q291)</f>
        <v>7</v>
      </c>
      <c r="R292" s="589" t="b">
        <v>1</v>
      </c>
      <c r="S292" s="589"/>
      <c r="T292" s="589">
        <f>IF(U292,T291+1,T291)</f>
        <v>7</v>
      </c>
      <c r="U292" s="589" t="b">
        <v>1</v>
      </c>
      <c r="V292" s="589"/>
      <c r="W292" s="592" t="s">
        <v>33</v>
      </c>
      <c r="X292" s="592" t="s">
        <v>33</v>
      </c>
      <c r="Y292" s="37"/>
    </row>
    <row r="293" spans="5:25" ht="15" thickBot="1" x14ac:dyDescent="0.25">
      <c r="E293" s="601">
        <f>IF(F292,E292+1,E292)</f>
        <v>12</v>
      </c>
      <c r="F293" s="606" t="s">
        <v>33</v>
      </c>
      <c r="G293" s="591"/>
      <c r="H293" s="605">
        <f>IF(I292,H292+1,H292)</f>
        <v>14</v>
      </c>
      <c r="I293" s="606" t="s">
        <v>33</v>
      </c>
      <c r="J293" s="591"/>
      <c r="K293" s="605">
        <f>IF(L292,K292+1,K292)</f>
        <v>14</v>
      </c>
      <c r="L293" s="606" t="s">
        <v>33</v>
      </c>
      <c r="M293" s="591"/>
      <c r="N293" s="605">
        <f>IF(O292,N292+1,N292)</f>
        <v>8</v>
      </c>
      <c r="O293" s="606" t="s">
        <v>33</v>
      </c>
      <c r="P293" s="591"/>
      <c r="Q293" s="605">
        <f>IF(R292,Q292+1,Q292)</f>
        <v>8</v>
      </c>
      <c r="R293" s="606" t="s">
        <v>33</v>
      </c>
      <c r="S293" s="591"/>
      <c r="T293" s="605">
        <f>IF(U292,T292+1,T292)</f>
        <v>8</v>
      </c>
      <c r="U293" s="606" t="s">
        <v>33</v>
      </c>
      <c r="V293" s="591"/>
      <c r="W293" s="27"/>
      <c r="X293" s="27"/>
      <c r="Y293" s="32"/>
    </row>
  </sheetData>
  <autoFilter ref="B3:D247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41DAB898-EEE1-42EE-9C0F-474AEFCF42D3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"/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204"/>
    </row>
    <row r="2" spans="1:1" x14ac:dyDescent="0.2">
      <c r="A2" s="1204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/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19" bestFit="1" customWidth="1"/>
    <col min="2" max="2" width="8" style="1119" bestFit="1" customWidth="1"/>
    <col min="3" max="3" width="8.625" style="1119" bestFit="1" customWidth="1"/>
    <col min="4" max="4" width="8.5" style="1119" bestFit="1" customWidth="1"/>
    <col min="5" max="5" width="8" style="1119" bestFit="1" customWidth="1"/>
    <col min="6" max="6" width="11.75" style="1119" bestFit="1" customWidth="1"/>
    <col min="7" max="7" width="9.875" style="1119" bestFit="1" customWidth="1"/>
    <col min="8" max="8" width="8.75" style="1119" bestFit="1" customWidth="1"/>
    <col min="9" max="9" width="16.75" style="1119" bestFit="1" customWidth="1"/>
    <col min="10" max="10" width="3.75" style="1119" customWidth="1"/>
    <col min="11" max="11" width="16.5" style="1142"/>
    <col min="12" max="16384" width="16.5" style="1119"/>
  </cols>
  <sheetData>
    <row r="1" spans="1:14" x14ac:dyDescent="0.2">
      <c r="A1" s="1118"/>
      <c r="B1" s="1118"/>
      <c r="C1" s="1118"/>
      <c r="D1" s="1118"/>
      <c r="E1" s="1118" t="str">
        <f>CONCATENATE(MID($D$9,1,2),".",MID($D$9,3,2),".",MID($D$9,5,4))</f>
        <v>12.06.20</v>
      </c>
      <c r="F1" s="1118"/>
      <c r="G1" s="1118"/>
      <c r="H1" s="1118"/>
      <c r="I1" s="1118"/>
      <c r="N1" s="1142" t="s">
        <v>950</v>
      </c>
    </row>
    <row r="2" spans="1:14" ht="38.25" x14ac:dyDescent="0.2">
      <c r="A2" s="1118" t="s">
        <v>928</v>
      </c>
      <c r="B2" s="1118" t="s">
        <v>929</v>
      </c>
      <c r="C2" s="1118" t="s">
        <v>930</v>
      </c>
      <c r="D2" s="1118" t="s">
        <v>931</v>
      </c>
      <c r="E2" s="1120" t="s">
        <v>932</v>
      </c>
      <c r="F2" s="1121" t="s">
        <v>933</v>
      </c>
      <c r="G2" s="1122" t="s">
        <v>934</v>
      </c>
      <c r="H2" s="1123" t="s">
        <v>937</v>
      </c>
      <c r="I2" s="1124" t="s">
        <v>938</v>
      </c>
      <c r="N2" s="1142" t="s">
        <v>951</v>
      </c>
    </row>
    <row r="3" spans="1:14" s="1130" customFormat="1" x14ac:dyDescent="0.2">
      <c r="A3" s="1125" t="s">
        <v>935</v>
      </c>
      <c r="B3" s="1126">
        <v>121400</v>
      </c>
      <c r="C3" s="1126">
        <v>121400</v>
      </c>
      <c r="D3" s="1126"/>
      <c r="E3" s="1141" t="str">
        <f t="shared" ref="E3:E5" si="0">MID($B$9,1,6)</f>
        <v>1,1319</v>
      </c>
      <c r="F3" s="1127"/>
      <c r="G3" s="1126"/>
      <c r="H3" s="1128">
        <f t="shared" ref="H3:H5" si="1">(C3/100+G3*E3)/1000*(1+F3)</f>
        <v>1.214</v>
      </c>
      <c r="I3" s="1129">
        <f t="shared" ref="I3:I5" si="2">H3/E3</f>
        <v>1.0725329092676033</v>
      </c>
      <c r="N3" s="1143"/>
    </row>
    <row r="4" spans="1:14" s="1137" customFormat="1" x14ac:dyDescent="0.2">
      <c r="A4" s="1131" t="s">
        <v>936</v>
      </c>
      <c r="B4" s="1132">
        <v>121000</v>
      </c>
      <c r="C4" s="1132">
        <v>121000</v>
      </c>
      <c r="D4" s="1132"/>
      <c r="E4" s="1140" t="str">
        <f t="shared" si="0"/>
        <v>1,1319</v>
      </c>
      <c r="F4" s="1133">
        <v>0.1</v>
      </c>
      <c r="G4" s="1134">
        <v>180</v>
      </c>
      <c r="H4" s="1135">
        <f t="shared" si="1"/>
        <v>1.5551162000000003</v>
      </c>
      <c r="I4" s="1136">
        <f t="shared" si="2"/>
        <v>1.3738989310009722</v>
      </c>
      <c r="K4" s="1137" t="s">
        <v>960</v>
      </c>
      <c r="N4" s="1144"/>
    </row>
    <row r="5" spans="1:14" s="1130" customFormat="1" x14ac:dyDescent="0.2">
      <c r="A5" s="1125" t="s">
        <v>956</v>
      </c>
      <c r="B5" s="1126">
        <v>120600</v>
      </c>
      <c r="C5" s="1126">
        <v>120600</v>
      </c>
      <c r="D5" s="1126"/>
      <c r="E5" s="1141" t="str">
        <f t="shared" si="0"/>
        <v>1,1319</v>
      </c>
      <c r="F5" s="1127"/>
      <c r="G5" s="1126"/>
      <c r="H5" s="1128">
        <f t="shared" si="1"/>
        <v>1.206</v>
      </c>
      <c r="I5" s="1129">
        <f t="shared" si="2"/>
        <v>1.0654651470978003</v>
      </c>
      <c r="N5" s="1143"/>
    </row>
    <row r="6" spans="1:14" x14ac:dyDescent="0.2">
      <c r="A6" s="1118"/>
      <c r="B6" s="1118"/>
      <c r="C6" s="1118"/>
      <c r="D6" s="1118"/>
      <c r="E6" s="1118"/>
      <c r="F6" s="1118"/>
      <c r="G6" s="1118"/>
      <c r="H6" s="1118"/>
      <c r="I6" s="1118"/>
      <c r="N6" s="1142"/>
    </row>
    <row r="7" spans="1:14" x14ac:dyDescent="0.2">
      <c r="N7" s="1142"/>
    </row>
    <row r="8" spans="1:14" ht="14.25" x14ac:dyDescent="0.2">
      <c r="A8" s="511" t="s">
        <v>939</v>
      </c>
      <c r="B8" t="s">
        <v>940</v>
      </c>
      <c r="C8" t="s">
        <v>941</v>
      </c>
      <c r="D8" t="s">
        <v>72</v>
      </c>
      <c r="E8" t="s">
        <v>942</v>
      </c>
      <c r="F8" t="s">
        <v>943</v>
      </c>
      <c r="G8" t="s">
        <v>944</v>
      </c>
      <c r="H8" t="s">
        <v>945</v>
      </c>
      <c r="N8" s="1142" t="s">
        <v>952</v>
      </c>
    </row>
    <row r="9" spans="1:14" ht="14.25" x14ac:dyDescent="0.2">
      <c r="A9" s="1138" t="s">
        <v>946</v>
      </c>
      <c r="B9" s="1138" t="s">
        <v>962</v>
      </c>
      <c r="C9" s="1138" t="s">
        <v>963</v>
      </c>
      <c r="D9">
        <v>120620</v>
      </c>
      <c r="E9" s="1139">
        <v>0.47638888888888886</v>
      </c>
      <c r="F9" s="1138" t="s">
        <v>964</v>
      </c>
      <c r="G9" s="1138" t="s">
        <v>965</v>
      </c>
      <c r="H9" s="1138" t="s">
        <v>966</v>
      </c>
    </row>
    <row r="10" spans="1:14" ht="14.25" x14ac:dyDescent="0.2">
      <c r="A10" s="1138" t="s">
        <v>946</v>
      </c>
      <c r="B10" s="1138" t="s">
        <v>967</v>
      </c>
      <c r="C10" s="1138" t="s">
        <v>947</v>
      </c>
      <c r="D10">
        <v>100620</v>
      </c>
      <c r="E10" s="1139">
        <v>0.5854166666666667</v>
      </c>
      <c r="F10" s="1138" t="s">
        <v>948</v>
      </c>
      <c r="G10" s="1138" t="s">
        <v>967</v>
      </c>
      <c r="H10" s="1138" t="s">
        <v>967</v>
      </c>
    </row>
    <row r="11" spans="1:14" ht="14.25" x14ac:dyDescent="0.2">
      <c r="A11" s="1138" t="s">
        <v>946</v>
      </c>
      <c r="B11" s="1138" t="s">
        <v>965</v>
      </c>
      <c r="C11" s="1138" t="s">
        <v>968</v>
      </c>
      <c r="D11">
        <v>110620</v>
      </c>
      <c r="E11" s="1139">
        <v>0.55277777777777781</v>
      </c>
      <c r="F11" s="1138" t="s">
        <v>948</v>
      </c>
      <c r="G11" s="1138" t="s">
        <v>965</v>
      </c>
      <c r="H11" s="1138" t="s">
        <v>965</v>
      </c>
    </row>
    <row r="12" spans="1:14" ht="14.25" x14ac:dyDescent="0.2">
      <c r="A12" s="1138" t="s">
        <v>946</v>
      </c>
      <c r="B12" s="1138" t="s">
        <v>962</v>
      </c>
      <c r="C12" s="1138" t="s">
        <v>969</v>
      </c>
      <c r="D12">
        <v>120620</v>
      </c>
      <c r="E12" s="1139">
        <v>0.47569444444444442</v>
      </c>
      <c r="F12" s="1138" t="s">
        <v>948</v>
      </c>
      <c r="G12" s="1138" t="s">
        <v>965</v>
      </c>
      <c r="H12" s="1138" t="s">
        <v>970</v>
      </c>
    </row>
    <row r="13" spans="1:14" ht="14.25" x14ac:dyDescent="0.2">
      <c r="A13" s="1138" t="s">
        <v>949</v>
      </c>
      <c r="B13" s="1138" t="s">
        <v>971</v>
      </c>
      <c r="C13" s="1138" t="s">
        <v>972</v>
      </c>
      <c r="D13">
        <v>120620</v>
      </c>
      <c r="E13" s="1139">
        <v>0.46597222222222223</v>
      </c>
      <c r="F13" s="1138" t="s">
        <v>973</v>
      </c>
      <c r="G13" s="1138" t="s">
        <v>974</v>
      </c>
      <c r="H13" s="1138" t="s">
        <v>975</v>
      </c>
    </row>
    <row r="16" spans="1:14" x14ac:dyDescent="0.2">
      <c r="E16" s="1118" t="str">
        <f>CONCATENATE(MID($D$9,1,2),".",MID($D$9,3,2),".",MID($D$9,5,4))</f>
        <v>12.06.20</v>
      </c>
    </row>
    <row r="17" spans="1:14" ht="38.25" x14ac:dyDescent="0.2">
      <c r="A17" s="1118" t="s">
        <v>928</v>
      </c>
      <c r="B17" s="1118" t="s">
        <v>929</v>
      </c>
      <c r="C17" s="1118" t="s">
        <v>930</v>
      </c>
      <c r="D17" s="1118" t="s">
        <v>931</v>
      </c>
      <c r="E17" s="1120" t="s">
        <v>932</v>
      </c>
      <c r="F17" s="1121" t="s">
        <v>933</v>
      </c>
      <c r="G17" s="1122" t="s">
        <v>934</v>
      </c>
      <c r="H17" s="1123" t="s">
        <v>937</v>
      </c>
      <c r="I17" s="1124" t="s">
        <v>938</v>
      </c>
    </row>
    <row r="18" spans="1:14" x14ac:dyDescent="0.2">
      <c r="A18" s="1125" t="s">
        <v>935</v>
      </c>
      <c r="B18" s="1126">
        <v>158200</v>
      </c>
      <c r="C18" s="1126">
        <v>158200</v>
      </c>
      <c r="D18" s="1126"/>
      <c r="E18" s="1141" t="str">
        <f t="shared" ref="E18:E21" si="3">MID($B$9,1,6)</f>
        <v>1,1319</v>
      </c>
      <c r="F18" s="1127"/>
      <c r="G18" s="1126"/>
      <c r="H18" s="1128">
        <f t="shared" ref="H18:H21" si="4">(C18/100+G18*E18)/1000*(1+F18)</f>
        <v>1.5820000000000001</v>
      </c>
      <c r="I18" s="1129">
        <f t="shared" ref="I18:I21" si="5">H18/E18</f>
        <v>1.3976499690785407</v>
      </c>
      <c r="N18" s="1142" t="s">
        <v>958</v>
      </c>
    </row>
    <row r="19" spans="1:14" x14ac:dyDescent="0.2">
      <c r="A19" s="1131" t="s">
        <v>936</v>
      </c>
      <c r="B19" s="1131">
        <v>160550</v>
      </c>
      <c r="C19" s="1131">
        <v>160550</v>
      </c>
      <c r="D19" s="1131"/>
      <c r="E19" s="1131" t="str">
        <f t="shared" si="3"/>
        <v>1,1319</v>
      </c>
      <c r="F19" s="1133">
        <v>0.1</v>
      </c>
      <c r="G19" s="1134">
        <v>400</v>
      </c>
      <c r="H19" s="1135">
        <f t="shared" si="4"/>
        <v>2.2640860000000003</v>
      </c>
      <c r="I19" s="1136">
        <f t="shared" si="5"/>
        <v>2.0002526724975707</v>
      </c>
      <c r="K19" s="1137" t="s">
        <v>959</v>
      </c>
    </row>
    <row r="20" spans="1:14" x14ac:dyDescent="0.2">
      <c r="A20" s="1125" t="s">
        <v>956</v>
      </c>
      <c r="B20" s="1126">
        <v>170500</v>
      </c>
      <c r="C20" s="1126">
        <v>170500</v>
      </c>
      <c r="D20" s="1126"/>
      <c r="E20" s="1141" t="str">
        <f t="shared" si="3"/>
        <v>1,1319</v>
      </c>
      <c r="F20" s="1127"/>
      <c r="G20" s="1126"/>
      <c r="H20" s="1128">
        <f t="shared" si="4"/>
        <v>1.7050000000000001</v>
      </c>
      <c r="I20" s="1129">
        <f t="shared" si="5"/>
        <v>1.5063168124392616</v>
      </c>
    </row>
    <row r="21" spans="1:14" x14ac:dyDescent="0.2">
      <c r="A21" s="1125" t="s">
        <v>957</v>
      </c>
      <c r="B21" s="1126">
        <v>178150</v>
      </c>
      <c r="C21" s="1126">
        <v>178150</v>
      </c>
      <c r="D21" s="1126"/>
      <c r="E21" s="1141" t="str">
        <f t="shared" si="3"/>
        <v>1,1319</v>
      </c>
      <c r="F21" s="1127"/>
      <c r="G21" s="1126"/>
      <c r="H21" s="1128">
        <f t="shared" si="4"/>
        <v>1.7815000000000001</v>
      </c>
      <c r="I21" s="1129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2021-12-03T09:50:33Z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
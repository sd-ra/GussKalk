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01990B4F-0768-401E-8597-0EC5BB482C4F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Charts!$C$67:$I$67</definedName>
    <definedName name="_xlchart.v1.4" hidden="1">Charts!$C$68:$I$68</definedName>
    <definedName name="_xlchart.v1.5" hidden="1">Charts!$C$69:$H$69</definedName>
    <definedName name="_xlchart.v1.6" hidden="1">Charts!$C$56:$I$56</definedName>
    <definedName name="_xlchart.v1.7" hidden="1">Charts!$C$57:$I$57</definedName>
    <definedName name="_xlchart.v1.8" hidden="1">Charts!$C$58:$I$58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Refkalkulation!$A$1:$X$141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Refkalkulation!$A$1:$X$141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15" l="1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6" i="7"/>
  <c r="L126" i="15"/>
  <c r="I126" i="15"/>
  <c r="M21" i="3" l="1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M13" i="3" s="1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41" i="7"/>
  <c r="L49" i="31" s="1"/>
  <c r="P58" i="3"/>
  <c r="K141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H14" i="7" s="1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41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9" i="7"/>
  <c r="K109" i="7"/>
  <c r="H109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D96" i="7" l="1"/>
  <c r="D97" i="7"/>
  <c r="D86" i="7"/>
  <c r="D82" i="7"/>
  <c r="D79" i="7"/>
  <c r="D85" i="7"/>
  <c r="D108" i="7"/>
  <c r="D107" i="7"/>
  <c r="D101" i="7"/>
  <c r="D105" i="7"/>
  <c r="D99" i="7"/>
  <c r="D104" i="7"/>
  <c r="D100" i="7"/>
  <c r="D103" i="7"/>
  <c r="I28" i="3"/>
  <c r="C23" i="24" s="1"/>
  <c r="S45" i="3"/>
  <c r="N7" i="7" s="1"/>
  <c r="P45" i="3"/>
  <c r="K7" i="7" s="1"/>
  <c r="D90" i="7"/>
  <c r="D80" i="7"/>
  <c r="D81" i="7"/>
  <c r="D83" i="7"/>
  <c r="D106" i="7"/>
  <c r="D102" i="7"/>
  <c r="D84" i="7"/>
  <c r="D109" i="7"/>
  <c r="D110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40" i="7"/>
  <c r="D141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1" i="7" s="1"/>
  <c r="I242" i="15"/>
  <c r="D78" i="7"/>
  <c r="D87" i="7"/>
  <c r="D77" i="7"/>
  <c r="D76" i="7"/>
  <c r="D114" i="7"/>
  <c r="D93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23" i="7"/>
  <c r="D119" i="7"/>
  <c r="C38" i="31" s="1"/>
  <c r="D124" i="7"/>
  <c r="D18" i="7"/>
  <c r="D89" i="7"/>
  <c r="D46" i="7"/>
  <c r="D91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I58" i="3"/>
  <c r="C53" i="24" s="1"/>
  <c r="O2" i="3"/>
  <c r="I26" i="3"/>
  <c r="C21" i="24" s="1"/>
  <c r="I27" i="3"/>
  <c r="C22" i="24" s="1"/>
  <c r="D9" i="7"/>
  <c r="R5" i="3"/>
  <c r="G7" i="31" s="1"/>
  <c r="D94" i="7"/>
  <c r="C42" i="31" s="1"/>
  <c r="D113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9" i="7"/>
  <c r="D136" i="7"/>
  <c r="D126" i="7"/>
  <c r="D121" i="7"/>
  <c r="D63" i="7"/>
  <c r="D55" i="7"/>
  <c r="D52" i="7"/>
  <c r="D35" i="7"/>
  <c r="D28" i="7"/>
  <c r="D5" i="7"/>
  <c r="D147" i="7"/>
  <c r="D139" i="7"/>
  <c r="D133" i="7"/>
  <c r="D112" i="7"/>
  <c r="D88" i="7"/>
  <c r="D64" i="7"/>
  <c r="D51" i="7"/>
  <c r="D38" i="7"/>
  <c r="D34" i="7"/>
  <c r="D26" i="7"/>
  <c r="C35" i="30" s="1"/>
  <c r="D145" i="7"/>
  <c r="D138" i="7"/>
  <c r="D131" i="7"/>
  <c r="D125" i="7"/>
  <c r="D118" i="7"/>
  <c r="C43" i="31" s="1"/>
  <c r="D116" i="7"/>
  <c r="D66" i="7"/>
  <c r="D62" i="7"/>
  <c r="D59" i="7"/>
  <c r="D54" i="7"/>
  <c r="D49" i="7"/>
  <c r="D41" i="7"/>
  <c r="D37" i="7"/>
  <c r="D17" i="7"/>
  <c r="D143" i="7"/>
  <c r="D137" i="7"/>
  <c r="D129" i="7"/>
  <c r="D98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I74" i="3"/>
  <c r="C69" i="24" s="1"/>
  <c r="I76" i="3"/>
  <c r="C71" i="24" s="1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7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K81" i="7"/>
  <c r="L239" i="15"/>
  <c r="N81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4" i="7" s="1"/>
  <c r="N85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4" i="7" s="1"/>
  <c r="K85" i="7" s="1"/>
  <c r="F246" i="15"/>
  <c r="F243" i="15" s="1"/>
  <c r="H84" i="7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92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35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11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35" i="7"/>
  <c r="C47" i="31" s="1"/>
  <c r="G3" i="14"/>
  <c r="B62" i="14"/>
  <c r="B41" i="14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5" i="7"/>
  <c r="D14" i="7"/>
  <c r="D24" i="7"/>
  <c r="C55" i="24"/>
  <c r="D13" i="7"/>
  <c r="C7" i="24"/>
  <c r="C58" i="24"/>
  <c r="D50" i="7"/>
  <c r="D58" i="7"/>
  <c r="C60" i="24"/>
  <c r="D128" i="7"/>
  <c r="C77" i="24"/>
  <c r="C5" i="24"/>
  <c r="C61" i="24"/>
  <c r="D61" i="7"/>
  <c r="C14" i="31" s="1"/>
  <c r="C76" i="24"/>
  <c r="D127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G32" i="3" l="1"/>
  <c r="N90" i="7"/>
  <c r="N91" i="7" s="1"/>
  <c r="H90" i="7"/>
  <c r="K90" i="7"/>
  <c r="K91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35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K101" i="7" l="1"/>
  <c r="K86" i="7"/>
  <c r="K105" i="7"/>
  <c r="K97" i="7"/>
  <c r="K96" i="7" s="1"/>
  <c r="K108" i="7"/>
  <c r="N108" i="7"/>
  <c r="N86" i="7"/>
  <c r="N101" i="7"/>
  <c r="N100" i="7" s="1"/>
  <c r="N97" i="7"/>
  <c r="N105" i="7"/>
  <c r="H108" i="7"/>
  <c r="H86" i="7"/>
  <c r="H105" i="7"/>
  <c r="H104" i="7" s="1"/>
  <c r="H101" i="7"/>
  <c r="H97" i="7"/>
  <c r="H96" i="7" s="1"/>
  <c r="N104" i="7"/>
  <c r="P71" i="3"/>
  <c r="O71" i="3" s="1"/>
  <c r="H91" i="7"/>
  <c r="M71" i="3"/>
  <c r="L71" i="3" s="1"/>
  <c r="H85" i="7"/>
  <c r="N96" i="7"/>
  <c r="M75" i="3"/>
  <c r="L75" i="3" s="1"/>
  <c r="R74" i="3"/>
  <c r="R75" i="3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40" i="7" s="1"/>
  <c r="F194" i="15"/>
  <c r="F151" i="15"/>
  <c r="F185" i="15" s="1"/>
  <c r="F125" i="15"/>
  <c r="F122" i="15" s="1"/>
  <c r="H88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8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H83" i="7" l="1"/>
  <c r="H80" i="7"/>
  <c r="R76" i="3"/>
  <c r="N107" i="7"/>
  <c r="M76" i="3"/>
  <c r="L76" i="3" s="1"/>
  <c r="H107" i="7"/>
  <c r="P76" i="3"/>
  <c r="O76" i="3" s="1"/>
  <c r="K107" i="7"/>
  <c r="P75" i="3"/>
  <c r="O75" i="3" s="1"/>
  <c r="K104" i="7"/>
  <c r="M74" i="3"/>
  <c r="L74" i="3" s="1"/>
  <c r="H100" i="7"/>
  <c r="P74" i="3"/>
  <c r="O74" i="3" s="1"/>
  <c r="K100" i="7"/>
  <c r="H82" i="7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6" i="7" s="1"/>
  <c r="I271" i="15"/>
  <c r="I269" i="15" s="1"/>
  <c r="K140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8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40" i="7" s="1"/>
  <c r="L154" i="15"/>
  <c r="L17" i="15"/>
  <c r="L15" i="15" s="1"/>
  <c r="L125" i="15"/>
  <c r="L122" i="15" s="1"/>
  <c r="N88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35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K83" i="7" l="1"/>
  <c r="K80" i="7"/>
  <c r="K79" i="7" s="1"/>
  <c r="N83" i="7"/>
  <c r="N82" i="7" s="1"/>
  <c r="N80" i="7"/>
  <c r="N79" i="7" s="1"/>
  <c r="H87" i="7"/>
  <c r="K82" i="7"/>
  <c r="E36" i="30"/>
  <c r="E34" i="31"/>
  <c r="I36" i="30"/>
  <c r="I34" i="31"/>
  <c r="F261" i="15"/>
  <c r="F256" i="15" s="1"/>
  <c r="L175" i="15"/>
  <c r="L253" i="15" s="1"/>
  <c r="N94" i="7" s="1"/>
  <c r="K16" i="30" s="1"/>
  <c r="I175" i="15"/>
  <c r="I253" i="15" s="1"/>
  <c r="K94" i="7" s="1"/>
  <c r="G16" i="30" s="1"/>
  <c r="F253" i="15"/>
  <c r="H94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6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8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8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7" i="7"/>
  <c r="F257" i="15"/>
  <c r="K87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12" i="7"/>
  <c r="H113" i="7" s="1"/>
  <c r="E42" i="31" s="1"/>
  <c r="F189" i="15"/>
  <c r="F276" i="15"/>
  <c r="K116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I231" i="15" l="1"/>
  <c r="I232" i="15" s="1"/>
  <c r="I225" i="15" s="1"/>
  <c r="I118" i="15" s="1"/>
  <c r="I117" i="15" s="1"/>
  <c r="K68" i="7" s="1"/>
  <c r="K69" i="7" s="1"/>
  <c r="F259" i="15"/>
  <c r="F266" i="15" s="1"/>
  <c r="F264" i="15" s="1"/>
  <c r="H139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12" i="7"/>
  <c r="N113" i="7" s="1"/>
  <c r="M42" i="31" s="1"/>
  <c r="K112" i="7"/>
  <c r="K113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33" i="7" s="1"/>
  <c r="L77" i="15"/>
  <c r="I43" i="15"/>
  <c r="I40" i="15" s="1"/>
  <c r="I111" i="15" s="1"/>
  <c r="K17" i="7"/>
  <c r="I59" i="15"/>
  <c r="I70" i="15"/>
  <c r="H51" i="7"/>
  <c r="H133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9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8" i="7" s="1"/>
  <c r="N59" i="7"/>
  <c r="N60" i="7" s="1"/>
  <c r="I109" i="15"/>
  <c r="K62" i="7" s="1"/>
  <c r="K65" i="7" s="1"/>
  <c r="K66" i="7" s="1"/>
  <c r="I78" i="15"/>
  <c r="I264" i="15"/>
  <c r="K139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33" i="7" s="1"/>
  <c r="I160" i="15"/>
  <c r="I158" i="15" s="1"/>
  <c r="I156" i="15" s="1"/>
  <c r="U278" i="15"/>
  <c r="O278" i="15"/>
  <c r="N276" i="15"/>
  <c r="T276" i="15"/>
  <c r="H19" i="7" l="1"/>
  <c r="H20" i="7" s="1"/>
  <c r="H89" i="7"/>
  <c r="H93" i="7" s="1"/>
  <c r="H138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9" i="7"/>
  <c r="N93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8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9" i="7"/>
  <c r="K93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45" i="7"/>
  <c r="N146" i="7"/>
  <c r="N148" i="7"/>
  <c r="N147" i="7"/>
  <c r="R279" i="15"/>
  <c r="N150" i="7"/>
  <c r="N149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7" i="7"/>
  <c r="K146" i="7"/>
  <c r="K150" i="7"/>
  <c r="K145" i="7"/>
  <c r="K149" i="7"/>
  <c r="K148" i="7"/>
  <c r="E285" i="15"/>
  <c r="E286" i="15" s="1"/>
  <c r="E287" i="15" s="1"/>
  <c r="E288" i="15" s="1"/>
  <c r="E289" i="15" s="1"/>
  <c r="E290" i="15" s="1"/>
  <c r="E291" i="15" s="1"/>
  <c r="E292" i="15" s="1"/>
  <c r="E293" i="15" s="1"/>
  <c r="H148" i="7" s="1"/>
  <c r="I41" i="30" l="1"/>
  <c r="I39" i="31"/>
  <c r="E39" i="30"/>
  <c r="E37" i="31"/>
  <c r="D33" i="31" s="1"/>
  <c r="I39" i="30"/>
  <c r="I37" i="31"/>
  <c r="H33" i="31" s="1"/>
  <c r="H115" i="7"/>
  <c r="H118" i="7" s="1"/>
  <c r="E43" i="31" s="1"/>
  <c r="D38" i="31" s="1"/>
  <c r="D57" i="31" s="1"/>
  <c r="E41" i="30"/>
  <c r="N115" i="7"/>
  <c r="N118" i="7" s="1"/>
  <c r="M43" i="31" s="1"/>
  <c r="L38" i="31" s="1"/>
  <c r="M41" i="30"/>
  <c r="H26" i="7"/>
  <c r="D35" i="30" s="1"/>
  <c r="K26" i="7"/>
  <c r="H35" i="30" s="1"/>
  <c r="K115" i="7"/>
  <c r="H146" i="7"/>
  <c r="H145" i="7"/>
  <c r="H147" i="7"/>
  <c r="H150" i="7"/>
  <c r="H149" i="7"/>
  <c r="C57" i="31" l="1"/>
  <c r="D58" i="31" s="1"/>
  <c r="E58" i="31" s="1"/>
  <c r="C63" i="31"/>
  <c r="D64" i="31" s="1"/>
  <c r="K129" i="7"/>
  <c r="H129" i="7"/>
  <c r="N119" i="7"/>
  <c r="D68" i="31" s="1"/>
  <c r="H119" i="7"/>
  <c r="K118" i="7"/>
  <c r="I43" i="31" s="1"/>
  <c r="H38" i="31" s="1"/>
  <c r="D47" i="30" l="1"/>
  <c r="D45" i="31"/>
  <c r="H47" i="30"/>
  <c r="H45" i="31"/>
  <c r="N125" i="7"/>
  <c r="L40" i="30"/>
  <c r="M45" i="30"/>
  <c r="E45" i="30"/>
  <c r="D40" i="30"/>
  <c r="K119" i="7"/>
  <c r="H122" i="7"/>
  <c r="H124" i="7" s="1"/>
  <c r="H125" i="7"/>
  <c r="W4" i="7"/>
  <c r="F63" i="31" l="1"/>
  <c r="F57" i="31"/>
  <c r="D63" i="31"/>
  <c r="E64" i="31" s="1"/>
  <c r="K122" i="7"/>
  <c r="K124" i="7" s="1"/>
  <c r="I45" i="30"/>
  <c r="H40" i="30"/>
  <c r="H126" i="7"/>
  <c r="D44" i="31" s="1"/>
  <c r="K125" i="7"/>
  <c r="E57" i="31" l="1"/>
  <c r="F58" i="31" s="1"/>
  <c r="D46" i="31"/>
  <c r="E47" i="31" s="1"/>
  <c r="K126" i="7"/>
  <c r="H131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1" i="7"/>
  <c r="K2" i="7" s="1"/>
  <c r="K3" i="7" s="1"/>
  <c r="K4" i="7" s="1"/>
  <c r="H136" i="7"/>
  <c r="H137" i="7" s="1"/>
  <c r="E46" i="30"/>
  <c r="E47" i="30"/>
  <c r="I46" i="30" l="1"/>
  <c r="E63" i="31"/>
  <c r="F64" i="31" s="1"/>
  <c r="H46" i="31"/>
  <c r="I47" i="31" s="1"/>
  <c r="K136" i="7"/>
  <c r="K137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22" i="7"/>
  <c r="N129" i="7"/>
  <c r="L35" i="30"/>
  <c r="L47" i="30" l="1"/>
  <c r="L45" i="31"/>
  <c r="N124" i="7"/>
  <c r="N126" i="7" s="1"/>
  <c r="L44" i="31" l="1"/>
  <c r="L46" i="31" s="1"/>
  <c r="L46" i="30"/>
  <c r="N131" i="7"/>
  <c r="F68" i="31"/>
  <c r="L48" i="30" l="1"/>
  <c r="M47" i="30" s="1"/>
  <c r="M47" i="31"/>
  <c r="G68" i="31"/>
  <c r="H68" i="31" s="1"/>
  <c r="M45" i="31"/>
  <c r="N2" i="7"/>
  <c r="N3" i="7" s="1"/>
  <c r="N4" i="7" s="1"/>
  <c r="N136" i="7"/>
  <c r="N137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<sst xmlns="http://schemas.openxmlformats.org/spreadsheetml/2006/main" count="3254" uniqueCount="1002">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</sst>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2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" fontId="6" fillId="18" borderId="9" xfId="0" applyNumberFormat="1" applyFont="1" applyFill="1" applyBorder="1" applyAlignment="1" applyProtection="1">
      <alignment horizontal="center"/>
      <protection locked="0"/>
    </xf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2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9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 cost total</c:v>
                </c:pt>
                <c:pt idx="1">
                  <c:v>Fertigungskosten</c:v>
                </c:pt>
                <c:pt idx="2">
                  <c:v>administration cost total</c:v>
                </c:pt>
                <c:pt idx="3">
                  <c:v>profit total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97.82641222297967</c:v>
                </c:pt>
                <c:pt idx="5">
                  <c:v>135.00041017345507</c:v>
                </c:pt>
                <c:pt idx="11">
                  <c:v>38.739251501448578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 cost total</c:v>
                </c:pt>
                <c:pt idx="1">
                  <c:v>Fertigungskosten</c:v>
                </c:pt>
                <c:pt idx="2">
                  <c:v>administration cost total</c:v>
                </c:pt>
                <c:pt idx="3">
                  <c:v>profit total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19.663012549730173</c:v>
                </c:pt>
                <c:pt idx="11">
                  <c:v>5.4532618930109233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30.332104512106515</c:v>
                </c:pt>
                <c:pt idx="11">
                  <c:v>7.5870802854861914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6" dataDxfId="25">
  <autoFilter ref="A2:I5" xr:uid="{00000000-0009-0000-0100-000001000000}"/>
  <tableColumns count="9">
    <tableColumn id="1" xr3:uid="{00000000-0010-0000-0000-000001000000}" uniqueName="1" name="Contract" queryTableFieldId="1" dataDxfId="24"/>
    <tableColumn id="2" xr3:uid="{00000000-0010-0000-0000-000002000000}" uniqueName="2" name="Bid (US$ / Tonne)" queryTableFieldId="2" dataDxfId="23"/>
    <tableColumn id="3" xr3:uid="{00000000-0010-0000-0000-000003000000}" uniqueName="3" name="Offer (US$ / Tonne)*" queryTableFieldId="3" dataDxfId="22"/>
    <tableColumn id="11" xr3:uid="{00000000-0010-0000-0000-00000B000000}" uniqueName="11" name="Spalte2" queryTableFieldId="11" dataDxfId="21"/>
    <tableColumn id="6" xr3:uid="{00000000-0010-0000-0000-000006000000}" uniqueName="6" name="Exchange [$/€]" queryTableFieldId="6" dataDxfId="20">
      <calculatedColumnFormula>MID($B$9,1,6)</calculatedColumnFormula>
    </tableColumn>
    <tableColumn id="13" xr3:uid="{00000000-0010-0000-0000-00000D000000}" uniqueName="13" name="Abbrand" queryTableFieldId="4" dataDxfId="19"/>
    <tableColumn id="12" xr3:uid="{00000000-0010-0000-0000-00000C000000}" uniqueName="12" name="Premium_x000a_[€/t]" queryTableFieldId="5" dataDxfId="18"/>
    <tableColumn id="8" xr3:uid="{00000000-0010-0000-0000-000008000000}" uniqueName="8" name="Alu-Alloy_x000a_3-months [$/kg]" queryTableFieldId="8" dataDxfId="17">
      <calculatedColumnFormula>(C3/100+G3*E3)/1000*(1+F3)</calculatedColumnFormula>
    </tableColumn>
    <tableColumn id="9" xr3:uid="{00000000-0010-0000-0000-000009000000}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5"/>
    <tableColumn id="2" xr3:uid="{00000000-0010-0000-0100-000002000000}" uniqueName="2" name="Kurs" queryTableFieldId="2" dataDxfId="14"/>
    <tableColumn id="3" xr3:uid="{00000000-0010-0000-0100-000003000000}" uniqueName="3" name="Diff. %" queryTableFieldId="3" dataDxfId="13"/>
    <tableColumn id="4" xr3:uid="{00000000-0010-0000-0100-000004000000}" uniqueName="4" name="Datum" queryTableFieldId="4"/>
    <tableColumn id="5" xr3:uid="{00000000-0010-0000-0100-000005000000}" uniqueName="5" name="Zeit" queryTableFieldId="5" dataDxfId="12"/>
    <tableColumn id="6" xr3:uid="{00000000-0010-0000-0100-000006000000}" uniqueName="6" name="Eröffnung" queryTableFieldId="6" dataDxfId="11"/>
    <tableColumn id="7" xr3:uid="{00000000-0010-0000-0100-000007000000}" uniqueName="7" name="T.-Hoch" queryTableFieldId="7" dataDxfId="10"/>
    <tableColumn id="8" xr3:uid="{00000000-0010-0000-0100-0000080000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8" dataCellStyle="Standard 4"/>
    <tableColumn id="2" xr3:uid="{00000000-0010-0000-0200-000002000000}" uniqueName="2" name="Bid (US$ / Tonne)" queryTableFieldId="2" dataDxfId="7" dataCellStyle="Standard 4"/>
    <tableColumn id="3" xr3:uid="{00000000-0010-0000-0200-000003000000}" uniqueName="3" name="Offer (US$ / Tonne)*" queryTableFieldId="3" dataDxfId="6" dataCellStyle="Standard 4"/>
    <tableColumn id="4" xr3:uid="{00000000-0010-0000-0200-000004000000}" uniqueName="4" name="Spalte2" queryTableFieldId="4" dataDxfId="5" dataCellStyle="Standard 4"/>
    <tableColumn id="5" xr3:uid="{00000000-0010-0000-0200-000005000000}" uniqueName="5" name="Exchange [$/€]" queryTableFieldId="5" dataDxfId="4" dataCellStyle="Standard 4">
      <calculatedColumnFormula>MID($B$9,1,6)</calculatedColumnFormula>
    </tableColumn>
    <tableColumn id="6" xr3:uid="{00000000-0010-0000-0200-000006000000}" uniqueName="6" name="Abbrand" queryTableFieldId="6" dataDxfId="3" dataCellStyle="Prozent 3"/>
    <tableColumn id="7" xr3:uid="{00000000-0010-0000-0200-000007000000}" uniqueName="7" name="Premium_x000a_[€/t]" queryTableFieldId="7" dataDxfId="2" dataCellStyle="Standard 4"/>
    <tableColumn id="8" xr3:uid="{00000000-0010-0000-0200-000008000000}" uniqueName="8" name="Alu-Alloy_x000a_3-months [$/kg]" queryTableFieldId="8" dataDxfId="1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44515</v>
      </c>
      <c r="N3" s="958"/>
      <c r="O3" s="957"/>
    </row>
    <row r="4" spans="1:28" ht="20.25" x14ac:dyDescent="0.3">
      <c r="A4" s="955"/>
      <c r="B4" s="958"/>
      <c r="C4" s="1083" t="str">
        <f>'Quick Input'!O2</f>
        <v>AL Sand Casting</v>
      </c>
      <c r="D4" s="1059"/>
      <c r="E4" s="1059"/>
      <c r="F4" s="1059"/>
      <c r="G4" s="1063" t="str">
        <f>'Quick Input'!R2</f>
        <v>Siemens site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name: Housing / ESN: 58622</v>
      </c>
      <c r="D5" s="1062"/>
      <c r="E5" s="1059"/>
      <c r="F5" s="1059"/>
      <c r="G5" s="1063" t="str">
        <f>'Quick Input'!R3</f>
        <v>supplier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plant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contact person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Germany</v>
      </c>
      <c r="D10" s="1071"/>
      <c r="E10" s="1072"/>
      <c r="F10" s="976"/>
      <c r="G10" s="1070" t="str">
        <f>Refkalkulation!K7</f>
        <v>Poland</v>
      </c>
      <c r="H10" s="1071"/>
      <c r="I10" s="1072"/>
      <c r="J10" s="976"/>
      <c r="K10" s="1070" t="str">
        <f>Refkalkulation!N7</f>
        <v>Germany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43531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life time (years):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life time (years):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life time (years):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quantity per year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quantity per year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quantity per year (peak): </v>
      </c>
      <c r="L13" s="1074">
        <f>'Quick Input'!R36</f>
        <v>5000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production lot size</v>
      </c>
      <c r="D14" s="1074">
        <f>Refkalkulation!H61</f>
        <v>100</v>
      </c>
      <c r="E14" s="1065"/>
      <c r="F14" s="958"/>
      <c r="G14" s="1077" t="str">
        <f>$C$14</f>
        <v>production lot size</v>
      </c>
      <c r="H14" s="1074">
        <f>Refkalkulation!K61</f>
        <v>100</v>
      </c>
      <c r="I14" s="1065"/>
      <c r="J14" s="958"/>
      <c r="K14" s="1077" t="str">
        <f>$C$14</f>
        <v>production lot size</v>
      </c>
      <c r="L14" s="1074">
        <f>Refkalkulation!N61</f>
        <v>100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moulding technique: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moulding technique: Handformen / Sandkern: Kernschießen</v>
      </c>
      <c r="H15" s="1080"/>
      <c r="I15" s="1081"/>
      <c r="J15" s="958"/>
      <c r="K15" s="1078" t="str">
        <f>CONCATENATE('Quick Input'!I22,": ",'Quick Input'!R22," / Sandkern: ",'Quick Input'!R23)</f>
        <v>moulding technique: Handformen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materials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materials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materials</v>
      </c>
      <c r="L31" s="1088" t="str">
        <f>'Quick Input'!S11</f>
        <v>Al Si10Mg(b)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 material price (€ per 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 material price (€ per 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 material price (€ per kg)</v>
      </c>
      <c r="L32" s="1091">
        <f>Refkalkulation!N12</f>
        <v>1.9670528580208975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materials</v>
      </c>
      <c r="D33" s="1094">
        <f>SUM(E34:E37)</f>
        <v>97.82641222297967</v>
      </c>
      <c r="E33" s="1095"/>
      <c r="F33" s="958"/>
      <c r="G33" s="1093" t="str">
        <f t="shared" si="0"/>
        <v>materials</v>
      </c>
      <c r="H33" s="1094">
        <f>SUM(I34:I37)</f>
        <v>12.672161525540741</v>
      </c>
      <c r="I33" s="1095"/>
      <c r="J33" s="958"/>
      <c r="K33" s="1093" t="str">
        <f t="shared" si="1"/>
        <v>materials</v>
      </c>
      <c r="L33" s="1094">
        <f>SUM(M34:M37)</f>
        <v>12.672161525540741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 cost raw part</v>
      </c>
      <c r="D34" s="1097"/>
      <c r="E34" s="1098">
        <f>Refkalkulation!H15</f>
        <v>80.010106899902823</v>
      </c>
      <c r="F34" s="992"/>
      <c r="G34" s="1096" t="str">
        <f t="shared" si="0"/>
        <v xml:space="preserve">               material cost raw part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 cost raw part</v>
      </c>
      <c r="L34" s="1097"/>
      <c r="M34" s="1098">
        <f>Refkalkulation!N15</f>
        <v>9.8352642901044867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cost for melting loss</v>
      </c>
      <c r="D35" s="1097"/>
      <c r="E35" s="1098">
        <f>Refkalkulation!H17</f>
        <v>6.4096901742807058</v>
      </c>
      <c r="F35" s="992"/>
      <c r="G35" s="1096" t="str">
        <f t="shared" si="0"/>
        <v xml:space="preserve">               cost for melting loss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cost for melting loss</v>
      </c>
      <c r="L35" s="1097"/>
      <c r="M35" s="1098">
        <f>Refkalkulation!N17</f>
        <v>0.79784922319733242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cost sum auxiliaries (€/pc.)</v>
      </c>
      <c r="D36" s="1097"/>
      <c r="E36" s="1098">
        <f>Refkalkulation!H23</f>
        <v>5.0067564052367217</v>
      </c>
      <c r="F36" s="992"/>
      <c r="G36" s="1096" t="str">
        <f t="shared" si="0"/>
        <v xml:space="preserve">               cost sum auxiliaries (€/pc.)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cost sum auxiliaries (€/pc.)</v>
      </c>
      <c r="L36" s="1097"/>
      <c r="M36" s="1098">
        <f>Refkalkulation!N23</f>
        <v>1.2100280993530796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 overhead</v>
      </c>
      <c r="D37" s="1100"/>
      <c r="E37" s="1101">
        <f>Refkalkulation!H25</f>
        <v>6.3998587435594176</v>
      </c>
      <c r="F37" s="992"/>
      <c r="G37" s="1099" t="str">
        <f t="shared" si="0"/>
        <v xml:space="preserve">               material overhead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 overhead</v>
      </c>
      <c r="L37" s="1100"/>
      <c r="M37" s="1101">
        <f>Refkalkulation!N25</f>
        <v>0.82901991288584298</v>
      </c>
      <c r="N37" s="992"/>
      <c r="O37" s="957"/>
    </row>
    <row r="38" spans="1:16" ht="15" x14ac:dyDescent="0.25">
      <c r="A38" s="955"/>
      <c r="B38" s="958"/>
      <c r="C38" s="1093" t="str">
        <f>Refkalkulation!D119</f>
        <v>manufacturing cost total</v>
      </c>
      <c r="D38" s="1094">
        <f>SUM(E39:E43)</f>
        <v>135.00041017345507</v>
      </c>
      <c r="E38" s="1102"/>
      <c r="F38" s="999"/>
      <c r="G38" s="1093" t="str">
        <f t="shared" si="0"/>
        <v>manufacturing cost total</v>
      </c>
      <c r="H38" s="1094">
        <f>SUM(I39:I43)</f>
        <v>19.663012549730173</v>
      </c>
      <c r="I38" s="1102"/>
      <c r="J38" s="999"/>
      <c r="K38" s="1093" t="str">
        <f t="shared" si="1"/>
        <v>manufacturing cost total</v>
      </c>
      <c r="L38" s="1094">
        <f>SUM(M39:M43)</f>
        <v>30.332104512106515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melting process</v>
      </c>
      <c r="D39" s="1104"/>
      <c r="E39" s="1105">
        <f>Refkalkulation!H47</f>
        <v>3.7683714865311138</v>
      </c>
      <c r="F39" s="1003"/>
      <c r="G39" s="1103" t="str">
        <f t="shared" si="0"/>
        <v xml:space="preserve">               melting process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melting process</v>
      </c>
      <c r="L39" s="1104"/>
      <c r="M39" s="1105">
        <f>Refkalkulation!N47</f>
        <v>0.53738409644769536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sand forming process</v>
      </c>
      <c r="D40" s="1106"/>
      <c r="E40" s="1105">
        <f>Refkalkulation!H72</f>
        <v>45.925479191961877</v>
      </c>
      <c r="F40" s="1003"/>
      <c r="G40" s="1103" t="str">
        <f t="shared" si="0"/>
        <v xml:space="preserve">               sand forming process</v>
      </c>
      <c r="H40" s="1106"/>
      <c r="I40" s="1105">
        <f>Refkalkulation!K72</f>
        <v>10.300893193901665</v>
      </c>
      <c r="J40" s="1003"/>
      <c r="K40" s="1103" t="str">
        <f t="shared" si="1"/>
        <v xml:space="preserve">               sand forming process</v>
      </c>
      <c r="L40" s="1106"/>
      <c r="M40" s="1105">
        <f>Refkalkulation!N72</f>
        <v>15.475299479382162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after care</v>
      </c>
      <c r="D41" s="1106"/>
      <c r="E41" s="1105">
        <f>Refkalkulation!H93</f>
        <v>66.683562908275917</v>
      </c>
      <c r="F41" s="1003"/>
      <c r="G41" s="1103" t="str">
        <f t="shared" si="0"/>
        <v xml:space="preserve">               after care</v>
      </c>
      <c r="H41" s="1106"/>
      <c r="I41" s="1105">
        <f>Refkalkulation!K93</f>
        <v>3.534532815168459</v>
      </c>
      <c r="J41" s="1003"/>
      <c r="K41" s="1103" t="str">
        <f t="shared" si="1"/>
        <v xml:space="preserve">               after care</v>
      </c>
      <c r="L41" s="1106"/>
      <c r="M41" s="1105">
        <f>Refkalkulation!N93</f>
        <v>7.0846825378696678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",Refkalkulation!D94)</f>
        <v xml:space="preserve">               testing</v>
      </c>
      <c r="D42" s="1106"/>
      <c r="E42" s="1105">
        <f>Refkalkulation!H113+Refkalkulation!H116/Refkalkulation!H61</f>
        <v>6.3502320254629634</v>
      </c>
      <c r="F42" s="1003"/>
      <c r="G42" s="1103" t="str">
        <f t="shared" si="0"/>
        <v xml:space="preserve">               testing</v>
      </c>
      <c r="H42" s="1106"/>
      <c r="I42" s="1105">
        <f>Refkalkulation!K113+Refkalkulation!K116/Refkalkulation!K61</f>
        <v>3.2506872407407412</v>
      </c>
      <c r="J42" s="1003"/>
      <c r="K42" s="1103" t="str">
        <f t="shared" si="1"/>
        <v xml:space="preserve">               testing</v>
      </c>
      <c r="L42" s="1106"/>
      <c r="M42" s="1105">
        <f>Refkalkulation!N113+Refkalkulation!N116/Refkalkulation!N61</f>
        <v>4.4772743518518521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",Refkalkulation!D118)</f>
        <v xml:space="preserve">               IPC - surcharge</v>
      </c>
      <c r="D43" s="1106"/>
      <c r="E43" s="1105">
        <f>Refkalkulation!H118</f>
        <v>12.272764561223187</v>
      </c>
      <c r="F43" s="1003"/>
      <c r="G43" s="1103" t="str">
        <f t="shared" si="0"/>
        <v xml:space="preserve">               IPC - surcharge</v>
      </c>
      <c r="H43" s="1106"/>
      <c r="I43" s="1105">
        <f>Refkalkulation!K118</f>
        <v>1.7875465954300158</v>
      </c>
      <c r="J43" s="1003"/>
      <c r="K43" s="1103" t="str">
        <f t="shared" si="1"/>
        <v xml:space="preserve">               IPC - surcharge</v>
      </c>
      <c r="L43" s="1106"/>
      <c r="M43" s="1105">
        <f>Refkalkulation!N118</f>
        <v>2.7574640465551377</v>
      </c>
      <c r="N43" s="1003"/>
      <c r="O43" s="957"/>
    </row>
    <row r="44" spans="1:16" x14ac:dyDescent="0.2">
      <c r="A44" s="955"/>
      <c r="B44" s="958"/>
      <c r="C44" s="1107" t="str">
        <f>Refkalkulation!D126</f>
        <v>administration cost total</v>
      </c>
      <c r="D44" s="1108">
        <f>Refkalkulation!H126</f>
        <v>38.739251501448578</v>
      </c>
      <c r="E44" s="1109">
        <f>D44/D46</f>
        <v>0.14265129272375773</v>
      </c>
      <c r="F44" s="1003"/>
      <c r="G44" s="1107" t="str">
        <f t="shared" si="0"/>
        <v>administration cost total</v>
      </c>
      <c r="H44" s="1108">
        <f>Refkalkulation!K126</f>
        <v>5.4532618930109233</v>
      </c>
      <c r="I44" s="1109">
        <f>H44/H46</f>
        <v>0.14431033604005686</v>
      </c>
      <c r="J44" s="958"/>
      <c r="K44" s="1107" t="str">
        <f t="shared" si="1"/>
        <v>administration cost total</v>
      </c>
      <c r="L44" s="1108">
        <f>Refkalkulation!N126</f>
        <v>7.5870802854861914</v>
      </c>
      <c r="M44" s="1109">
        <f>L44/L46</f>
        <v>0.14996794584248721</v>
      </c>
      <c r="N44" s="958"/>
      <c r="O44" s="957"/>
    </row>
    <row r="45" spans="1:16" ht="18" customHeight="1" x14ac:dyDescent="0.25">
      <c r="A45" s="955"/>
      <c r="B45" s="958"/>
      <c r="C45" s="1110" t="str">
        <f>Refkalkulation!D129</f>
        <v>profit total</v>
      </c>
      <c r="D45" s="1108">
        <f>Refkalkulation!H129</f>
        <v>0</v>
      </c>
      <c r="E45" s="1111">
        <f>D45/D46</f>
        <v>0</v>
      </c>
      <c r="F45" s="1003"/>
      <c r="G45" s="1110" t="str">
        <f t="shared" si="0"/>
        <v>profit total</v>
      </c>
      <c r="H45" s="1108">
        <f>Refkalkulation!K129</f>
        <v>0</v>
      </c>
      <c r="I45" s="1111">
        <f>H45/H46</f>
        <v>0</v>
      </c>
      <c r="J45" s="958"/>
      <c r="K45" s="1110" t="str">
        <f t="shared" si="1"/>
        <v>profit total</v>
      </c>
      <c r="L45" s="1108">
        <f>Refkalkulation!N129</f>
        <v>0</v>
      </c>
      <c r="M45" s="1111">
        <f>L45/L46</f>
        <v>0</v>
      </c>
      <c r="N45" s="958"/>
      <c r="O45" s="957"/>
    </row>
    <row r="46" spans="1:16" ht="15" x14ac:dyDescent="0.2">
      <c r="A46" s="955"/>
      <c r="B46" s="958"/>
      <c r="C46" s="1116" t="str">
        <f>Refkalkulation!D131</f>
        <v>part cost total</v>
      </c>
      <c r="D46" s="1112">
        <f>SUM(D33:D45)</f>
        <v>271.56607389788331</v>
      </c>
      <c r="E46" s="1113" t="s">
        <v>917</v>
      </c>
      <c r="F46" s="1075"/>
      <c r="G46" s="1116" t="str">
        <f t="shared" si="0"/>
        <v>part cost total</v>
      </c>
      <c r="H46" s="1112">
        <f>SUM(H33:H45)</f>
        <v>37.788435968281838</v>
      </c>
      <c r="I46" s="1113" t="s">
        <v>917</v>
      </c>
      <c r="J46" s="1075"/>
      <c r="K46" s="1116" t="str">
        <f t="shared" si="1"/>
        <v>part cost total</v>
      </c>
      <c r="L46" s="1112">
        <f>SUM(L33:L45)</f>
        <v>50.59134632313345</v>
      </c>
      <c r="M46" s="1113" t="s">
        <v>917</v>
      </c>
      <c r="N46" s="1014"/>
      <c r="O46" s="957"/>
    </row>
    <row r="47" spans="1:16" x14ac:dyDescent="0.2">
      <c r="A47" s="955"/>
      <c r="B47" s="958"/>
      <c r="C47" s="1117" t="str">
        <f>Refkalkulation!D135</f>
        <v>target price</v>
      </c>
      <c r="D47" s="1114">
        <f>Refkalkulation!H135</f>
        <v>55</v>
      </c>
      <c r="E47" s="1115">
        <f>(D47-D46)*D13</f>
        <v>-1082830.3694894165</v>
      </c>
      <c r="F47" s="1075"/>
      <c r="G47" s="1117" t="str">
        <f>C47</f>
        <v>target price</v>
      </c>
      <c r="H47" s="1114">
        <f>Refkalkulation!K135</f>
        <v>55</v>
      </c>
      <c r="I47" s="1115">
        <f>(H47-H46)*H13</f>
        <v>86057.82015859081</v>
      </c>
      <c r="J47" s="1075"/>
      <c r="K47" s="1117" t="str">
        <f>C47</f>
        <v>target price</v>
      </c>
      <c r="L47" s="1114">
        <f>Refkalkulation!N135</f>
        <v>55</v>
      </c>
      <c r="M47" s="1115">
        <f>(L47-L46)*L13</f>
        <v>22043.268384332747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Pattern Cost estimated</v>
      </c>
      <c r="D48" s="1112">
        <f>Refkalkulation!H139+Refkalkulation!H140</f>
        <v>12900</v>
      </c>
      <c r="E48" s="1113" t="s">
        <v>918</v>
      </c>
      <c r="F48" s="1075"/>
      <c r="G48" s="1116" t="str">
        <f>C48</f>
        <v>Pattern Cost estimated</v>
      </c>
      <c r="H48" s="1112">
        <f>Refkalkulation!K139+Refkalkulation!K140</f>
        <v>9900</v>
      </c>
      <c r="I48" s="1113" t="s">
        <v>918</v>
      </c>
      <c r="J48" s="1075"/>
      <c r="K48" s="1116" t="str">
        <f>C48</f>
        <v>Pattern Cost estimated</v>
      </c>
      <c r="L48" s="1112">
        <f>Refkalkulation!N139+Refkalkulation!N140</f>
        <v>10100</v>
      </c>
      <c r="M48" s="1113" t="s">
        <v>918</v>
      </c>
      <c r="N48" s="1014"/>
      <c r="O48" s="957"/>
      <c r="P48" s="1145"/>
    </row>
    <row r="49" spans="1:15" x14ac:dyDescent="0.2">
      <c r="A49" s="955"/>
      <c r="B49" s="958"/>
      <c r="C49" s="1117" t="str">
        <f>Refkalkulation!D141</f>
        <v>tool invest - supplier</v>
      </c>
      <c r="D49" s="1114">
        <f>Refkalkulation!H141</f>
        <v>10500</v>
      </c>
      <c r="E49" s="1115">
        <f>D49-D48</f>
        <v>-2400</v>
      </c>
      <c r="F49" s="1075"/>
      <c r="G49" s="1117" t="str">
        <f>C49</f>
        <v>tool invest - supplier</v>
      </c>
      <c r="H49" s="1114">
        <f>Refkalkulation!K141</f>
        <v>6000</v>
      </c>
      <c r="I49" s="1115">
        <f>H49-H48</f>
        <v>-3900</v>
      </c>
      <c r="J49" s="1075"/>
      <c r="K49" s="1117" t="str">
        <f>C49</f>
        <v>tool invest - supplier</v>
      </c>
      <c r="L49" s="1114">
        <f>Refkalkulation!N141</f>
        <v>7500</v>
      </c>
      <c r="M49" s="1115">
        <f>L49-L48</f>
        <v>-2600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Germany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 x14ac:dyDescent="0.2">
      <c r="C57" s="1082">
        <f>D33</f>
        <v>97.82641222297967</v>
      </c>
      <c r="D57" s="1082">
        <f>D38</f>
        <v>135.00041017345507</v>
      </c>
      <c r="E57" s="1082">
        <f>D44</f>
        <v>38.739251501448578</v>
      </c>
      <c r="F57" s="1082">
        <f>D45</f>
        <v>0</v>
      </c>
      <c r="G57" s="1082">
        <f>D46</f>
        <v>271.56607389788331</v>
      </c>
      <c r="H57" s="1082">
        <f>I57-G57</f>
        <v>-216.56607389788331</v>
      </c>
      <c r="I57" s="1082">
        <f>D47</f>
        <v>55</v>
      </c>
    </row>
    <row r="58" spans="1:15" ht="0.2" customHeight="1" x14ac:dyDescent="0.2">
      <c r="C58" s="1082"/>
      <c r="D58" s="1082">
        <f>C57</f>
        <v>97.82641222297967</v>
      </c>
      <c r="E58" s="1082">
        <f>D57+D58</f>
        <v>232.82682239643475</v>
      </c>
      <c r="F58" s="1082">
        <f>E57+E58</f>
        <v>271.56607389788331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Poland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 x14ac:dyDescent="0.2">
      <c r="C63" s="1082">
        <f>H33</f>
        <v>12.672161525540741</v>
      </c>
      <c r="D63" s="1082">
        <f>H38</f>
        <v>19.663012549730173</v>
      </c>
      <c r="E63" s="1082">
        <f>H44</f>
        <v>5.4532618930109233</v>
      </c>
      <c r="F63" s="1082">
        <f>H45</f>
        <v>0</v>
      </c>
      <c r="G63" s="1082">
        <f>H46</f>
        <v>37.788435968281838</v>
      </c>
      <c r="H63" s="1082">
        <f>I63-G63</f>
        <v>17.211564031718162</v>
      </c>
      <c r="I63" s="1082">
        <f>H47</f>
        <v>55</v>
      </c>
    </row>
    <row r="64" spans="1:15" ht="0.2" customHeight="1" x14ac:dyDescent="0.2">
      <c r="C64" s="1082"/>
      <c r="D64" s="1082">
        <f>C63</f>
        <v>12.672161525540741</v>
      </c>
      <c r="E64" s="1082">
        <f>D63+D64</f>
        <v>32.335174075270913</v>
      </c>
      <c r="F64" s="1082">
        <f>E63+E64</f>
        <v>37.788435968281838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str">
        <f>K10</f>
        <v>Germany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 x14ac:dyDescent="0.2">
      <c r="C68" s="1082">
        <f>L33</f>
        <v>12.672161525540741</v>
      </c>
      <c r="D68" s="1082">
        <f>L38</f>
        <v>30.332104512106515</v>
      </c>
      <c r="E68" s="1082">
        <f>L44</f>
        <v>7.5870802854861914</v>
      </c>
      <c r="F68" s="1082">
        <f>L45</f>
        <v>0</v>
      </c>
      <c r="G68" s="1082">
        <f>L46</f>
        <v>50.59134632313345</v>
      </c>
      <c r="H68" s="1082">
        <f>I68-G68</f>
        <v>4.4086536768665496</v>
      </c>
      <c r="I68" s="1082">
        <f>L47</f>
        <v>55</v>
      </c>
    </row>
    <row r="69" spans="1:9" ht="0.2" customHeight="1" x14ac:dyDescent="0.2">
      <c r="C69" s="1082"/>
      <c r="D69" s="1082">
        <f>C68</f>
        <v>12.672161525540741</v>
      </c>
      <c r="E69" s="1082">
        <f>D68+D69</f>
        <v>43.004266037647255</v>
      </c>
      <c r="F69" s="1082">
        <f>E68+E69</f>
        <v>50.59134632313345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44515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site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supplier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plant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Germany</v>
      </c>
      <c r="D12" s="974" t="str">
        <f>Refkalkulation!H$6</f>
        <v>Housing</v>
      </c>
      <c r="E12" s="975"/>
      <c r="F12" s="976"/>
      <c r="G12" s="973" t="str">
        <f>Refkalkulation!K7</f>
        <v>Poland</v>
      </c>
      <c r="H12" s="974" t="str">
        <f>Refkalkulation!K$6</f>
        <v>Housing</v>
      </c>
      <c r="I12" s="975"/>
      <c r="J12" s="976"/>
      <c r="K12" s="973" t="str">
        <f>Refkalkulation!N7</f>
        <v>Germany</v>
      </c>
      <c r="L12" s="974" t="str">
        <f>Refkalkulation!N$6</f>
        <v>Housing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moulding technique halbautomatisch</v>
      </c>
      <c r="D13" s="958">
        <f>'Quick Input'!L19</f>
        <v>40</v>
      </c>
      <c r="E13" s="957" t="s">
        <v>70</v>
      </c>
      <c r="F13" s="958"/>
      <c r="G13" s="955" t="str">
        <f>CONCATENATE('Quick Input'!$I22," ",'Quick Input'!O22)</f>
        <v>moulding technique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moulding technique Handformen</v>
      </c>
      <c r="L13" s="958">
        <f>'Quick Input'!R19</f>
        <v>5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 cores Kernschießen: 20 ltr</v>
      </c>
      <c r="D14" s="958"/>
      <c r="E14" s="957"/>
      <c r="F14" s="958"/>
      <c r="G14" s="955" t="str">
        <f>CONCATENATE('Quick Input'!$I23," ",'Quick Input'!O23,": ",Refkalkulation!K67," ltr")</f>
        <v>sand cores Kernschießen: 0 ltr</v>
      </c>
      <c r="H14" s="958"/>
      <c r="I14" s="957"/>
      <c r="J14" s="958"/>
      <c r="K14" s="955" t="str">
        <f>CONCATENATE('Quick Input'!$I23," ",'Quick Input'!R23,": ",Refkalkulation!N67," ltr")</f>
        <v>sand cores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 blasting vibratory grinding</v>
      </c>
      <c r="D15" s="958"/>
      <c r="E15" s="957"/>
      <c r="F15" s="958"/>
      <c r="G15" s="955" t="str">
        <f>Refkalkulation!K73</f>
        <v>sand blasting vibratory grinding</v>
      </c>
      <c r="H15" s="958"/>
      <c r="I15" s="957"/>
      <c r="J15" s="958"/>
      <c r="K15" s="955" t="str">
        <f>Refkalkulation!N73</f>
        <v>sand blasting vibratory grinding</v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Refkalkulation!H94</f>
        <v>US PT X-ray test</v>
      </c>
      <c r="D16" s="958"/>
      <c r="E16" s="957"/>
      <c r="F16" s="958"/>
      <c r="G16" s="955" t="str">
        <f>Refkalkulation!K94</f>
        <v>US PT X-ray test</v>
      </c>
      <c r="H16" s="958"/>
      <c r="I16" s="957"/>
      <c r="J16" s="958"/>
      <c r="K16" s="955" t="str">
        <f>Refkalkulation!N94</f>
        <v>US PT X-ray test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information:</v>
      </c>
      <c r="D32" s="978"/>
      <c r="E32" s="953"/>
      <c r="F32" s="958"/>
      <c r="G32" s="977" t="str">
        <f>C32</f>
        <v>material information:</v>
      </c>
      <c r="H32" s="978"/>
      <c r="I32" s="953"/>
      <c r="J32" s="958"/>
      <c r="K32" s="977" t="str">
        <f>C32</f>
        <v>material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material name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material name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material name</v>
      </c>
      <c r="L33" s="980" t="str">
        <f>'Quick Input'!S11</f>
        <v>Al Si10Mg(b)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 material price (€ per 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 material price (€ per 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 material price (€ per kg)</v>
      </c>
      <c r="L34" s="983">
        <f>'Quick Input'!S13</f>
        <v>1.9670528580208975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 cost total</v>
      </c>
      <c r="D35" s="987">
        <f>Refkalkulation!H26</f>
        <v>97.82641222297967</v>
      </c>
      <c r="E35" s="988"/>
      <c r="F35" s="958"/>
      <c r="G35" s="986" t="str">
        <f t="shared" si="0"/>
        <v>material cost total</v>
      </c>
      <c r="H35" s="987">
        <f>Refkalkulation!K26</f>
        <v>12.672161525540741</v>
      </c>
      <c r="I35" s="988"/>
      <c r="J35" s="958"/>
      <c r="K35" s="986" t="str">
        <f t="shared" si="1"/>
        <v>material cost total</v>
      </c>
      <c r="L35" s="987">
        <f>Refkalkulation!N26</f>
        <v>12.672161525540741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 cost raw part</v>
      </c>
      <c r="D36" s="990"/>
      <c r="E36" s="991">
        <f>Refkalkulation!H15</f>
        <v>80.010106899902823</v>
      </c>
      <c r="F36" s="992"/>
      <c r="G36" s="989" t="str">
        <f t="shared" si="0"/>
        <v xml:space="preserve">               material cost raw part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 cost raw part</v>
      </c>
      <c r="L36" s="990"/>
      <c r="M36" s="991">
        <f>Refkalkulation!N15</f>
        <v>9.8352642901044867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cost for melting loss</v>
      </c>
      <c r="D37" s="990"/>
      <c r="E37" s="991">
        <f>Refkalkulation!H17</f>
        <v>6.4096901742807058</v>
      </c>
      <c r="F37" s="992"/>
      <c r="G37" s="989" t="str">
        <f t="shared" si="0"/>
        <v xml:space="preserve">               cost for melting loss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cost for melting loss</v>
      </c>
      <c r="L37" s="990"/>
      <c r="M37" s="991">
        <f>Refkalkulation!N17</f>
        <v>0.79784922319733242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cost sum auxiliaries (€/pc.)</v>
      </c>
      <c r="D38" s="990"/>
      <c r="E38" s="991">
        <f>Refkalkulation!H23</f>
        <v>5.0067564052367217</v>
      </c>
      <c r="F38" s="992"/>
      <c r="G38" s="989" t="str">
        <f t="shared" si="0"/>
        <v xml:space="preserve">               cost sum auxiliaries (€/pc.)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cost sum auxiliaries (€/pc.)</v>
      </c>
      <c r="L38" s="990"/>
      <c r="M38" s="991">
        <f>Refkalkulation!N23</f>
        <v>1.2100280993530796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 overhead</v>
      </c>
      <c r="D39" s="994"/>
      <c r="E39" s="995">
        <f>Refkalkulation!H25</f>
        <v>6.3998587435594176</v>
      </c>
      <c r="F39" s="992"/>
      <c r="G39" s="993" t="str">
        <f t="shared" si="0"/>
        <v xml:space="preserve">               material overhead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 overhead</v>
      </c>
      <c r="L39" s="994"/>
      <c r="M39" s="995">
        <f>Refkalkulation!N25</f>
        <v>0.82901991288584298</v>
      </c>
      <c r="N39" s="992"/>
      <c r="O39" s="957"/>
    </row>
    <row r="40" spans="1:15" ht="15" x14ac:dyDescent="0.25">
      <c r="A40" s="955"/>
      <c r="B40" s="958"/>
      <c r="C40" s="996" t="s">
        <v>910</v>
      </c>
      <c r="D40" s="997">
        <f>Refkalkulation!H119</f>
        <v>135.00041017345507</v>
      </c>
      <c r="E40" s="998"/>
      <c r="F40" s="999"/>
      <c r="G40" s="996" t="str">
        <f t="shared" si="0"/>
        <v>Fertigungskosten</v>
      </c>
      <c r="H40" s="997">
        <f>Refkalkulation!K119</f>
        <v>19.663012549730173</v>
      </c>
      <c r="I40" s="998"/>
      <c r="J40" s="999"/>
      <c r="K40" s="996" t="str">
        <f t="shared" si="1"/>
        <v>Fertigungskosten</v>
      </c>
      <c r="L40" s="997">
        <f>Refkalkulation!N119</f>
        <v>30.332104512106515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melting process</v>
      </c>
      <c r="D41" s="1001"/>
      <c r="E41" s="1002">
        <f>Refkalkulation!H47</f>
        <v>3.7683714865311138</v>
      </c>
      <c r="F41" s="1003"/>
      <c r="G41" s="1000" t="str">
        <f t="shared" si="0"/>
        <v xml:space="preserve">               melting process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melting process</v>
      </c>
      <c r="L41" s="1001"/>
      <c r="M41" s="1002">
        <f>Refkalkulation!N47</f>
        <v>0.53738409644769536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sand forming process</v>
      </c>
      <c r="D42" s="1004"/>
      <c r="E42" s="1002">
        <f>Refkalkulation!H72</f>
        <v>45.925479191961877</v>
      </c>
      <c r="F42" s="1003"/>
      <c r="G42" s="1000" t="str">
        <f t="shared" si="0"/>
        <v xml:space="preserve">               sand forming process</v>
      </c>
      <c r="H42" s="1004"/>
      <c r="I42" s="1002">
        <f>Refkalkulation!K72</f>
        <v>10.300893193901665</v>
      </c>
      <c r="J42" s="1003"/>
      <c r="K42" s="1000" t="str">
        <f t="shared" si="1"/>
        <v xml:space="preserve">               sand forming process</v>
      </c>
      <c r="L42" s="1004"/>
      <c r="M42" s="1002">
        <f>Refkalkulation!N72</f>
        <v>15.475299479382162</v>
      </c>
      <c r="N42" s="1003"/>
      <c r="O42" s="957"/>
    </row>
    <row r="43" spans="1:15" x14ac:dyDescent="0.2">
      <c r="A43" s="955"/>
      <c r="B43" s="958"/>
      <c r="C43" s="1000" t="s">
        <v>911</v>
      </c>
      <c r="D43" s="1004"/>
      <c r="E43" s="1002">
        <f>Refkalkulation!H93</f>
        <v>66.683562908275917</v>
      </c>
      <c r="F43" s="1003"/>
      <c r="G43" s="1000" t="str">
        <f t="shared" si="0"/>
        <v xml:space="preserve">               Nachbehandlung</v>
      </c>
      <c r="H43" s="1004"/>
      <c r="I43" s="1002">
        <f>Refkalkulation!K93</f>
        <v>3.534532815168459</v>
      </c>
      <c r="J43" s="1003"/>
      <c r="K43" s="1000" t="str">
        <f t="shared" si="1"/>
        <v xml:space="preserve">               Nachbehandlung</v>
      </c>
      <c r="L43" s="1004"/>
      <c r="M43" s="1002">
        <f>Refkalkulation!N93</f>
        <v>7.0846825378696678</v>
      </c>
      <c r="N43" s="1003"/>
      <c r="O43" s="957"/>
    </row>
    <row r="44" spans="1:15" x14ac:dyDescent="0.2">
      <c r="A44" s="955"/>
      <c r="B44" s="958"/>
      <c r="C44" s="1000" t="s">
        <v>912</v>
      </c>
      <c r="D44" s="1004"/>
      <c r="E44" s="1002">
        <f>Refkalkulation!H113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Refkalkulation!K113</f>
        <v>3.2506872407407412</v>
      </c>
      <c r="J44" s="1003"/>
      <c r="K44" s="1000" t="str">
        <f t="shared" si="1"/>
        <v xml:space="preserve">               Prüfen</v>
      </c>
      <c r="L44" s="1004"/>
      <c r="M44" s="1002">
        <f>Refkalkulation!N113</f>
        <v>4.4772743518518521</v>
      </c>
      <c r="N44" s="1003"/>
      <c r="O44" s="957"/>
    </row>
    <row r="45" spans="1:15" x14ac:dyDescent="0.2">
      <c r="A45" s="955"/>
      <c r="B45" s="958"/>
      <c r="C45" s="1000" t="s">
        <v>913</v>
      </c>
      <c r="D45" s="1004"/>
      <c r="E45" s="1002">
        <f>Refkalkulation!H119-Refkalkulation!H115</f>
        <v>12.272764561223198</v>
      </c>
      <c r="F45" s="1003"/>
      <c r="G45" s="1000" t="str">
        <f t="shared" si="0"/>
        <v xml:space="preserve">               Fertigungsnebenkosten</v>
      </c>
      <c r="H45" s="1004"/>
      <c r="I45" s="1002">
        <f>Refkalkulation!K119-Refkalkulation!K115</f>
        <v>1.7875465954300154</v>
      </c>
      <c r="J45" s="1003"/>
      <c r="K45" s="1000" t="str">
        <f t="shared" si="1"/>
        <v xml:space="preserve">               Fertigungsnebenkosten</v>
      </c>
      <c r="L45" s="1004"/>
      <c r="M45" s="1002">
        <f>Refkalkulation!N119-Refkalkulation!N115</f>
        <v>2.757464046555139</v>
      </c>
      <c r="N45" s="1003"/>
      <c r="O45" s="957"/>
    </row>
    <row r="46" spans="1:15" ht="15" x14ac:dyDescent="0.25">
      <c r="A46" s="955"/>
      <c r="B46" s="958"/>
      <c r="C46" s="1005" t="str">
        <f>Refkalkulation!D126</f>
        <v>administration cost total</v>
      </c>
      <c r="D46" s="1006">
        <f>Refkalkulation!H126</f>
        <v>38.739251501448578</v>
      </c>
      <c r="E46" s="1007">
        <f>D46/D48</f>
        <v>0.14265129272375773</v>
      </c>
      <c r="F46" s="1003"/>
      <c r="G46" s="1005" t="str">
        <f t="shared" si="0"/>
        <v>administration cost total</v>
      </c>
      <c r="H46" s="1006">
        <f>Refkalkulation!K126</f>
        <v>5.4532618930109233</v>
      </c>
      <c r="I46" s="1007">
        <f>H46/H48</f>
        <v>0.14431033604005686</v>
      </c>
      <c r="J46" s="958"/>
      <c r="K46" s="1005" t="str">
        <f t="shared" si="1"/>
        <v>administration cost total</v>
      </c>
      <c r="L46" s="1006">
        <f>Refkalkulation!N126</f>
        <v>7.5870802854861914</v>
      </c>
      <c r="M46" s="1007">
        <f>L46/L48</f>
        <v>0.14996794584248721</v>
      </c>
      <c r="N46" s="958"/>
      <c r="O46" s="957"/>
    </row>
    <row r="47" spans="1:15" ht="18" customHeight="1" x14ac:dyDescent="0.25">
      <c r="A47" s="955"/>
      <c r="B47" s="958"/>
      <c r="C47" s="1008" t="str">
        <f>Refkalkulation!D129</f>
        <v>profit total</v>
      </c>
      <c r="D47" s="1009">
        <f>Refkalkulation!H129</f>
        <v>0</v>
      </c>
      <c r="E47" s="1010">
        <f>D47/D48</f>
        <v>0</v>
      </c>
      <c r="F47" s="1003"/>
      <c r="G47" s="1008" t="str">
        <f t="shared" si="0"/>
        <v>profit total</v>
      </c>
      <c r="H47" s="1009">
        <f>Refkalkulation!K129</f>
        <v>0</v>
      </c>
      <c r="I47" s="1010">
        <f>H47/H48</f>
        <v>0</v>
      </c>
      <c r="J47" s="958"/>
      <c r="K47" s="1008" t="str">
        <f t="shared" si="1"/>
        <v>profit total</v>
      </c>
      <c r="L47" s="1009">
        <f>Refkalkulation!N129</f>
        <v>0</v>
      </c>
      <c r="M47" s="1010">
        <f>L47/L48</f>
        <v>0</v>
      </c>
      <c r="N47" s="958"/>
      <c r="O47" s="957"/>
    </row>
    <row r="48" spans="1:15" ht="33" customHeight="1" x14ac:dyDescent="0.2">
      <c r="A48" s="955"/>
      <c r="B48" s="958"/>
      <c r="C48" s="1011" t="str">
        <f>Refkalkulation!D131</f>
        <v>part cost total</v>
      </c>
      <c r="D48" s="1012">
        <f>SUM(D35:D47)</f>
        <v>271.56607389788331</v>
      </c>
      <c r="E48" s="1013"/>
      <c r="F48" s="1014"/>
      <c r="G48" s="1011" t="str">
        <f t="shared" si="0"/>
        <v>part cost total</v>
      </c>
      <c r="H48" s="1012">
        <f>SUM(H35:H47)</f>
        <v>37.788435968281838</v>
      </c>
      <c r="I48" s="1013"/>
      <c r="J48" s="1014"/>
      <c r="K48" s="1011" t="str">
        <f t="shared" si="1"/>
        <v>part cost total</v>
      </c>
      <c r="L48" s="1012">
        <f>SUM(L35:L47)</f>
        <v>50.59134632313345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zoomScaleNormal="100" workbookViewId="0">
      <pane xSplit="10" ySplit="9" topLeftCell="K22" activePane="bottomRight" state="frozenSplit"/>
      <selection activeCell="L30" sqref="L30"/>
      <selection pane="topRight" activeCell="L30" sqref="L30"/>
      <selection pane="bottomLeft" activeCell="L30" sqref="L30"/>
      <selection pane="bottomRight" activeCell="L45" sqref="L45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0</v>
      </c>
      <c r="H2" s="124"/>
      <c r="I2" s="366" t="s">
        <v>51</v>
      </c>
      <c r="J2" s="367" t="s">
        <v>230</v>
      </c>
      <c r="K2" s="368"/>
      <c r="L2" s="867" t="s">
        <v>47</v>
      </c>
      <c r="M2" s="372"/>
      <c r="N2" s="373"/>
      <c r="O2" s="866" t="str">
        <f>IF(Deutsch,"AL - Sandguss","AL Sand Casting")</f>
        <v>AL Sand Casting</v>
      </c>
      <c r="P2" s="7"/>
      <c r="Q2" s="7"/>
      <c r="R2" s="366" t="str">
        <f>IF(Deutsch,"Siemens Standort","Siemens site")</f>
        <v>Siemens site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find article / no:</v>
      </c>
      <c r="Y2" s="7"/>
      <c r="Z2" s="28"/>
      <c r="AA2" s="837" t="str">
        <f>IF($G$2,"Version ","release ")</f>
        <v xml:space="preserve">release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user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supplier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44515</v>
      </c>
      <c r="H4" s="125"/>
      <c r="I4" s="255" t="str">
        <f>IF(Deutsch,C4,D4)</f>
        <v>date</v>
      </c>
      <c r="J4" s="257" t="s">
        <v>230</v>
      </c>
      <c r="K4" s="34">
        <f ca="1">TODAY()</f>
        <v>44515</v>
      </c>
      <c r="L4" s="455">
        <v>43993</v>
      </c>
      <c r="M4" s="129"/>
      <c r="N4" s="129"/>
      <c r="O4" s="379" t="str">
        <f>IF(Deutsch,"Alle löschen","delete all")</f>
        <v>delete all</v>
      </c>
      <c r="P4" s="25"/>
      <c r="Q4" s="25"/>
      <c r="R4" s="255" t="str">
        <f>IF(Deutsch,"Werk","plant")</f>
        <v>plant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currency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contact person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new</v>
      </c>
      <c r="M6" s="229"/>
      <c r="N6" s="229"/>
      <c r="O6" s="382" t="str">
        <f>IF(Deutsch,$C6,$D6)</f>
        <v>get column S1</v>
      </c>
      <c r="P6" s="229"/>
      <c r="Q6" s="229"/>
      <c r="R6" s="383" t="str">
        <f>IF(Deutsch,$C6,$D6)</f>
        <v>get column S1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Part Data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part no.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name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 t="str">
        <f>R$9</f>
        <v>Housing</v>
      </c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 material type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material name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data base</v>
      </c>
      <c r="H12" s="17"/>
      <c r="I12" s="18" t="str">
        <f t="shared" si="0"/>
        <v>pricing source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 material price (€ per 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lenght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width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height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thickness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thickness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AL part raw weight (kg)</v>
      </c>
      <c r="J19" s="18"/>
      <c r="K19" s="108">
        <f>0.9*Parametrikber!F$38</f>
        <v>97.2</v>
      </c>
      <c r="L19" s="491">
        <v>40</v>
      </c>
      <c r="M19" s="107">
        <f>L$19</f>
        <v>40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volume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normal</v>
      </c>
      <c r="H21" s="17"/>
      <c r="I21" s="535" t="str">
        <f t="shared" si="0"/>
        <v>part complexity</v>
      </c>
      <c r="J21" s="39"/>
      <c r="K21" s="104" t="e">
        <f>VLOOKUP(L21,Auswahlfelder!$B$16:$C$19,2,FALSE)</f>
        <v>#N/A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fully automatic</v>
      </c>
      <c r="H22" s="17"/>
      <c r="I22" s="535" t="str">
        <f>IF($G$2,C22,D22)</f>
        <v>moulding technique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 t="str">
        <f>IFERROR(VLOOKUP(R$22,Auswahlfelder!$D$36:$D$38,1,FALSE),VLOOKUP(R$22,Auswahlfelder!$C$36:$D$38,2,FALSE))</f>
        <v>Handformen</v>
      </c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none</v>
      </c>
      <c r="H23" s="17"/>
      <c r="I23" s="535" t="str">
        <f t="shared" si="0"/>
        <v>sand cores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372</v>
      </c>
      <c r="P23" s="104" t="str">
        <f>IFERROR(VLOOKUP(O$23,Auswahlfelder!$D$49:$D$51,1,FALSE),VLOOKUP(O$23,Auswahlfelder!$C$49:$D$51,2,FALSE))</f>
        <v>Kernschießen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core shooting type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761</v>
      </c>
      <c r="P24" s="104" t="str">
        <f>IFERROR(VLOOKUP(O$24,Auswahlfelder!$D$54:$D$57,1,FALSE),VLOOKUP(O$24,Auswahlfelder!$C$54:$D$57,2,FALSE))</f>
        <v>Hot Box</v>
      </c>
      <c r="Q24" s="104"/>
      <c r="R24" s="47" t="s">
        <v>763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yes</v>
      </c>
      <c r="H25" s="17"/>
      <c r="I25" s="535" t="str">
        <f t="shared" si="0"/>
        <v>surface sand blasting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no</v>
      </c>
      <c r="H26" s="17"/>
      <c r="I26" s="535" t="str">
        <f t="shared" ref="I26" si="2">IF($G$2,C26,D26)</f>
        <v>surface vibratory grinding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no</v>
      </c>
      <c r="H27" s="17"/>
      <c r="I27" s="535" t="str">
        <f t="shared" ref="I27" si="3">IF($G$2,C27,D27)</f>
        <v>surface fine fettling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no</v>
      </c>
      <c r="H28" s="17"/>
      <c r="I28" s="535" t="str">
        <f>IF($G$2,C28,D28)</f>
        <v>ultrasonic test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no</v>
      </c>
      <c r="H29" s="17"/>
      <c r="I29" s="535" t="s">
        <v>996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no</v>
      </c>
      <c r="H30" s="17"/>
      <c r="I30" s="535" t="str">
        <f t="shared" ref="I30:I34" si="4">IF($G$2,C30,D30)</f>
        <v>X-ray inspection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none</v>
      </c>
      <c r="H31" s="17"/>
      <c r="I31" s="535" t="str">
        <f t="shared" si="4"/>
        <v>test certificate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none (F)</v>
      </c>
      <c r="H32" s="17"/>
      <c r="I32" s="535" t="str">
        <f t="shared" si="4"/>
        <v>heat treatment</v>
      </c>
      <c r="J32" s="39"/>
      <c r="K32" s="104"/>
      <c r="L32" s="290" t="s">
        <v>567</v>
      </c>
      <c r="M32" s="104" t="str">
        <f>IFERROR(VLOOKUP(L$32,Auswahlfelder!$D$41:$D$46,1,FALSE),VLOOKUP(L$32,Auswahlfelder!$C$41:$D$46,2,FALSE))</f>
        <v>T7</v>
      </c>
      <c r="N32" s="104"/>
      <c r="O32" s="47" t="s">
        <v>294</v>
      </c>
      <c r="P32" s="104" t="str">
        <f>IFERROR(VLOOKUP(O$32,Auswahlfelder!$D$41:$D$46,1,FALSE),VLOOKUP(O$32,Auswahlfelder!$C$41:$D$46,2,FALSE))</f>
        <v>T4</v>
      </c>
      <c r="Q32" s="104"/>
      <c r="R32" s="47" t="s">
        <v>568</v>
      </c>
      <c r="S32" s="104" t="str">
        <f>IFERROR(VLOOKUP(R$32,Auswahlfelder!$D$41:$D$46,1,FALSE),VLOOKUP(R$32,Auswahlfelder!$C$41:$D$46,2,FALSE))</f>
        <v>T5</v>
      </c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none</v>
      </c>
      <c r="H33" s="285"/>
      <c r="I33" s="537" t="str">
        <f t="shared" si="4"/>
        <v>repair welding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2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date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>
        <f>R$34</f>
        <v>43531</v>
      </c>
      <c r="T34" s="1203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life time (years)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quantity per year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2.500</v>
      </c>
      <c r="R37" s="133"/>
      <c r="S37" s="132">
        <f>IF(R$37&lt;&gt;"",R$37,0.5*R$36)</f>
        <v>2500</v>
      </c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5.000</v>
      </c>
      <c r="R38" s="133"/>
      <c r="S38" s="132">
        <f>IF(R38&lt;&gt;"",R38,IF(SUM(S$37:S37)+1.1*S$36&gt;R$36*R$35,MAX(0.75*(S$35*S$36-SUM(S$37:S37)),0.01*R$36),R$36))</f>
        <v>5000</v>
      </c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5.000</v>
      </c>
      <c r="R39" s="133"/>
      <c r="S39" s="132">
        <f>IF(R39&lt;&gt;"",R39,IF(SUM(S$37:S38)+1.1*S$36&gt;R$36*R$35,MAX(0.75*(S$35*S$36-SUM(S$37:S38)),0.01*R$36),R$36))</f>
        <v>5000</v>
      </c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5.000</v>
      </c>
      <c r="R40" s="133"/>
      <c r="S40" s="132">
        <f>IF(R40&lt;&gt;"",R40,IF(SUM(S$37:S39)+1.1*S$36&gt;R$36*R$35,MAX(0.75*(S$35*S$36-SUM(S$37:S39)),0.01*R$36),R$36))</f>
        <v>5000</v>
      </c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5.000</v>
      </c>
      <c r="R41" s="133"/>
      <c r="S41" s="132">
        <f>IF(R41&lt;&gt;"",R41,IF(SUM(S$37:S40)+1.1*S$36&gt;R$36*R$35,MAX(0.75*(S$35*S$36-SUM(S$37:S40)),0.01*R$36),R$36))</f>
        <v>5000</v>
      </c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5.000</v>
      </c>
      <c r="R42" s="133"/>
      <c r="S42" s="132">
        <f>IF(R42&lt;&gt;"",R42,IF(SUM(S$37:S41)+1.1*S$36&gt;R$36*R$35,MAX(0.75*(S$35*S$36-SUM(S$37:S41)),0.01*R$36),R$36))</f>
        <v>5000</v>
      </c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1.875</v>
      </c>
      <c r="R43" s="133"/>
      <c r="S43" s="132">
        <f>IF(R43&lt;&gt;"",R43,IF(SUM(S$37:S42)+1.1*S$36&gt;R$36*R$35,MAX(0.75*(S$35*S$36-SUM(S$37:S42)),0.01*R$36),R$36))</f>
        <v>1875</v>
      </c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total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30.000</v>
      </c>
      <c r="R44" s="659"/>
      <c r="S44" s="230">
        <f t="shared" ref="S44" si="10">MAX(SUM(S$37:S$43),S$36*S$35,R$44,1)</f>
        <v>30000</v>
      </c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Germany</v>
      </c>
      <c r="H45" s="17"/>
      <c r="I45" s="535" t="str">
        <f t="shared" ref="I45:I51" si="11">IF($G$2,C45,D45)</f>
        <v>Country of production</v>
      </c>
      <c r="J45" s="4"/>
      <c r="K45" s="39" t="e">
        <f>VLOOKUP(L$45,Auswahlfelder!$G$3:$K$9,2,FALSE)</f>
        <v>#N/A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 shifts</v>
      </c>
      <c r="H46" s="17"/>
      <c r="I46" s="18" t="str">
        <f t="shared" si="11"/>
        <v>shift model</v>
      </c>
      <c r="J46" s="4"/>
      <c r="K46" s="39" t="e">
        <f>VLOOKUP(L46,Auswahlfelder!$B$7:$C$9,2,FALSE)</f>
        <v>#N/A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workday per week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week per year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mid size</v>
      </c>
      <c r="H49" s="125"/>
      <c r="I49" s="18" t="str">
        <f t="shared" si="11"/>
        <v>Company size</v>
      </c>
      <c r="J49" s="10"/>
      <c r="K49" s="39" t="e">
        <f>VLOOKUP(L49,Auswahlfelder!$B$26:$G$28,2,FALSE)</f>
        <v>#N/A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efficiency processes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target price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55,00</v>
      </c>
      <c r="R53" s="293"/>
      <c r="S53" s="39">
        <f>IF(R$53&lt;&gt;"",R$53,S$52)</f>
        <v>55</v>
      </c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55,00</v>
      </c>
      <c r="R54" s="293"/>
      <c r="S54" s="39">
        <f>IF(R$54&lt;&gt;"",R$54,S$53)</f>
        <v>55</v>
      </c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50"/>
      <c r="V56" t="s">
        <v>33</v>
      </c>
    </row>
    <row r="57" spans="1:22" ht="15" thickBot="1" x14ac:dyDescent="0.25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tool investment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>
        <f t="shared" ref="S57" si="14">R$57</f>
        <v>7500</v>
      </c>
      <c r="T57" s="850"/>
      <c r="V57" t="s">
        <v>33</v>
      </c>
    </row>
    <row r="58" spans="1:22" ht="15" thickBot="1" x14ac:dyDescent="0.25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core box investment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400</v>
      </c>
      <c r="Q58" s="39"/>
      <c r="R58" s="188">
        <v>550</v>
      </c>
      <c r="S58" s="651">
        <f>IF(S23=Auswahlfelder!$D$49,0,R$58)</f>
        <v>0</v>
      </c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melting loss (%)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5.5500000000000001E-2</v>
      </c>
      <c r="S59" s="233">
        <f>[2]Refkalkulation!N$16</f>
        <v>5.5500000000000001E-2</v>
      </c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 overhead rate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7.0000000000000007E-2</v>
      </c>
      <c r="S60" s="233">
        <f>[2]Refkalkulation!N$24</f>
        <v>7.0000000000000007E-2</v>
      </c>
      <c r="T60" s="850"/>
    </row>
    <row r="61" spans="1:22" ht="15" hidden="1" thickBot="1" x14ac:dyDescent="0.25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3"/>
        <v>melting energy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[2]Refkalkulation!O32</f>
        <v>Gas</v>
      </c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6">IF($G$2,C62,D62)</f>
        <v>melting rate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7">S$62</f>
        <v>2000</v>
      </c>
      <c r="S62" s="233">
        <f>[2]Refkalkulation!N$31</f>
        <v>2000</v>
      </c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cavities/box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1</v>
      </c>
      <c r="S63" s="272">
        <f>[2]Refkalkulation!N$50</f>
        <v>1</v>
      </c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machine type no.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3</v>
      </c>
      <c r="S64" s="272">
        <f>[2]Refkalkulation!N$52</f>
        <v>3</v>
      </c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none</v>
      </c>
      <c r="H65" s="17"/>
      <c r="I65" s="21" t="str">
        <f>IF($G$2,C65,D65)</f>
        <v>cooling plates volume</v>
      </c>
      <c r="J65" s="18"/>
      <c r="K65" s="120"/>
      <c r="L65" s="684" t="str">
        <f>VLOOKUP(VLOOKUP(M65,Auswahlfelder!$D$65:$E$68,2,FALSE),Auswahlfelder!$A$65:$B$68,2,FALSE)</f>
        <v>none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none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none</v>
      </c>
      <c r="S65" s="272" t="str">
        <f>[2]Refkalkulation!O$59</f>
        <v>ohne</v>
      </c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production lot size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100</v>
      </c>
      <c r="S66" s="272">
        <f>[2]Refkalkulation!N$61</f>
        <v>100</v>
      </c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core volume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[2]Refkalkulation!N$67</f>
        <v>0</v>
      </c>
      <c r="T67" s="850"/>
    </row>
    <row r="68" spans="1:22" ht="15" hidden="1" thickBot="1" x14ac:dyDescent="0.25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scrap rate forming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[2]Refkalkulation!N$70</f>
        <v>0</v>
      </c>
      <c r="T68" s="850"/>
    </row>
    <row r="69" spans="1:22" ht="15" hidden="1" thickBot="1" x14ac:dyDescent="0.25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unpack time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[2]Refkalkulation!N$74</f>
        <v>0</v>
      </c>
      <c r="T69" s="850"/>
    </row>
    <row r="70" spans="1:22" ht="15" hidden="1" thickBot="1" x14ac:dyDescent="0.25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 xml:space="preserve">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5</v>
      </c>
      <c r="S70" s="272">
        <f>[2]Refkalkulation!N$75</f>
        <v>5</v>
      </c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heat treatment</v>
      </c>
      <c r="J71" s="18"/>
      <c r="K71" s="112"/>
      <c r="L71" s="924">
        <f>M$71</f>
        <v>0.7</v>
      </c>
      <c r="M71" s="122">
        <f>Refkalkulation!H$90</f>
        <v>0.7</v>
      </c>
      <c r="N71" s="122"/>
      <c r="O71" s="924">
        <f>P$71</f>
        <v>0.4</v>
      </c>
      <c r="P71" s="122">
        <f>Refkalkulation!K$90</f>
        <v>0.4</v>
      </c>
      <c r="Q71" s="273"/>
      <c r="R71" s="924">
        <f>S$71</f>
        <v>0</v>
      </c>
      <c r="S71" s="122">
        <f>[2]Refkalkulation!N$84</f>
        <v>0</v>
      </c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scrap rate 2</v>
      </c>
      <c r="J72" s="18"/>
      <c r="K72" s="120"/>
      <c r="L72" s="135">
        <f>M$72</f>
        <v>0.02</v>
      </c>
      <c r="M72" s="233">
        <f>Refkalkulation!H$92</f>
        <v>0.02</v>
      </c>
      <c r="N72" s="273"/>
      <c r="O72" s="135">
        <f>P$72</f>
        <v>0.02</v>
      </c>
      <c r="P72" s="233">
        <f>Refkalkulation!K$92</f>
        <v>0.02</v>
      </c>
      <c r="Q72" s="273"/>
      <c r="R72" s="135">
        <f t="shared" ref="R72" si="21">S$72</f>
        <v>0.02</v>
      </c>
      <c r="S72" s="233">
        <f>[2]Refkalkulation!N$86</f>
        <v>0.02</v>
      </c>
      <c r="T72" s="850"/>
    </row>
    <row r="73" spans="1:22" ht="15" hidden="1" thickBot="1" x14ac:dyDescent="0.25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testing time (s)</v>
      </c>
      <c r="J73" s="18"/>
      <c r="K73" s="120"/>
      <c r="L73" s="187">
        <f>M$73</f>
        <v>400</v>
      </c>
      <c r="M73" s="272">
        <f>Refkalkulation!H$95</f>
        <v>400</v>
      </c>
      <c r="N73" s="273"/>
      <c r="O73" s="187">
        <f>P$73</f>
        <v>300</v>
      </c>
      <c r="P73" s="272">
        <f>Refkalkulation!K$95</f>
        <v>300</v>
      </c>
      <c r="Q73" s="273"/>
      <c r="R73" s="187">
        <f t="shared" ref="R73" si="22">S$73</f>
        <v>300</v>
      </c>
      <c r="S73" s="272">
        <f>[2]Refkalkulation!N$89</f>
        <v>300</v>
      </c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ultrasonic test cost</v>
      </c>
      <c r="J74" s="18"/>
      <c r="K74" s="120"/>
      <c r="L74" s="924">
        <f>M$74</f>
        <v>0.41742621527777779</v>
      </c>
      <c r="M74" s="272">
        <f>Refkalkulation!H$101</f>
        <v>0.41742621527777779</v>
      </c>
      <c r="N74" s="273"/>
      <c r="O74" s="924">
        <f>P$74</f>
        <v>0.30864583333333334</v>
      </c>
      <c r="P74" s="272">
        <f>Refkalkulation!K$101</f>
        <v>0.30864583333333334</v>
      </c>
      <c r="Q74" s="273"/>
      <c r="R74" s="924">
        <f t="shared" ref="R74" si="23">S$74</f>
        <v>0</v>
      </c>
      <c r="S74" s="272">
        <f>[2]Refkalkulation!N$91</f>
        <v>0</v>
      </c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dye penetrant test cost</v>
      </c>
      <c r="J75" s="18"/>
      <c r="K75" s="120"/>
      <c r="L75" s="924">
        <f>M$75</f>
        <v>0.37082465277777776</v>
      </c>
      <c r="M75" s="233">
        <f>Refkalkulation!H$105</f>
        <v>0.37082465277777776</v>
      </c>
      <c r="N75" s="273"/>
      <c r="O75" s="924">
        <f>P$75</f>
        <v>0.34611111111111109</v>
      </c>
      <c r="P75" s="233">
        <f>Refkalkulation!K$105</f>
        <v>0.34611111111111109</v>
      </c>
      <c r="Q75" s="273"/>
      <c r="R75" s="924">
        <f t="shared" ref="R75" si="25">S$75</f>
        <v>0</v>
      </c>
      <c r="S75" s="233">
        <f>[2]Refkalkulation!N$92</f>
        <v>0</v>
      </c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X ray test cost</v>
      </c>
      <c r="J76" s="18"/>
      <c r="K76" s="120"/>
      <c r="L76" s="924">
        <f>M$76</f>
        <v>1.8357928240740744</v>
      </c>
      <c r="M76" s="233">
        <f>Refkalkulation!H$108</f>
        <v>1.8357928240740744</v>
      </c>
      <c r="N76" s="273"/>
      <c r="O76" s="924">
        <f>P$76</f>
        <v>1.7619212962962969</v>
      </c>
      <c r="P76" s="233">
        <f>Refkalkulation!K$108</f>
        <v>1.7619212962962969</v>
      </c>
      <c r="Q76" s="273"/>
      <c r="R76" s="924">
        <f t="shared" ref="R76" si="26">S$76</f>
        <v>0</v>
      </c>
      <c r="S76" s="233">
        <f>[2]Refkalkulation!N$93</f>
        <v>0</v>
      </c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percentage of re testing</v>
      </c>
      <c r="J77" s="18"/>
      <c r="K77" s="120"/>
      <c r="L77" s="762">
        <f>M$77</f>
        <v>0.5</v>
      </c>
      <c r="M77" s="233">
        <f>Refkalkulation!H$111</f>
        <v>0.5</v>
      </c>
      <c r="N77" s="273"/>
      <c r="O77" s="762">
        <f>P$77</f>
        <v>0.5</v>
      </c>
      <c r="P77" s="233">
        <f>Refkalkulation!K$111</f>
        <v>0.5</v>
      </c>
      <c r="Q77" s="273"/>
      <c r="R77" s="762">
        <f>S$77</f>
        <v>0.5</v>
      </c>
      <c r="S77" s="233">
        <f>[2]Refkalkulation!N$96</f>
        <v>0.5</v>
      </c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repair proportion (%)</v>
      </c>
      <c r="J78" s="18"/>
      <c r="K78" s="112"/>
      <c r="L78" s="135">
        <f>M$78</f>
        <v>0</v>
      </c>
      <c r="M78" s="122">
        <f>Refkalkulation!H$110</f>
        <v>0</v>
      </c>
      <c r="N78" s="122"/>
      <c r="O78" s="135">
        <f>P$78</f>
        <v>0</v>
      </c>
      <c r="P78" s="122">
        <f>Refkalkulation!K$110</f>
        <v>0</v>
      </c>
      <c r="Q78" s="273"/>
      <c r="R78" s="135">
        <f>S$78</f>
        <v>0</v>
      </c>
      <c r="S78" s="122">
        <f>[2]Refkalkulation!N$95</f>
        <v>0</v>
      </c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IPC - surcharge</v>
      </c>
      <c r="J79" s="18"/>
      <c r="K79" s="120"/>
      <c r="L79" s="135">
        <f>M$79</f>
        <v>0.1</v>
      </c>
      <c r="M79" s="233">
        <f>Refkalkulation!H$117</f>
        <v>0.1</v>
      </c>
      <c r="N79" s="273"/>
      <c r="O79" s="135">
        <f>P$79</f>
        <v>0.1</v>
      </c>
      <c r="P79" s="233">
        <f>Refkalkulation!K$117</f>
        <v>0.1</v>
      </c>
      <c r="Q79" s="273"/>
      <c r="R79" s="135">
        <f>S$79</f>
        <v>0.1</v>
      </c>
      <c r="S79" s="233">
        <f>[2]Refkalkulation!N$102</f>
        <v>0.1</v>
      </c>
      <c r="T79" s="850"/>
    </row>
    <row r="80" spans="1:22" ht="15" hidden="1" thickBot="1" x14ac:dyDescent="0.25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administration cost rate</v>
      </c>
      <c r="J80" s="18"/>
      <c r="K80" s="120"/>
      <c r="L80" s="135">
        <f>M$80</f>
        <v>0.12</v>
      </c>
      <c r="M80" s="233">
        <f>Refkalkulation!H$123</f>
        <v>0.12</v>
      </c>
      <c r="N80" s="273"/>
      <c r="O80" s="135">
        <f>P$80</f>
        <v>0.12</v>
      </c>
      <c r="P80" s="233">
        <f>Refkalkulation!K$123</f>
        <v>0.12</v>
      </c>
      <c r="Q80" s="273"/>
      <c r="R80" s="135">
        <f t="shared" ref="R80" si="28">S$80</f>
        <v>0.12</v>
      </c>
      <c r="S80" s="233">
        <f>[2]Refkalkulation!N$108</f>
        <v>0.12</v>
      </c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profit on material</v>
      </c>
      <c r="J81" s="18"/>
      <c r="K81" s="120"/>
      <c r="L81" s="135">
        <f>M$81</f>
        <v>0</v>
      </c>
      <c r="M81" s="233">
        <f>Refkalkulation!H$127</f>
        <v>0</v>
      </c>
      <c r="N81" s="273"/>
      <c r="O81" s="135">
        <f>P$81</f>
        <v>0</v>
      </c>
      <c r="P81" s="233">
        <f>Refkalkulation!K$127</f>
        <v>0</v>
      </c>
      <c r="Q81" s="273"/>
      <c r="R81" s="135">
        <f t="shared" ref="R81" si="29">S$81</f>
        <v>0</v>
      </c>
      <c r="S81" s="233">
        <f>[2]Refkalkulation!N$112</f>
        <v>0</v>
      </c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profit on process</v>
      </c>
      <c r="J82" s="18"/>
      <c r="K82" s="120"/>
      <c r="L82" s="135">
        <f>M$82</f>
        <v>0</v>
      </c>
      <c r="M82" s="233">
        <f>Refkalkulation!H$128</f>
        <v>0</v>
      </c>
      <c r="N82" s="273"/>
      <c r="O82" s="135">
        <f>P$82</f>
        <v>0</v>
      </c>
      <c r="P82" s="233">
        <f>Refkalkulation!K$128</f>
        <v>0</v>
      </c>
      <c r="Q82" s="273"/>
      <c r="R82" s="135">
        <f>S$82</f>
        <v>0</v>
      </c>
      <c r="S82" s="233">
        <f>[2]Refkalkulation!N$113</f>
        <v>0</v>
      </c>
      <c r="T82" s="850"/>
    </row>
    <row r="83" spans="1:22" ht="39" hidden="1" customHeight="1" thickBot="1" x14ac:dyDescent="0.25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user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2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88" priority="65" stopIfTrue="1">
      <formula>VALUE(L12="Materialdatenbank")</formula>
    </cfRule>
  </conditionalFormatting>
  <conditionalFormatting sqref="O36 R36 L36">
    <cfRule type="cellIs" dxfId="187" priority="66" stopIfTrue="1" operator="notBetween">
      <formula>$E$36</formula>
      <formula>$F$36</formula>
    </cfRule>
  </conditionalFormatting>
  <conditionalFormatting sqref="L11 L20 O20 R20 O11 R11">
    <cfRule type="expression" dxfId="186" priority="70" stopIfTrue="1">
      <formula>K$11=0</formula>
    </cfRule>
  </conditionalFormatting>
  <conditionalFormatting sqref="L44">
    <cfRule type="cellIs" dxfId="185" priority="71" stopIfTrue="1" operator="lessThan">
      <formula>$E44</formula>
    </cfRule>
  </conditionalFormatting>
  <conditionalFormatting sqref="R37:R43 O37:O43 L37:L43">
    <cfRule type="cellIs" dxfId="184" priority="72" stopIfTrue="1" operator="greaterThan">
      <formula>M$36</formula>
    </cfRule>
  </conditionalFormatting>
  <conditionalFormatting sqref="O8:O9 R8:R9 L9">
    <cfRule type="cellIs" dxfId="183" priority="73" operator="equal">
      <formula>"?"</formula>
    </cfRule>
  </conditionalFormatting>
  <conditionalFormatting sqref="X4:X5">
    <cfRule type="cellIs" dxfId="182" priority="74" operator="equal">
      <formula>FALSE</formula>
    </cfRule>
  </conditionalFormatting>
  <conditionalFormatting sqref="L13 O13 R13">
    <cfRule type="cellIs" dxfId="181" priority="431" operator="notBetween">
      <formula>$E13</formula>
      <formula>$F13</formula>
    </cfRule>
  </conditionalFormatting>
  <conditionalFormatting sqref="L28">
    <cfRule type="expression" dxfId="180" priority="60" stopIfTrue="1">
      <formula>VALUE(#REF!="Materialdatenbank")</formula>
    </cfRule>
  </conditionalFormatting>
  <conditionalFormatting sqref="L29">
    <cfRule type="expression" dxfId="179" priority="59" stopIfTrue="1">
      <formula>VALUE(#REF!="Materialdatenbank")</formula>
    </cfRule>
  </conditionalFormatting>
  <conditionalFormatting sqref="L30">
    <cfRule type="expression" dxfId="178" priority="58" stopIfTrue="1">
      <formula>VALUE(#REF!="Materialdatenbank")</formula>
    </cfRule>
  </conditionalFormatting>
  <conditionalFormatting sqref="O28">
    <cfRule type="expression" dxfId="177" priority="57" stopIfTrue="1">
      <formula>VALUE(#REF!="Materialdatenbank")</formula>
    </cfRule>
  </conditionalFormatting>
  <conditionalFormatting sqref="O29">
    <cfRule type="expression" dxfId="176" priority="56" stopIfTrue="1">
      <formula>VALUE(#REF!="Materialdatenbank")</formula>
    </cfRule>
  </conditionalFormatting>
  <conditionalFormatting sqref="O30">
    <cfRule type="expression" dxfId="175" priority="55" stopIfTrue="1">
      <formula>VALUE(#REF!="Materialdatenbank")</formula>
    </cfRule>
  </conditionalFormatting>
  <conditionalFormatting sqref="R28">
    <cfRule type="expression" dxfId="174" priority="42" stopIfTrue="1">
      <formula>VALUE(#REF!="Materialdatenbank")</formula>
    </cfRule>
  </conditionalFormatting>
  <conditionalFormatting sqref="R29">
    <cfRule type="expression" dxfId="173" priority="41" stopIfTrue="1">
      <formula>VALUE(#REF!="Materialdatenbank")</formula>
    </cfRule>
  </conditionalFormatting>
  <conditionalFormatting sqref="R30">
    <cfRule type="expression" dxfId="172" priority="40" stopIfTrue="1">
      <formula>VALUE(#REF!="Materialdatenbank")</formula>
    </cfRule>
  </conditionalFormatting>
  <conditionalFormatting sqref="L25">
    <cfRule type="expression" dxfId="171" priority="23" stopIfTrue="1">
      <formula>VALUE(#REF!="Materialdatenbank")</formula>
    </cfRule>
  </conditionalFormatting>
  <conditionalFormatting sqref="O25">
    <cfRule type="expression" dxfId="170" priority="22" stopIfTrue="1">
      <formula>VALUE(#REF!="Materialdatenbank")</formula>
    </cfRule>
  </conditionalFormatting>
  <conditionalFormatting sqref="R25">
    <cfRule type="expression" dxfId="169" priority="21" stopIfTrue="1">
      <formula>VALUE(#REF!="Materialdatenbank")</formula>
    </cfRule>
  </conditionalFormatting>
  <conditionalFormatting sqref="L26">
    <cfRule type="expression" dxfId="168" priority="17" stopIfTrue="1">
      <formula>VALUE(#REF!="Materialdatenbank")</formula>
    </cfRule>
  </conditionalFormatting>
  <conditionalFormatting sqref="O26">
    <cfRule type="expression" dxfId="167" priority="16" stopIfTrue="1">
      <formula>VALUE(#REF!="Materialdatenbank")</formula>
    </cfRule>
  </conditionalFormatting>
  <conditionalFormatting sqref="R26">
    <cfRule type="expression" dxfId="166" priority="15" stopIfTrue="1">
      <formula>VALUE(#REF!="Materialdatenbank")</formula>
    </cfRule>
  </conditionalFormatting>
  <conditionalFormatting sqref="L27">
    <cfRule type="expression" dxfId="165" priority="11" stopIfTrue="1">
      <formula>VALUE(#REF!="Materialdatenbank")</formula>
    </cfRule>
  </conditionalFormatting>
  <conditionalFormatting sqref="O27">
    <cfRule type="expression" dxfId="164" priority="10" stopIfTrue="1">
      <formula>VALUE(#REF!="Materialdatenbank")</formula>
    </cfRule>
  </conditionalFormatting>
  <conditionalFormatting sqref="R27">
    <cfRule type="expression" dxfId="163" priority="9" stopIfTrue="1">
      <formula>VALUE(#REF!="Materialdatenbank")</formula>
    </cfRule>
  </conditionalFormatting>
  <conditionalFormatting sqref="L8">
    <cfRule type="cellIs" dxfId="162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4"/>
  <sheetViews>
    <sheetView tabSelected="1" zoomScaleNormal="100" workbookViewId="0">
      <pane xSplit="6" ySplit="8" topLeftCell="G75" activePane="bottomRight" state="frozenSplit"/>
      <selection activeCell="L30" sqref="L30"/>
      <selection pane="topRight" activeCell="L30" sqref="L30"/>
      <selection pane="bottomLeft" activeCell="L30" sqref="L30"/>
      <selection pane="bottomRight" activeCell="N81" sqref="N81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0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Parametric Calculation AL Sand Casting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release V3.1 16.07.2017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OR(ISERROR(H131),H5="?",H5=0,H12=0,H16=0,H24=0)</f>
        <v>0</v>
      </c>
      <c r="I2" s="67"/>
      <c r="J2" s="67"/>
      <c r="K2" s="376" t="b">
        <f>OR(ISERROR(K131),K5="?",K5=0,K12=0,K16=0,K24=0)</f>
        <v>0</v>
      </c>
      <c r="L2" s="67"/>
      <c r="M2" s="67"/>
      <c r="N2" s="376" t="b">
        <f>OR(ISERROR(N131),N5="?",N5=0,N12=0,N16=0,N24=0)</f>
        <v>0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 x14ac:dyDescent="0.2">
      <c r="D3" s="71"/>
      <c r="E3" s="270" t="str">
        <f>'Quick Input'!I3</f>
        <v>user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0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0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 x14ac:dyDescent="0.25">
      <c r="D5" s="1223" t="str">
        <f>IF(Deutsch,"Artikel (Nr.  /  Bezeichnung)","part (no. / name)")</f>
        <v>part (no. / name)</v>
      </c>
      <c r="E5" s="1224"/>
      <c r="F5" s="1225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58622</v>
      </c>
      <c r="O5" s="489" t="s">
        <v>285</v>
      </c>
      <c r="Y5" s="55" t="s">
        <v>33</v>
      </c>
    </row>
    <row r="6" spans="1:25" ht="15" thickBot="1" x14ac:dyDescent="0.25">
      <c r="D6" s="1226"/>
      <c r="E6" s="1227"/>
      <c r="F6" s="1228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 t="str">
        <f>'Quick Input'!S9</f>
        <v>Housing</v>
      </c>
      <c r="O6" s="1188" t="s">
        <v>750</v>
      </c>
      <c r="Y6" s="55" t="s">
        <v>33</v>
      </c>
    </row>
    <row r="7" spans="1:25" ht="15.75" customHeight="1" thickBot="1" x14ac:dyDescent="0.25">
      <c r="D7" s="1243" t="str">
        <f>'Quick Input'!$I$45</f>
        <v>Country of production</v>
      </c>
      <c r="E7" s="1244"/>
      <c r="F7" s="1245"/>
      <c r="G7" s="611"/>
      <c r="H7" s="68" t="str">
        <f>VLOOKUP('Quick Input'!M$45,DB_Länder,IF(Deutsch,1,2),FALSE)</f>
        <v>Germany</v>
      </c>
      <c r="I7" s="619" t="s">
        <v>750</v>
      </c>
      <c r="J7" s="619"/>
      <c r="K7" s="68" t="str">
        <f>VLOOKUP('Quick Input'!P$45,DB_Länder,IF(Deutsch,1,2),FALSE)</f>
        <v>Poland</v>
      </c>
      <c r="L7" s="78" t="s">
        <v>285</v>
      </c>
      <c r="M7" s="78"/>
      <c r="N7" s="68" t="str">
        <f>VLOOKUP('Quick Input'!S$45,DB_Länder,IF(Deutsch,1,2),FALSE)</f>
        <v>Germany</v>
      </c>
      <c r="O7" s="1188" t="s">
        <v>285</v>
      </c>
      <c r="Y7" s="55" t="s">
        <v>33</v>
      </c>
    </row>
    <row r="8" spans="1:25" ht="16.5" customHeight="1" thickBot="1" x14ac:dyDescent="0.25">
      <c r="D8" s="1246" t="str">
        <f>'Quick Input'!$I$4</f>
        <v>date</v>
      </c>
      <c r="E8" s="1247"/>
      <c r="F8" s="1248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43531</v>
      </c>
      <c r="O8" s="1188" t="s">
        <v>285</v>
      </c>
      <c r="Y8" s="55" t="s">
        <v>33</v>
      </c>
    </row>
    <row r="9" spans="1:25" ht="14.25" customHeight="1" thickBot="1" x14ac:dyDescent="0.25">
      <c r="D9" s="1240" t="str">
        <f>IF(Deutsch,"Materialien","materials")</f>
        <v>materials</v>
      </c>
      <c r="E9" s="1241"/>
      <c r="F9" s="1242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 x14ac:dyDescent="0.25">
      <c r="D10" s="1240"/>
      <c r="E10" s="1241"/>
      <c r="F10" s="1242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 t="str">
        <f>'Quick Input'!S$11</f>
        <v>Al Si10Mg(b)</v>
      </c>
      <c r="O10" s="1188" t="s">
        <v>750</v>
      </c>
      <c r="Y10" s="55" t="s">
        <v>33</v>
      </c>
    </row>
    <row r="11" spans="1:25" ht="13.5" customHeight="1" thickBot="1" x14ac:dyDescent="0.25">
      <c r="D11" s="1232"/>
      <c r="E11" s="1233"/>
      <c r="F11" s="1234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 x14ac:dyDescent="0.25">
      <c r="D12" s="76" t="str">
        <f>'Quick Input'!I13</f>
        <v>Al material price (€ per 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1.9670528580208975</v>
      </c>
      <c r="O12" s="1188" t="s">
        <v>285</v>
      </c>
      <c r="Y12" s="55" t="s">
        <v>33</v>
      </c>
    </row>
    <row r="13" spans="1:25" ht="15" thickBot="1" x14ac:dyDescent="0.25">
      <c r="D13" s="76" t="str">
        <f>'Quick Input'!I12</f>
        <v>pricing source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by hand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by hand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by hand</v>
      </c>
      <c r="O13" s="1188" t="s">
        <v>285</v>
      </c>
      <c r="Y13" s="55" t="s">
        <v>33</v>
      </c>
    </row>
    <row r="14" spans="1:25" ht="15" thickBot="1" x14ac:dyDescent="0.25">
      <c r="D14" s="76" t="str">
        <f>'Quick Input'!I19</f>
        <v>AL part raw weight (kg)</v>
      </c>
      <c r="E14" s="73"/>
      <c r="F14" s="75"/>
      <c r="G14" s="611"/>
      <c r="H14" s="579">
        <f>'Quick Input'!M$19</f>
        <v>40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8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 cost raw part</v>
      </c>
      <c r="E15" s="73"/>
      <c r="F15" s="75"/>
      <c r="G15" s="611"/>
      <c r="H15" s="74">
        <f>H$14*H$12</f>
        <v>80.010106899902823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8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melting loss (%)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 x14ac:dyDescent="0.25">
      <c r="D17" s="76" t="str">
        <f>IF(Deutsch,"Kosten Schmelzverlust","cost for melting loss")</f>
        <v>cost for melting loss</v>
      </c>
      <c r="E17" s="73"/>
      <c r="F17" s="75"/>
      <c r="G17" s="611"/>
      <c r="H17" s="74">
        <f>H$15*(1+Parametrikber!F$42)*H$16</f>
        <v>6.4096901742807058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>
        <f>N$15*(1+Parametrikber!L$42)*N$16</f>
        <v>0.79784922319733242</v>
      </c>
      <c r="O17" s="1188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 cost aluminium (€/pc.)</v>
      </c>
      <c r="E18" s="73"/>
      <c r="F18" s="75"/>
      <c r="G18" s="611"/>
      <c r="H18" s="85">
        <f>H15+H17</f>
        <v>86.419797074183535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>
        <f>N15+N17</f>
        <v>10.633113513301819</v>
      </c>
      <c r="O18" s="1188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moulding sand (kg/pc.)</v>
      </c>
      <c r="E19" s="73"/>
      <c r="F19" s="75"/>
      <c r="G19" s="611"/>
      <c r="H19" s="579">
        <f>Parametrikber!F$75</f>
        <v>605.25346382895225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>
        <f>Parametrikber!L$75</f>
        <v>173.96295869697622</v>
      </c>
      <c r="O19" s="1188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new moulding sand cost</v>
      </c>
      <c r="E20" s="73"/>
      <c r="F20" s="75"/>
      <c r="G20" s="611"/>
      <c r="H20" s="74">
        <f>H$19*('Länder-DB'!$M$23*'Länder-DB'!$M$25/1000+Parametrikber!F$79)</f>
        <v>4.4717924104088675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>
        <f>N$19*('Länder-DB'!$M$23*'Länder-DB'!$M$25/1000+Parametrikber!L$79)</f>
        <v>1.0933571954104957</v>
      </c>
      <c r="O20" s="1188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cost for cleaning salt</v>
      </c>
      <c r="E21" s="581"/>
      <c r="F21" s="75"/>
      <c r="G21" s="611"/>
      <c r="H21" s="74">
        <f>'Länder-DB'!$M$39*H$33/1000*(1+Parametrikber!F224)</f>
        <v>0.53496399482785384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>
        <f>'Länder-DB'!$M$39*N$33/1000*(1+Parametrikber!L224)</f>
        <v>0.11667090394258404</v>
      </c>
      <c r="O21" s="1188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cooling plates cost (ea. pc.)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8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cost sum auxiliaries (€/pc.)</v>
      </c>
      <c r="E23" s="73"/>
      <c r="F23" s="75"/>
      <c r="G23" s="611"/>
      <c r="H23" s="85">
        <f>H$20+H$21+H$22</f>
        <v>5.0067564052367217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>
        <f t="shared" ref="N23" si="0">N$20+N$21+N$22</f>
        <v>1.2100280993530796</v>
      </c>
      <c r="O23" s="1188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 overhead rate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 x14ac:dyDescent="0.25">
      <c r="D25" s="76" t="str">
        <f>IF(Deutsch,"Materialgemeinkosten","material overhead")</f>
        <v>material overhead</v>
      </c>
      <c r="E25" s="73"/>
      <c r="F25" s="75"/>
      <c r="G25" s="611"/>
      <c r="H25" s="85">
        <f>(H$18+H$23)*H$24</f>
        <v>6.3998587435594176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>
        <f t="shared" ref="N25" si="1">(N$18+N$23)*N$24</f>
        <v>0.82901991288584298</v>
      </c>
      <c r="O25" s="1188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 cost total</v>
      </c>
      <c r="E26" s="73"/>
      <c r="F26" s="75"/>
      <c r="G26" s="856"/>
      <c r="H26" s="77">
        <f>H$18+H$23+H$25</f>
        <v>97.82641222297967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>
        <f>N$18+N$23+N$25</f>
        <v>12.672161525540741</v>
      </c>
      <c r="O26" s="1188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 x14ac:dyDescent="0.25">
      <c r="D28" s="1229" t="str">
        <f>IF(Deutsch,"Prozess Schmelzen","melting process")</f>
        <v>melting process</v>
      </c>
      <c r="E28" s="1235"/>
      <c r="F28" s="1236"/>
      <c r="G28" s="900"/>
      <c r="H28" s="901" t="str">
        <f>CONCATENATE(VLOOKUP(Parametrikber!F$98,DB_Ofen,11,FALSE),"-",IF(Deutsch,"Ofen","oven"))</f>
        <v>batch-type-oven</v>
      </c>
      <c r="I28" s="618" t="s">
        <v>285</v>
      </c>
      <c r="J28" s="618"/>
      <c r="K28" s="901" t="str">
        <f>CONCATENATE(VLOOKUP(Parametrikber!I$98,DB_Ofen,11,FALSE),"-",IF(Deutsch,"Ofen","oven"))</f>
        <v>batch-type-oven</v>
      </c>
      <c r="L28" s="266" t="s">
        <v>285</v>
      </c>
      <c r="M28" s="266"/>
      <c r="N28" s="901" t="str">
        <f>CONCATENATE(VLOOKUP(Parametrikber!L$98,DB_Ofen,11,FALSE),"-",IF(Deutsch,"Ofen","oven"))</f>
        <v>batch-type-oven</v>
      </c>
      <c r="O28" s="1189" t="s">
        <v>285</v>
      </c>
      <c r="Y28" s="55" t="s">
        <v>33</v>
      </c>
    </row>
    <row r="29" spans="1:25" ht="12.75" customHeight="1" thickBot="1" x14ac:dyDescent="0.25">
      <c r="D29" s="1237"/>
      <c r="E29" s="1238"/>
      <c r="F29" s="1239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melting energy</v>
      </c>
      <c r="E30" s="73"/>
      <c r="F30" s="75"/>
      <c r="G30" s="902">
        <f>Parametrikber!F$114</f>
        <v>1.7777777777777777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selected melting rate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 x14ac:dyDescent="0.25">
      <c r="D32" s="72" t="str">
        <f>CONCATENATE(IF(Deutsch,"Schmelzleistung","melting rate")," (kg/h)")</f>
        <v>melting rate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 x14ac:dyDescent="0.25">
      <c r="D33" s="72" t="str">
        <f>CONCATENATE('Quick Input'!I19,IF(Deutsch," (incl. Anguß)"," (with sprue)"))</f>
        <v>AL part raw weight (kg) (with sprue)</v>
      </c>
      <c r="E33" s="73"/>
      <c r="F33" s="75"/>
      <c r="G33" s="859"/>
      <c r="H33" s="493">
        <f>Parametrikber!F$40/H$50*(1+H$16)</f>
        <v>60.942102415579491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>
        <f>Parametrikber!L$40/N$50*(1+N$16)</f>
        <v>7.7138297735908372</v>
      </c>
      <c r="O33" s="1188" t="s">
        <v>285</v>
      </c>
    </row>
    <row r="34" spans="2:15" ht="15" thickBot="1" x14ac:dyDescent="0.25">
      <c r="D34" s="72" t="str">
        <f>CONCATENATE(IF(Deutsch,"Zykluszeit Ofen","cycle time melting")," (min)")</f>
        <v>cycle time melting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 x14ac:dyDescent="0.25">
      <c r="D35" s="72" t="str">
        <f>CONCATENATE(IF(Deutsch,"Stundensatz Ofen","rate oven")," (€/h)")</f>
        <v>rate oven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8" t="s">
        <v>285</v>
      </c>
    </row>
    <row r="36" spans="2:15" ht="15" thickBot="1" x14ac:dyDescent="0.25">
      <c r="D36" s="82" t="str">
        <f>IF(Deutsch,"Prozesskosten Ofen (€/Stk.)","process cost ovfen (€/pc.)")</f>
        <v>process cost ovfen (€/pc.)</v>
      </c>
      <c r="E36" s="73"/>
      <c r="F36" s="75"/>
      <c r="G36" s="859"/>
      <c r="H36" s="85">
        <f>H$34/60*H$33/Parametrikber!F$101*H$35</f>
        <v>0.51278323831962547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>
        <f>N$34/60*N$33/Parametrikber!L$101*N$35</f>
        <v>0.11759483142422641</v>
      </c>
      <c r="O36" s="1188" t="s">
        <v>285</v>
      </c>
    </row>
    <row r="37" spans="2:15" ht="15" thickBot="1" x14ac:dyDescent="0.25">
      <c r="D37" s="72" t="str">
        <f>IF(Deutsch,"Energieverbrauch (kWh/kg)","energy rate (kWh/kg)")</f>
        <v>energy rate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 x14ac:dyDescent="0.25">
      <c r="D38" s="72" t="str">
        <f>IF(Deutsch,"Energiekosten (€/kWh ","energy price (€/kWh)")</f>
        <v>energy price (€/kWh)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 x14ac:dyDescent="0.25">
      <c r="D39" s="72" t="str">
        <f>IF(Deutsch,"Energiekosten (€/Stk.)","energy cost (€/pc.)")</f>
        <v>energy cost (€/pc.)</v>
      </c>
      <c r="E39" s="73"/>
      <c r="F39" s="75"/>
      <c r="G39" s="859"/>
      <c r="H39" s="85">
        <f>H$33*H$37*H$38</f>
        <v>2.218962891053665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>
        <f>N$33*N$37*N$38</f>
        <v>0.28086825588621595</v>
      </c>
      <c r="O39" s="1188" t="s">
        <v>285</v>
      </c>
    </row>
    <row r="40" spans="2:15" ht="15" thickBot="1" x14ac:dyDescent="0.25">
      <c r="D40" s="72" t="str">
        <f>IF(Deutsch,"Bediener pro Ofen","operator per oven)")</f>
        <v>operator per oven)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 cost operator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 x14ac:dyDescent="0.25">
      <c r="D42" s="82" t="str">
        <f>IF(Deutsch,"Personalkosten (€/Stk.)","stuff cost (€/pc.)")</f>
        <v>stuff cost (€/pc.)</v>
      </c>
      <c r="E42" s="73"/>
      <c r="F42" s="75"/>
      <c r="G42" s="859"/>
      <c r="H42" s="85">
        <f>H$33*(1+H$16)/Parametrikber!F$101*H$34/60*H$40*H$41</f>
        <v>0.89076612820820789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>
        <f>N$33*(1+N$16)/Parametrikber!L$101*N$34/60*N$40*N$41</f>
        <v>0.11274993819908186</v>
      </c>
      <c r="O42" s="1188" t="s">
        <v>285</v>
      </c>
    </row>
    <row r="43" spans="2:15" ht="15" thickBot="1" x14ac:dyDescent="0.25">
      <c r="D43" s="72" t="str">
        <f>IF(Deutsch,"Schmelze entgasen/reinigen (min)","cleaning time (min)")</f>
        <v>cleaning time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8" t="s">
        <v>285</v>
      </c>
    </row>
    <row r="44" spans="2:15" ht="15" thickBot="1" x14ac:dyDescent="0.25">
      <c r="D44" s="72" t="str">
        <f>CONCATENATE(IF(Deutsch,"Reinigungskosten","process cost cleaning")," (€/h)")</f>
        <v>process cost cleaning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 x14ac:dyDescent="0.25">
      <c r="D45" s="82" t="str">
        <f>IF(Deutsch,"Schmelzebehandlung (€/Stk.)","molten metal treatment (€/pc.)")</f>
        <v>molten metal treatment (€/pc.)</v>
      </c>
      <c r="E45" s="581"/>
      <c r="F45" s="75"/>
      <c r="G45" s="859"/>
      <c r="H45" s="85">
        <f>H$43/60*H$44*H$33/Parametrikber!F$101</f>
        <v>7.1969591958809129E-2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>
        <f>N$43/60*N$44*N$33/Parametrikber!L$101</f>
        <v>1.563412787056925E-2</v>
      </c>
      <c r="O45" s="1188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additional melting rate scrap</v>
      </c>
      <c r="E46" s="73"/>
      <c r="F46" s="75"/>
      <c r="G46" s="611"/>
      <c r="H46" s="918">
        <f>H$70+H$92</f>
        <v>0.02</v>
      </c>
      <c r="I46" s="620"/>
      <c r="J46" s="620"/>
      <c r="K46" s="918">
        <f>K$70+K$92</f>
        <v>0.02</v>
      </c>
      <c r="L46" s="620"/>
      <c r="M46" s="620"/>
      <c r="N46" s="918">
        <f>N$70+N$92</f>
        <v>0.02</v>
      </c>
      <c r="O46" s="1188"/>
    </row>
    <row r="47" spans="2:15" ht="16.5" customHeight="1" thickBot="1" x14ac:dyDescent="0.25">
      <c r="D47" s="1018" t="str">
        <f>IF(Deutsch,"Schmelzkosten pro Stück","melting cost per part")</f>
        <v>melting cost per part</v>
      </c>
      <c r="E47" s="164"/>
      <c r="F47" s="165"/>
      <c r="G47" s="855"/>
      <c r="H47" s="1019">
        <f>(H42+H36+H39+H45)*(1+H46)</f>
        <v>3.7683714865311138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>
        <f>(N42+N36+N39+N45)*(1+N46)</f>
        <v>0.53738409644769536</v>
      </c>
      <c r="O47" s="1192" t="s">
        <v>285</v>
      </c>
    </row>
    <row r="48" spans="2:15" ht="24.75" thickBot="1" x14ac:dyDescent="0.25">
      <c r="D48" s="1237" t="str">
        <f>IF(Deutsch,"Prozess Formen","sand forming process")</f>
        <v>sand forming process</v>
      </c>
      <c r="E48" s="1238"/>
      <c r="F48" s="1239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half automatic / part complexity normal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 moulding / part complexity normal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hand moulding / part complexity normal</v>
      </c>
      <c r="O48" s="1189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caculated cavities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cavities/box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 x14ac:dyDescent="0.25">
      <c r="C51" s="78"/>
      <c r="D51" s="72" t="str">
        <f>IF(Deutsch,"Vorgeschlagene Maschine","caculated maschine")</f>
        <v>caculated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>
        <f>Parametrikber!L$70</f>
        <v>12</v>
      </c>
      <c r="O51" s="1188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used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 x14ac:dyDescent="0.25">
      <c r="C53" s="78"/>
      <c r="D53" s="566" t="str">
        <f>IF(Deutsch,"Kastengröße","box size")</f>
        <v>box size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 x14ac:dyDescent="0.25">
      <c r="C54" s="78"/>
      <c r="D54" s="72" t="str">
        <f>IF(Deutsch,"Maschinenstundensatz","machine rate")</f>
        <v>machine rate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8" t="s">
        <v>285</v>
      </c>
    </row>
    <row r="55" spans="2:15" ht="15" thickBot="1" x14ac:dyDescent="0.25">
      <c r="C55" s="78"/>
      <c r="D55" s="72" t="str">
        <f>IF(Deutsch,"Bediener pro Maschine","stuff per machine")</f>
        <v>stuff per machine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4</v>
      </c>
      <c r="L55" s="78" t="s">
        <v>285</v>
      </c>
      <c r="M55" s="67"/>
      <c r="N55" s="262">
        <f>Parametrikber!L$135</f>
        <v>3</v>
      </c>
      <c r="O55" s="1188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productions stuff rate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 x14ac:dyDescent="0.25">
      <c r="C57" s="78"/>
      <c r="D57" s="72" t="str">
        <f>IF(Deutsch,"Prozesskosten pro Stunde","process cost per h")</f>
        <v>process cost per h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502.18286982624198</v>
      </c>
      <c r="L57" s="619" t="s">
        <v>285</v>
      </c>
      <c r="M57" s="607"/>
      <c r="N57" s="74">
        <f t="shared" ref="N57" si="2">N$54+N$55*N$56</f>
        <v>793.10746485507229</v>
      </c>
      <c r="O57" s="1188" t="s">
        <v>285</v>
      </c>
    </row>
    <row r="58" spans="2:15" ht="14.25" customHeight="1" thickBot="1" x14ac:dyDescent="0.25">
      <c r="C58" s="78"/>
      <c r="D58" s="72" t="str">
        <f>'Quick Input'!$I$65</f>
        <v>cooling plates volume</v>
      </c>
      <c r="E58" s="73"/>
      <c r="F58" s="75"/>
      <c r="G58" s="614">
        <f>Parametrikber!F$114</f>
        <v>1.7777777777777777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 x14ac:dyDescent="0.25">
      <c r="C59" s="78"/>
      <c r="D59" s="72" t="str">
        <f>IF(Deutsch,"Zykluszeit in Sec","cycle time (s)")</f>
        <v>cycle time (s)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1188"/>
    </row>
    <row r="60" spans="2:15" ht="15" thickBot="1" x14ac:dyDescent="0.25">
      <c r="C60" s="78"/>
      <c r="D60" s="82" t="str">
        <f>IF(Deutsch,"Formkosten pro Bauteil","forming cost per part")</f>
        <v>forming cost per part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5.5798096647360218</v>
      </c>
      <c r="L60" s="78" t="s">
        <v>285</v>
      </c>
      <c r="M60" s="584">
        <f>N$50</f>
        <v>1</v>
      </c>
      <c r="N60" s="85">
        <f>N$57/3600*N$59/N$50</f>
        <v>8.8123051650563582</v>
      </c>
      <c r="O60" s="1188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production lot size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 x14ac:dyDescent="0.25">
      <c r="C62" s="78"/>
      <c r="D62" s="72" t="str">
        <f>IF(Deutsch,"Rüstzeit Werkzeug / Maschine (min)","set up time tool/machine (min)")</f>
        <v>set up time tool/machine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56.406745185862235</v>
      </c>
      <c r="M62" s="67"/>
      <c r="N62" s="114">
        <f>Parametrikber!L$109</f>
        <v>50.406745185862235</v>
      </c>
      <c r="O62" s="1188"/>
    </row>
    <row r="63" spans="2:15" ht="15" thickBot="1" x14ac:dyDescent="0.25">
      <c r="C63" s="78"/>
      <c r="D63" s="72" t="str">
        <f>IF(Deutsch,"zusätzl. Einrichter pro Maschine ", "additional fitter per machine")</f>
        <v>additional fitter per machine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0</v>
      </c>
      <c r="O63" s="1188" t="s">
        <v>285</v>
      </c>
    </row>
    <row r="64" spans="2:15" ht="15" thickBot="1" x14ac:dyDescent="0.25">
      <c r="C64" s="78"/>
      <c r="D64" s="72" t="str">
        <f>IF(Deutsch,"Personalkosten Einrichter","cost fitter (€(h)")</f>
        <v>cost fitter (€(h)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 x14ac:dyDescent="0.25">
      <c r="C65" s="78"/>
      <c r="D65" s="72" t="str">
        <f>IF(Deutsch,"Rüstkosten pro Vorgang","set up cost")</f>
        <v>set up cost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472.10835291656423</v>
      </c>
      <c r="L65" s="78" t="s">
        <v>285</v>
      </c>
      <c r="M65" s="67"/>
      <c r="N65" s="74">
        <f>N$62/60*(N$57+N$63*N$64)</f>
        <v>666.29943143258026</v>
      </c>
      <c r="O65" s="1188" t="s">
        <v>285</v>
      </c>
    </row>
    <row r="66" spans="2:15" ht="15" thickBot="1" x14ac:dyDescent="0.25">
      <c r="C66" s="78"/>
      <c r="D66" s="82" t="str">
        <f>IF(Deutsch,"Rüstkosten pro Bauteil","set up cost per part")</f>
        <v>set up cost per part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4.7210835291656421</v>
      </c>
      <c r="L66" s="619" t="s">
        <v>285</v>
      </c>
      <c r="M66" s="607"/>
      <c r="N66" s="85">
        <f>N$65/ROUNDUP(N$61,0)</f>
        <v>6.662994314325803</v>
      </c>
      <c r="O66" s="1188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core volume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 x14ac:dyDescent="0.25">
      <c r="D68" s="72" t="str">
        <f>IF(Deutsch,"Sandkerne (€/ltr)","cores €/ltr.")</f>
        <v>cores €/ltr.</v>
      </c>
      <c r="E68" s="457"/>
      <c r="F68" s="75"/>
      <c r="G68" s="614">
        <f>Parametrikber!F$114</f>
        <v>1.7777777777777777</v>
      </c>
      <c r="H68" s="74">
        <f>Parametrikber!F$117</f>
        <v>0.18317759151905527</v>
      </c>
      <c r="I68" s="609">
        <f>Parametrikber!F$115</f>
        <v>21.185185185185187</v>
      </c>
      <c r="J68" s="609">
        <f>Parametrikber!I$114</f>
        <v>0.22172949002217293</v>
      </c>
      <c r="K68" s="74">
        <f>Parametrikber!I$117</f>
        <v>0</v>
      </c>
      <c r="L68" s="470">
        <f>Parametrikber!I115</f>
        <v>30.552254249815224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 x14ac:dyDescent="0.25">
      <c r="D69" s="82" t="str">
        <f>IF(Deutsch,"Kernkosten pro Bauteil","core cost per part")</f>
        <v>core cost per part</v>
      </c>
      <c r="E69" s="457"/>
      <c r="F69" s="75"/>
      <c r="G69" s="614"/>
      <c r="H69" s="85">
        <f>H$67*H$68</f>
        <v>3.6635518303811052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 x14ac:dyDescent="0.25">
      <c r="B70" s="55" t="s">
        <v>127</v>
      </c>
      <c r="C70" s="78"/>
      <c r="D70" s="236" t="str">
        <f>'Quick Input'!I68</f>
        <v>scrap rate forming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 x14ac:dyDescent="0.25">
      <c r="C71" s="78"/>
      <c r="D71" s="236" t="str">
        <f>CONCATENATE(D70,IF(Deutsch," (€/Stk.)"," (€/pc.)"))</f>
        <v>scrap rate forming (€/pc.)</v>
      </c>
      <c r="E71" s="73"/>
      <c r="F71" s="75"/>
      <c r="G71" s="611"/>
      <c r="H71" s="74">
        <f t="shared" ref="H71" si="4">H$70*H$60</f>
        <v>0</v>
      </c>
      <c r="I71" s="619" t="s">
        <v>285</v>
      </c>
      <c r="J71" s="619"/>
      <c r="K71" s="74">
        <f t="shared" ref="K71" si="5">K$70*K$60</f>
        <v>0</v>
      </c>
      <c r="L71" s="619" t="s">
        <v>285</v>
      </c>
      <c r="M71" s="619"/>
      <c r="N71" s="74">
        <f t="shared" ref="N71" si="6">N$70*N$60</f>
        <v>0</v>
      </c>
      <c r="O71" s="1188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forming cost total per part</v>
      </c>
      <c r="E72" s="94"/>
      <c r="F72" s="89"/>
      <c r="G72" s="615"/>
      <c r="H72" s="853">
        <f>H$60+H$66+H$69+H$71</f>
        <v>45.925479191961877</v>
      </c>
      <c r="I72" s="625" t="s">
        <v>285</v>
      </c>
      <c r="J72" s="854"/>
      <c r="K72" s="853">
        <f>K$60+K$66+K$69+K$71</f>
        <v>10.300893193901665</v>
      </c>
      <c r="L72" s="625" t="s">
        <v>285</v>
      </c>
      <c r="M72" s="854"/>
      <c r="N72" s="853">
        <f t="shared" ref="N72" si="7">N$60+N$66+N$69+N$71</f>
        <v>15.475299479382162</v>
      </c>
      <c r="O72" s="1192" t="s">
        <v>285</v>
      </c>
    </row>
    <row r="73" spans="2:15" ht="33" customHeight="1" thickBot="1" x14ac:dyDescent="0.25">
      <c r="D73" s="1249" t="str">
        <f>IF(Deutsch,"Nachbehandlung","after care")</f>
        <v>after care</v>
      </c>
      <c r="E73" s="1250"/>
      <c r="F73" s="1251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 blasting vibratory grinding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 blasting vibratory grinding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 blasting vibratory grinding</v>
      </c>
      <c r="O73" s="1189" t="s">
        <v>285</v>
      </c>
    </row>
    <row r="74" spans="2:15" ht="15" thickBot="1" x14ac:dyDescent="0.25">
      <c r="C74" s="78"/>
      <c r="D74" s="72" t="str">
        <f>IF(Deutsch,"Auspacken/Entkernen (min/Stk.)","unpacking (min/pc.)")</f>
        <v>unpacking (min/pc.)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 x14ac:dyDescent="0.25">
      <c r="C75" s="78"/>
      <c r="D75" s="72" t="str">
        <f>IF(Deutsch,"Anschnitt trennen (min/Stk.)","sprue cutting (min/pc.)")</f>
        <v>sprue cutting (min/pc.)</v>
      </c>
      <c r="E75" s="73"/>
      <c r="F75" s="75"/>
      <c r="G75" s="611"/>
      <c r="H75" s="1201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 x14ac:dyDescent="0.25">
      <c r="C76" s="78"/>
      <c r="D76" s="72" t="str">
        <f>IF(Deutsch,"Personalkosten Hilfsarbeiter (€/h)","unpacking and cutting cost (€/pc.)")</f>
        <v>unpacking and cutting cost (€/pc.)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handlingtime surfaces (sec)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8" t="s">
        <v>285</v>
      </c>
    </row>
    <row r="78" spans="2:15" ht="15" thickBot="1" x14ac:dyDescent="0.25">
      <c r="C78" s="78"/>
      <c r="D78" s="1206" t="str">
        <f>IF(Deutsch,"Prozesszeit Strahlen (sec)","process time sand blasting (sec)")</f>
        <v>process time sand blasting (sec)</v>
      </c>
      <c r="E78" s="1207"/>
      <c r="F78" s="1205"/>
      <c r="G78" s="611"/>
      <c r="H78" s="140">
        <f>Parametrikber!F$235</f>
        <v>34.941609682128771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26.139248634013285</v>
      </c>
      <c r="O78" s="1188" t="s">
        <v>285</v>
      </c>
    </row>
    <row r="79" spans="2:15" ht="15" thickBot="1" x14ac:dyDescent="0.25">
      <c r="C79" s="78"/>
      <c r="D79" s="1206" t="str">
        <f>IF(Deutsch,"Strahlkosten (€/Std.)","blasting costs (€/h)")</f>
        <v>blasting costs (€/h)</v>
      </c>
      <c r="E79" s="1207"/>
      <c r="F79" s="1205"/>
      <c r="G79" s="611"/>
      <c r="H79" s="74">
        <f>H80/H78*3600</f>
        <v>32.157354374999997</v>
      </c>
      <c r="I79" s="619"/>
      <c r="J79" s="619"/>
      <c r="K79" s="74">
        <f>K80/K78*3600</f>
        <v>12.232374875</v>
      </c>
      <c r="L79" s="619"/>
      <c r="M79" s="619"/>
      <c r="N79" s="74">
        <f>N80/N78*3600</f>
        <v>32.157354374999997</v>
      </c>
      <c r="O79" s="1188"/>
    </row>
    <row r="80" spans="2:15" ht="15" thickBot="1" x14ac:dyDescent="0.25">
      <c r="C80" s="78"/>
      <c r="D80" s="1206" t="str">
        <f>IF(Deutsch,"Strahlkosten (€/Stk.)","blasting costs (€/Stk.)")</f>
        <v>blasting costs (€/Stk.)</v>
      </c>
      <c r="E80" s="1207"/>
      <c r="F80" s="1205"/>
      <c r="G80" s="611"/>
      <c r="H80" s="85">
        <f>IF('Quick Input'!L25="ja",(H$78/3600*H$76)+'Maschinen-DB'!E72*(1+'Maschinen-DB'!F72)/'Länder-DB'!I27/Parametrikber!F146/3600*H78+'Maschinen-DB'!G72/3600*H78*VLOOKUP('Quick Input'!M$45,DB_Länder,7,FALSE) + 'Maschinen-DB'!H72*VLOOKUP('Quick Input'!M$45,DB_Länder,8,FALSE)*12/Parametrikber!F146/3600*H78,0)</f>
        <v>0.31211936805031831</v>
      </c>
      <c r="I80" s="619"/>
      <c r="J80" s="619"/>
      <c r="K80" s="85">
        <f>IF('Quick Input'!O25="ja",(K$78/3600*K$76)+'Maschinen-DB'!E72*(1+'Maschinen-DB'!F72)/'Länder-DB'!I27/Parametrikber!I146/3600*K78+'Maschinen-DB'!G72/3600*K78*VLOOKUP('Quick Input'!P$45,DB_Länder,7,FALSE) + 'Maschinen-DB'!H72*VLOOKUP('Quick Input'!P$45,DB_Länder,8,FALSE)*12/Parametrikber!I146/3600*K78,0)</f>
        <v>8.881808006724505E-2</v>
      </c>
      <c r="L80" s="619"/>
      <c r="M80" s="619"/>
      <c r="N80" s="85">
        <f>IF('Quick Input'!R25="ja",(N$78/3600*N$76)+'Maschinen-DB'!E72*(1+'Maschinen-DB'!F72)/'Länder-DB'!I27/Parametrikber!L146/3600*N78+'Maschinen-DB'!G72/3600*N78*VLOOKUP('Quick Input'!S$45,DB_Länder,7,FALSE) + 'Maschinen-DB'!H72*VLOOKUP('Quick Input'!S$45,DB_Länder,8,FALSE)*12/Parametrikber!L146/3600*N78,0)</f>
        <v>0.23349141150561109</v>
      </c>
      <c r="O80" s="1188"/>
    </row>
    <row r="81" spans="2:23" ht="15" thickBot="1" x14ac:dyDescent="0.25">
      <c r="C81" s="78"/>
      <c r="D81" s="1206" t="str">
        <f>IF(Deutsch,"Prozesszeit Gleitschleifen (sec)","process time Slide grinding (sec)")</f>
        <v>process time Slide grinding (sec)</v>
      </c>
      <c r="E81" s="1207"/>
      <c r="F81" s="1205"/>
      <c r="G81" s="611"/>
      <c r="H81" s="140">
        <f>Parametrikber!F240/Parametrikber!F242*60</f>
        <v>1320</v>
      </c>
      <c r="I81" s="619"/>
      <c r="J81" s="619"/>
      <c r="K81" s="140">
        <f>Parametrikber!I240/Parametrikber!I242*60</f>
        <v>220</v>
      </c>
      <c r="L81" s="619"/>
      <c r="M81" s="619"/>
      <c r="N81" s="140">
        <f>Parametrikber!L240/Parametrikber!L242*60</f>
        <v>220</v>
      </c>
      <c r="O81" s="1188"/>
    </row>
    <row r="82" spans="2:23" ht="15" thickBot="1" x14ac:dyDescent="0.25">
      <c r="C82" s="78"/>
      <c r="D82" s="1206" t="str">
        <f>IF(Deutsch,"Kosten Gleitschleifen (€/Std.)","costs Slide grinding (€/h)")</f>
        <v>costs Slide grinding (€/h)</v>
      </c>
      <c r="E82" s="1207"/>
      <c r="F82" s="1205"/>
      <c r="G82" s="611"/>
      <c r="H82" s="74">
        <f>H83/H81*3600</f>
        <v>31.055713750000002</v>
      </c>
      <c r="I82" s="619"/>
      <c r="J82" s="619"/>
      <c r="K82" s="74">
        <f>K83/K81*3600</f>
        <v>11.49604675</v>
      </c>
      <c r="L82" s="619"/>
      <c r="M82" s="619"/>
      <c r="N82" s="74">
        <f>N83/N81*3600</f>
        <v>31.055713750000006</v>
      </c>
      <c r="O82" s="1188"/>
    </row>
    <row r="83" spans="2:23" ht="15" thickBot="1" x14ac:dyDescent="0.25">
      <c r="C83" s="78"/>
      <c r="D83" s="1206" t="str">
        <f>IF(Deutsch,"Kosten Gleitschleifen (€/Stk.)","costs Slide grinding (€/Stk.)")</f>
        <v>costs Slide grinding (€/Stk.)</v>
      </c>
      <c r="E83" s="1207"/>
      <c r="F83" s="1205"/>
      <c r="G83" s="611"/>
      <c r="H83" s="85">
        <f>IF('Quick Input'!L26="ja",(H$81/3600*H$76)+'Maschinen-DB'!E73*(1+'Maschinen-DB'!F73)/'Länder-DB'!I27/Parametrikber!F146/3600*H81+'Maschinen-DB'!G73/3600*H81*VLOOKUP('Quick Input'!M$45,DB_Länder,7,FALSE) + 'Maschinen-DB'!H73*VLOOKUP('Quick Input'!M$45,DB_Länder,8,FALSE)*12/Parametrikber!F146/3600*H81,0)</f>
        <v>11.387095041666667</v>
      </c>
      <c r="I83" s="683"/>
      <c r="J83" s="683"/>
      <c r="K83" s="85">
        <f>IF('Quick Input'!L26="ja",(K$81/3600*K$76)+'Maschinen-DB'!E73*(1+'Maschinen-DB'!F73)/'Länder-DB'!I27/Parametrikber!I146/3600*K81+'Maschinen-DB'!G73/3600*K81*VLOOKUP('Quick Input'!P$45,DB_Länder,7,FALSE) + 'Maschinen-DB'!H73*VLOOKUP('Quick Input'!P$45,DB_Länder,8,FALSE)*12/Parametrikber!F146/3600*K81,0)</f>
        <v>0.70253619027777769</v>
      </c>
      <c r="L83" s="683"/>
      <c r="M83" s="683"/>
      <c r="N83" s="85">
        <f>IF('Quick Input'!R26="ja",(N$81/3600*N$76)+'Maschinen-DB'!E73*(1+'Maschinen-DB'!F73)/'Länder-DB'!I27/Parametrikber!F146/3600*N81+'Maschinen-DB'!G73/3600*N81*VLOOKUP('Quick Input'!S$45,DB_Länder,7,FALSE) + 'Maschinen-DB'!H73*VLOOKUP('Quick Input'!S$45,DB_Länder,8,FALSE)*12/Parametrikber!F146/3600*N81,0)</f>
        <v>1.8978491736111114</v>
      </c>
      <c r="O83" s="1188"/>
    </row>
    <row r="84" spans="2:23" ht="15" thickBot="1" x14ac:dyDescent="0.25">
      <c r="C84" s="78"/>
      <c r="D84" s="72" t="str">
        <f>IF(Deutsch,"Prozesszeit Feinputzen (sec)","process time fine grinding (sec)")</f>
        <v>process time fine grinding (sec)</v>
      </c>
      <c r="E84" s="73"/>
      <c r="F84" s="75"/>
      <c r="G84" s="611"/>
      <c r="H84" s="140">
        <f>Parametrikber!F$243</f>
        <v>0</v>
      </c>
      <c r="I84" s="619" t="s">
        <v>285</v>
      </c>
      <c r="J84" s="619"/>
      <c r="K84" s="140">
        <f>Parametrikber!I$243</f>
        <v>0</v>
      </c>
      <c r="L84" s="619" t="s">
        <v>285</v>
      </c>
      <c r="M84" s="619"/>
      <c r="N84" s="140">
        <f>Parametrikber!L$243</f>
        <v>0</v>
      </c>
      <c r="O84" s="1188" t="s">
        <v>285</v>
      </c>
    </row>
    <row r="85" spans="2:23" ht="15" thickBot="1" x14ac:dyDescent="0.25">
      <c r="C85" s="78"/>
      <c r="D85" s="1206" t="str">
        <f>IF(Deutsch,"Kosten Feinputzen (€/Std.)"," costs fine grinding (€/h)")</f>
        <v xml:space="preserve"> costs fine grinding (€/h)</v>
      </c>
      <c r="E85" s="1207"/>
      <c r="F85" s="1205"/>
      <c r="G85" s="611"/>
      <c r="H85" s="1200">
        <f>IF(H84&gt;0,H86/H84*3600,0)</f>
        <v>0</v>
      </c>
      <c r="I85" s="619"/>
      <c r="J85" s="619"/>
      <c r="K85" s="1200">
        <f>IF(K84&gt;0,K86/K84*3600,0)</f>
        <v>0</v>
      </c>
      <c r="L85" s="619"/>
      <c r="M85" s="619"/>
      <c r="N85" s="1200">
        <f>IF(N84&gt;0,N86/N84*3600,0)</f>
        <v>0</v>
      </c>
      <c r="O85" s="1188"/>
    </row>
    <row r="86" spans="2:23" ht="15" thickBot="1" x14ac:dyDescent="0.25">
      <c r="C86" s="78"/>
      <c r="D86" s="1206" t="str">
        <f>IF(Deutsch,"Kosten Feinputzen (€/Stk.)"," costs fine grinding (€/pc.)")</f>
        <v xml:space="preserve"> costs fine grinding (€/pc.)</v>
      </c>
      <c r="E86" s="1207"/>
      <c r="F86" s="1205"/>
      <c r="G86" s="611"/>
      <c r="H86" s="1200">
        <f>'Maschinen-DB'!E75*(1+'Maschinen-DB'!F75)/'Länder-DB'!I27/Parametrikber!F146/3600*H84+'Maschinen-DB'!G75/3600*H84*VLOOKUP('Quick Input'!M$45,DB_Länder,7,FALSE)
+'Maschinen-DB'!H75*VLOOKUP('Quick Input'!M$45,DB_Länder,8,FALSE)*12/Parametrikber!F146/3600*H84</f>
        <v>0</v>
      </c>
      <c r="I86" s="619"/>
      <c r="J86" s="619"/>
      <c r="K86" s="1200">
        <f>'Maschinen-DB'!E75*(1+'Maschinen-DB'!F75)/'Länder-DB'!I27/Parametrikber!I146/3600*K84+'Maschinen-DB'!G75/3600*K84*VLOOKUP('Quick Input'!P$45,DB_Länder,7,FALSE)
+'Maschinen-DB'!H75*VLOOKUP('Quick Input'!P$45,DB_Länder,8,FALSE)*12/Parametrikber!I146/3600*K84</f>
        <v>0</v>
      </c>
      <c r="L86" s="619"/>
      <c r="M86" s="619"/>
      <c r="N86" s="1200">
        <f>'Maschinen-DB'!E75*(1+'Maschinen-DB'!F75)/'Länder-DB'!I27/Parametrikber!L146/3600*N84+'Maschinen-DB'!G75/3600*N84*VLOOKUP('Quick Input'!S$45,DB_Länder,7,FALSE)
+'Maschinen-DB'!H75*VLOOKUP('Quick Input'!S$45,DB_Länder,8,FALSE)*12/Parametrikber!L146/3600*N84</f>
        <v>0</v>
      </c>
      <c r="O86" s="1188"/>
    </row>
    <row r="87" spans="2:23" ht="15" thickBot="1" x14ac:dyDescent="0.25">
      <c r="C87" s="78"/>
      <c r="D87" s="82" t="str">
        <f>IF(Deutsch,"Oberflächenkosten (€/Stk.)","surfaces cost (€/pc.)")</f>
        <v>surfaces cost (€/pc.)</v>
      </c>
      <c r="E87" s="73"/>
      <c r="F87" s="75"/>
      <c r="G87" s="611"/>
      <c r="H87" s="85">
        <f>H$80+H$83+H86+(H$84/3600*H$76)</f>
        <v>11.699214409716985</v>
      </c>
      <c r="I87" s="619" t="s">
        <v>285</v>
      </c>
      <c r="J87" s="619"/>
      <c r="K87" s="85">
        <f>K$80+K$83+(K$84/3600*K$76)</f>
        <v>0.7913542703450227</v>
      </c>
      <c r="L87" s="619" t="s">
        <v>285</v>
      </c>
      <c r="M87" s="619"/>
      <c r="N87" s="85">
        <f>N$80+N$83+(N$84/3600*N$76)</f>
        <v>2.1313405851167224</v>
      </c>
      <c r="O87" s="1188" t="s">
        <v>285</v>
      </c>
      <c r="T87" s="1211"/>
    </row>
    <row r="88" spans="2:23" ht="15" thickBot="1" x14ac:dyDescent="0.25">
      <c r="C88" s="78"/>
      <c r="D88" s="72" t="str">
        <f>IF(Deutsch,"Sandaufbereitung (€/t)","sand regeneration (€/to)")</f>
        <v>sand regeneration (€/to)</v>
      </c>
      <c r="E88" s="73"/>
      <c r="F88" s="75"/>
      <c r="G88" s="611"/>
      <c r="H88" s="74">
        <f>Parametrikber!F$122</f>
        <v>1.4142135623730949</v>
      </c>
      <c r="I88" s="619" t="s">
        <v>285</v>
      </c>
      <c r="J88" s="619"/>
      <c r="K88" s="74">
        <f>Parametrikber!I$122</f>
        <v>1.2477080261564104</v>
      </c>
      <c r="L88" s="78" t="s">
        <v>285</v>
      </c>
      <c r="M88" s="78"/>
      <c r="N88" s="74">
        <f>Parametrikber!L$122</f>
        <v>1.4142135623730949</v>
      </c>
      <c r="O88" s="1188" t="s">
        <v>285</v>
      </c>
      <c r="W88" s="689"/>
    </row>
    <row r="89" spans="2:23" ht="15" thickBot="1" x14ac:dyDescent="0.25">
      <c r="C89" s="78"/>
      <c r="D89" s="82" t="str">
        <f>IF(Deutsch,"Sandaufbereitung (€/Stk.)","sand regeneration (€/pc.)")</f>
        <v>sand regeneration (€/pc.)</v>
      </c>
      <c r="E89" s="73"/>
      <c r="F89" s="75"/>
      <c r="G89" s="611"/>
      <c r="H89" s="85">
        <f>H$88*Parametrikber!F$75/1000</f>
        <v>0.85595765722019768</v>
      </c>
      <c r="I89" s="619" t="s">
        <v>285</v>
      </c>
      <c r="J89" s="619"/>
      <c r="K89" s="85">
        <f>K$88*Parametrikber!I$75/1000</f>
        <v>0.21705497982013336</v>
      </c>
      <c r="L89" s="78" t="s">
        <v>285</v>
      </c>
      <c r="M89" s="78"/>
      <c r="N89" s="85">
        <f>N$88*Parametrikber!L$75/1000</f>
        <v>0.2460207755398143</v>
      </c>
      <c r="O89" s="1188" t="s">
        <v>285</v>
      </c>
    </row>
    <row r="90" spans="2:23" ht="15" thickBot="1" x14ac:dyDescent="0.25">
      <c r="C90" s="78"/>
      <c r="D90" s="1206" t="str">
        <f>CONCATENATE(IF(Deutsch,'Quick Input'!C71,'Quick Input'!D71)," (€/kg)")</f>
        <v>heat treatment (€/kg)</v>
      </c>
      <c r="E90" s="1208"/>
      <c r="F90" s="1209"/>
      <c r="G90" s="611"/>
      <c r="H90" s="74">
        <f>VLOOKUP('Quick Input'!L32,Auswahlfelder!B41:F46,5,FALSE)</f>
        <v>0.7</v>
      </c>
      <c r="I90" s="620"/>
      <c r="J90" s="620"/>
      <c r="K90" s="74">
        <f>VLOOKUP('Quick Input'!O32,Auswahlfelder!B41:F46,5,FALSE)</f>
        <v>0.4</v>
      </c>
      <c r="L90" s="355"/>
      <c r="M90" s="355"/>
      <c r="N90" s="74">
        <f>VLOOKUP('Quick Input'!R32,Auswahlfelder!B41:F46,5,FALSE)</f>
        <v>0.5</v>
      </c>
      <c r="O90" s="1188"/>
    </row>
    <row r="91" spans="2:23" ht="15" thickBot="1" x14ac:dyDescent="0.25">
      <c r="C91" s="78"/>
      <c r="D91" s="82" t="str">
        <f>IF(Deutsch,"Wärmebehandlung (€/Stk.)","heat treatment (€/pc.")</f>
        <v>heat treatment (€/pc.</v>
      </c>
      <c r="E91" s="73"/>
      <c r="F91" s="75"/>
      <c r="G91" s="611"/>
      <c r="H91" s="85">
        <f>H$90*H$14</f>
        <v>28</v>
      </c>
      <c r="I91" s="619"/>
      <c r="J91" s="619"/>
      <c r="K91" s="85">
        <f>K$90*K$14</f>
        <v>2</v>
      </c>
      <c r="L91" s="78"/>
      <c r="M91" s="78"/>
      <c r="N91" s="85">
        <f>N$90*N$14</f>
        <v>2.5</v>
      </c>
      <c r="O91" s="1188"/>
    </row>
    <row r="92" spans="2:23" ht="15" thickBot="1" x14ac:dyDescent="0.25">
      <c r="B92" s="55" t="s">
        <v>127</v>
      </c>
      <c r="C92" s="78"/>
      <c r="D92" s="236" t="str">
        <f>'Quick Input'!I72</f>
        <v>scrap rate 2</v>
      </c>
      <c r="E92" s="73"/>
      <c r="F92" s="75"/>
      <c r="G92" s="611"/>
      <c r="H92" s="119">
        <v>0.02</v>
      </c>
      <c r="I92" s="620"/>
      <c r="J92" s="620"/>
      <c r="K92" s="119">
        <v>0.02</v>
      </c>
      <c r="L92" s="355"/>
      <c r="M92" s="355"/>
      <c r="N92" s="119">
        <v>0.02</v>
      </c>
      <c r="O92" s="1188"/>
    </row>
    <row r="93" spans="2:23" ht="15" thickBot="1" x14ac:dyDescent="0.25">
      <c r="C93" s="78"/>
      <c r="D93" s="116" t="str">
        <f>IF(Deutsch,"Prozesskosten pro Stück","process cost per part")</f>
        <v>process cost per part</v>
      </c>
      <c r="E93" s="73"/>
      <c r="F93" s="75"/>
      <c r="G93" s="855"/>
      <c r="H93" s="853">
        <f>(1+H92)*(H77+H87+H$89+H$91)</f>
        <v>66.683562908275917</v>
      </c>
      <c r="I93" s="625" t="s">
        <v>285</v>
      </c>
      <c r="J93" s="625"/>
      <c r="K93" s="853">
        <f>(1+K92)*(K77+K87+K$89+K$91)</f>
        <v>3.534532815168459</v>
      </c>
      <c r="L93" s="625" t="s">
        <v>285</v>
      </c>
      <c r="M93" s="625"/>
      <c r="N93" s="853">
        <f>(1+N92)*(N77+N87+N$89+N$91)</f>
        <v>7.0846825378696678</v>
      </c>
      <c r="O93" s="1192" t="s">
        <v>285</v>
      </c>
    </row>
    <row r="94" spans="2:23" ht="28.5" customHeight="1" thickBot="1" x14ac:dyDescent="0.25">
      <c r="C94" s="78"/>
      <c r="D94" s="1249" t="str">
        <f>IF(Deutsch,"Prüfen","testing")</f>
        <v>testing</v>
      </c>
      <c r="E94" s="1250"/>
      <c r="F94" s="1251"/>
      <c r="G94" s="611"/>
      <c r="H94" s="912" t="str">
        <f>Parametrikber!F$253</f>
        <v>US PT X-ray test</v>
      </c>
      <c r="I94" s="913" t="s">
        <v>285</v>
      </c>
      <c r="J94" s="913"/>
      <c r="K94" s="912" t="str">
        <f>Parametrikber!I$253</f>
        <v>US PT X-ray test</v>
      </c>
      <c r="L94" s="913" t="s">
        <v>285</v>
      </c>
      <c r="M94" s="913"/>
      <c r="N94" s="912" t="str">
        <f>Parametrikber!L$253</f>
        <v>US PT X-ray test</v>
      </c>
      <c r="O94" s="1189" t="s">
        <v>285</v>
      </c>
      <c r="T94" s="1210"/>
    </row>
    <row r="95" spans="2:23" ht="15" thickBot="1" x14ac:dyDescent="0.25">
      <c r="B95" s="55" t="s">
        <v>127</v>
      </c>
      <c r="C95" s="78"/>
      <c r="D95" s="72" t="str">
        <f>'Quick Input'!I73</f>
        <v>VT testing time (s)</v>
      </c>
      <c r="E95" s="73"/>
      <c r="F95" s="75"/>
      <c r="G95" s="611"/>
      <c r="H95" s="121">
        <v>400</v>
      </c>
      <c r="I95" s="620"/>
      <c r="J95" s="620"/>
      <c r="K95" s="121">
        <v>300</v>
      </c>
      <c r="L95" s="355"/>
      <c r="M95" s="355"/>
      <c r="N95" s="121">
        <v>300</v>
      </c>
      <c r="O95" s="1188"/>
    </row>
    <row r="96" spans="2:23" ht="15" thickBot="1" x14ac:dyDescent="0.25">
      <c r="C96" s="78"/>
      <c r="D96" s="1206" t="str">
        <f>IF(Deutsch,"VT Prüfung (€/Std.)","vt testing (€/h)")</f>
        <v>vt testing (€/h)</v>
      </c>
      <c r="E96" s="1205"/>
      <c r="F96" s="1205"/>
      <c r="G96" s="611"/>
      <c r="H96" s="1199">
        <f>H97/H95*3600</f>
        <v>1.21171875</v>
      </c>
      <c r="I96" s="619"/>
      <c r="J96" s="619"/>
      <c r="K96" s="1199">
        <f>K97/K95*3600</f>
        <v>1.0840625000000002</v>
      </c>
      <c r="L96" s="619"/>
      <c r="M96" s="619"/>
      <c r="N96" s="1199">
        <f>N97/N95*3600</f>
        <v>1.2117187500000002</v>
      </c>
      <c r="O96" s="1188"/>
    </row>
    <row r="97" spans="3:20" ht="15" thickBot="1" x14ac:dyDescent="0.25">
      <c r="C97" s="78"/>
      <c r="D97" s="1206" t="str">
        <f>IF(Deutsch,"VT Prüfung (€/Stk.)","vt testing (€/pc.)")</f>
        <v>vt testing (€/pc.)</v>
      </c>
      <c r="E97" s="1207"/>
      <c r="F97" s="1205"/>
      <c r="G97" s="611"/>
      <c r="H97" s="1199">
        <f>'Maschinen-DB'!E74*(1+'Maschinen-DB'!F74)/'Länder-DB'!I27/Parametrikber!F146/3600*H95+'Maschinen-DB'!G74/3600*H95*VLOOKUP('Quick Input'!M$45,DB_Länder,7,FALSE) + 'Maschinen-DB'!H74*VLOOKUP('Quick Input'!M$45,DB_Länder,8,FALSE)*12/Parametrikber!F146/3600*H95</f>
        <v>0.13463541666666667</v>
      </c>
      <c r="I97" s="620"/>
      <c r="J97" s="620"/>
      <c r="K97" s="1199">
        <f>'Maschinen-DB'!E74*(1+'Maschinen-DB'!F74)/'Länder-DB'!I27/Parametrikber!I146/3600*K95+'Maschinen-DB'!G74/3600*K95*VLOOKUP('Quick Input'!P$45,DB_Länder,7,FALSE) + 'Maschinen-DB'!H74*VLOOKUP('Quick Input'!P$45,DB_Länder,8,FALSE)*12/Parametrikber!I146/3600*K95</f>
        <v>9.0338541666666675E-2</v>
      </c>
      <c r="L97" s="355"/>
      <c r="M97" s="355"/>
      <c r="N97" s="1198">
        <f>'Maschinen-DB'!E74*(1+'Maschinen-DB'!F74)/'Länder-DB'!I27/Parametrikber!L146/3600*N95+'Maschinen-DB'!G74/3600*N95*VLOOKUP('Quick Input'!S$45,DB_Länder,7,FALSE)
+ 'Maschinen-DB'!H74*VLOOKUP('Quick Input'!S$45,DB_Länder,8,FALSE)*12/Parametrikber!L146/3600*N95</f>
        <v>0.10097656250000002</v>
      </c>
      <c r="O97" s="1188"/>
      <c r="T97" s="1211"/>
    </row>
    <row r="98" spans="3:20" ht="15" thickBot="1" x14ac:dyDescent="0.25">
      <c r="C98" s="78"/>
      <c r="D98" s="72" t="str">
        <f>IF(Deutsch,"Personalkosten Prüfer","personal cost testing")</f>
        <v>personal cost testing</v>
      </c>
      <c r="E98" s="73"/>
      <c r="F98" s="75"/>
      <c r="G98" s="611"/>
      <c r="H98" s="74">
        <f>Parametrikber!F$22</f>
        <v>33.535694999999997</v>
      </c>
      <c r="I98" s="619" t="s">
        <v>285</v>
      </c>
      <c r="J98" s="619"/>
      <c r="K98" s="74">
        <f>Parametrikber!I$22</f>
        <v>10.008107999999998</v>
      </c>
      <c r="L98" s="78" t="s">
        <v>285</v>
      </c>
      <c r="M98" s="78"/>
      <c r="N98" s="74">
        <f>Parametrikber!L$22</f>
        <v>33.535694999999997</v>
      </c>
      <c r="O98" s="1188" t="s">
        <v>285</v>
      </c>
    </row>
    <row r="99" spans="3:20" ht="15" thickBot="1" x14ac:dyDescent="0.25">
      <c r="C99" s="78"/>
      <c r="D99" s="1206" t="str">
        <f>IF(Deutsch,"Ultraschall Prüfzeit (sec)","ultrasonic testing time (sec)")</f>
        <v>ultrasonic testing time (sec)</v>
      </c>
      <c r="E99" s="1205"/>
      <c r="F99" s="1205"/>
      <c r="G99" s="611"/>
      <c r="H99" s="121">
        <v>500</v>
      </c>
      <c r="I99" s="619"/>
      <c r="J99" s="619"/>
      <c r="K99" s="121">
        <v>400</v>
      </c>
      <c r="L99" s="78"/>
      <c r="M99" s="78"/>
      <c r="N99" s="121">
        <v>400</v>
      </c>
      <c r="O99" s="1188"/>
    </row>
    <row r="100" spans="3:20" ht="15" thickBot="1" x14ac:dyDescent="0.25">
      <c r="C100" s="78"/>
      <c r="D100" s="1206" t="str">
        <f>IF(Deutsch,"Ultraschall Prüfung (€/Std.)","ultrasonic testing (€/h)")</f>
        <v>ultrasonic testing (€/h)</v>
      </c>
      <c r="E100" s="1205"/>
      <c r="F100" s="1205"/>
      <c r="G100" s="611"/>
      <c r="H100" s="1199">
        <f>H101/H99*3600</f>
        <v>3.0054687499999999</v>
      </c>
      <c r="I100" s="619"/>
      <c r="J100" s="619"/>
      <c r="K100" s="1199">
        <f>K101/K99*3600</f>
        <v>2.7778125</v>
      </c>
      <c r="L100" s="619"/>
      <c r="M100" s="619"/>
      <c r="N100" s="1199">
        <f>N101/N99*3600</f>
        <v>3.0054687499999999</v>
      </c>
      <c r="O100" s="1188"/>
    </row>
    <row r="101" spans="3:20" ht="15" thickBot="1" x14ac:dyDescent="0.25">
      <c r="C101" s="78"/>
      <c r="D101" s="1206" t="str">
        <f>IF(Deutsch,"Ultraschall Prüfung (€/Stk.)","ultrasonic testing (€/pc.)")</f>
        <v>ultrasonic testing (€/pc.)</v>
      </c>
      <c r="E101" s="1205"/>
      <c r="F101" s="1205"/>
      <c r="G101" s="611"/>
      <c r="H101" s="1199">
        <f>IF('Quick Input'!L28="ja",'Maschinen-DB'!E66*(1+'Maschinen-DB'!F66)/'Länder-DB'!I27/Parametrikber!F146/3600*H99+'Maschinen-DB'!G66/3600*H99*VLOOKUP('Quick Input'!M$45,DB_Länder,7,FALSE) + 'Maschinen-DB'!H66*VLOOKUP('Quick Input'!M$45,DB_Länder,8,FALSE)*12/Parametrikber!F146/3600*H99,0)</f>
        <v>0.41742621527777779</v>
      </c>
      <c r="I101" s="620"/>
      <c r="J101" s="620"/>
      <c r="K101" s="1199">
        <f>IF('Quick Input'!O28="ja",'Maschinen-DB'!E66*(1+'Maschinen-DB'!F66)/'Länder-DB'!I27/Parametrikber!I146/3600*K99+'Maschinen-DB'!G66/3600*K99*VLOOKUP('Quick Input'!P$45,DB_Länder,7,FALSE) + 'Maschinen-DB'!H66*VLOOKUP('Quick Input'!P$45,DB_Länder,8,FALSE)*12/Parametrikber!I146/3600*K99,0)</f>
        <v>0.30864583333333334</v>
      </c>
      <c r="L101" s="355"/>
      <c r="M101" s="355"/>
      <c r="N101" s="1199">
        <f>IF('Quick Input'!R28="ja",'Maschinen-DB'!E66*(1+'Maschinen-DB'!F66)/'Länder-DB'!I27/Parametrikber!L146/3600*N99+'Maschinen-DB'!G66/3600*N99*VLOOKUP('Quick Input'!S$45,DB_Länder,7,FALSE) + 'Maschinen-DB'!H66*VLOOKUP('Quick Input'!S$45,DB_Länder,8,FALSE)*12/Parametrikber!L146/3600*N99,0)</f>
        <v>0.33394097222222224</v>
      </c>
      <c r="O101" s="1188"/>
    </row>
    <row r="102" spans="3:20" ht="15" thickBot="1" x14ac:dyDescent="0.25">
      <c r="C102" s="78"/>
      <c r="D102" s="1206" t="str">
        <f>IF(Deutsch,"Farbeindring (Anlage)","PT (system)")</f>
        <v>PT (system)</v>
      </c>
      <c r="E102" s="1205"/>
      <c r="F102" s="1205"/>
      <c r="G102" s="611"/>
      <c r="H102" s="342" t="s">
        <v>993</v>
      </c>
      <c r="I102" s="620"/>
      <c r="J102" s="620"/>
      <c r="K102" s="342" t="s">
        <v>993</v>
      </c>
      <c r="L102" s="355"/>
      <c r="M102" s="355"/>
      <c r="N102" s="342" t="s">
        <v>993</v>
      </c>
      <c r="O102" s="1188"/>
    </row>
    <row r="103" spans="3:20" ht="15" thickBot="1" x14ac:dyDescent="0.25">
      <c r="C103" s="78"/>
      <c r="D103" s="1206" t="str">
        <f>IF(Deutsch,"Farbeindring Prüfzeit (sec)","PT testing time (sec)")</f>
        <v>PT testing time (sec)</v>
      </c>
      <c r="E103" s="1205"/>
      <c r="F103" s="1205"/>
      <c r="G103" s="611"/>
      <c r="H103" s="121">
        <v>600</v>
      </c>
      <c r="I103" s="620"/>
      <c r="J103" s="620"/>
      <c r="K103" s="121">
        <v>600</v>
      </c>
      <c r="L103" s="355"/>
      <c r="M103" s="355"/>
      <c r="N103" s="121">
        <v>400</v>
      </c>
      <c r="O103" s="1188"/>
    </row>
    <row r="104" spans="3:20" ht="15" thickBot="1" x14ac:dyDescent="0.25">
      <c r="C104" s="78"/>
      <c r="D104" s="1206" t="str">
        <f>IF(Deutsch,"Farbeindring Prüfung (€/Std.)","PT testing (€/h)")</f>
        <v>PT testing (€/h)</v>
      </c>
      <c r="E104" s="1205"/>
      <c r="F104" s="1205"/>
      <c r="G104" s="611"/>
      <c r="H104" s="1199">
        <f>H105/H103*3600</f>
        <v>2.2249479166666664</v>
      </c>
      <c r="I104" s="620"/>
      <c r="J104" s="620"/>
      <c r="K104" s="1199">
        <f>K105/K103*3600</f>
        <v>2.0766666666666667</v>
      </c>
      <c r="L104" s="355"/>
      <c r="M104" s="355"/>
      <c r="N104" s="1199">
        <f>N105/N103*3600</f>
        <v>2.2249479166666664</v>
      </c>
      <c r="O104" s="1188"/>
    </row>
    <row r="105" spans="3:20" ht="15" thickBot="1" x14ac:dyDescent="0.25">
      <c r="C105" s="78"/>
      <c r="D105" s="1206" t="str">
        <f>IF(Deutsch,"Farbeindring Prüfung (€/Stk.)","PT testing (€/pc.)")</f>
        <v>PT testing (€/pc.)</v>
      </c>
      <c r="E105" s="1205"/>
      <c r="F105" s="1205"/>
      <c r="G105" s="611"/>
      <c r="H105" s="1199">
        <f>IF('Quick Input'!L29="ja",VLOOKUP(Refkalkulation!H102,'Maschinen-DB'!B67:H69,4,FALSE)*(1+VLOOKUP(Refkalkulation!H102,'Maschinen-DB'!B67:H69,5,FALSE))/'Länder-DB'!I27/Parametrikber!F146/3600*H103+VLOOKUP(Refkalkulation!H102,'Maschinen-DB'!B67:H69,6,FALSE)/3600*H103*VLOOKUP('Quick Input'!M$45,DB_Länder,7,FALSE) + VLOOKUP(Refkalkulation!H102,'Maschinen-DB'!B67:H69,7,FALSE)*VLOOKUP('Quick Input'!M$45,DB_Länder,8,FALSE)*12/Parametrikber!F146/3600*H103,0)</f>
        <v>0.37082465277777776</v>
      </c>
      <c r="I105" s="620"/>
      <c r="J105" s="620"/>
      <c r="K105" s="1199">
        <f>IF('Quick Input'!O29="ja",VLOOKUP(Refkalkulation!K102,'Maschinen-DB'!B67:K69,4,FALSE)*(1+VLOOKUP(Refkalkulation!K102,'Maschinen-DB'!B67:K69,5,FALSE))/'Länder-DB'!I27/Parametrikber!I146/3600*K103+VLOOKUP(Refkalkulation!K102,'Maschinen-DB'!B67:K69,6,FALSE)/3600*K103*VLOOKUP('Quick Input'!P$45,DB_Länder,7,FALSE) + VLOOKUP(Refkalkulation!K102,'Maschinen-DB'!B67:K69,7,FALSE)*VLOOKUP('Quick Input'!P$45,DB_Länder,8,FALSE)*12/Parametrikber!I146/3600*K103,0)</f>
        <v>0.34611111111111109</v>
      </c>
      <c r="L105" s="355"/>
      <c r="M105" s="355"/>
      <c r="N105" s="1199">
        <f>IF('Quick Input'!R29="ja",VLOOKUP(Refkalkulation!N102,'Maschinen-DB'!B67:N69,4,FALSE)*(1+VLOOKUP(Refkalkulation!N102,'Maschinen-DB'!B67:N69,5,FALSE))/'Länder-DB'!I27/Parametrikber!L146/3600*N103+VLOOKUP(Refkalkulation!N102,'Maschinen-DB'!B67:N69,6,FALSE)/3600*N103*VLOOKUP('Quick Input'!S$45,DB_Länder,7,FALSE) + VLOOKUP(Refkalkulation!N102,'Maschinen-DB'!B67:N69,7,FALSE)*VLOOKUP('Quick Input'!S$45,DB_Länder,8,FALSE)*12/Parametrikber!L146/3600*N103,0)</f>
        <v>0.24721643518518516</v>
      </c>
      <c r="O105" s="1188"/>
    </row>
    <row r="106" spans="3:20" ht="15" thickBot="1" x14ac:dyDescent="0.25">
      <c r="C106" s="78"/>
      <c r="D106" s="1206" t="str">
        <f>IF(Deutsch,"Röntgen Prüfzeit (sec)","X-ray testing time (sec)")</f>
        <v>X-ray testing time (sec)</v>
      </c>
      <c r="E106" s="1205"/>
      <c r="F106" s="1205"/>
      <c r="G106" s="611"/>
      <c r="H106" s="121">
        <v>1000</v>
      </c>
      <c r="I106" s="620"/>
      <c r="J106" s="620"/>
      <c r="K106" s="121">
        <v>1000</v>
      </c>
      <c r="L106" s="355"/>
      <c r="M106" s="355"/>
      <c r="N106" s="121">
        <v>600</v>
      </c>
      <c r="O106" s="1188"/>
    </row>
    <row r="107" spans="3:20" ht="15" thickBot="1" x14ac:dyDescent="0.25">
      <c r="C107" s="78"/>
      <c r="D107" s="1206" t="str">
        <f>IF(Deutsch,"Röntgen Prüfung (€/Std.)","X-ray testing (€/h)")</f>
        <v>X-ray testing (€/h)</v>
      </c>
      <c r="E107" s="1205"/>
      <c r="F107" s="1205"/>
      <c r="G107" s="611"/>
      <c r="H107" s="1199">
        <f>H108/H106*3600</f>
        <v>6.6088541666666671</v>
      </c>
      <c r="I107" s="620"/>
      <c r="J107" s="620"/>
      <c r="K107" s="1199">
        <f>K108/K106*3600</f>
        <v>6.3429166666666683</v>
      </c>
      <c r="L107" s="355"/>
      <c r="M107" s="355"/>
      <c r="N107" s="1199">
        <f>N108/N106*3600</f>
        <v>6.6088541666666689</v>
      </c>
      <c r="O107" s="1188"/>
    </row>
    <row r="108" spans="3:20" ht="15" thickBot="1" x14ac:dyDescent="0.25">
      <c r="C108" s="78"/>
      <c r="D108" s="1206" t="str">
        <f>IF(Deutsch,"Röntgen Prüfung (€/Stk.)","X-ray testing (€/pc.)")</f>
        <v>X-ray testing (€/pc.)</v>
      </c>
      <c r="E108" s="1205"/>
      <c r="F108" s="1205"/>
      <c r="G108" s="611"/>
      <c r="H108" s="1199">
        <f>IF('Quick Input'!L30="ja",'Maschinen-DB'!E63*(1+'Maschinen-DB'!F63)/'Länder-DB'!I27/Parametrikber!F146/3600*H106+'Maschinen-DB'!G63/3600*H106*VLOOKUP('Quick Input'!M$45,DB_Länder,7,FALSE) + 'Maschinen-DB'!H63*VLOOKUP('Quick Input'!M$45,DB_Länder,8,FALSE)*12/Parametrikber!F146/3600*H106,0)</f>
        <v>1.8357928240740744</v>
      </c>
      <c r="I108" s="620"/>
      <c r="J108" s="620"/>
      <c r="K108" s="1199">
        <f>IF('Quick Input'!O30="ja",'Maschinen-DB'!E63*(1+'Maschinen-DB'!F63)/'Länder-DB'!I27/Parametrikber!F146/3600*K106+'Maschinen-DB'!G63/3600*K106*VLOOKUP('Quick Input'!P$45,DB_Länder,7,FALSE) + 'Maschinen-DB'!H63*VLOOKUP('Quick Input'!P$45,DB_Länder,8,FALSE)*12/Parametrikber!F146/3600*K106,0)</f>
        <v>1.7619212962962969</v>
      </c>
      <c r="L108" s="355"/>
      <c r="M108" s="355"/>
      <c r="N108" s="1199">
        <f>IF('Quick Input'!R30="ja",'Maschinen-DB'!E63*(1+'Maschinen-DB'!F63)/'Länder-DB'!I27/Parametrikber!F146/3600*N106+'Maschinen-DB'!G63/3600*N106*VLOOKUP('Quick Input'!S$45,DB_Länder,7,FALSE) + 'Maschinen-DB'!H63*VLOOKUP('Quick Input'!S$45,DB_Länder,8,FALSE)*12/Parametrikber!F146/3600*N106,0)</f>
        <v>1.1014756944444448</v>
      </c>
      <c r="O108" s="1188"/>
    </row>
    <row r="109" spans="3:20" ht="15" thickBot="1" x14ac:dyDescent="0.25">
      <c r="C109" s="78"/>
      <c r="D109" s="72" t="str">
        <f>IF(Deutsch,Auswahlfelder!$B$59,Auswahlfelder!$D$59)</f>
        <v>repair welding</v>
      </c>
      <c r="E109" s="73"/>
      <c r="F109" s="75"/>
      <c r="G109" s="611"/>
      <c r="H109" s="80" t="str">
        <f>'Quick Input'!L$33</f>
        <v>ohne</v>
      </c>
      <c r="I109" s="619"/>
      <c r="J109" s="619"/>
      <c r="K109" s="80" t="str">
        <f>'Quick Input'!O$33</f>
        <v>ohne</v>
      </c>
      <c r="L109" s="78"/>
      <c r="M109" s="78"/>
      <c r="N109" s="80" t="str">
        <f>'Quick Input'!R$33</f>
        <v>ohne</v>
      </c>
      <c r="O109" s="1188"/>
    </row>
    <row r="110" spans="3:20" ht="15" thickBot="1" x14ac:dyDescent="0.25">
      <c r="C110" s="78"/>
      <c r="D110" s="72" t="str">
        <f>IF(Deutsch,"Reparaturanteil (%)","repair proportion (%)")</f>
        <v>repair proportion (%)</v>
      </c>
      <c r="E110" s="73"/>
      <c r="F110" s="75"/>
      <c r="G110" s="611"/>
      <c r="H110" s="534">
        <v>0</v>
      </c>
      <c r="I110" s="620"/>
      <c r="J110" s="620"/>
      <c r="K110" s="534">
        <v>0</v>
      </c>
      <c r="L110" s="355"/>
      <c r="M110" s="355"/>
      <c r="N110" s="534">
        <v>0</v>
      </c>
      <c r="O110" s="1188"/>
    </row>
    <row r="111" spans="3:20" ht="15" thickBot="1" x14ac:dyDescent="0.25">
      <c r="C111" s="78"/>
      <c r="D111" s="72" t="str">
        <f>'Quick Input'!$I$77</f>
        <v>percentage of re testing</v>
      </c>
      <c r="E111" s="73"/>
      <c r="F111" s="75"/>
      <c r="G111" s="611"/>
      <c r="H111" s="688">
        <v>0.5</v>
      </c>
      <c r="I111" s="620"/>
      <c r="J111" s="620"/>
      <c r="K111" s="688">
        <v>0.5</v>
      </c>
      <c r="L111" s="355"/>
      <c r="M111" s="355"/>
      <c r="N111" s="688">
        <v>0.5</v>
      </c>
      <c r="O111" s="1188"/>
    </row>
    <row r="112" spans="3:20" ht="15" thickBot="1" x14ac:dyDescent="0.25">
      <c r="C112" s="78"/>
      <c r="D112" s="72" t="str">
        <f>IF(Deutsch,"Kosten je Reparatur (€)","cost per repair (€)")</f>
        <v>cost per repair (€)</v>
      </c>
      <c r="E112" s="73"/>
      <c r="F112" s="75"/>
      <c r="G112" s="611"/>
      <c r="H112" s="85">
        <f>IF('Quick Input'!M$33=Auswahlfelder!$D$60,0,Parametrikber!F$187)</f>
        <v>0</v>
      </c>
      <c r="I112" s="619"/>
      <c r="J112" s="619"/>
      <c r="K112" s="85">
        <f>IF('Quick Input'!P$33=Auswahlfelder!$D$60,0,Parametrikber!I$187)</f>
        <v>0</v>
      </c>
      <c r="L112" s="78"/>
      <c r="M112" s="78"/>
      <c r="N112" s="85">
        <f>IF('Quick Input'!S$33=Auswahlfelder!$D$60,0,Parametrikber!L$187)</f>
        <v>0</v>
      </c>
      <c r="O112" s="1188"/>
    </row>
    <row r="113" spans="2:15" ht="15" thickBot="1" x14ac:dyDescent="0.25">
      <c r="C113" s="78"/>
      <c r="D113" s="116" t="str">
        <f>IF(Deutsch,"Prüfkosten pro Stück","testing cost per part")</f>
        <v>testing cost per part</v>
      </c>
      <c r="E113" s="73"/>
      <c r="F113" s="75"/>
      <c r="G113" s="855"/>
      <c r="H113" s="853">
        <f>H$95/3600*H$98+(H$101+H$105+H$108)*(1+H$111*H$110)+H$110*H$112</f>
        <v>6.3502320254629634</v>
      </c>
      <c r="I113" s="625" t="s">
        <v>285</v>
      </c>
      <c r="J113" s="625"/>
      <c r="K113" s="853">
        <f>K$95/3600*K$98+(K$101+K$105+K$108)*(1+K$111*K$110)+K$110*K$112</f>
        <v>3.2506872407407412</v>
      </c>
      <c r="L113" s="625" t="s">
        <v>285</v>
      </c>
      <c r="M113" s="625"/>
      <c r="N113" s="853">
        <f>N$95/3600*N$98+(N$101+N$105+N$108)*(1+N$111*N$110)+N$110*N$112</f>
        <v>4.4772743518518521</v>
      </c>
      <c r="O113" s="1192" t="s">
        <v>285</v>
      </c>
    </row>
    <row r="114" spans="2:15" ht="11.25" customHeight="1" thickBot="1" x14ac:dyDescent="0.25">
      <c r="C114" s="78"/>
      <c r="D114" s="1229" t="str">
        <f>IF(Deutsch,"Fertigungsnebenkosten","production cost")</f>
        <v>production cost</v>
      </c>
      <c r="E114" s="1230"/>
      <c r="F114" s="1231"/>
      <c r="G114" s="611"/>
      <c r="H114" s="79"/>
      <c r="I114" s="619" t="s">
        <v>285</v>
      </c>
      <c r="J114" s="619"/>
      <c r="K114" s="79"/>
      <c r="L114" s="78" t="s">
        <v>285</v>
      </c>
      <c r="M114" s="78"/>
      <c r="N114" s="79"/>
      <c r="O114" s="1189" t="s">
        <v>285</v>
      </c>
    </row>
    <row r="115" spans="2:15" ht="14.25" customHeight="1" thickBot="1" x14ac:dyDescent="0.25">
      <c r="C115" s="78"/>
      <c r="D115" s="1232"/>
      <c r="E115" s="1233"/>
      <c r="F115" s="1234"/>
      <c r="G115" s="611"/>
      <c r="H115" s="928">
        <f>H$47+H$72+H93+H$113</f>
        <v>122.72764561223187</v>
      </c>
      <c r="I115" s="619" t="s">
        <v>285</v>
      </c>
      <c r="J115" s="619"/>
      <c r="K115" s="928">
        <f>K$47+K$72+K93+K$113</f>
        <v>17.875465954300157</v>
      </c>
      <c r="L115" s="619" t="s">
        <v>285</v>
      </c>
      <c r="M115" s="619"/>
      <c r="N115" s="928">
        <f>N$47+N$72+N93+N$113</f>
        <v>27.574640465551376</v>
      </c>
      <c r="O115" s="1188" t="s">
        <v>285</v>
      </c>
    </row>
    <row r="116" spans="2:15" ht="15" thickBot="1" x14ac:dyDescent="0.25">
      <c r="C116" s="78"/>
      <c r="D116" s="72" t="str">
        <f>CONCATENATE(IF(Deutsch,'Quick Input'!C31,'Quick Input'!D31)," (per lot)")</f>
        <v>test certificate (per lot)</v>
      </c>
      <c r="E116" s="73"/>
      <c r="F116" s="75"/>
      <c r="G116" s="611"/>
      <c r="H116" s="74">
        <f>Parametrikber!F$192</f>
        <v>0</v>
      </c>
      <c r="I116" s="619" t="s">
        <v>285</v>
      </c>
      <c r="J116" s="619"/>
      <c r="K116" s="74">
        <f>Parametrikber!I$192</f>
        <v>0</v>
      </c>
      <c r="L116" s="619" t="s">
        <v>285</v>
      </c>
      <c r="M116" s="619"/>
      <c r="N116" s="74">
        <f>Parametrikber!L$192</f>
        <v>0</v>
      </c>
      <c r="O116" s="1188" t="s">
        <v>285</v>
      </c>
    </row>
    <row r="117" spans="2:15" ht="14.25" customHeight="1" thickBot="1" x14ac:dyDescent="0.25">
      <c r="B117" s="55" t="s">
        <v>127</v>
      </c>
      <c r="C117" s="78"/>
      <c r="D117" s="236" t="str">
        <f>'Quick Input'!I79</f>
        <v>IPC - surcharge</v>
      </c>
      <c r="E117" s="73"/>
      <c r="F117" s="75"/>
      <c r="G117" s="611"/>
      <c r="H117" s="119">
        <v>0.1</v>
      </c>
      <c r="I117" s="620"/>
      <c r="J117" s="620"/>
      <c r="K117" s="119">
        <v>0.1</v>
      </c>
      <c r="L117" s="355"/>
      <c r="M117" s="355"/>
      <c r="N117" s="119">
        <v>0.1</v>
      </c>
      <c r="O117" s="1188"/>
    </row>
    <row r="118" spans="2:15" ht="15" thickBot="1" x14ac:dyDescent="0.25">
      <c r="C118" s="78"/>
      <c r="D118" s="236" t="str">
        <f>IF(Deutsch,'Quick Input'!C79,'Quick Input'!D79)</f>
        <v>IPC - surcharge</v>
      </c>
      <c r="E118" s="73"/>
      <c r="F118" s="75"/>
      <c r="G118" s="611"/>
      <c r="H118" s="74">
        <f>H$117*H$115</f>
        <v>12.272764561223187</v>
      </c>
      <c r="I118" s="619" t="s">
        <v>285</v>
      </c>
      <c r="J118" s="619"/>
      <c r="K118" s="74">
        <f>K$117*K$115</f>
        <v>1.7875465954300158</v>
      </c>
      <c r="L118" s="78" t="s">
        <v>285</v>
      </c>
      <c r="M118" s="78"/>
      <c r="N118" s="74">
        <f>N$117*N$115</f>
        <v>2.7574640465551377</v>
      </c>
      <c r="O118" s="1188" t="s">
        <v>285</v>
      </c>
    </row>
    <row r="119" spans="2:15" ht="15" customHeight="1" thickBot="1" x14ac:dyDescent="0.25">
      <c r="C119" s="78"/>
      <c r="D119" s="116" t="str">
        <f>IF(Deutsch,"Fertigungskosten gesamt","manufacturing cost total")</f>
        <v>manufacturing cost total</v>
      </c>
      <c r="E119" s="73"/>
      <c r="F119" s="75"/>
      <c r="G119" s="611"/>
      <c r="H119" s="113">
        <f>H$115+H$116/H$61+H$118</f>
        <v>135.00041017345507</v>
      </c>
      <c r="I119" s="619" t="s">
        <v>285</v>
      </c>
      <c r="J119" s="619"/>
      <c r="K119" s="113">
        <f>K$115+K$116/K$61+K$118</f>
        <v>19.663012549730173</v>
      </c>
      <c r="L119" s="619" t="s">
        <v>285</v>
      </c>
      <c r="M119" s="619"/>
      <c r="N119" s="113">
        <f>N$115+N$116/N$61+N$118</f>
        <v>30.332104512106515</v>
      </c>
      <c r="O119" s="1188" t="s">
        <v>285</v>
      </c>
    </row>
    <row r="120" spans="2:15" ht="4.5" customHeight="1" thickBot="1" x14ac:dyDescent="0.25">
      <c r="C120" s="87"/>
      <c r="D120" s="88"/>
      <c r="E120" s="87"/>
      <c r="F120" s="89"/>
      <c r="G120" s="611"/>
      <c r="H120" s="91"/>
      <c r="I120" s="619" t="s">
        <v>285</v>
      </c>
      <c r="J120" s="619"/>
      <c r="K120" s="91"/>
      <c r="L120" s="78" t="s">
        <v>285</v>
      </c>
      <c r="M120" s="78"/>
      <c r="N120" s="91"/>
      <c r="O120" s="1192" t="s">
        <v>285</v>
      </c>
    </row>
    <row r="121" spans="2:15" ht="7.5" customHeight="1" thickBot="1" x14ac:dyDescent="0.25">
      <c r="D121" s="1229" t="str">
        <f>IF(Deutsch,"Gemeinkosten &amp; Gewinn","common cost &amp; profit")</f>
        <v>common cost &amp; profit</v>
      </c>
      <c r="E121" s="1230"/>
      <c r="F121" s="1231"/>
      <c r="G121" s="611"/>
      <c r="H121" s="79"/>
      <c r="I121" s="619" t="s">
        <v>285</v>
      </c>
      <c r="J121" s="619"/>
      <c r="K121" s="79"/>
      <c r="L121" s="78" t="s">
        <v>285</v>
      </c>
      <c r="M121" s="78"/>
      <c r="N121" s="79"/>
      <c r="O121" s="1189" t="s">
        <v>285</v>
      </c>
    </row>
    <row r="122" spans="2:15" ht="15" thickBot="1" x14ac:dyDescent="0.25">
      <c r="D122" s="1232"/>
      <c r="E122" s="1233"/>
      <c r="F122" s="1234"/>
      <c r="G122" s="611"/>
      <c r="H122" s="74">
        <f>H$26+H$119</f>
        <v>232.82682239643475</v>
      </c>
      <c r="I122" s="619" t="s">
        <v>285</v>
      </c>
      <c r="J122" s="619"/>
      <c r="K122" s="85">
        <f>K$26+K$119</f>
        <v>32.335174075270913</v>
      </c>
      <c r="L122" s="619" t="s">
        <v>285</v>
      </c>
      <c r="M122" s="619"/>
      <c r="N122" s="85">
        <f>N$26+N$119</f>
        <v>43.004266037647255</v>
      </c>
      <c r="O122" s="1188" t="s">
        <v>285</v>
      </c>
    </row>
    <row r="123" spans="2:15" ht="15" thickBot="1" x14ac:dyDescent="0.25">
      <c r="B123" s="55" t="s">
        <v>127</v>
      </c>
      <c r="D123" s="72" t="str">
        <f>IF(Deutsch,"Vertriebs- und Verw.-gemeinkostensatz","administration cost rate")</f>
        <v>administration cost rate</v>
      </c>
      <c r="E123" s="67"/>
      <c r="F123" s="75"/>
      <c r="G123" s="611"/>
      <c r="H123" s="119">
        <v>0.12</v>
      </c>
      <c r="I123" s="620"/>
      <c r="J123" s="620"/>
      <c r="K123" s="119">
        <v>0.12</v>
      </c>
      <c r="L123" s="355"/>
      <c r="M123" s="355"/>
      <c r="N123" s="119">
        <v>0.12</v>
      </c>
      <c r="O123" s="1188"/>
    </row>
    <row r="124" spans="2:15" ht="15" thickBot="1" x14ac:dyDescent="0.25">
      <c r="D124" s="72" t="str">
        <f>IF(Deutsch,"Vertriebs- und Verw.-gemeinkosten","administration costs")</f>
        <v>administration costs</v>
      </c>
      <c r="E124" s="67"/>
      <c r="F124" s="75"/>
      <c r="G124" s="611"/>
      <c r="H124" s="74">
        <f>H$122*H123</f>
        <v>27.939218687572168</v>
      </c>
      <c r="I124" s="619" t="s">
        <v>285</v>
      </c>
      <c r="J124" s="619"/>
      <c r="K124" s="74">
        <f>K$122*K123</f>
        <v>3.8802208890325094</v>
      </c>
      <c r="L124" s="619" t="s">
        <v>285</v>
      </c>
      <c r="M124" s="619"/>
      <c r="N124" s="74">
        <f t="shared" ref="N124" si="9">N$122*N123</f>
        <v>5.16051192451767</v>
      </c>
      <c r="O124" s="1188" t="s">
        <v>285</v>
      </c>
    </row>
    <row r="125" spans="2:15" ht="15" thickBot="1" x14ac:dyDescent="0.25">
      <c r="D125" s="72" t="str">
        <f>CONCATENATE(IF(Deutsch,"F&amp;E- Kosten (","design and development cost ("),'Länder-DB'!I35*100,"%)")</f>
        <v>design and development cost (8%)</v>
      </c>
      <c r="E125" s="67"/>
      <c r="F125" s="75"/>
      <c r="G125" s="611"/>
      <c r="H125" s="74">
        <f>H$119*'Länder-DB'!$I$35</f>
        <v>10.800032813876406</v>
      </c>
      <c r="I125" s="619" t="s">
        <v>285</v>
      </c>
      <c r="J125" s="619"/>
      <c r="K125" s="74">
        <f>K$119*'Länder-DB'!$I$35</f>
        <v>1.573041003978414</v>
      </c>
      <c r="L125" s="78" t="s">
        <v>285</v>
      </c>
      <c r="M125" s="78"/>
      <c r="N125" s="74">
        <f>N$119*'Länder-DB'!$I$35</f>
        <v>2.4265683609685214</v>
      </c>
      <c r="O125" s="1188" t="s">
        <v>285</v>
      </c>
    </row>
    <row r="126" spans="2:15" ht="15" thickBot="1" x14ac:dyDescent="0.25">
      <c r="D126" s="82" t="str">
        <f>IF(Deutsch,"Gesamtgemeinkosten","administration cost total")</f>
        <v>administration cost total</v>
      </c>
      <c r="E126" s="67"/>
      <c r="F126" s="75"/>
      <c r="G126" s="611"/>
      <c r="H126" s="1031">
        <f>H$124+H$125</f>
        <v>38.739251501448578</v>
      </c>
      <c r="I126" s="619" t="s">
        <v>285</v>
      </c>
      <c r="J126" s="619"/>
      <c r="K126" s="1031">
        <f>K$124+K$125</f>
        <v>5.4532618930109233</v>
      </c>
      <c r="L126" s="619" t="s">
        <v>285</v>
      </c>
      <c r="M126" s="619"/>
      <c r="N126" s="1031">
        <f t="shared" ref="N126" si="10">N$124+N$125</f>
        <v>7.5870802854861914</v>
      </c>
      <c r="O126" s="1188" t="s">
        <v>285</v>
      </c>
    </row>
    <row r="127" spans="2:15" ht="15" thickBot="1" x14ac:dyDescent="0.25">
      <c r="B127" s="55" t="s">
        <v>127</v>
      </c>
      <c r="D127" s="72" t="str">
        <f>'Quick Input'!I81</f>
        <v>profit on material</v>
      </c>
      <c r="E127" s="67"/>
      <c r="F127" s="75"/>
      <c r="G127" s="611"/>
      <c r="H127" s="119">
        <v>0</v>
      </c>
      <c r="I127" s="620"/>
      <c r="J127" s="620"/>
      <c r="K127" s="119">
        <v>0</v>
      </c>
      <c r="L127" s="620"/>
      <c r="M127" s="620"/>
      <c r="N127" s="119">
        <v>0</v>
      </c>
      <c r="O127" s="1188"/>
    </row>
    <row r="128" spans="2:15" ht="15" thickBot="1" x14ac:dyDescent="0.25">
      <c r="B128" s="55" t="s">
        <v>127</v>
      </c>
      <c r="D128" s="72" t="str">
        <f>'Quick Input'!I82</f>
        <v>profit on process</v>
      </c>
      <c r="E128" s="67"/>
      <c r="F128" s="75"/>
      <c r="G128" s="611"/>
      <c r="H128" s="119">
        <v>0</v>
      </c>
      <c r="I128" s="620"/>
      <c r="J128" s="620"/>
      <c r="K128" s="119">
        <v>0</v>
      </c>
      <c r="L128" s="620"/>
      <c r="M128" s="620"/>
      <c r="N128" s="119">
        <v>0</v>
      </c>
      <c r="O128" s="1188"/>
    </row>
    <row r="129" spans="2:15" ht="15" thickBot="1" x14ac:dyDescent="0.25">
      <c r="D129" s="82" t="str">
        <f>IF(Deutsch,"Gesamtgewinn","profit total")</f>
        <v>profit total</v>
      </c>
      <c r="E129" s="67"/>
      <c r="F129" s="75"/>
      <c r="G129" s="611"/>
      <c r="H129" s="1030">
        <f>H$127*H$26+H$128*H$115</f>
        <v>0</v>
      </c>
      <c r="I129" s="619" t="s">
        <v>285</v>
      </c>
      <c r="J129" s="619"/>
      <c r="K129" s="1030">
        <f>K$127*K$26+K$128*K$115</f>
        <v>0</v>
      </c>
      <c r="L129" s="619" t="s">
        <v>285</v>
      </c>
      <c r="M129" s="619"/>
      <c r="N129" s="1030">
        <f>N$127*N$26+N$128*N$115</f>
        <v>0</v>
      </c>
      <c r="O129" s="1188" t="s">
        <v>285</v>
      </c>
    </row>
    <row r="130" spans="2:15" ht="6" customHeight="1" thickBot="1" x14ac:dyDescent="0.25">
      <c r="D130" s="72"/>
      <c r="E130" s="67"/>
      <c r="F130" s="75"/>
      <c r="G130" s="611"/>
      <c r="H130" s="86"/>
      <c r="I130" s="619" t="s">
        <v>285</v>
      </c>
      <c r="J130" s="619"/>
      <c r="K130" s="86"/>
      <c r="L130" s="78" t="s">
        <v>285</v>
      </c>
      <c r="M130" s="78"/>
      <c r="N130" s="86"/>
      <c r="O130" s="1188" t="s">
        <v>285</v>
      </c>
    </row>
    <row r="131" spans="2:15" ht="15" thickBot="1" x14ac:dyDescent="0.25">
      <c r="D131" s="776" t="str">
        <f>IF(Deutsch,"Bauteilpreis gesamt","part cost total")</f>
        <v>part cost total</v>
      </c>
      <c r="E131" s="67"/>
      <c r="F131" s="75"/>
      <c r="G131" s="611"/>
      <c r="H131" s="1032">
        <f>H$122+H$126+H$129</f>
        <v>271.56607389788331</v>
      </c>
      <c r="I131" s="619" t="s">
        <v>285</v>
      </c>
      <c r="J131" s="619"/>
      <c r="K131" s="1032">
        <f>K$122+K$126+K$129</f>
        <v>37.788435968281838</v>
      </c>
      <c r="L131" s="619" t="s">
        <v>285</v>
      </c>
      <c r="M131" s="619"/>
      <c r="N131" s="1032">
        <f>N$122+N$126+N$129</f>
        <v>50.59134632313345</v>
      </c>
      <c r="O131" s="1188" t="s">
        <v>285</v>
      </c>
    </row>
    <row r="132" spans="2:15" ht="6" customHeight="1" thickBot="1" x14ac:dyDescent="0.25">
      <c r="D132" s="82"/>
      <c r="E132" s="67"/>
      <c r="F132" s="75"/>
      <c r="G132" s="611"/>
      <c r="H132" s="92"/>
      <c r="I132" s="619" t="s">
        <v>285</v>
      </c>
      <c r="J132" s="619"/>
      <c r="K132" s="92"/>
      <c r="L132" s="78" t="s">
        <v>285</v>
      </c>
      <c r="M132" s="78"/>
      <c r="N132" s="92"/>
      <c r="O132" s="1192" t="s">
        <v>285</v>
      </c>
    </row>
    <row r="133" spans="2:15" ht="14.25" customHeight="1" thickBot="1" x14ac:dyDescent="0.25">
      <c r="D133" s="1229" t="str">
        <f>IF(Deutsch,"Potenziabschätzung","estimation potential")</f>
        <v>estimation potential</v>
      </c>
      <c r="E133" s="1230"/>
      <c r="F133" s="1231"/>
      <c r="G133" s="611"/>
      <c r="H133" s="280" t="e">
        <f>IF(H50=Parametrikber!F126,IF(H51=#REF!,TRUE,FALSE),FALSE)</f>
        <v>#REF!</v>
      </c>
      <c r="I133" s="619" t="s">
        <v>285</v>
      </c>
      <c r="J133" s="619"/>
      <c r="K133" s="280" t="e">
        <f>IF(K50=Parametrikber!I126,IF(K51=#REF!,TRUE,FALSE),FALSE)</f>
        <v>#REF!</v>
      </c>
      <c r="L133" s="78" t="s">
        <v>285</v>
      </c>
      <c r="M133" s="357"/>
      <c r="N133" s="280" t="e">
        <f>IF(N50=Parametrikber!L126,IF(N51=#REF!,TRUE,FALSE),FALSE)</f>
        <v>#REF!</v>
      </c>
      <c r="O133" s="1189" t="s">
        <v>285</v>
      </c>
    </row>
    <row r="134" spans="2:15" ht="15" thickBot="1" x14ac:dyDescent="0.25">
      <c r="D134" s="1232"/>
      <c r="E134" s="1233"/>
      <c r="F134" s="1234"/>
      <c r="G134" s="611"/>
      <c r="H134" s="143"/>
      <c r="I134" s="619" t="s">
        <v>285</v>
      </c>
      <c r="J134" s="623"/>
      <c r="K134" s="143"/>
      <c r="L134" s="78" t="s">
        <v>285</v>
      </c>
      <c r="M134" s="144"/>
      <c r="N134" s="143"/>
      <c r="O134" s="1188" t="s">
        <v>285</v>
      </c>
    </row>
    <row r="135" spans="2:15" ht="15" thickBot="1" x14ac:dyDescent="0.25">
      <c r="B135" s="55" t="s">
        <v>127</v>
      </c>
      <c r="D135" s="72" t="str">
        <f>'Quick Input'!I51</f>
        <v>target price</v>
      </c>
      <c r="E135" s="73"/>
      <c r="F135" s="75"/>
      <c r="G135" s="611"/>
      <c r="H135" s="85">
        <f>AVERAGE('Quick Input'!M$52:M$56)</f>
        <v>55</v>
      </c>
      <c r="I135" s="619" t="s">
        <v>285</v>
      </c>
      <c r="J135" s="623"/>
      <c r="K135" s="85">
        <f>AVERAGE('Quick Input'!P52:P56)</f>
        <v>55</v>
      </c>
      <c r="L135" s="78" t="s">
        <v>285</v>
      </c>
      <c r="M135" s="358"/>
      <c r="N135" s="85">
        <f>AVERAGE('Quick Input'!S52:S56)</f>
        <v>55</v>
      </c>
      <c r="O135" s="1188" t="s">
        <v>285</v>
      </c>
    </row>
    <row r="136" spans="2:15" ht="15" thickBot="1" x14ac:dyDescent="0.25">
      <c r="D136" s="72" t="str">
        <f>IF(Deutsch,"Potenzial pro Bauteil","earning per part")</f>
        <v>earning per part</v>
      </c>
      <c r="E136" s="73"/>
      <c r="F136" s="75"/>
      <c r="G136" s="611"/>
      <c r="H136" s="85">
        <f>H$135-H$131</f>
        <v>-216.56607389788331</v>
      </c>
      <c r="I136" s="619" t="s">
        <v>285</v>
      </c>
      <c r="J136" s="619"/>
      <c r="K136" s="85">
        <f>K135-K131</f>
        <v>17.211564031718162</v>
      </c>
      <c r="L136" s="78" t="s">
        <v>285</v>
      </c>
      <c r="M136" s="78"/>
      <c r="N136" s="85">
        <f>N135-N131</f>
        <v>4.4086536768665496</v>
      </c>
      <c r="O136" s="1188" t="s">
        <v>285</v>
      </c>
    </row>
    <row r="137" spans="2:15" ht="15" thickBot="1" x14ac:dyDescent="0.25">
      <c r="D137" s="72" t="str">
        <f>IF(Deutsch,"Potenzial über Lebenszyklus","earnig per live time")</f>
        <v>earnig per live time</v>
      </c>
      <c r="E137" s="73"/>
      <c r="F137" s="75"/>
      <c r="G137" s="611"/>
      <c r="H137" s="93">
        <f>IF(H$136&gt;0,H$136*'Quick Input'!M$44,0)</f>
        <v>0</v>
      </c>
      <c r="I137" s="619" t="s">
        <v>285</v>
      </c>
      <c r="J137" s="619"/>
      <c r="K137" s="93">
        <f>IF(K136&gt;0,K136*'Quick Input'!P44,0)</f>
        <v>516346.92095154483</v>
      </c>
      <c r="L137" s="78" t="s">
        <v>285</v>
      </c>
      <c r="M137" s="78"/>
      <c r="N137" s="93">
        <f>IF(N136&gt;0,N136*'Quick Input'!S44,0)</f>
        <v>132259.6103059965</v>
      </c>
      <c r="O137" s="1188" t="s">
        <v>285</v>
      </c>
    </row>
    <row r="138" spans="2:15" ht="15" thickBot="1" x14ac:dyDescent="0.25">
      <c r="D138" s="72" t="str">
        <f>IF(Deutsch,"Anzahl notwendiger Gieß-WKZ","tool sets")</f>
        <v>tool sets</v>
      </c>
      <c r="E138" s="73"/>
      <c r="F138" s="75"/>
      <c r="G138" s="611"/>
      <c r="H138" s="140" t="str">
        <f>CONCATENATE(Parametrikber!F$260," x ",Parametrikber!F$259)</f>
        <v>2 x AL</v>
      </c>
      <c r="I138" s="619" t="s">
        <v>285</v>
      </c>
      <c r="J138" s="619"/>
      <c r="K138" s="140" t="str">
        <f>CONCATENATE(Parametrikber!I$260," x ",Parametrikber!I$259)</f>
        <v>2 x AL</v>
      </c>
      <c r="L138" s="78" t="s">
        <v>285</v>
      </c>
      <c r="M138" s="78"/>
      <c r="N138" s="140" t="str">
        <f>CONCATENATE(Parametrikber!L$260," x ",Parametrikber!L$259)</f>
        <v>2 x AL</v>
      </c>
      <c r="O138" s="1188" t="s">
        <v>285</v>
      </c>
    </row>
    <row r="139" spans="2:15" ht="15" thickBot="1" x14ac:dyDescent="0.25">
      <c r="D139" s="72" t="str">
        <f>IF(Deutsch,"Werkzeuginvest geschätzt","tool invest - calculated")</f>
        <v>tool invest - calculated</v>
      </c>
      <c r="E139" s="73"/>
      <c r="F139" s="75"/>
      <c r="G139" s="611"/>
      <c r="H139" s="93">
        <f>Parametrikber!F$264</f>
        <v>10600</v>
      </c>
      <c r="I139" s="619" t="s">
        <v>285</v>
      </c>
      <c r="J139" s="619"/>
      <c r="K139" s="93">
        <f>Parametrikber!I$264</f>
        <v>8800</v>
      </c>
      <c r="L139" s="619" t="s">
        <v>285</v>
      </c>
      <c r="M139" s="619"/>
      <c r="N139" s="93">
        <f>Parametrikber!L$264</f>
        <v>10100</v>
      </c>
      <c r="O139" s="1188" t="s">
        <v>285</v>
      </c>
    </row>
    <row r="140" spans="2:15" ht="15" thickBot="1" x14ac:dyDescent="0.25">
      <c r="D140" s="72" t="str">
        <f>IF(Deutsch,"Kernkasteninvest geschätzt","tool invest - calculated")</f>
        <v>tool invest - calculated</v>
      </c>
      <c r="E140" s="73"/>
      <c r="F140" s="75"/>
      <c r="G140" s="611"/>
      <c r="H140" s="93">
        <f>Parametrikber!F$269</f>
        <v>2300</v>
      </c>
      <c r="I140" s="619" t="s">
        <v>285</v>
      </c>
      <c r="J140" s="619"/>
      <c r="K140" s="93">
        <f>Parametrikber!I$269</f>
        <v>1100</v>
      </c>
      <c r="L140" s="619" t="s">
        <v>285</v>
      </c>
      <c r="M140" s="619"/>
      <c r="N140" s="93">
        <f>Parametrikber!L$269</f>
        <v>0</v>
      </c>
      <c r="O140" s="1188" t="s">
        <v>285</v>
      </c>
    </row>
    <row r="141" spans="2:15" ht="15" thickBot="1" x14ac:dyDescent="0.25">
      <c r="D141" s="775" t="str">
        <f>IF(Deutsch,"Modellkosten Angebot","tool invest - supplier")</f>
        <v>tool invest - supplier</v>
      </c>
      <c r="E141" s="94"/>
      <c r="F141" s="89"/>
      <c r="G141" s="615"/>
      <c r="H141" s="359">
        <f>'Quick Input'!M57+'Quick Input'!M58</f>
        <v>10500</v>
      </c>
      <c r="I141" s="624" t="s">
        <v>285</v>
      </c>
      <c r="J141" s="625"/>
      <c r="K141" s="359">
        <f>'Quick Input'!P57+'Quick Input'!P58</f>
        <v>6000</v>
      </c>
      <c r="L141" s="624" t="s">
        <v>285</v>
      </c>
      <c r="M141" s="625"/>
      <c r="N141" s="359">
        <f>'Quick Input'!S57+'Quick Input'!S58</f>
        <v>7500</v>
      </c>
      <c r="O141" s="1192" t="s">
        <v>285</v>
      </c>
    </row>
    <row r="142" spans="2:15" ht="9" customHeight="1" thickBot="1" x14ac:dyDescent="0.25">
      <c r="G142" s="271"/>
    </row>
    <row r="143" spans="2:15" ht="11.25" customHeight="1" x14ac:dyDescent="0.2">
      <c r="D143" s="1217" t="str">
        <f>IF(Deutsch,"Empfehlungen / Info"," suggestion, infos")</f>
        <v xml:space="preserve"> suggestion, infos</v>
      </c>
      <c r="E143" s="1218"/>
      <c r="F143" s="1219"/>
      <c r="G143" s="190"/>
    </row>
    <row r="144" spans="2:15" ht="9.75" customHeight="1" thickBot="1" x14ac:dyDescent="0.25">
      <c r="D144" s="1220"/>
      <c r="E144" s="1221"/>
      <c r="F144" s="1222"/>
      <c r="G144" s="190"/>
      <c r="O144" s="87"/>
    </row>
    <row r="145" spans="2:15" ht="26.25" customHeight="1" thickBot="1" x14ac:dyDescent="0.25">
      <c r="B145" s="55" t="s">
        <v>127</v>
      </c>
      <c r="D145" s="588" t="str">
        <f>IF(Deutsch,"Parameter","parameter")</f>
        <v>parameter</v>
      </c>
      <c r="E145" s="585"/>
      <c r="F145" s="586"/>
      <c r="G145" s="616"/>
      <c r="H145" s="675" t="str">
        <f>VLOOKUP(1,Parametrikber!E$276:$X$292,IF(Deutsch,19,20),FALSE)</f>
        <v>advice casting method</v>
      </c>
      <c r="I145" s="266" t="s">
        <v>285</v>
      </c>
      <c r="J145" s="587"/>
      <c r="K145" s="675" t="str">
        <f>VLOOKUP(1,Parametrikber!H$276:$X$292,IF(Deutsch,16,17),FALSE)</f>
        <v>advice casting method</v>
      </c>
      <c r="L145" s="266" t="s">
        <v>285</v>
      </c>
      <c r="M145" s="587"/>
      <c r="N145" s="675" t="str">
        <f>VLOOKUP(1,Parametrikber!K$276:$X$292,IF(Deutsch,13,14),FALSE)</f>
        <v>advice casting method</v>
      </c>
      <c r="O145" s="1189" t="s">
        <v>285</v>
      </c>
    </row>
    <row r="146" spans="2:15" ht="15" thickBot="1" x14ac:dyDescent="0.25">
      <c r="D146" s="142"/>
      <c r="E146" s="94"/>
      <c r="F146" s="89"/>
      <c r="G146" s="617"/>
      <c r="H146" s="692" t="str">
        <f>VLOOKUP(2,Parametrikber!E$276:$X$293,2,FALSE)</f>
        <v>fully automatic</v>
      </c>
      <c r="I146" s="87" t="s">
        <v>285</v>
      </c>
      <c r="J146" s="87"/>
      <c r="K146" s="676" t="str">
        <f>VLOOKUP(2,Parametrikber!H$276:$X$293,2,FALSE)</f>
        <v>fully automatic</v>
      </c>
      <c r="L146" s="87" t="s">
        <v>285</v>
      </c>
      <c r="M146" s="87"/>
      <c r="N146" s="676" t="str">
        <f>VLOOKUP(2,Parametrikber!K$276:$X$293,2,FALSE)</f>
        <v>fully automatic</v>
      </c>
      <c r="O146" s="1192" t="s">
        <v>285</v>
      </c>
    </row>
    <row r="147" spans="2:15" ht="25.5" customHeight="1" thickBot="1" x14ac:dyDescent="0.25">
      <c r="D147" s="588" t="str">
        <f>IF(Deutsch,"Parameter","parameter")</f>
        <v>parameter</v>
      </c>
      <c r="E147" s="585"/>
      <c r="F147" s="586"/>
      <c r="G147" s="616"/>
      <c r="H147" s="675" t="str">
        <f>VLOOKUP(3,Parametrikber!E$276:$X$292,IF(Deutsch,19,20),FALSE)</f>
        <v>used case volume</v>
      </c>
      <c r="I147" s="266" t="s">
        <v>285</v>
      </c>
      <c r="J147" s="587"/>
      <c r="K147" s="675" t="str">
        <f>VLOOKUP(3,Parametrikber!H$276:$X$292,IF(Deutsch,16,17),FALSE)</f>
        <v>used case volume</v>
      </c>
      <c r="L147" s="266" t="s">
        <v>285</v>
      </c>
      <c r="M147" s="587"/>
      <c r="N147" s="675" t="str">
        <f>VLOOKUP(3,Parametrikber!K$276:$X$292,IF(Deutsch,13,14),FALSE)</f>
        <v>used case volume</v>
      </c>
      <c r="O147" s="1189" t="s">
        <v>285</v>
      </c>
    </row>
    <row r="148" spans="2:15" ht="15" thickBot="1" x14ac:dyDescent="0.25">
      <c r="D148" s="142"/>
      <c r="E148" s="94"/>
      <c r="F148" s="89"/>
      <c r="G148" s="617"/>
      <c r="H148" s="691" t="str">
        <f>VLOOKUP(4,Parametrikber!E$276:$X$293,2,FALSE)</f>
        <v>2%</v>
      </c>
      <c r="I148" s="87" t="s">
        <v>285</v>
      </c>
      <c r="J148" s="87"/>
      <c r="K148" s="691" t="str">
        <f>VLOOKUP(4,Parametrikber!H$276:$X$293,2,FALSE)</f>
        <v>1%</v>
      </c>
      <c r="L148" s="87" t="s">
        <v>285</v>
      </c>
      <c r="M148" s="87"/>
      <c r="N148" s="691" t="str">
        <f>VLOOKUP(4,Parametrikber!K$276:$X$293,2,FALSE)</f>
        <v>1%</v>
      </c>
      <c r="O148" s="1192" t="s">
        <v>285</v>
      </c>
    </row>
    <row r="149" spans="2:15" ht="26.25" customHeight="1" thickBot="1" x14ac:dyDescent="0.25">
      <c r="D149" s="588" t="str">
        <f>IF(Deutsch,"Parameter","parameter")</f>
        <v>parameter</v>
      </c>
      <c r="E149" s="585"/>
      <c r="F149" s="586"/>
      <c r="G149" s="616"/>
      <c r="H149" s="675" t="str">
        <f>VLOOKUP(5,Parametrikber!E$276:$X$292,IF(Deutsch,19,20),FALSE)</f>
        <v>Tools needed &gt; 1</v>
      </c>
      <c r="I149" s="266" t="s">
        <v>285</v>
      </c>
      <c r="J149" s="587"/>
      <c r="K149" s="675" t="str">
        <f>VLOOKUP(5,Parametrikber!H$276:$X$292,IF(Deutsch,16,17),FALSE)</f>
        <v>set-up time amount</v>
      </c>
      <c r="L149" s="266" t="s">
        <v>285</v>
      </c>
      <c r="M149" s="587"/>
      <c r="N149" s="675" t="str">
        <f>VLOOKUP(5,Parametrikber!K$276:$X$292,IF(Deutsch,13,14),FALSE)</f>
        <v>set-up time amount</v>
      </c>
      <c r="O149" s="1189" t="s">
        <v>285</v>
      </c>
    </row>
    <row r="150" spans="2:15" ht="15" thickBot="1" x14ac:dyDescent="0.25">
      <c r="D150" s="142"/>
      <c r="E150" s="94"/>
      <c r="F150" s="89"/>
      <c r="G150" s="617"/>
      <c r="H150" s="676" t="str">
        <f>VLOOKUP(6,Parametrikber!E$276:$X$293,2,FALSE)</f>
        <v>2 tool from AL</v>
      </c>
      <c r="I150" s="87" t="s">
        <v>285</v>
      </c>
      <c r="J150" s="87"/>
      <c r="K150" s="676" t="str">
        <f>VLOOKUP(6,Parametrikber!H$276:$X$293,2,FALSE)</f>
        <v>45,8 %</v>
      </c>
      <c r="L150" s="87" t="s">
        <v>285</v>
      </c>
      <c r="M150" s="87"/>
      <c r="N150" s="676" t="str">
        <f>VLOOKUP(6,Parametrikber!K$276:$X$293,2,FALSE)</f>
        <v>43,1 %</v>
      </c>
      <c r="O150" s="1192" t="s">
        <v>285</v>
      </c>
    </row>
    <row r="151" spans="2:15" x14ac:dyDescent="0.2">
      <c r="G151" s="67"/>
    </row>
    <row r="152" spans="2:15" x14ac:dyDescent="0.2">
      <c r="G152" s="67"/>
    </row>
    <row r="153" spans="2:15" x14ac:dyDescent="0.2">
      <c r="G153" s="67"/>
    </row>
    <row r="154" spans="2:15" x14ac:dyDescent="0.2">
      <c r="G154" s="67"/>
    </row>
    <row r="155" spans="2:15" x14ac:dyDescent="0.2">
      <c r="G155" s="67"/>
    </row>
    <row r="156" spans="2:15" x14ac:dyDescent="0.2">
      <c r="G156" s="67"/>
    </row>
    <row r="157" spans="2:15" x14ac:dyDescent="0.2">
      <c r="G157" s="67"/>
    </row>
    <row r="158" spans="2:15" x14ac:dyDescent="0.2">
      <c r="G158" s="67"/>
    </row>
    <row r="159" spans="2:15" x14ac:dyDescent="0.2">
      <c r="G159" s="67"/>
    </row>
    <row r="160" spans="2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  <row r="254" spans="7:7" x14ac:dyDescent="0.2">
      <c r="G254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3:F144"/>
    <mergeCell ref="D5:F6"/>
    <mergeCell ref="D133:F134"/>
    <mergeCell ref="D28:F29"/>
    <mergeCell ref="D121:F122"/>
    <mergeCell ref="D9:F11"/>
    <mergeCell ref="D7:F7"/>
    <mergeCell ref="D8:F8"/>
    <mergeCell ref="D48:F48"/>
    <mergeCell ref="D114:F115"/>
    <mergeCell ref="D73:F73"/>
    <mergeCell ref="D94:F94"/>
  </mergeCells>
  <phoneticPr fontId="4" type="noConversion"/>
  <conditionalFormatting sqref="N132 K132 H15 H65 H132 K15 N15 H124 K124 N124 H47">
    <cfRule type="expression" dxfId="157" priority="485" stopIfTrue="1">
      <formula>VALUE(H16="Materialdatenbank")</formula>
    </cfRule>
  </conditionalFormatting>
  <conditionalFormatting sqref="H130 K130 N130 K54 N54 H54">
    <cfRule type="expression" dxfId="156" priority="486" stopIfTrue="1">
      <formula>VALUE(H56="Materialdatenbank")</formula>
    </cfRule>
  </conditionalFormatting>
  <conditionalFormatting sqref="N60 K60">
    <cfRule type="expression" dxfId="155" priority="488" stopIfTrue="1">
      <formula>VALUE(K128="Materialdatenbank")</formula>
    </cfRule>
  </conditionalFormatting>
  <conditionalFormatting sqref="H34">
    <cfRule type="expression" dxfId="154" priority="490" stopIfTrue="1">
      <formula>VALUE(H33="Materialdatenbank")</formula>
    </cfRule>
  </conditionalFormatting>
  <conditionalFormatting sqref="H56 K56 N56">
    <cfRule type="expression" dxfId="153" priority="491" stopIfTrue="1">
      <formula>VALUE(#REF!="Materialdatenbank")</formula>
    </cfRule>
  </conditionalFormatting>
  <conditionalFormatting sqref="H60">
    <cfRule type="expression" dxfId="152" priority="492" stopIfTrue="1">
      <formula>VALUE(H128="Materialdatenbank")</formula>
    </cfRule>
  </conditionalFormatting>
  <conditionalFormatting sqref="K76 N76 H76">
    <cfRule type="expression" dxfId="151" priority="493" stopIfTrue="1">
      <formula>VALUE(H66="Materialdatenbank")</formula>
    </cfRule>
  </conditionalFormatting>
  <conditionalFormatting sqref="H131 H98 H33 N98 K131 N131 H91 H116 K91 K116 N90:N91 N116 K98 H101:H102 K101:K102 N101:N102">
    <cfRule type="expression" dxfId="150" priority="494" stopIfTrue="1">
      <formula>VALUE(#REF!="Materialdatenbank")</formula>
    </cfRule>
  </conditionalFormatting>
  <conditionalFormatting sqref="H134:H137 K134:K137 N134:N137 H139 H57 H25 H68 K14 N14 K68 N68 H9:H12 K9:K12 N9:N12 K25 N25 K57 N57 K141 H141 K139 N139 N141 H14">
    <cfRule type="expression" dxfId="149" priority="495" stopIfTrue="1">
      <formula>VALUE(#REF!="Materialdatenbank")</formula>
    </cfRule>
  </conditionalFormatting>
  <conditionalFormatting sqref="H122 K122 N122">
    <cfRule type="expression" dxfId="148" priority="497" stopIfTrue="1">
      <formula>VALUE(#REF!="Materialdatenbank")</formula>
    </cfRule>
  </conditionalFormatting>
  <conditionalFormatting sqref="H42">
    <cfRule type="expression" dxfId="147" priority="498" stopIfTrue="1">
      <formula>VALUE(#REF!="Materialdatenbank")</formula>
    </cfRule>
  </conditionalFormatting>
  <conditionalFormatting sqref="H37">
    <cfRule type="expression" dxfId="146" priority="499" stopIfTrue="1">
      <formula>VALUE(#REF!="Materialdatenbank")</formula>
    </cfRule>
  </conditionalFormatting>
  <conditionalFormatting sqref="K2:K4 N2:N4 W4 H2:H4">
    <cfRule type="cellIs" dxfId="145" priority="500" operator="equal">
      <formula>FALSE</formula>
    </cfRule>
  </conditionalFormatting>
  <conditionalFormatting sqref="H17">
    <cfRule type="expression" dxfId="144" priority="501" stopIfTrue="1">
      <formula>VALUE(H24="Materialdatenbank")</formula>
    </cfRule>
  </conditionalFormatting>
  <conditionalFormatting sqref="H20">
    <cfRule type="expression" dxfId="143" priority="481" stopIfTrue="1">
      <formula>VALUE(H26="Materialdatenbank")</formula>
    </cfRule>
  </conditionalFormatting>
  <conditionalFormatting sqref="H21">
    <cfRule type="expression" dxfId="142" priority="480" stopIfTrue="1">
      <formula>VALUE(H25="Materialdatenbank")</formula>
    </cfRule>
  </conditionalFormatting>
  <conditionalFormatting sqref="K17">
    <cfRule type="expression" dxfId="141" priority="453" stopIfTrue="1">
      <formula>VALUE(K24="Materialdatenbank")</formula>
    </cfRule>
  </conditionalFormatting>
  <conditionalFormatting sqref="H112 H110 K112 K110 N112 N110">
    <cfRule type="expression" dxfId="140" priority="464" stopIfTrue="1">
      <formula>VALUE(#REF!="Materialdatenbank")</formula>
    </cfRule>
  </conditionalFormatting>
  <conditionalFormatting sqref="H36">
    <cfRule type="expression" dxfId="139" priority="502" stopIfTrue="1">
      <formula>VALUE(#REF!="Materialdatenbank")</formula>
    </cfRule>
  </conditionalFormatting>
  <conditionalFormatting sqref="H40">
    <cfRule type="expression" dxfId="138" priority="508" stopIfTrue="1">
      <formula>VALUE(H34="Materialdatenbank")</formula>
    </cfRule>
  </conditionalFormatting>
  <conditionalFormatting sqref="N17">
    <cfRule type="expression" dxfId="137" priority="452" stopIfTrue="1">
      <formula>VALUE(N24="Materialdatenbank")</formula>
    </cfRule>
  </conditionalFormatting>
  <conditionalFormatting sqref="H39 K39">
    <cfRule type="expression" dxfId="136" priority="437" stopIfTrue="1">
      <formula>VALUE(H47="Materialdatenbank")</formula>
    </cfRule>
  </conditionalFormatting>
  <conditionalFormatting sqref="K40">
    <cfRule type="expression" dxfId="135" priority="443" stopIfTrue="1">
      <formula>VALUE(K34="Materialdatenbank")</formula>
    </cfRule>
  </conditionalFormatting>
  <conditionalFormatting sqref="N40">
    <cfRule type="expression" dxfId="134" priority="435" stopIfTrue="1">
      <formula>VALUE(N34="Materialdatenbank")</formula>
    </cfRule>
  </conditionalFormatting>
  <conditionalFormatting sqref="K42">
    <cfRule type="expression" dxfId="133" priority="393" stopIfTrue="1">
      <formula>VALUE(#REF!="Materialdatenbank")</formula>
    </cfRule>
  </conditionalFormatting>
  <conditionalFormatting sqref="N42">
    <cfRule type="expression" dxfId="132" priority="392" stopIfTrue="1">
      <formula>VALUE(#REF!="Materialdatenbank")</formula>
    </cfRule>
  </conditionalFormatting>
  <conditionalFormatting sqref="K65">
    <cfRule type="expression" dxfId="131" priority="385" stopIfTrue="1">
      <formula>VALUE(K66="Materialdatenbank")</formula>
    </cfRule>
  </conditionalFormatting>
  <conditionalFormatting sqref="N65">
    <cfRule type="expression" dxfId="130" priority="383" stopIfTrue="1">
      <formula>VALUE(N66="Materialdatenbank")</formula>
    </cfRule>
  </conditionalFormatting>
  <conditionalFormatting sqref="K146">
    <cfRule type="expression" dxfId="129" priority="267" stopIfTrue="1">
      <formula>K146=" "</formula>
    </cfRule>
  </conditionalFormatting>
  <conditionalFormatting sqref="K145">
    <cfRule type="expression" dxfId="128" priority="266" stopIfTrue="1">
      <formula>K145=" "</formula>
    </cfRule>
  </conditionalFormatting>
  <conditionalFormatting sqref="N145">
    <cfRule type="expression" dxfId="127" priority="253" stopIfTrue="1">
      <formula>N145=" "</formula>
    </cfRule>
  </conditionalFormatting>
  <conditionalFormatting sqref="K150">
    <cfRule type="expression" dxfId="126" priority="262" stopIfTrue="1">
      <formula>K150=" "</formula>
    </cfRule>
  </conditionalFormatting>
  <conditionalFormatting sqref="N148">
    <cfRule type="expression" dxfId="125" priority="252" stopIfTrue="1">
      <formula>N148=" "</formula>
    </cfRule>
  </conditionalFormatting>
  <conditionalFormatting sqref="H146">
    <cfRule type="expression" dxfId="124" priority="260" stopIfTrue="1">
      <formula>H146=" "</formula>
    </cfRule>
  </conditionalFormatting>
  <conditionalFormatting sqref="H145">
    <cfRule type="expression" dxfId="123" priority="259" stopIfTrue="1">
      <formula>H145=" "</formula>
    </cfRule>
  </conditionalFormatting>
  <conditionalFormatting sqref="H150">
    <cfRule type="expression" dxfId="122" priority="256" stopIfTrue="1">
      <formula>H150=" "</formula>
    </cfRule>
  </conditionalFormatting>
  <conditionalFormatting sqref="N146">
    <cfRule type="expression" dxfId="121" priority="254" stopIfTrue="1">
      <formula>N146=" "</formula>
    </cfRule>
  </conditionalFormatting>
  <conditionalFormatting sqref="N150">
    <cfRule type="expression" dxfId="120" priority="250" stopIfTrue="1">
      <formula>N150=" "</formula>
    </cfRule>
  </conditionalFormatting>
  <conditionalFormatting sqref="H22">
    <cfRule type="expression" dxfId="119" priority="230" stopIfTrue="1">
      <formula>VALUE(H131="Materialdatenbank")</formula>
    </cfRule>
  </conditionalFormatting>
  <conditionalFormatting sqref="K22">
    <cfRule type="expression" dxfId="118" priority="219" stopIfTrue="1">
      <formula>VALUE(K131="Materialdatenbank")</formula>
    </cfRule>
  </conditionalFormatting>
  <conditionalFormatting sqref="N22">
    <cfRule type="expression" dxfId="117" priority="218" stopIfTrue="1">
      <formula>VALUE(N131="Materialdatenbank")</formula>
    </cfRule>
  </conditionalFormatting>
  <conditionalFormatting sqref="H147">
    <cfRule type="expression" dxfId="116" priority="213" stopIfTrue="1">
      <formula>H147=" "</formula>
    </cfRule>
  </conditionalFormatting>
  <conditionalFormatting sqref="H149">
    <cfRule type="expression" dxfId="115" priority="212" stopIfTrue="1">
      <formula>H149=" "</formula>
    </cfRule>
  </conditionalFormatting>
  <conditionalFormatting sqref="K147">
    <cfRule type="expression" dxfId="114" priority="211" stopIfTrue="1">
      <formula>K147=" "</formula>
    </cfRule>
  </conditionalFormatting>
  <conditionalFormatting sqref="K149">
    <cfRule type="expression" dxfId="113" priority="210" stopIfTrue="1">
      <formula>K149=" "</formula>
    </cfRule>
  </conditionalFormatting>
  <conditionalFormatting sqref="N147">
    <cfRule type="expression" dxfId="112" priority="209" stopIfTrue="1">
      <formula>N147=" "</formula>
    </cfRule>
  </conditionalFormatting>
  <conditionalFormatting sqref="N149">
    <cfRule type="expression" dxfId="111" priority="208" stopIfTrue="1">
      <formula>N149=" "</formula>
    </cfRule>
  </conditionalFormatting>
  <conditionalFormatting sqref="H111 K111 N111">
    <cfRule type="expression" dxfId="110" priority="201" stopIfTrue="1">
      <formula>VALUE(#REF!="Materialdatenbank")</formula>
    </cfRule>
  </conditionalFormatting>
  <conditionalFormatting sqref="H148">
    <cfRule type="expression" dxfId="109" priority="193" stopIfTrue="1">
      <formula>H148=" "</formula>
    </cfRule>
  </conditionalFormatting>
  <conditionalFormatting sqref="K148">
    <cfRule type="expression" dxfId="108" priority="191" stopIfTrue="1">
      <formula>K148=" "</formula>
    </cfRule>
  </conditionalFormatting>
  <conditionalFormatting sqref="H105 K105">
    <cfRule type="expression" dxfId="107" priority="185" stopIfTrue="1">
      <formula>VALUE(#REF!="Materialdatenbank")</formula>
    </cfRule>
  </conditionalFormatting>
  <conditionalFormatting sqref="H108 K108 N108">
    <cfRule type="expression" dxfId="106" priority="184" stopIfTrue="1">
      <formula>VALUE(#REF!="Materialdatenbank")</formula>
    </cfRule>
  </conditionalFormatting>
  <conditionalFormatting sqref="K33">
    <cfRule type="expression" dxfId="105" priority="179" stopIfTrue="1">
      <formula>VALUE(#REF!="Materialdatenbank")</formula>
    </cfRule>
  </conditionalFormatting>
  <conditionalFormatting sqref="N33">
    <cfRule type="expression" dxfId="104" priority="177" stopIfTrue="1">
      <formula>VALUE(#REF!="Materialdatenbank")</formula>
    </cfRule>
  </conditionalFormatting>
  <conditionalFormatting sqref="K37 N37">
    <cfRule type="expression" dxfId="103" priority="169" stopIfTrue="1">
      <formula>VALUE(#REF!="Materialdatenbank")</formula>
    </cfRule>
  </conditionalFormatting>
  <conditionalFormatting sqref="K34">
    <cfRule type="expression" dxfId="102" priority="166" stopIfTrue="1">
      <formula>VALUE(K33="Materialdatenbank")</formula>
    </cfRule>
  </conditionalFormatting>
  <conditionalFormatting sqref="N34">
    <cfRule type="expression" dxfId="101" priority="165" stopIfTrue="1">
      <formula>VALUE(N33="Materialdatenbank")</formula>
    </cfRule>
  </conditionalFormatting>
  <conditionalFormatting sqref="H45">
    <cfRule type="expression" dxfId="100" priority="160" stopIfTrue="1">
      <formula>VALUE(#REF!="Materialdatenbank")</formula>
    </cfRule>
  </conditionalFormatting>
  <conditionalFormatting sqref="H43">
    <cfRule type="expression" dxfId="99" priority="161" stopIfTrue="1">
      <formula>VALUE(H37="Materialdatenbank")</formula>
    </cfRule>
  </conditionalFormatting>
  <conditionalFormatting sqref="K43">
    <cfRule type="expression" dxfId="98" priority="139" stopIfTrue="1">
      <formula>VALUE(K37="Materialdatenbank")</formula>
    </cfRule>
  </conditionalFormatting>
  <conditionalFormatting sqref="N43">
    <cfRule type="expression" dxfId="97" priority="138" stopIfTrue="1">
      <formula>VALUE(N37="Materialdatenbank")</formula>
    </cfRule>
  </conditionalFormatting>
  <conditionalFormatting sqref="K21">
    <cfRule type="expression" dxfId="96" priority="124" stopIfTrue="1">
      <formula>VALUE(K25="Materialdatenbank")</formula>
    </cfRule>
  </conditionalFormatting>
  <conditionalFormatting sqref="N21">
    <cfRule type="expression" dxfId="95" priority="123" stopIfTrue="1">
      <formula>VALUE(N25="Materialdatenbank")</formula>
    </cfRule>
  </conditionalFormatting>
  <conditionalFormatting sqref="K115 H115 N115">
    <cfRule type="expression" dxfId="94" priority="111" stopIfTrue="1">
      <formula>VALUE(H118="Materialdatenbank")</formula>
    </cfRule>
  </conditionalFormatting>
  <conditionalFormatting sqref="H26 K26 N26">
    <cfRule type="expression" dxfId="93" priority="510" stopIfTrue="1">
      <formula>VALUE(#REF!="Materialdatenbank")</formula>
    </cfRule>
  </conditionalFormatting>
  <conditionalFormatting sqref="H18 N18 K18">
    <cfRule type="expression" dxfId="92" priority="108" stopIfTrue="1">
      <formula>VALUE(H21="Materialdatenbank")</formula>
    </cfRule>
  </conditionalFormatting>
  <conditionalFormatting sqref="H23">
    <cfRule type="expression" dxfId="91" priority="107" stopIfTrue="1">
      <formula>VALUE(H27="Materialdatenbank")</formula>
    </cfRule>
  </conditionalFormatting>
  <conditionalFormatting sqref="H19">
    <cfRule type="expression" dxfId="90" priority="94" stopIfTrue="1">
      <formula>VALUE(#REF!="Materialdatenbank")</formula>
    </cfRule>
  </conditionalFormatting>
  <conditionalFormatting sqref="K19 N19">
    <cfRule type="expression" dxfId="89" priority="93" stopIfTrue="1">
      <formula>VALUE(#REF!="Materialdatenbank")</formula>
    </cfRule>
  </conditionalFormatting>
  <conditionalFormatting sqref="K20 N20">
    <cfRule type="expression" dxfId="88" priority="92" stopIfTrue="1">
      <formula>VALUE(K26="Materialdatenbank")</formula>
    </cfRule>
  </conditionalFormatting>
  <conditionalFormatting sqref="K23 N23">
    <cfRule type="expression" dxfId="87" priority="91" stopIfTrue="1">
      <formula>VALUE(K27="Materialdatenbank")</formula>
    </cfRule>
  </conditionalFormatting>
  <conditionalFormatting sqref="K45">
    <cfRule type="expression" dxfId="86" priority="90" stopIfTrue="1">
      <formula>VALUE(#REF!="Materialdatenbank")</formula>
    </cfRule>
  </conditionalFormatting>
  <conditionalFormatting sqref="N45">
    <cfRule type="expression" dxfId="85" priority="89" stopIfTrue="1">
      <formula>VALUE(#REF!="Materialdatenbank")</formula>
    </cfRule>
  </conditionalFormatting>
  <conditionalFormatting sqref="K36 N36">
    <cfRule type="expression" dxfId="84" priority="86" stopIfTrue="1">
      <formula>VALUE(#REF!="Materialdatenbank")</formula>
    </cfRule>
  </conditionalFormatting>
  <conditionalFormatting sqref="N39">
    <cfRule type="expression" dxfId="83" priority="85" stopIfTrue="1">
      <formula>VALUE(N47="Materialdatenbank")</formula>
    </cfRule>
  </conditionalFormatting>
  <conditionalFormatting sqref="K93 N93 H93">
    <cfRule type="expression" dxfId="82" priority="517" stopIfTrue="1">
      <formula>VALUE(H65="Materialdatenbank")</formula>
    </cfRule>
  </conditionalFormatting>
  <conditionalFormatting sqref="H64 K64 N64">
    <cfRule type="expression" dxfId="81" priority="529" stopIfTrue="1">
      <formula>VALUE(H53="Materialdatenbank")</formula>
    </cfRule>
  </conditionalFormatting>
  <conditionalFormatting sqref="H89 K89 N89">
    <cfRule type="expression" dxfId="80" priority="531" stopIfTrue="1">
      <formula>VALUE(H63="Materialdatenbank")</formula>
    </cfRule>
  </conditionalFormatting>
  <conditionalFormatting sqref="K66 N66 H66 N69">
    <cfRule type="expression" dxfId="79" priority="79" stopIfTrue="1">
      <formula>VALUE(H132="Materialdatenbank")</formula>
    </cfRule>
  </conditionalFormatting>
  <conditionalFormatting sqref="H125 K125 N125">
    <cfRule type="expression" dxfId="78" priority="533" stopIfTrue="1">
      <formula>VALUE(#REF!="Materialdatenbank")</formula>
    </cfRule>
  </conditionalFormatting>
  <conditionalFormatting sqref="N126">
    <cfRule type="expression" dxfId="77" priority="556" stopIfTrue="1">
      <formula>VALUE(N113="Materialdatenbank")</formula>
    </cfRule>
  </conditionalFormatting>
  <conditionalFormatting sqref="K118 N118 H118">
    <cfRule type="expression" dxfId="76" priority="557" stopIfTrue="1">
      <formula>VALUE(H70="Materialdatenbank")</formula>
    </cfRule>
  </conditionalFormatting>
  <conditionalFormatting sqref="K47">
    <cfRule type="expression" dxfId="75" priority="71" stopIfTrue="1">
      <formula>VALUE(K48="Materialdatenbank")</formula>
    </cfRule>
  </conditionalFormatting>
  <conditionalFormatting sqref="N47">
    <cfRule type="expression" dxfId="74" priority="70" stopIfTrue="1">
      <formula>VALUE(N48="Materialdatenbank")</formula>
    </cfRule>
  </conditionalFormatting>
  <conditionalFormatting sqref="H72">
    <cfRule type="expression" dxfId="73" priority="62" stopIfTrue="1">
      <formula>VALUE(H68="Materialdatenbank")</formula>
    </cfRule>
  </conditionalFormatting>
  <conditionalFormatting sqref="H126">
    <cfRule type="expression" dxfId="72" priority="59" stopIfTrue="1">
      <formula>VALUE(H113="Materialdatenbank")</formula>
    </cfRule>
  </conditionalFormatting>
  <conditionalFormatting sqref="H129">
    <cfRule type="expression" dxfId="71" priority="58" stopIfTrue="1">
      <formula>VALUE(H116="Materialdatenbank")</formula>
    </cfRule>
  </conditionalFormatting>
  <conditionalFormatting sqref="K126">
    <cfRule type="expression" dxfId="70" priority="56" stopIfTrue="1">
      <formula>VALUE(K113="Materialdatenbank")</formula>
    </cfRule>
  </conditionalFormatting>
  <conditionalFormatting sqref="N71 K71 H71">
    <cfRule type="expression" dxfId="69" priority="562" stopIfTrue="1">
      <formula>VALUE(#REF!="Materialdatenbank")</formula>
    </cfRule>
  </conditionalFormatting>
  <conditionalFormatting sqref="H119">
    <cfRule type="expression" dxfId="68" priority="54" stopIfTrue="1">
      <formula>VALUE(H122="Materialdatenbank")</formula>
    </cfRule>
  </conditionalFormatting>
  <conditionalFormatting sqref="K119 N119">
    <cfRule type="expression" dxfId="67" priority="53" stopIfTrue="1">
      <formula>VALUE(K122="Materialdatenbank")</formula>
    </cfRule>
  </conditionalFormatting>
  <conditionalFormatting sqref="H88 K88 N88">
    <cfRule type="expression" dxfId="66" priority="586" stopIfTrue="1">
      <formula>VALUE(H64="Materialdatenbank")</formula>
    </cfRule>
  </conditionalFormatting>
  <conditionalFormatting sqref="H113 K113 N113">
    <cfRule type="expression" dxfId="65" priority="591" stopIfTrue="1">
      <formula>VALUE(H76="Materialdatenbank")</formula>
    </cfRule>
  </conditionalFormatting>
  <conditionalFormatting sqref="H77 N77">
    <cfRule type="expression" dxfId="64" priority="52" stopIfTrue="1">
      <formula>VALUE(H60="Materialdatenbank")</formula>
    </cfRule>
  </conditionalFormatting>
  <conditionalFormatting sqref="K77">
    <cfRule type="expression" dxfId="63" priority="51" stopIfTrue="1">
      <formula>VALUE(K60="Materialdatenbank")</formula>
    </cfRule>
  </conditionalFormatting>
  <conditionalFormatting sqref="H87 N87">
    <cfRule type="expression" dxfId="62" priority="48" stopIfTrue="1">
      <formula>VALUE(H64="Materialdatenbank")</formula>
    </cfRule>
  </conditionalFormatting>
  <conditionalFormatting sqref="K87">
    <cfRule type="expression" dxfId="61" priority="40" stopIfTrue="1">
      <formula>VALUE(K64="Materialdatenbank")</formula>
    </cfRule>
  </conditionalFormatting>
  <conditionalFormatting sqref="H69">
    <cfRule type="expression" dxfId="60" priority="38" stopIfTrue="1">
      <formula>VALUE(H135="Materialdatenbank")</formula>
    </cfRule>
  </conditionalFormatting>
  <conditionalFormatting sqref="K69">
    <cfRule type="expression" dxfId="59" priority="37" stopIfTrue="1">
      <formula>VALUE(K135="Materialdatenbank")</formula>
    </cfRule>
  </conditionalFormatting>
  <conditionalFormatting sqref="K72 N72">
    <cfRule type="expression" dxfId="58" priority="36" stopIfTrue="1">
      <formula>VALUE(K68="Materialdatenbank")</formula>
    </cfRule>
  </conditionalFormatting>
  <conditionalFormatting sqref="K129 N129">
    <cfRule type="expression" dxfId="57" priority="35" stopIfTrue="1">
      <formula>VALUE(K116="Materialdatenbank")</formula>
    </cfRule>
  </conditionalFormatting>
  <conditionalFormatting sqref="H140 K140 N140">
    <cfRule type="expression" dxfId="56" priority="34" stopIfTrue="1">
      <formula>VALUE(#REF!="Materialdatenbank")</formula>
    </cfRule>
  </conditionalFormatting>
  <conditionalFormatting sqref="H80">
    <cfRule type="expression" dxfId="55" priority="33" stopIfTrue="1">
      <formula>VALUE(H62="Materialdatenbank")</formula>
    </cfRule>
  </conditionalFormatting>
  <conditionalFormatting sqref="K80">
    <cfRule type="expression" dxfId="54" priority="32" stopIfTrue="1">
      <formula>VALUE(K62="Materialdatenbank")</formula>
    </cfRule>
  </conditionalFormatting>
  <conditionalFormatting sqref="N80">
    <cfRule type="expression" dxfId="53" priority="31" stopIfTrue="1">
      <formula>VALUE(N62="Materialdatenbank")</formula>
    </cfRule>
  </conditionalFormatting>
  <conditionalFormatting sqref="H83">
    <cfRule type="expression" dxfId="52" priority="30" stopIfTrue="1">
      <formula>VALUE(H64="Materialdatenbank")</formula>
    </cfRule>
  </conditionalFormatting>
  <conditionalFormatting sqref="K83">
    <cfRule type="expression" dxfId="51" priority="29" stopIfTrue="1">
      <formula>VALUE(K64="Materialdatenbank")</formula>
    </cfRule>
  </conditionalFormatting>
  <conditionalFormatting sqref="N83">
    <cfRule type="expression" dxfId="50" priority="28" stopIfTrue="1">
      <formula>VALUE(N64="Materialdatenbank")</formula>
    </cfRule>
  </conditionalFormatting>
  <conditionalFormatting sqref="H97">
    <cfRule type="expression" dxfId="49" priority="27" stopIfTrue="1">
      <formula>VALUE(#REF!="Materialdatenbank")</formula>
    </cfRule>
  </conditionalFormatting>
  <conditionalFormatting sqref="K97">
    <cfRule type="expression" dxfId="48" priority="26" stopIfTrue="1">
      <formula>VALUE(#REF!="Materialdatenbank")</formula>
    </cfRule>
  </conditionalFormatting>
  <conditionalFormatting sqref="H90">
    <cfRule type="expression" dxfId="47" priority="24" stopIfTrue="1">
      <formula>VALUE(H64="Materialdatenbank")</formula>
    </cfRule>
  </conditionalFormatting>
  <conditionalFormatting sqref="K90">
    <cfRule type="expression" dxfId="46" priority="23" stopIfTrue="1">
      <formula>VALUE(K64="Materialdatenbank")</formula>
    </cfRule>
  </conditionalFormatting>
  <conditionalFormatting sqref="H100 K100 N100">
    <cfRule type="expression" dxfId="45" priority="22" stopIfTrue="1">
      <formula>VALUE(#REF!="Materialdatenbank")</formula>
    </cfRule>
  </conditionalFormatting>
  <conditionalFormatting sqref="N105">
    <cfRule type="expression" dxfId="44" priority="21" stopIfTrue="1">
      <formula>VALUE(#REF!="Materialdatenbank")</formula>
    </cfRule>
  </conditionalFormatting>
  <conditionalFormatting sqref="H104">
    <cfRule type="expression" dxfId="43" priority="20" stopIfTrue="1">
      <formula>VALUE(#REF!="Materialdatenbank")</formula>
    </cfRule>
  </conditionalFormatting>
  <conditionalFormatting sqref="K104">
    <cfRule type="expression" dxfId="42" priority="17" stopIfTrue="1">
      <formula>VALUE(#REF!="Materialdatenbank")</formula>
    </cfRule>
  </conditionalFormatting>
  <conditionalFormatting sqref="N104">
    <cfRule type="expression" dxfId="41" priority="16" stopIfTrue="1">
      <formula>VALUE(#REF!="Materialdatenbank")</formula>
    </cfRule>
  </conditionalFormatting>
  <conditionalFormatting sqref="H107">
    <cfRule type="expression" dxfId="40" priority="15" stopIfTrue="1">
      <formula>VALUE(#REF!="Materialdatenbank")</formula>
    </cfRule>
  </conditionalFormatting>
  <conditionalFormatting sqref="K107">
    <cfRule type="expression" dxfId="39" priority="12" stopIfTrue="1">
      <formula>VALUE(#REF!="Materialdatenbank")</formula>
    </cfRule>
  </conditionalFormatting>
  <conditionalFormatting sqref="N107">
    <cfRule type="expression" dxfId="38" priority="11" stopIfTrue="1">
      <formula>VALUE(#REF!="Materialdatenbank")</formula>
    </cfRule>
  </conditionalFormatting>
  <conditionalFormatting sqref="H79">
    <cfRule type="expression" dxfId="37" priority="10" stopIfTrue="1">
      <formula>VALUE(H61="Materialdatenbank")</formula>
    </cfRule>
  </conditionalFormatting>
  <conditionalFormatting sqref="K79">
    <cfRule type="expression" dxfId="36" priority="9" stopIfTrue="1">
      <formula>VALUE(K61="Materialdatenbank")</formula>
    </cfRule>
  </conditionalFormatting>
  <conditionalFormatting sqref="N79">
    <cfRule type="expression" dxfId="35" priority="8" stopIfTrue="1">
      <formula>VALUE(N61="Materialdatenbank")</formula>
    </cfRule>
  </conditionalFormatting>
  <conditionalFormatting sqref="H82">
    <cfRule type="expression" dxfId="34" priority="7" stopIfTrue="1">
      <formula>VALUE(H63="Materialdatenbank")</formula>
    </cfRule>
  </conditionalFormatting>
  <conditionalFormatting sqref="K82">
    <cfRule type="expression" dxfId="33" priority="6" stopIfTrue="1">
      <formula>VALUE(K63="Materialdatenbank")</formula>
    </cfRule>
  </conditionalFormatting>
  <conditionalFormatting sqref="N82">
    <cfRule type="expression" dxfId="32" priority="5" stopIfTrue="1">
      <formula>VALUE(N63="Materialdatenbank")</formula>
    </cfRule>
  </conditionalFormatting>
  <conditionalFormatting sqref="H96 K96 N96">
    <cfRule type="expression" dxfId="31" priority="1" stopIfTrue="1">
      <formula>VALUE(#REF!="Materialdatenbank")</formula>
    </cfRule>
  </conditionalFormatting>
  <dataValidations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10 N110 H110" xr:uid="{00000000-0002-0000-0300-000005000000}">
      <formula1>0</formula1>
      <formula2>1</formula2>
    </dataValidation>
    <dataValidation type="decimal" allowBlank="1" showInputMessage="1" showErrorMessage="1" sqref="H111 K111 N111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6:N106 I101:J101 H109:N111 I108:J108 H114:N114 H112:M113 H132:N132 H115:M131 I97:J97 I105:J105 H103:J103 I102:J102 L97:M97 L105:M105 H98:M99 L102:M103 L101:M101 L108:M108" unlockedFormula="1"/>
    <ignoredError sqref="N92:N95 H135:N141 N145:N150 N8:N16 N87:N89 N20:N78 N81" evalError="1"/>
    <ignoredError sqref="N112:N113 N115:N131 H133:N134 N103 N98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N102 H102 K102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F41" sqref="F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0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deutsch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Germany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France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Italy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Czech Republic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 shift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Poland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 shifts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Bulgaria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 shifts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Romania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Turkey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India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by hand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data base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Spain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Mexico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easy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normal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complicated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very complex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no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yes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small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mid size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big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none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 xml:space="preserve">test report 2.2 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inspection certificate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 moulding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half automatic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fully automatic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  <c r="F40" s="1215" t="s">
        <v>1001</v>
      </c>
    </row>
    <row r="41" spans="1:7" ht="15" x14ac:dyDescent="0.25">
      <c r="A41" s="141">
        <v>1</v>
      </c>
      <c r="B41" s="59" t="str">
        <f t="shared" ref="B41:B46" si="2">IF(C$2,D41,C41)</f>
        <v>none (F)</v>
      </c>
      <c r="C41" s="486" t="s">
        <v>570</v>
      </c>
      <c r="D41" s="486" t="s">
        <v>569</v>
      </c>
      <c r="E41" s="61">
        <f t="shared" si="1"/>
        <v>1</v>
      </c>
      <c r="F41" s="1216">
        <v>0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  <c r="F42" s="1216">
        <v>0.5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  <c r="F43" s="1216">
        <v>0.4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  <c r="F44" s="1216">
        <v>0.6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  <c r="F45" s="1216">
        <v>0.64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  <c r="F46" s="1216">
        <v>0.7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none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core making machine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 moulding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Co2-cores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none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none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811</v>
      </c>
      <c r="C70" s="441">
        <v>2</v>
      </c>
      <c r="D70" s="489" t="s">
        <v>810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power</v>
      </c>
      <c r="C72" s="486" t="s">
        <v>807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heating oil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 blasting</v>
      </c>
      <c r="C76" s="486" t="s">
        <v>374</v>
      </c>
      <c r="D76" s="486" t="s">
        <v>824</v>
      </c>
      <c r="E76" s="41"/>
    </row>
    <row r="77" spans="1:7" ht="15" x14ac:dyDescent="0.25">
      <c r="B77" s="59" t="str">
        <f>IF(C$2,C77,D77)</f>
        <v>vibratory grinding</v>
      </c>
      <c r="C77" s="486" t="s">
        <v>714</v>
      </c>
      <c r="D77" s="486" t="s">
        <v>715</v>
      </c>
      <c r="E77" s="41"/>
    </row>
    <row r="78" spans="1:7" ht="15" thickBot="1" x14ac:dyDescent="0.25">
      <c r="B78" s="46" t="str">
        <f>IF(C$2,C78,D78)</f>
        <v>fine fettling</v>
      </c>
      <c r="C78" s="487" t="s">
        <v>716</v>
      </c>
      <c r="D78" s="487" t="s">
        <v>717</v>
      </c>
      <c r="E78" s="1029"/>
    </row>
    <row r="79" spans="1:7" ht="6.75" customHeight="1" x14ac:dyDescent="0.2"/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LME logistik add on /mt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wood H1</v>
      </c>
      <c r="N54" s="481" t="str">
        <f>IF('Quick Input'!$G$2,"Kunstst.","plastic")</f>
        <v>plastic</v>
      </c>
      <c r="O54" s="817" t="str">
        <f>IF('Quick Input'!$G$2,"Alu","AL")</f>
        <v>AL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pre selection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data base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old data</v>
      </c>
      <c r="J2" s="806" t="str">
        <f>IFERROR(VLOOKUP(J$3,#REF!,3,FALSE),IF(Deutsch,"älter","old data"))</f>
        <v>old data</v>
      </c>
      <c r="K2" s="806" t="str">
        <f>IFERROR(VLOOKUP(K$3,#REF!,3,FALSE),IF(Deutsch,"älter","old data"))</f>
        <v>old data</v>
      </c>
      <c r="L2" s="806" t="str">
        <f>IFERROR(VLOOKUP(L$3,#REF!,3,FALSE),IF(Deutsch,"älter","old data"))</f>
        <v>old data</v>
      </c>
      <c r="M2" s="806" t="str">
        <f>IFERROR(VLOOKUP(M$3,#REF!,3,FALSE),IF(Deutsch,"älter","old data"))</f>
        <v>old data</v>
      </c>
      <c r="N2" s="806" t="str">
        <f>IFERROR(VLOOKUP(N$3,#REF!,3,FALSE),IF(Deutsch,"älter","old data"))</f>
        <v>old data</v>
      </c>
      <c r="O2" s="806" t="str">
        <f>IFERROR(VLOOKUP(O$3,#REF!,3,FALSE),IF(Deutsch,"älter","old data"))</f>
        <v>old data</v>
      </c>
      <c r="P2" s="806" t="str">
        <f>IFERROR(VLOOKUP(P$3,#REF!,3,FALSE),IF(Deutsch,"älter","old data"))</f>
        <v>old data</v>
      </c>
      <c r="Q2" s="807" t="str">
        <f>IFERROR(VLOOKUP(Q$3,#REF!,3,FALSE),IF(Deutsch,"älter","old data"))</f>
        <v>old data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 x14ac:dyDescent="0.2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oven</v>
      </c>
      <c r="C2" s="495"/>
      <c r="D2" s="495"/>
      <c r="E2" s="495" t="str">
        <f>IF(Deutsch,"Ofen Datensätze","oven data")</f>
        <v>oven data</v>
      </c>
      <c r="F2" s="496"/>
      <c r="G2" s="497" t="str">
        <f>IF(Deutsch,"Tonnage","volume")</f>
        <v>volume</v>
      </c>
      <c r="H2" s="498" t="str">
        <f>IF(Deutsch,"Anschlussl.","power")</f>
        <v>power</v>
      </c>
      <c r="I2" s="841" t="str">
        <f>IF(Deutsch,"Leistung","performance")</f>
        <v>performance</v>
      </c>
      <c r="J2" s="497" t="s">
        <v>704</v>
      </c>
      <c r="K2" s="841" t="str">
        <f>IF(Deutsch,"Wirkungsgrad","efficiency")</f>
        <v>efficiency</v>
      </c>
      <c r="L2" s="497" t="str">
        <f>IF(Deutsch,"Wärme-","heat")</f>
        <v>heat</v>
      </c>
      <c r="M2" s="499" t="str">
        <f>IF(Deutsch,"Ofen-","oven-")</f>
        <v>oven-</v>
      </c>
      <c r="N2" s="499" t="s">
        <v>174</v>
      </c>
      <c r="O2" s="499" t="str">
        <f>IF(Deutsch,"Abbrand","burn off")</f>
        <v>burn off</v>
      </c>
      <c r="P2" s="499" t="str">
        <f>IF(Deutsch,"Gattierzeit","fill-/unfilltime")</f>
        <v>fill-/unfilltime</v>
      </c>
      <c r="Q2" s="500" t="str">
        <f>IF(Deutsch,"Schmelzverlust","melting loss")</f>
        <v>melting loss</v>
      </c>
      <c r="R2" s="545"/>
    </row>
    <row r="3" spans="2:18" ht="15" thickBot="1" x14ac:dyDescent="0.25">
      <c r="B3" s="630" t="str">
        <f>IF(Deutsch,"Typ","type")</f>
        <v>type</v>
      </c>
      <c r="C3" s="631" t="str">
        <f>IF(Deutsch,"Nr.","no")</f>
        <v>no</v>
      </c>
      <c r="D3" s="631" t="str">
        <f>IF(Deutsch,"Energie","energy")</f>
        <v>energy</v>
      </c>
      <c r="E3" s="631" t="str">
        <f>IF(Deutsch,"Hersteller","brand")</f>
        <v>brand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loss</v>
      </c>
      <c r="M3" s="632" t="str">
        <f>IF(Deutsch,"Art","type")</f>
        <v>type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no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batch-type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batch-type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batch-type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batch-type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pot-type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pot-type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pot-type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pot-type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batch-type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batch-type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batch-type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816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brand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847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 x14ac:dyDescent="0.2">
      <c r="C53" t="s">
        <v>798</v>
      </c>
    </row>
    <row r="54" spans="2:15" x14ac:dyDescent="0.2">
      <c r="D54" t="s">
        <v>799</v>
      </c>
      <c r="F54" t="s">
        <v>800</v>
      </c>
    </row>
    <row r="55" spans="2:15" x14ac:dyDescent="0.2">
      <c r="C55" t="s">
        <v>801</v>
      </c>
    </row>
    <row r="56" spans="2:15" x14ac:dyDescent="0.2">
      <c r="D56" s="222" t="s">
        <v>802</v>
      </c>
      <c r="F56" t="s">
        <v>803</v>
      </c>
    </row>
    <row r="57" spans="2:15" x14ac:dyDescent="0.2">
      <c r="B57" s="1161" t="s">
        <v>372</v>
      </c>
      <c r="C57">
        <v>7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213">
        <v>50</v>
      </c>
      <c r="M57" s="1164" t="s">
        <v>793</v>
      </c>
      <c r="N57" s="1165">
        <v>300000</v>
      </c>
      <c r="O57">
        <v>7</v>
      </c>
    </row>
    <row r="58" spans="2:15" x14ac:dyDescent="0.2">
      <c r="B58" s="1161" t="s">
        <v>372</v>
      </c>
      <c r="C58">
        <v>8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213">
        <v>55</v>
      </c>
      <c r="M58" s="1164" t="s">
        <v>793</v>
      </c>
      <c r="N58" s="1165">
        <v>330000</v>
      </c>
      <c r="O58">
        <v>8</v>
      </c>
    </row>
    <row r="59" spans="2:15" x14ac:dyDescent="0.2">
      <c r="B59" s="1161" t="s">
        <v>372</v>
      </c>
      <c r="C59">
        <v>9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213">
        <v>70</v>
      </c>
      <c r="M59" s="1164" t="s">
        <v>793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998</v>
      </c>
      <c r="J62" s="1172" t="s">
        <v>999</v>
      </c>
      <c r="K62" s="511"/>
    </row>
    <row r="63" spans="2:15" x14ac:dyDescent="0.2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[3]Auswahlfelder!D36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 x14ac:dyDescent="0.2">
      <c r="B65" s="45" t="str">
        <f>[3]Auswahlfelder!D37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 x14ac:dyDescent="0.2">
      <c r="B67" s="530" t="s">
        <v>993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 x14ac:dyDescent="0.2">
      <c r="B68" s="1173" t="s">
        <v>994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 x14ac:dyDescent="0.2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 x14ac:dyDescent="0.2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 x14ac:dyDescent="0.2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 x14ac:dyDescent="0.2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 x14ac:dyDescent="0.2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 x14ac:dyDescent="0.2">
      <c r="B74" s="1177" t="s">
        <v>995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 x14ac:dyDescent="0.2">
      <c r="B75" s="1177" t="s">
        <v>997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900</v>
      </c>
      <c r="B3" s="899" t="str">
        <f>'Quick Input'!$X$3</f>
        <v>816-3-1</v>
      </c>
      <c r="C3" s="211" t="str">
        <f>'Quick Input'!I8</f>
        <v>part no.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828</v>
      </c>
      <c r="B4" s="195" t="str">
        <f>HLOOKUP($B$2,DB_Artikel,ROW()-1,FALSE)</f>
        <v>Busbar klein</v>
      </c>
      <c r="C4" s="211" t="str">
        <f>'Quick Input'!I9</f>
        <v>name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 material type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749</v>
      </c>
      <c r="B6" s="195" t="str">
        <f>HLOOKUP($B$2,DB_Artikel,ROW()-1,FALSE)</f>
        <v>Al Zn5Mg</v>
      </c>
      <c r="C6" s="211" t="str">
        <f>'Quick Input'!I11</f>
        <v>material name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data base</v>
      </c>
      <c r="C7" s="211" t="str">
        <f>'Quick Input'!I12</f>
        <v>pricing source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 material price (€ per 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lenght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width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height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thickness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thickness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AL part raw weight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volume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very complex</v>
      </c>
      <c r="C16" s="211" t="str">
        <f>'Quick Input'!I21</f>
        <v>part complexity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fully automatic</v>
      </c>
      <c r="C17" s="211" t="str">
        <f>'Quick Input'!I22</f>
        <v>moulding technique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core making machine</v>
      </c>
      <c r="C18" s="211" t="str">
        <f>'Quick Input'!I23</f>
        <v>sand cores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core shooting type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no</v>
      </c>
      <c r="C20" s="211" t="str">
        <f>'Quick Input'!I25</f>
        <v>surface sand blasting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yes</v>
      </c>
      <c r="C21" s="211" t="str">
        <f>'Quick Input'!I26</f>
        <v>surface vibratory grinding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yes</v>
      </c>
      <c r="C22" s="211" t="str">
        <f>'Quick Input'!I27</f>
        <v>surface fine fettling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no</v>
      </c>
      <c r="C23" s="211" t="str">
        <f>'Quick Input'!I28</f>
        <v>ultrasonic test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yes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yes</v>
      </c>
      <c r="C25" s="211" t="str">
        <f>'Quick Input'!I30</f>
        <v>X-ray inspection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inspection certificate 3.1</v>
      </c>
      <c r="C26" s="211" t="str">
        <f>'Quick Input'!I31</f>
        <v>test certificate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heat treatment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none</v>
      </c>
      <c r="C28" s="211" t="str">
        <f>'Quick Input'!I33</f>
        <v>repair welding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date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life time (years)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quantity per year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total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Romania</v>
      </c>
      <c r="C40" s="211" t="str">
        <f>'Quick Input'!I45</f>
        <v>Country of production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 shifts</v>
      </c>
      <c r="C41" s="211" t="str">
        <f>'Quick Input'!I46</f>
        <v>shift 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workday per week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week per year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small</v>
      </c>
      <c r="C44" s="211" t="str">
        <f>'Quick Input'!I49</f>
        <v>Company size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efficiency processes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839</v>
      </c>
      <c r="B46" s="213" t="str">
        <f t="shared" si="13"/>
        <v>FY 17/18</v>
      </c>
      <c r="C46" s="211" t="str">
        <f>CONCATENATE('Quick Input'!I51,"/start")</f>
        <v>target price/start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tool investment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core box investment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melting loss (%)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 overhead rate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808</v>
      </c>
      <c r="B56" s="452" t="str">
        <f>VLOOKUP(VLOOKUP(HLOOKUP($B$2,DB_Artikel,ROW()-1,FALSE),Auswahlfelder!$D$71:$E$73,2,FALSE),Auswahlfelder!$A$71:$B$73,2,FALSE)</f>
        <v>heating oil</v>
      </c>
      <c r="C56" s="450" t="str">
        <f>'Quick Input'!I61</f>
        <v>melting energy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melting rate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cavities/box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machine type no.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cooling plates volume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production lot size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core volume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scrap rate forming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unpack time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 xml:space="preserve">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heat treatment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scrap rate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testing time (s)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ultrasonic test cost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dye penetrant test cost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X ray test cost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percentage of re testing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repair proportion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IPC - surcharge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administration cost rate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profit on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profit on process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881</v>
      </c>
      <c r="B78" s="196" t="str">
        <f t="shared" si="14"/>
        <v>P. Pawar</v>
      </c>
      <c r="C78" s="450" t="str">
        <f>'Quick Input'!I83</f>
        <v>user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31" sqref="F231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IFERROR(IF(Refkalkulation!H$117=0,SUM(F$9:F$12),Refkalkulation!H$117),0)</f>
        <v>0.1</v>
      </c>
      <c r="G8" s="7"/>
      <c r="H8" s="7"/>
      <c r="I8" s="657">
        <f>IFERROR(IF(Refkalkulation!K$117=0,SUM(I$9:I$12),Refkalkulation!K$117),0)</f>
        <v>0.1</v>
      </c>
      <c r="J8" s="7"/>
      <c r="K8" s="7"/>
      <c r="L8" s="657">
        <f>IFERROR(IF(Refkalkulation!N$117=0,SUM(L$9:L$12),Refkalkulation!N$117),0)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IFERROR(IF(Refkalkulation!H$127=0,'Länder-DB'!$I$25*F$14,Refkalkulation!H$127),0)</f>
        <v>0</v>
      </c>
      <c r="G13" s="7"/>
      <c r="H13" s="7"/>
      <c r="I13" s="657">
        <f>IFERROR(IF(Refkalkulation!K$127=0,'Länder-DB'!$I$25*I$14,Refkalkulation!K$127),0)</f>
        <v>0</v>
      </c>
      <c r="J13" s="7"/>
      <c r="K13" s="7"/>
      <c r="L13" s="657">
        <f>IFERROR(IF(Refkalkulation!N$127=0,'Länder-DB'!$I$25*L$14,Refkalkulation!N$127),0)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IFERROR(IF(Refkalkulation!H$128=0,SUM(F$16:F$18),Refkalkulation!H$128),0)</f>
        <v>0.08</v>
      </c>
      <c r="G15" s="7"/>
      <c r="H15" s="7"/>
      <c r="I15" s="657">
        <f>IFERROR(IF(Refkalkulation!K$128=0,SUM(I$16:I$18),Refkalkulation!K$128),0)</f>
        <v>0.09</v>
      </c>
      <c r="J15" s="7"/>
      <c r="K15" s="7"/>
      <c r="L15" s="657">
        <f>IFERROR(IF(Refkalkulation!N$128=0,SUM(L$16:L$18),Refkalkulation!N$128),0)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 x14ac:dyDescent="0.25">
      <c r="B31" s="467">
        <v>58</v>
      </c>
      <c r="C31" s="95" t="s">
        <v>362</v>
      </c>
      <c r="D31" s="98"/>
      <c r="E31" s="568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2120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0.06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57.737662165399797</v>
      </c>
      <c r="G40" s="7"/>
      <c r="H40" s="7"/>
      <c r="I40" s="345">
        <f>(I$41+I$43)*I$46</f>
        <v>7.3082233762111191</v>
      </c>
      <c r="J40" s="7"/>
      <c r="K40" s="7"/>
      <c r="L40" s="345">
        <f>(L$41+L$43)*L$46</f>
        <v>7.3082233762111191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0.44344155413499481</v>
      </c>
      <c r="G42" s="10"/>
      <c r="H42" s="10"/>
      <c r="I42" s="201">
        <f>'Länder-DB'!$M$19+I$44+I$45+I$47</f>
        <v>0.46164467524222386</v>
      </c>
      <c r="J42" s="10"/>
      <c r="K42" s="10"/>
      <c r="L42" s="201">
        <f>'Länder-DB'!$M$19+L$44+L$45+L$47</f>
        <v>0.46164467524222386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17.737662165399794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5.9691554134994773E-2</v>
      </c>
      <c r="G45" s="10"/>
      <c r="H45" s="10"/>
      <c r="I45" s="201">
        <f>MAX(0%,20%*(40%-I$58))</f>
        <v>7.7894675242223807E-2</v>
      </c>
      <c r="J45" s="10"/>
      <c r="K45" s="10"/>
      <c r="L45" s="201">
        <f>20%*(40%-L$58)</f>
        <v>7.7894675242223807E-2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>
        <f>L$56*IF(L$52,L$33,L$32)+2*L$53+(L$56-1)*(L$53+2.5)</f>
        <v>68.79473319220206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>
        <f>L$57*IF(L$52,L$32,L$33)+2*L$53+(L$57-1)*(2.5+L$53)</f>
        <v>58.79473319220206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>
        <f>'Quick Input'!S16/10+2.5*L$53</f>
        <v>43.493416490252571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0.10154222932502616</v>
      </c>
      <c r="G58" s="10"/>
      <c r="H58" s="10"/>
      <c r="I58" s="284">
        <f>(I$41*I$46)/2.7/(I$49*I$50*I$51/1000)</f>
        <v>1.0526623788881013E-2</v>
      </c>
      <c r="J58" s="10"/>
      <c r="K58" s="10"/>
      <c r="L58" s="284">
        <f>(L$41*L$46)/2.7/(L$49*L$50*L$51/1000)</f>
        <v>1.0526623788881013E-2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>
        <f>IFERROR(MAX(L$61,MIN(L$62,IF(L$73,L$72,L$72+1))),L$61)</f>
        <v>12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 t="str">
        <f>'Quick Input'!S$22</f>
        <v>Handformen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>
        <f>VLOOKUP(L$60,'Maschinen-DB'!$B$22:$C$37,2,FALSE)</f>
        <v>12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>
        <f>VLOOKUP(L$61,DB_Maschinen,5,FALSE)/10</f>
        <v>250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>
        <f>IF(L$65&lt;L$72,L$72,MAX(L$61,MIN(L$62,IF(L$73,L$72,L$72+1))))</f>
        <v>12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>
        <f>VLOOKUP(L$49*10,'Maschinen-DB'!$G$21:$R$37,12,TRUE)+1</f>
        <v>3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suggestion moulding technique</v>
      </c>
      <c r="D74" s="583" t="s">
        <v>395</v>
      </c>
      <c r="E74" s="571"/>
      <c r="F74" s="555" t="str">
        <f>VLOOKUP(VLOOKUP(F71,Auswahlfelder!$D$36:$E$38,2,FALSE),Auswahlfelder!$A$36:$B$38,2,FALSE)</f>
        <v>fully automatic</v>
      </c>
      <c r="G74" s="423"/>
      <c r="H74" s="424"/>
      <c r="I74" s="555" t="str">
        <f>VLOOKUP(VLOOKUP(I71,Auswahlfelder!$D$36:$E$38,2,FALSE),Auswahlfelder!$A$36:$B$38,2,FALSE)</f>
        <v>fully automatic</v>
      </c>
      <c r="J74" s="423"/>
      <c r="K74" s="424"/>
      <c r="L74" s="555" t="str">
        <f>VLOOKUP(VLOOKUP(L71,Auswahlfelder!$D$36:$E$38,2,FALSE),Auswahlfelder!$A$36:$B$38,2,FALSE)</f>
        <v>fully automatic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605.25346382895225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used box size</v>
      </c>
      <c r="D76" s="583" t="s">
        <v>395</v>
      </c>
      <c r="E76" s="569" t="s">
        <v>498</v>
      </c>
      <c r="F76" s="504">
        <f>F$78/F$77</f>
        <v>2.1089072308203591E-2</v>
      </c>
      <c r="G76" s="597" t="str">
        <f>TEXT(F$76,"0,0 %")</f>
        <v>2,1 %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>
        <f>L$78/L$77</f>
        <v>9.3775963088855007E-3</v>
      </c>
      <c r="M76" s="597" t="str">
        <f>TEXT(L$76,"0,0 %")</f>
        <v>0,9 %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>
        <f>L$66*L$67*IF(VLOOKUP(L$70,DB_Maschinen,2,FALSE)='Maschinen-DB'!$D$21,MAX(L$51,L$69),IF(L$69&gt;L$51,L$69,L$68))</f>
        <v>288000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21384.319320518443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>
        <f>L$40*1000/VLOOKUP('Quick Input'!S$10,DB_Material,5,FALSE)</f>
        <v>2700.7477369590242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3.378297098077607E-3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2.1156224315965606E-2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1.4000000000000002E-2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>
        <f>52/'Quick Input'!S$36*L$85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>
        <f>'Quick Input'!S$36/L145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 x14ac:dyDescent="0.2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535.25043037452167</v>
      </c>
      <c r="G104" s="425"/>
      <c r="H104" s="426"/>
      <c r="I104" s="276">
        <f>I$40/(Refkalkulation!K$59/3600)*1.2</f>
        <v>789.28812463080078</v>
      </c>
      <c r="J104" s="425"/>
      <c r="K104" s="426"/>
      <c r="L104" s="276">
        <f>L$40/(Refkalkulation!N$59/3600)*1.2</f>
        <v>789.28812463080078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2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>
        <f>IF(VLOOKUP(L$105,DB_Ofen,7,FALSE)&gt;L$104,L$105,IF(VLOOKUP(L$105+1,DB_Ofen,7,FALSE)&gt;L$104,L$105+1,IF(VLOOKUP(L$105+2,DB_Ofen,7,FALSE)&gt;L$104,L$105+2,MIN(11,L$105+3))))</f>
        <v>2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56.406745185862235</v>
      </c>
      <c r="J109" s="419"/>
      <c r="K109" s="420"/>
      <c r="L109" s="204">
        <f>L$110+L$111+L$112</f>
        <v>50.406745185862235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5.4067451858622366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6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10.5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1.7777777777777777</v>
      </c>
      <c r="G114" s="446"/>
      <c r="H114" s="447"/>
      <c r="I114" s="344">
        <f>IF('Quick Input'!P$23=Auswahlfelder!$D$49,0,12%*'Quick Input'!P$20/1000)</f>
        <v>0.22172949002217293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21.185185185185187</v>
      </c>
      <c r="G115" s="446"/>
      <c r="H115" s="447"/>
      <c r="I115" s="344">
        <f>IF(I114=0,0,MAX(0,0.9*I$37-'Quick Input'!P$20/1000))</f>
        <v>30.552254249815224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0.87037037037037024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0.18317759151905527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0.18317759151905527</v>
      </c>
      <c r="G118" s="464"/>
      <c r="H118" s="465"/>
      <c r="I118" s="937">
        <f>IF('Quick Input'!P$23=Auswahlfelder!$D50,I$225,('Länder-DB'!$M$47+I120)/I$121)</f>
        <v>0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>
        <f>MAX(IF(VLOOKUP('Quick Input'!S$22,Auswahlfelder!$D$36:$E$38,2,FALSE)=1,1,L$128+L$130),MIN(8,ROUNDDOWN(0.35*L66*L67/L31,0)))</f>
        <v>1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>
        <f>VLOOKUP('Quick Input'!S$22,Auswahlfelder!$D$36:$E$38,2,FALSE)</f>
        <v>1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4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3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0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>
        <f>L$157+L$158+L$161+L$208</f>
        <v>40.000000000000007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0.16579220721799934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24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1.8257418583505536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0.7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0.4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20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15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0.97372899112029532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IFERROR(IF(Refkalkulation!H$95=0,ROUND(F$171*(1+F$172+F$173+F$174),1),Refkalkulation!H$95),0)</f>
        <v>400</v>
      </c>
      <c r="G170" s="419"/>
      <c r="H170" s="420"/>
      <c r="I170" s="639">
        <f>IFERROR(IF(Refkalkulation!K$95=0,ROUND(I$171*(1+I$172+I$173+I$174),1),Refkalkulation!K$95),0)</f>
        <v>300</v>
      </c>
      <c r="J170" s="419"/>
      <c r="K170" s="420"/>
      <c r="L170" s="639">
        <f>IFERROR(IF(Refkalkulation!N$95=0,ROUND(L$171*(1+L$172+L$173+L$174),1),Refkalkulation!N$95),0)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0.81649658092772603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IFERROR(IF(OR(Refkalkulation!H$101=0,F$247=0),F$247,Refkalkulation!H$101),0)</f>
        <v>0.41742621527777779</v>
      </c>
      <c r="G175" s="436"/>
      <c r="H175" s="420"/>
      <c r="I175" s="645">
        <f>IFERROR(IF(OR(Refkalkulation!K$101=0,I$247=0),I$247,Refkalkulation!K$101),0)</f>
        <v>0.30864583333333334</v>
      </c>
      <c r="J175" s="436"/>
      <c r="K175" s="420"/>
      <c r="L175" s="645">
        <f>IFERROR(IF(OR(Refkalkulation!N$101=0,L$247=0),L$247,Refkalkulation!N$101),0)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IFERROR(IF(OR(Refkalkulation!H$105=0,F$250=0),F250,Refkalkulation!H$105),0)</f>
        <v>0.37082465277777776</v>
      </c>
      <c r="G176" s="436"/>
      <c r="H176" s="420"/>
      <c r="I176" s="645">
        <f>IFERROR(IF(OR(Refkalkulation!K$105=0,I$250=0),I250,Refkalkulation!K$105),0)</f>
        <v>0.34611111111111109</v>
      </c>
      <c r="J176" s="436"/>
      <c r="K176" s="420"/>
      <c r="L176" s="645">
        <f>IFERROR(IF(OR(Refkalkulation!N$105=0,L$250=0),L250,Refkalkulation!N$105),0)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IFERROR(IF(OR(Refkalkulation!H$108=0,F$178=0),ROUND(F178*(1+F179),2),Refkalkulation!H$108),0)</f>
        <v>1.8357928240740744</v>
      </c>
      <c r="G177" s="436"/>
      <c r="H177" s="420"/>
      <c r="I177" s="645">
        <f>IFERROR(IF(OR(Refkalkulation!K$108=0,I$178=0),ROUND(I178*(1+I179),2),Refkalkulation!K$108),0)</f>
        <v>1.7619212962962969</v>
      </c>
      <c r="J177" s="436"/>
      <c r="K177" s="420"/>
      <c r="L177" s="645">
        <f>IFERROR(IF(OR(Refkalkulation!N$108=0,L$178=0),ROUND(L178*(1+L179),2),Refkalkulation!N$108),0)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>
        <f>IF('Quick Input'!S30=Auswahlfelder!$D$22,0,'Länder-DB'!$I$43*(0.7+0.3*VLOOKUP(L$19,DB_Länder,5,FALSE)/'Länder-DB'!$E$2))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2.1997158907458934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IF(OR(Refkalkulation!H$90=0,F181=1),ROUND(IF(F$181&gt;2,F$182*F$183+F$184/60*F$20/F186/'Quick Input'!M$19+F$185,0),3),Refkalkulation!H$90)</f>
        <v>0.7</v>
      </c>
      <c r="G180" s="436"/>
      <c r="H180" s="420"/>
      <c r="I180" s="943">
        <f>IF(OR(Refkalkulation!K$90=0,I181=1),ROUND(IF(I$181&gt;2,I$182*I$183+I$184/60*I$20/I186/'Quick Input'!P$19+I$185,0),3),Refkalkulation!K$90)</f>
        <v>0.4</v>
      </c>
      <c r="J180" s="436"/>
      <c r="K180" s="420"/>
      <c r="L180" s="943">
        <f>IF(OR(Refkalkulation!N$90=0,L181=1),ROUND(IF(L$181&gt;2,L$182*L$183+L$184/60*L$20/L186/'Quick Input'!S$19+L$185,0),3),Refkalkulation!N$90)</f>
        <v>0.5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6</v>
      </c>
      <c r="G181" s="421"/>
      <c r="H181" s="422"/>
      <c r="I181" s="30">
        <f>VLOOKUP('Quick Input'!P$32,Auswahlfelder!$D$41:$E$46,2,FALSE)</f>
        <v>3</v>
      </c>
      <c r="J181" s="421"/>
      <c r="K181" s="422"/>
      <c r="L181" s="30">
        <f>VLOOKUP('Quick Input'!S$32,Auswahlfelder!$D$41:$E$46,2,FALSE)</f>
        <v>2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8.9683165484485237</v>
      </c>
      <c r="G183" s="446"/>
      <c r="H183" s="447"/>
      <c r="I183" s="445">
        <f>IF(I181&gt;2,0.8+SQRT(I181-1)*($D$183+0.4*SQRT(I41/100)),0)</f>
        <v>5.7348172184752579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15.8</v>
      </c>
      <c r="G184" s="939"/>
      <c r="H184" s="940"/>
      <c r="I184" s="445">
        <f>IF(I181&lt;3,0,$D$184+0.1*I186)</f>
        <v>22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6.308750000000001E-3</v>
      </c>
      <c r="G185" s="446"/>
      <c r="H185" s="447"/>
      <c r="I185" s="463">
        <f>IF(I$181&gt;2,I$151*0.00025*515/0.6,0)</f>
        <v>1.2875000000000001E-2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8</v>
      </c>
      <c r="G186" s="423"/>
      <c r="H186" s="424"/>
      <c r="I186" s="941">
        <f>ROUNDDOWN(MAX(1,$D$186/'Quick Input'!P$19),0)</f>
        <v>70</v>
      </c>
      <c r="J186" s="423"/>
      <c r="K186" s="424"/>
      <c r="L186" s="941">
        <f>ROUNDDOWN(MAX(1,$D$186/'Quick Input'!S$19),0)</f>
        <v>70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Input'!M$33=Auswahlfelder!$D$61),Refkalkulation!H$91,0)</f>
        <v>0</v>
      </c>
      <c r="G190" s="446"/>
      <c r="H190" s="447"/>
      <c r="I190" s="344">
        <f>IF(AND('Quick Input'!P$32&lt;&gt;Auswahlfelder!$D$41,'Quick Input'!P$33=Auswahlfelder!$D$61),Refkalkulation!K$91,0)</f>
        <v>0</v>
      </c>
      <c r="J190" s="446"/>
      <c r="K190" s="447"/>
      <c r="L190" s="344">
        <f>IF(AND('Quick Input'!S$32&lt;&gt;Auswahlfelder!$D$41,'Quick Input'!S$33=Auswahlfelder!$D$61),Refkalkulation!N$91,0)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Refkalkulation!H$95/3600*Refkalkulation!H$98</f>
        <v>3.726188333333333</v>
      </c>
      <c r="G191" s="423"/>
      <c r="H191" s="424"/>
      <c r="I191" s="344">
        <f>Refkalkulation!K$95/3600*Refkalkulation!K$98</f>
        <v>0.83400899999999978</v>
      </c>
      <c r="J191" s="423"/>
      <c r="K191" s="424"/>
      <c r="L191" s="344">
        <f>Refkalkulation!N$95/3600*Refkalkulation!N$98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3.6733333333333333E-2</v>
      </c>
      <c r="J195" s="419"/>
      <c r="K195" s="420"/>
      <c r="L195" s="657">
        <f>IFERROR(IF(Refkalkulation!N$70=0,('Länder-DB'!$I$49/1.5+L196+L197+L198+L199)*IF(L187&gt;0,1-'Länder-DB'!$I$47,1),Refkalkulation!N$70),0)</f>
        <v>3.4233333333333331E-2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2.5000000000000001E-3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IFERROR(IF(Refkalkulation!H$92=0,F201+F202+F203,Refkalkulation!H$92),0)</f>
        <v>0.02</v>
      </c>
      <c r="G200" s="926"/>
      <c r="H200" s="927"/>
      <c r="I200" s="925">
        <f>IFERROR(IF(Refkalkulation!K$92=0,I201+I202+I203,Refkalkulation!K$92),0)</f>
        <v>0.02</v>
      </c>
      <c r="J200" s="926"/>
      <c r="K200" s="927"/>
      <c r="L200" s="925">
        <f>IFERROR(IF(Refkalkulation!N$92=0,L201+L202+L203,Refkalkulation!N$92),0)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842</v>
      </c>
      <c r="D204" s="98"/>
      <c r="E204" s="574" t="s">
        <v>498</v>
      </c>
      <c r="F204" s="657">
        <f>IF(Refkalkulation!H$123=0,'Länder-DB'!$I$33,Refkalkulation!H$123)</f>
        <v>0.12</v>
      </c>
      <c r="G204" s="7"/>
      <c r="H204" s="7"/>
      <c r="I204" s="657">
        <f>IF(Refkalkulation!K$123=0,'Länder-DB'!$I$33,Refkalkulation!K$123)</f>
        <v>0.12</v>
      </c>
      <c r="J204" s="7"/>
      <c r="K204" s="7"/>
      <c r="L204" s="657">
        <f>IF(Refkalkulation!N$123=0,'Länder-DB'!$I$33,Refkalkulation!N$123)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7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7" x14ac:dyDescent="0.2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7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7" x14ac:dyDescent="0.2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>
        <f>0.08*(-6+L23/4%+6%/VLOOKUP('Quick Input'!S$10,'Material-DB'!$A$4:$R$37,18,FALSE))</f>
        <v>0.27100000000000002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  <c r="AA224" s="511"/>
    </row>
    <row r="225" spans="2:26" ht="15" x14ac:dyDescent="0.2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0.18317759151905527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6" x14ac:dyDescent="0.2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Hot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2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Z227" s="1212"/>
    </row>
    <row r="228" spans="2:26" x14ac:dyDescent="0.2">
      <c r="B228" s="1182" t="str">
        <f t="shared" si="7"/>
        <v>?</v>
      </c>
      <c r="C228" s="96" t="s">
        <v>866</v>
      </c>
      <c r="D228" s="844"/>
      <c r="E228" s="569"/>
      <c r="F228" s="932">
        <f>IF(F227=1,IFERROR(VLOOKUP(Refkalkulation!H$67/2,'Maschinen-DB'!$K$47:$O$51,5,TRUE),1)+1,IFERROR(VLOOKUP(Refkalkulation!H$67/2,'Maschinen-DB'!$K$57:$O$59,5,TRUE),7))</f>
        <v>7</v>
      </c>
      <c r="G228" s="421"/>
      <c r="H228" s="422"/>
      <c r="I228" s="932">
        <f>IF(I227=1,IFERROR(VLOOKUP(Refkalkulation!K$67/2,'Maschinen-DB'!$K$47:$O$51,5,TRUE),1)+1,IFERROR(VLOOKUP(Refkalkulation!K$67/2,'Maschinen-DB'!$K$57:$O$59,5,TRUE),7))</f>
        <v>7</v>
      </c>
      <c r="J228" s="421"/>
      <c r="K228" s="422"/>
      <c r="L228" s="932">
        <f>IF(L227=1,IFERROR(VLOOKUP(Refkalkulation!N$67/2,'Maschinen-DB'!$K$47:$O$51,5,TRUE),1)+1,IFERROR(VLOOKUP(Refkalkulation!N$67/2,'Maschinen-DB'!$K$57:$O$59,5,TRUE),7))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  <c r="Y228" s="511"/>
      <c r="Z228" s="511"/>
    </row>
    <row r="229" spans="2:26" ht="15" x14ac:dyDescent="0.25">
      <c r="B229" s="1182" t="str">
        <f t="shared" si="7"/>
        <v>?</v>
      </c>
      <c r="C229" s="96" t="s">
        <v>868</v>
      </c>
      <c r="D229" s="697">
        <v>0</v>
      </c>
      <c r="E229" s="569" t="s">
        <v>497</v>
      </c>
      <c r="F229" s="1214">
        <f>IF(F227=1,VLOOKUP(F228,'Maschinen-DB'!$C$46:$N$51,7,FALSE)/60+IF(F227=3,$D$231,IF(F227=4,$D$232,0)),IF(F227=2,VLOOKUP(F228,'Maschinen-DB'!$C$57:$N$59,7,FALSE)/60+D229+IF(F227=3,$D$231,IF(F227=4,$D$232,0))))</f>
        <v>1.3333333333333333</v>
      </c>
      <c r="G229" s="421"/>
      <c r="H229" s="422"/>
      <c r="I229" s="456">
        <f>VLOOKUP(I228,'Maschinen-DB'!$C$46:$N$59,7,FALSE)/60+IF(I227=2,$D$229,IF(I227=3,$D$231,IF(I227=4,$D$232,0)))</f>
        <v>1.3333333333333333</v>
      </c>
      <c r="J229" s="421"/>
      <c r="K229" s="422"/>
      <c r="L229" s="456">
        <f>VLOOKUP(L228,'Maschinen-DB'!$C$46:$N$59,7,FALSE)/60+IF(L227=2,$D$229,IF(L227=3,$D$231,IF(L227=4,$D$232,0)))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82"/>
      <c r="C230" s="96" t="s">
        <v>1000</v>
      </c>
      <c r="D230" s="697"/>
      <c r="E230" s="569"/>
      <c r="F230" s="456">
        <f>VLOOKUP(F228,'Maschinen-DB'!$C$46:$N$59,12,FALSE)</f>
        <v>300000</v>
      </c>
      <c r="G230" s="421"/>
      <c r="H230" s="422"/>
      <c r="I230" s="456">
        <f>VLOOKUP(I228,'Maschinen-DB'!$C$46:$N$59,12,FALSE)</f>
        <v>300000</v>
      </c>
      <c r="J230" s="421"/>
      <c r="K230" s="422"/>
      <c r="L230" s="456">
        <f>VLOOKUP(L228,'Maschinen-DB'!$C$46:$N$59,12,FALSE)</f>
        <v>250000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82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(VLOOKUP(F228,'Maschinen-DB'!$C$46:$N$59,12,FALSE)/'Länder-DB'!$I$27+VLOOKUP(F228,'Maschinen-DB'!$C$46:$N$59,12,FALSE)*'Länder-DB'!$I$29)/F149</f>
        <v>23.588466183574877</v>
      </c>
      <c r="G231" s="421"/>
      <c r="H231" s="422"/>
      <c r="I231" s="456">
        <f>(VLOOKUP(I228,'Maschinen-DB'!$C$46:$N$59,12,FALSE)/'Länder-DB'!$I$27+VLOOKUP(I228,'Maschinen-DB'!$C$46:$N$59,12,FALSE)*'Länder-DB'!$I$29)/I149</f>
        <v>27.751136686558684</v>
      </c>
      <c r="J231" s="421"/>
      <c r="K231" s="422"/>
      <c r="L231" s="456">
        <f>(VLOOKUP(L228,'Maschinen-DB'!$C$46:$N$59,12,FALSE)/'Länder-DB'!$I$27+VLOOKUP(L228,'Maschinen-DB'!$C$46:$N$59,12,FALSE)*'Länder-DB'!$I$29)/L149</f>
        <v>31.451288244766502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82.429916183574875</v>
      </c>
      <c r="G232" s="427"/>
      <c r="H232" s="428"/>
      <c r="I232" s="344">
        <f>I231+I233*I21</f>
        <v>42.662714686558679</v>
      </c>
      <c r="J232" s="427"/>
      <c r="K232" s="428"/>
      <c r="L232" s="344">
        <f>L231+L233*L21</f>
        <v>60.872013244766499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2</v>
      </c>
      <c r="G233" s="446"/>
      <c r="H233" s="447"/>
      <c r="I233" s="445">
        <f>MAX(1,ROUNDDOWN(MIN(2,I228/2),0))</f>
        <v>2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34.941609682128771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26.139248634013285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0.6804138174397717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0.24029576503399763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6" ht="15" x14ac:dyDescent="0.2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32.083333333333336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42.777777777777786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6" ht="15" x14ac:dyDescent="0.2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1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>
        <f>MAX(MIN(ROUNDDOWN($D$242/'Quick Input'!S$19,0),Refkalkulation!N$61),1)</f>
        <v>6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0.95257934441568026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14.06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>
        <f>IF('Quick Input'!S$28=Auswahlfelder!$D$22,0,ROUND(L248*(1+L$249),2))</f>
        <v>7.39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24.85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>
        <f>IF('Quick Input'!S29=Auswahlfelder!$D$22,0,ROUND(L251*(1+L252),2))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3.1424512724941338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X-ray test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X-ray test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US PT X-ray test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</v>
      </c>
      <c r="G259" s="10"/>
      <c r="H259" s="10"/>
      <c r="I259" s="557" t="str">
        <f>IF(I$255&gt;MIN(I$258,2*I$257),'Länder-DB'!$O$54,IF(I$255&gt;MIN(I$257,3*I$256),'Länder-DB'!$N$54,'Länder-DB'!$M$54))</f>
        <v>AL</v>
      </c>
      <c r="J259" s="10"/>
      <c r="K259" s="10"/>
      <c r="L259" s="557" t="str">
        <f>IF(L$255&gt;MIN(L$258,2*L$257),'Länder-DB'!$O$54,IF(L$255&gt;MIN(L$257,3*L$256),'Länder-DB'!$N$54,'Länder-DB'!$M$54))</f>
        <v>AL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10600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447.21359549995793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10606.601717798214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1100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suggestion moulding technique</v>
      </c>
      <c r="X276" s="592" t="s">
        <v>578</v>
      </c>
      <c r="Y276" s="37"/>
    </row>
    <row r="277" spans="5:25" ht="15" thickBot="1" x14ac:dyDescent="0.25">
      <c r="E277" s="124">
        <f>IF(F276,E276+1,E276)</f>
        <v>2</v>
      </c>
      <c r="F277" s="591" t="str">
        <f>F74</f>
        <v>fully automatic</v>
      </c>
      <c r="G277" s="602"/>
      <c r="H277" s="589">
        <f>IF(I276,H276+1,H276)</f>
        <v>2</v>
      </c>
      <c r="I277" s="591" t="str">
        <f>I74</f>
        <v>fully automatic</v>
      </c>
      <c r="J277" s="591"/>
      <c r="K277" s="589">
        <f>IF(L276,K276+1,K276)</f>
        <v>2</v>
      </c>
      <c r="L277" s="591" t="str">
        <f>L74</f>
        <v>fully automatic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>
        <f>IF(L278,K277+1,K277)</f>
        <v>3</v>
      </c>
      <c r="L278" s="589" t="b">
        <f>IFERROR(L78/L77&lt;3%,FALSE)</f>
        <v>1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used box size</v>
      </c>
      <c r="X278" s="592" t="s">
        <v>579</v>
      </c>
      <c r="Y278" s="37"/>
    </row>
    <row r="279" spans="5:25" ht="15" thickBot="1" x14ac:dyDescent="0.25">
      <c r="E279" s="124">
        <f>IF(F278,E278+1,E278)</f>
        <v>4</v>
      </c>
      <c r="F279" s="694" t="str">
        <f>IF(F278,TEXT(F$76,"0%")," ")</f>
        <v>2%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>
        <f>IF(L278,K278+1,K278)</f>
        <v>4</v>
      </c>
      <c r="L279" s="694" t="str">
        <f>IF(L278,TEXT(L$76,"0%")," ")</f>
        <v>1%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>
        <f>IF(L280,K279+1,K279)</f>
        <v>5</v>
      </c>
      <c r="L280" s="589" t="b">
        <f>IFERROR(Refkalkulation!N66/(Refkalkulation!N66+Refkalkulation!N60)&gt;15%,FALSE)</f>
        <v>1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45,8 %</v>
      </c>
      <c r="J281" s="591"/>
      <c r="K281" s="589">
        <f>IF(L280,K280+1,K280)</f>
        <v>6</v>
      </c>
      <c r="L281" s="693" t="str">
        <f>TEXT(Refkalkulation!N62/(Refkalkulation!N62+Refkalkulation!N59*Refkalkulation!N61/60/Refkalkulation!N50),"0,0 %")</f>
        <v>43,1 %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>
        <f>IF(L282,K281+1,K281)</f>
        <v>7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6</v>
      </c>
      <c r="F283" s="606" t="str">
        <f>CONCATENATE(F260,IF(Deutsch," WKZ aus "," tool from "),F259)</f>
        <v>2 tool from AL</v>
      </c>
      <c r="G283" s="602"/>
      <c r="H283" s="589">
        <f>IF(I282,H282+1,H282)</f>
        <v>8</v>
      </c>
      <c r="I283" s="606" t="str">
        <f>CONCATENATE(I260,IF(Deutsch," WKZ aus "," tool from "),I259)</f>
        <v>2 tool from AL</v>
      </c>
      <c r="J283" s="591"/>
      <c r="K283" s="589">
        <f>IF(L282,K282+1,K282)</f>
        <v>8</v>
      </c>
      <c r="L283" s="606" t="str">
        <f>CONCATENATE(L260,IF(Deutsch," WKZ aus "," tool from "),L259)</f>
        <v>2 tool from AL</v>
      </c>
      <c r="M283" s="591"/>
      <c r="N283" s="589">
        <f>IF(O282,N282+1,N282)</f>
        <v>0</v>
      </c>
      <c r="O283" s="606" t="str">
        <f>CONCATENATE(O260,IF(Deutsch," WKZ aus "," tool from "),O259)</f>
        <v xml:space="preserve"> tool from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tool from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tool from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>
        <f>IF(L284,K283+1,K283)</f>
        <v>8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>
        <f>IF(L284,K284+1,K284)</f>
        <v>8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>
        <f>IF(L286,K285+1,K285)</f>
        <v>8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>
        <f>IF(L286,K286+1,K286)</f>
        <v>8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>
        <f>IF(L288,K287+1,K287)</f>
        <v>9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>
        <f>IF(L288,K288+1,K288)</f>
        <v>10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>
        <f>IF(L290,K289+1,K289)</f>
        <v>11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>
        <f>IF(L290,K290+1,K290)</f>
        <v>12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>
        <f>IF(L292,K291+1,K291)</f>
        <v>13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>
        <f>IF(L292,K292+1,K292)</f>
        <v>14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8564A7BF-621A-45B0-8A0D-C5F130BD46A9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204"/>
    </row>
    <row r="2" spans="1:1" x14ac:dyDescent="0.2">
      <c r="A2" s="1204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 x14ac:dyDescent="0.2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 x14ac:dyDescent="0.2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 x14ac:dyDescent="0.2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 x14ac:dyDescent="0.2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 x14ac:dyDescent="0.2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 x14ac:dyDescent="0.2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 x14ac:dyDescent="0.2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 x14ac:dyDescent="0.2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 x14ac:dyDescent="0.2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 x14ac:dyDescent="0.2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 x14ac:dyDescent="0.2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2021-11-15T08:03:19Z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
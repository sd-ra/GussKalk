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E3057DCE-08C6-4A9D-8D1B-253FF2BCEEB6}" xr6:coauthVersionLast="47" xr6:coauthVersionMax="47" xr10:uidLastSave="{00000000-0000-0000-0000-000000000000}"/>
  <bookViews>
    <workbookView xWindow="-120" yWindow="-120" windowWidth="29040" windowHeight="15840" tabRatio="955" activeTab="2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Parametrikber!$B$3:$D$246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Charts!$C$67:$I$67</definedName>
    <definedName name="_xlchart.v1.4" hidden="1">Charts!$C$68:$I$68</definedName>
    <definedName name="_xlchart.v1.5" hidden="1">Charts!$C$69:$H$69</definedName>
    <definedName name="_xlchart.v1.6" hidden="1">Charts!$C$62:$I$62</definedName>
    <definedName name="_xlchart.v1.7" hidden="1">Charts!$C$63:$I$63</definedName>
    <definedName name="_xlchart.v1.8" hidden="1">Charts!$C$64:$I$64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Refkalkulation!$A$1:$X$126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Refkalkulation!$A$1:$X$126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</workbook>
</file>

<file path=xl/calcChain.xml><?xml version="1.0" encoding="utf-8"?>
<calcChain xmlns="http://schemas.openxmlformats.org/spreadsheetml/2006/main"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AB62" i="3"/>
  <c r="AA62" i="3" s="1"/>
  <c r="P62" i="3"/>
  <c r="O62" i="3" s="1"/>
  <c r="S62" i="3"/>
  <c r="R62" i="3" s="1"/>
  <c r="V62" i="3"/>
  <c r="U62" i="3" s="1"/>
  <c r="Y62" i="3"/>
  <c r="X62" i="3" s="1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0" i="15" s="1"/>
  <c r="B231" i="15" s="1"/>
  <c r="B232" i="15" s="1"/>
  <c r="F126" i="15"/>
  <c r="B233" i="15" l="1"/>
  <c r="L240" i="15"/>
  <c r="O240" i="15"/>
  <c r="R240" i="15"/>
  <c r="U240" i="15"/>
  <c r="I240" i="15"/>
  <c r="F240" i="15"/>
  <c r="B239" i="15"/>
  <c r="B240" i="15" s="1"/>
  <c r="B241" i="15" s="1"/>
  <c r="B243" i="15"/>
  <c r="B244" i="15" s="1"/>
  <c r="B245" i="15" s="1"/>
  <c r="B235" i="15"/>
  <c r="B236" i="15" s="1"/>
  <c r="B237" i="15" s="1"/>
  <c r="O51" i="2" l="1"/>
  <c r="O50" i="2"/>
  <c r="O49" i="2"/>
  <c r="O48" i="2"/>
  <c r="U228" i="15" s="1"/>
  <c r="U232" i="15" s="1"/>
  <c r="O47" i="2"/>
  <c r="O46" i="2"/>
  <c r="L228" i="15" l="1"/>
  <c r="L232" i="15" s="1"/>
  <c r="F228" i="15"/>
  <c r="I228" i="15"/>
  <c r="O228" i="15"/>
  <c r="R228" i="15"/>
  <c r="L204" i="15"/>
  <c r="O204" i="15"/>
  <c r="R204" i="15"/>
  <c r="U204" i="15"/>
  <c r="I204" i="15"/>
  <c r="F204" i="15"/>
  <c r="H46" i="7"/>
  <c r="U126" i="15"/>
  <c r="R126" i="15"/>
  <c r="O126" i="15"/>
  <c r="L126" i="15"/>
  <c r="I126" i="15"/>
  <c r="R232" i="15" l="1"/>
  <c r="I232" i="15"/>
  <c r="O232" i="15"/>
  <c r="F232" i="15"/>
  <c r="M21" i="3"/>
  <c r="L59" i="7"/>
  <c r="G81" i="3" l="1"/>
  <c r="G80" i="3"/>
  <c r="S74" i="3"/>
  <c r="R74" i="3" s="1"/>
  <c r="V74" i="3"/>
  <c r="U74" i="3" s="1"/>
  <c r="Y74" i="3"/>
  <c r="X74" i="3" s="1"/>
  <c r="P75" i="3"/>
  <c r="S75" i="3"/>
  <c r="R75" i="3" s="1"/>
  <c r="V75" i="3"/>
  <c r="U75" i="3" s="1"/>
  <c r="Y75" i="3"/>
  <c r="X75" i="3" s="1"/>
  <c r="P76" i="3"/>
  <c r="S76" i="3"/>
  <c r="R76" i="3" s="1"/>
  <c r="V76" i="3"/>
  <c r="U76" i="3" s="1"/>
  <c r="Y76" i="3"/>
  <c r="X76" i="3" s="1"/>
  <c r="S71" i="3"/>
  <c r="V71" i="3"/>
  <c r="U71" i="3" s="1"/>
  <c r="Y71" i="3"/>
  <c r="X71" i="3" s="1"/>
  <c r="P72" i="3"/>
  <c r="O72" i="3" s="1"/>
  <c r="S72" i="3"/>
  <c r="R72" i="3" s="1"/>
  <c r="V72" i="3"/>
  <c r="U72" i="3" s="1"/>
  <c r="Y72" i="3"/>
  <c r="X72" i="3" s="1"/>
  <c r="AB72" i="3"/>
  <c r="AA72" i="3" s="1"/>
  <c r="M72" i="3"/>
  <c r="L72" i="3" s="1"/>
  <c r="P70" i="3"/>
  <c r="O70" i="3" s="1"/>
  <c r="S70" i="3"/>
  <c r="R70" i="3" s="1"/>
  <c r="V70" i="3"/>
  <c r="U70" i="3" s="1"/>
  <c r="Y70" i="3"/>
  <c r="X70" i="3" s="1"/>
  <c r="P73" i="3"/>
  <c r="O73" i="3" s="1"/>
  <c r="S73" i="3"/>
  <c r="R73" i="3" s="1"/>
  <c r="V73" i="3"/>
  <c r="U73" i="3" s="1"/>
  <c r="Y73" i="3"/>
  <c r="X73" i="3" s="1"/>
  <c r="M70" i="3"/>
  <c r="L70" i="3" s="1"/>
  <c r="AB69" i="3"/>
  <c r="AA69" i="3" s="1"/>
  <c r="P69" i="3"/>
  <c r="O69" i="3" s="1"/>
  <c r="S69" i="3"/>
  <c r="R69" i="3" s="1"/>
  <c r="V69" i="3"/>
  <c r="U69" i="3" s="1"/>
  <c r="Y69" i="3"/>
  <c r="X69" i="3" s="1"/>
  <c r="M69" i="3"/>
  <c r="L69" i="3" s="1"/>
  <c r="P80" i="3"/>
  <c r="O80" i="3" s="1"/>
  <c r="S80" i="3"/>
  <c r="R80" i="3" s="1"/>
  <c r="V80" i="3"/>
  <c r="U80" i="3" s="1"/>
  <c r="Y80" i="3"/>
  <c r="X80" i="3" s="1"/>
  <c r="AB80" i="3"/>
  <c r="AA80" i="3" s="1"/>
  <c r="P81" i="3"/>
  <c r="O81" i="3" s="1"/>
  <c r="S81" i="3"/>
  <c r="R81" i="3" s="1"/>
  <c r="V81" i="3"/>
  <c r="U81" i="3" s="1"/>
  <c r="Y81" i="3"/>
  <c r="X81" i="3" s="1"/>
  <c r="AB81" i="3"/>
  <c r="AA81" i="3" s="1"/>
  <c r="M80" i="3"/>
  <c r="L80" i="3" s="1"/>
  <c r="N46" i="7"/>
  <c r="Q46" i="7"/>
  <c r="T46" i="7"/>
  <c r="W46" i="7"/>
  <c r="K46" i="7"/>
  <c r="N53" i="7" l="1"/>
  <c r="Q53" i="7"/>
  <c r="T53" i="7"/>
  <c r="W53" i="7"/>
  <c r="X32" i="7" l="1"/>
  <c r="AB61" i="3" s="1"/>
  <c r="U32" i="7"/>
  <c r="Y61" i="3" s="1"/>
  <c r="R32" i="7"/>
  <c r="V61" i="3" s="1"/>
  <c r="O32" i="7"/>
  <c r="S61" i="3" s="1"/>
  <c r="L32" i="7"/>
  <c r="P61" i="3" s="1"/>
  <c r="I32" i="7"/>
  <c r="M61" i="3" s="1"/>
  <c r="M49" i="3"/>
  <c r="K63" i="3"/>
  <c r="M63" i="3"/>
  <c r="L63" i="3" s="1"/>
  <c r="P63" i="3"/>
  <c r="O63" i="3" s="1"/>
  <c r="S63" i="3"/>
  <c r="R63" i="3" s="1"/>
  <c r="V63" i="3"/>
  <c r="U63" i="3" s="1"/>
  <c r="Y63" i="3"/>
  <c r="X63" i="3" s="1"/>
  <c r="AB63" i="3"/>
  <c r="AA63" i="3" s="1"/>
  <c r="M65" i="3"/>
  <c r="AB34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AB46" i="3"/>
  <c r="U30" i="15" s="1"/>
  <c r="Y46" i="3"/>
  <c r="R30" i="15" s="1"/>
  <c r="V46" i="3"/>
  <c r="O30" i="15" s="1"/>
  <c r="S46" i="3"/>
  <c r="L30" i="15" s="1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O211" i="15"/>
  <c r="R211" i="15"/>
  <c r="U211" i="15"/>
  <c r="U48" i="15" s="1"/>
  <c r="I211" i="15"/>
  <c r="I48" i="15" s="1"/>
  <c r="F211" i="15"/>
  <c r="F48" i="15" s="1"/>
  <c r="O214" i="15" l="1"/>
  <c r="O48" i="15"/>
  <c r="R214" i="15"/>
  <c r="R48" i="15"/>
  <c r="F105" i="15"/>
  <c r="F219" i="15" s="1"/>
  <c r="D214" i="15"/>
  <c r="B211" i="15"/>
  <c r="B212" i="15" s="1"/>
  <c r="B213" i="15" s="1"/>
  <c r="B214" i="15" s="1"/>
  <c r="B215" i="15" s="1"/>
  <c r="F218" i="15" l="1"/>
  <c r="F217" i="15"/>
  <c r="F216" i="15"/>
  <c r="U105" i="15"/>
  <c r="R105" i="15"/>
  <c r="R219" i="15" s="1"/>
  <c r="O105" i="15"/>
  <c r="O219" i="15" s="1"/>
  <c r="L105" i="15"/>
  <c r="I105" i="15"/>
  <c r="I219" i="15" s="1"/>
  <c r="E73" i="14"/>
  <c r="E72" i="14"/>
  <c r="E71" i="14"/>
  <c r="U219" i="15" l="1"/>
  <c r="L219" i="15"/>
  <c r="U216" i="15"/>
  <c r="U217" i="15"/>
  <c r="U218" i="15"/>
  <c r="R216" i="15"/>
  <c r="R217" i="15"/>
  <c r="R218" i="15"/>
  <c r="L218" i="15"/>
  <c r="L217" i="15"/>
  <c r="L216" i="15"/>
  <c r="I217" i="15"/>
  <c r="I218" i="15"/>
  <c r="I216" i="15"/>
  <c r="O216" i="15"/>
  <c r="O217" i="15"/>
  <c r="O218" i="15"/>
  <c r="J47" i="2"/>
  <c r="J48" i="2"/>
  <c r="J49" i="2"/>
  <c r="J50" i="2"/>
  <c r="J51" i="2"/>
  <c r="AB57" i="3" l="1"/>
  <c r="S57" i="3"/>
  <c r="V57" i="3"/>
  <c r="Y57" i="3"/>
  <c r="P57" i="3"/>
  <c r="K58" i="3"/>
  <c r="AB12" i="3"/>
  <c r="Y12" i="3"/>
  <c r="V12" i="3"/>
  <c r="S12" i="3"/>
  <c r="P12" i="3"/>
  <c r="M12" i="3"/>
  <c r="AB33" i="3"/>
  <c r="Y33" i="3"/>
  <c r="V33" i="3"/>
  <c r="S33" i="3"/>
  <c r="P33" i="3"/>
  <c r="M33" i="3"/>
  <c r="AB32" i="3"/>
  <c r="Y32" i="3"/>
  <c r="V32" i="3"/>
  <c r="S32" i="3"/>
  <c r="P32" i="3"/>
  <c r="M32" i="3"/>
  <c r="AB22" i="3"/>
  <c r="Y22" i="3"/>
  <c r="V22" i="3"/>
  <c r="S22" i="3"/>
  <c r="P22" i="3"/>
  <c r="M22" i="3"/>
  <c r="O111" i="15" l="1"/>
  <c r="R111" i="15"/>
  <c r="AB31" i="3"/>
  <c r="Y31" i="3"/>
  <c r="V31" i="3"/>
  <c r="S31" i="3"/>
  <c r="P31" i="3"/>
  <c r="M31" i="3"/>
  <c r="AB49" i="3"/>
  <c r="Y49" i="3"/>
  <c r="V49" i="3"/>
  <c r="S49" i="3"/>
  <c r="P49" i="3"/>
  <c r="Y21" i="3"/>
  <c r="AB21" i="3"/>
  <c r="V21" i="3"/>
  <c r="S21" i="3"/>
  <c r="P21" i="3"/>
  <c r="AB27" i="3"/>
  <c r="Y27" i="3"/>
  <c r="V27" i="3"/>
  <c r="S27" i="3"/>
  <c r="P27" i="3"/>
  <c r="M28" i="3"/>
  <c r="M27" i="3"/>
  <c r="AB30" i="3"/>
  <c r="AB29" i="3"/>
  <c r="AB28" i="3"/>
  <c r="AB26" i="3"/>
  <c r="U239" i="15" s="1"/>
  <c r="AB25" i="3"/>
  <c r="Y30" i="3"/>
  <c r="Y29" i="3"/>
  <c r="Y28" i="3"/>
  <c r="Y26" i="3"/>
  <c r="R239" i="15" s="1"/>
  <c r="Y25" i="3"/>
  <c r="V30" i="3"/>
  <c r="V29" i="3"/>
  <c r="V28" i="3"/>
  <c r="V26" i="3"/>
  <c r="O239" i="15" s="1"/>
  <c r="V25" i="3"/>
  <c r="S30" i="3"/>
  <c r="S29" i="3"/>
  <c r="S28" i="3"/>
  <c r="S26" i="3"/>
  <c r="L239" i="15" s="1"/>
  <c r="S25" i="3"/>
  <c r="P30" i="3"/>
  <c r="P29" i="3"/>
  <c r="P28" i="3"/>
  <c r="P26" i="3"/>
  <c r="I239" i="15" s="1"/>
  <c r="P25" i="3"/>
  <c r="M30" i="3"/>
  <c r="M29" i="3"/>
  <c r="M26" i="3"/>
  <c r="F239" i="15" s="1"/>
  <c r="M25" i="3"/>
  <c r="AB23" i="3"/>
  <c r="Y23" i="3"/>
  <c r="V23" i="3"/>
  <c r="S23" i="3"/>
  <c r="P23" i="3"/>
  <c r="M23" i="3"/>
  <c r="L235" i="15" l="1"/>
  <c r="L202" i="15"/>
  <c r="R235" i="15"/>
  <c r="R202" i="15"/>
  <c r="F235" i="15"/>
  <c r="F202" i="15"/>
  <c r="I235" i="15"/>
  <c r="I202" i="15"/>
  <c r="O235" i="15"/>
  <c r="O202" i="15"/>
  <c r="U235" i="15"/>
  <c r="U202" i="15"/>
  <c r="S58" i="3"/>
  <c r="N126" i="7" s="1"/>
  <c r="L49" i="31" s="1"/>
  <c r="Y58" i="3"/>
  <c r="T126" i="7" s="1"/>
  <c r="P58" i="3"/>
  <c r="K126" i="7" s="1"/>
  <c r="H49" i="31" s="1"/>
  <c r="V58" i="3"/>
  <c r="Q126" i="7" s="1"/>
  <c r="AB58" i="3"/>
  <c r="W126" i="7" s="1"/>
  <c r="M58" i="3"/>
  <c r="F25" i="15"/>
  <c r="F28" i="15"/>
  <c r="R25" i="15"/>
  <c r="R28" i="15"/>
  <c r="I25" i="15"/>
  <c r="I28" i="15"/>
  <c r="U25" i="15"/>
  <c r="U28" i="15"/>
  <c r="O28" i="15"/>
  <c r="O25" i="15"/>
  <c r="L25" i="15"/>
  <c r="L28" i="15"/>
  <c r="X59" i="7"/>
  <c r="U59" i="7"/>
  <c r="R59" i="7"/>
  <c r="O59" i="7"/>
  <c r="P24" i="3"/>
  <c r="I226" i="15" s="1"/>
  <c r="S24" i="3"/>
  <c r="L226" i="15" s="1"/>
  <c r="V24" i="3"/>
  <c r="O226" i="15" s="1"/>
  <c r="Y24" i="3"/>
  <c r="R226" i="15" s="1"/>
  <c r="AB24" i="3"/>
  <c r="U226" i="15" s="1"/>
  <c r="M24" i="3"/>
  <c r="F226" i="15" s="1"/>
  <c r="E57" i="14"/>
  <c r="E56" i="14"/>
  <c r="E55" i="14"/>
  <c r="E54" i="14"/>
  <c r="U227" i="15" l="1"/>
  <c r="U83" i="15"/>
  <c r="O227" i="15"/>
  <c r="O269" i="15" s="1"/>
  <c r="O83" i="15"/>
  <c r="I227" i="15"/>
  <c r="I83" i="15"/>
  <c r="F227" i="15"/>
  <c r="F83" i="15"/>
  <c r="L83" i="15"/>
  <c r="L227" i="15"/>
  <c r="R227" i="15"/>
  <c r="R83" i="15"/>
  <c r="AB10" i="3"/>
  <c r="W9" i="7" s="1"/>
  <c r="W11" i="7" s="1"/>
  <c r="Y10" i="3"/>
  <c r="V10" i="3"/>
  <c r="S10" i="3"/>
  <c r="L30" i="31" s="1"/>
  <c r="G10" i="3"/>
  <c r="P10" i="3"/>
  <c r="H30" i="31" s="1"/>
  <c r="M10" i="3"/>
  <c r="D30" i="31" s="1"/>
  <c r="R229" i="15" l="1"/>
  <c r="R269" i="15"/>
  <c r="L229" i="15"/>
  <c r="L269" i="15"/>
  <c r="F229" i="15"/>
  <c r="F269" i="15"/>
  <c r="I229" i="15"/>
  <c r="I269" i="15"/>
  <c r="O229" i="15"/>
  <c r="U229" i="15"/>
  <c r="U269" i="15"/>
  <c r="M11" i="3"/>
  <c r="H9" i="7"/>
  <c r="H11" i="7" s="1"/>
  <c r="V11" i="3"/>
  <c r="Q9" i="7"/>
  <c r="Q11" i="7" s="1"/>
  <c r="K9" i="7"/>
  <c r="K11" i="7" s="1"/>
  <c r="P11" i="3"/>
  <c r="S11" i="3"/>
  <c r="N9" i="7"/>
  <c r="N11" i="7" s="1"/>
  <c r="T9" i="7"/>
  <c r="T11" i="7" s="1"/>
  <c r="Y11" i="3"/>
  <c r="D12" i="25"/>
  <c r="D33" i="30" l="1"/>
  <c r="D31" i="31"/>
  <c r="L33" i="30"/>
  <c r="L31" i="31"/>
  <c r="H33" i="30"/>
  <c r="H31" i="31"/>
  <c r="T10" i="7"/>
  <c r="W11" i="3"/>
  <c r="K10" i="7"/>
  <c r="N11" i="3"/>
  <c r="Q11" i="3"/>
  <c r="N10" i="7"/>
  <c r="Q10" i="7"/>
  <c r="T11" i="3"/>
  <c r="K11" i="3"/>
  <c r="H10" i="7"/>
  <c r="L222" i="15"/>
  <c r="O222" i="15"/>
  <c r="R222" i="15"/>
  <c r="U222" i="15"/>
  <c r="I222" i="15"/>
  <c r="F222" i="15"/>
  <c r="L221" i="15"/>
  <c r="O221" i="15"/>
  <c r="R221" i="15"/>
  <c r="U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O215" i="15"/>
  <c r="F215" i="15"/>
  <c r="F214" i="15" s="1"/>
  <c r="R215" i="15"/>
  <c r="U215" i="15"/>
  <c r="U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AB77" i="3" l="1"/>
  <c r="AA77" i="3" s="1"/>
  <c r="AB76" i="3"/>
  <c r="AA76" i="3" s="1"/>
  <c r="AB75" i="3"/>
  <c r="AA75" i="3" s="1"/>
  <c r="AB74" i="3"/>
  <c r="AA74" i="3" s="1"/>
  <c r="Y77" i="3"/>
  <c r="X77" i="3" s="1"/>
  <c r="V77" i="3"/>
  <c r="U77" i="3" s="1"/>
  <c r="S77" i="3"/>
  <c r="R77" i="3" s="1"/>
  <c r="P77" i="3"/>
  <c r="O77" i="3" s="1"/>
  <c r="O76" i="3"/>
  <c r="O75" i="3"/>
  <c r="M76" i="3"/>
  <c r="L76" i="3" s="1"/>
  <c r="M75" i="3"/>
  <c r="L75" i="3" s="1"/>
  <c r="L153" i="15"/>
  <c r="O153" i="15"/>
  <c r="R153" i="15"/>
  <c r="U153" i="15"/>
  <c r="I153" i="15"/>
  <c r="F153" i="15"/>
  <c r="L150" i="15"/>
  <c r="O150" i="15"/>
  <c r="R150" i="15"/>
  <c r="U150" i="15"/>
  <c r="I150" i="15"/>
  <c r="F150" i="15"/>
  <c r="L138" i="15"/>
  <c r="O138" i="15"/>
  <c r="R138" i="15"/>
  <c r="U138" i="15"/>
  <c r="I138" i="15"/>
  <c r="F138" i="15"/>
  <c r="L123" i="15"/>
  <c r="O123" i="15"/>
  <c r="R123" i="15"/>
  <c r="U123" i="15"/>
  <c r="I123" i="15"/>
  <c r="F123" i="15"/>
  <c r="L110" i="15"/>
  <c r="O110" i="15"/>
  <c r="R110" i="15"/>
  <c r="U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U100" i="15" s="1"/>
  <c r="E7" i="14"/>
  <c r="L181" i="15" l="1"/>
  <c r="O181" i="15"/>
  <c r="U181" i="15"/>
  <c r="I181" i="15"/>
  <c r="O100" i="15"/>
  <c r="I100" i="15"/>
  <c r="R181" i="15"/>
  <c r="F181" i="15"/>
  <c r="R201" i="15"/>
  <c r="R236" i="15"/>
  <c r="L236" i="15"/>
  <c r="R244" i="15"/>
  <c r="L244" i="15"/>
  <c r="R164" i="15"/>
  <c r="L164" i="15"/>
  <c r="I244" i="15"/>
  <c r="I164" i="15"/>
  <c r="I236" i="15"/>
  <c r="F236" i="15"/>
  <c r="F244" i="15"/>
  <c r="F164" i="15"/>
  <c r="O236" i="15"/>
  <c r="U236" i="15"/>
  <c r="O244" i="15"/>
  <c r="U244" i="15"/>
  <c r="O164" i="15"/>
  <c r="U164" i="15"/>
  <c r="F201" i="15"/>
  <c r="L201" i="15"/>
  <c r="I201" i="15"/>
  <c r="O201" i="15"/>
  <c r="U201" i="15"/>
  <c r="R99" i="15"/>
  <c r="U99" i="15"/>
  <c r="F99" i="15"/>
  <c r="O99" i="15"/>
  <c r="U132" i="15"/>
  <c r="F100" i="15"/>
  <c r="L100" i="15"/>
  <c r="R100" i="15"/>
  <c r="L99" i="15"/>
  <c r="I99" i="15"/>
  <c r="I266" i="15"/>
  <c r="I197" i="15"/>
  <c r="I172" i="15"/>
  <c r="I80" i="15"/>
  <c r="I261" i="15"/>
  <c r="I188" i="15"/>
  <c r="I168" i="15"/>
  <c r="I159" i="15"/>
  <c r="L196" i="15"/>
  <c r="L14" i="15"/>
  <c r="L13" i="15" s="1"/>
  <c r="O266" i="15"/>
  <c r="O197" i="15"/>
  <c r="O172" i="15"/>
  <c r="R266" i="15"/>
  <c r="R197" i="15"/>
  <c r="R172" i="15"/>
  <c r="R80" i="15"/>
  <c r="L261" i="15"/>
  <c r="L188" i="15"/>
  <c r="L168" i="15"/>
  <c r="L159" i="15"/>
  <c r="U80" i="15"/>
  <c r="U261" i="15"/>
  <c r="U188" i="15"/>
  <c r="U168" i="15"/>
  <c r="U159" i="15"/>
  <c r="O80" i="15"/>
  <c r="O261" i="15"/>
  <c r="O188" i="15"/>
  <c r="O168" i="15"/>
  <c r="O159" i="15"/>
  <c r="R261" i="15"/>
  <c r="R188" i="15"/>
  <c r="R168" i="15"/>
  <c r="R159" i="15"/>
  <c r="L266" i="15"/>
  <c r="L197" i="15"/>
  <c r="L172" i="15"/>
  <c r="L80" i="15"/>
  <c r="U266" i="15"/>
  <c r="U197" i="15"/>
  <c r="U172" i="15"/>
  <c r="F168" i="15"/>
  <c r="F80" i="15"/>
  <c r="F261" i="15"/>
  <c r="F172" i="15"/>
  <c r="F159" i="15"/>
  <c r="F197" i="15"/>
  <c r="F266" i="15"/>
  <c r="F188" i="15"/>
  <c r="I196" i="15"/>
  <c r="I14" i="15"/>
  <c r="I13" i="15" s="1"/>
  <c r="F132" i="15"/>
  <c r="R132" i="15"/>
  <c r="O132" i="15"/>
  <c r="L132" i="15"/>
  <c r="I132" i="15"/>
  <c r="L198" i="15"/>
  <c r="O112" i="15"/>
  <c r="O198" i="15"/>
  <c r="L112" i="15"/>
  <c r="I198" i="15"/>
  <c r="I112" i="15"/>
  <c r="O196" i="15"/>
  <c r="U14" i="15"/>
  <c r="U13" i="15" s="1"/>
  <c r="F14" i="15"/>
  <c r="F13" i="15" s="1"/>
  <c r="O14" i="15"/>
  <c r="O13" i="15" s="1"/>
  <c r="U196" i="15"/>
  <c r="F196" i="15"/>
  <c r="R196" i="15"/>
  <c r="R14" i="15"/>
  <c r="R13" i="15" s="1"/>
  <c r="F112" i="15"/>
  <c r="U112" i="15"/>
  <c r="R112" i="15"/>
  <c r="F198" i="15"/>
  <c r="U198" i="15"/>
  <c r="R198" i="15"/>
  <c r="F124" i="15"/>
  <c r="F143" i="15"/>
  <c r="I143" i="15"/>
  <c r="I124" i="15"/>
  <c r="O143" i="15"/>
  <c r="O124" i="15"/>
  <c r="U143" i="15"/>
  <c r="U124" i="15"/>
  <c r="L143" i="15"/>
  <c r="L124" i="15"/>
  <c r="R143" i="15"/>
  <c r="R124" i="15"/>
  <c r="L133" i="15" l="1"/>
  <c r="O133" i="15"/>
  <c r="U133" i="15"/>
  <c r="I133" i="15"/>
  <c r="F133" i="15"/>
  <c r="R133" i="15"/>
  <c r="L171" i="15"/>
  <c r="O171" i="15"/>
  <c r="R171" i="15"/>
  <c r="U171" i="15"/>
  <c r="I171" i="15"/>
  <c r="F171" i="15"/>
  <c r="U81" i="15"/>
  <c r="R81" i="15"/>
  <c r="O8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U207" i="15"/>
  <c r="R207" i="15"/>
  <c r="O207" i="15"/>
  <c r="L207" i="15"/>
  <c r="I207" i="15"/>
  <c r="F207" i="15"/>
  <c r="B206" i="15"/>
  <c r="B207" i="15" s="1"/>
  <c r="S19" i="3"/>
  <c r="V19" i="3"/>
  <c r="Y19" i="3"/>
  <c r="W8" i="7"/>
  <c r="Y34" i="3"/>
  <c r="T8" i="7" s="1"/>
  <c r="V34" i="3"/>
  <c r="Q8" i="7" s="1"/>
  <c r="S34" i="3"/>
  <c r="N8" i="7" s="1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AB37" i="3"/>
  <c r="Y37" i="3"/>
  <c r="V37" i="3"/>
  <c r="S37" i="3"/>
  <c r="Q37" i="3" s="1"/>
  <c r="P37" i="3"/>
  <c r="AB83" i="3"/>
  <c r="AA83" i="3" s="1"/>
  <c r="AB82" i="3"/>
  <c r="AA82" i="3" s="1"/>
  <c r="AB68" i="3"/>
  <c r="AB79" i="3"/>
  <c r="AA79" i="3" s="1"/>
  <c r="AB78" i="3"/>
  <c r="AA78" i="3" s="1"/>
  <c r="AB71" i="3"/>
  <c r="AA71" i="3" s="1"/>
  <c r="AB73" i="3"/>
  <c r="AA73" i="3" s="1"/>
  <c r="AB67" i="3"/>
  <c r="AB66" i="3"/>
  <c r="AA66" i="3" s="1"/>
  <c r="AB64" i="3"/>
  <c r="AA64" i="3" s="1"/>
  <c r="AB60" i="3"/>
  <c r="AA60" i="3" s="1"/>
  <c r="AB59" i="3"/>
  <c r="AA59" i="3" s="1"/>
  <c r="AB52" i="3"/>
  <c r="AB53" i="3" s="1"/>
  <c r="AB50" i="3"/>
  <c r="AB48" i="3"/>
  <c r="U145" i="15" s="1"/>
  <c r="AB47" i="3"/>
  <c r="U144" i="15" s="1"/>
  <c r="AB36" i="3"/>
  <c r="AB35" i="3"/>
  <c r="AB19" i="3"/>
  <c r="AB18" i="3"/>
  <c r="U262" i="15" s="1"/>
  <c r="AB17" i="3"/>
  <c r="U44" i="15" s="1"/>
  <c r="AB16" i="3"/>
  <c r="AB15" i="3"/>
  <c r="AB14" i="3"/>
  <c r="AB9" i="3"/>
  <c r="W6" i="7" s="1"/>
  <c r="AB8" i="3"/>
  <c r="W5" i="7" s="1"/>
  <c r="Y83" i="3"/>
  <c r="X83" i="3" s="1"/>
  <c r="Y82" i="3"/>
  <c r="X82" i="3" s="1"/>
  <c r="Y68" i="3"/>
  <c r="Y79" i="3"/>
  <c r="X79" i="3" s="1"/>
  <c r="Y78" i="3"/>
  <c r="X78" i="3" s="1"/>
  <c r="Y67" i="3"/>
  <c r="Y66" i="3"/>
  <c r="X66" i="3" s="1"/>
  <c r="Y64" i="3"/>
  <c r="X64" i="3" s="1"/>
  <c r="Y60" i="3"/>
  <c r="X60" i="3" s="1"/>
  <c r="Y59" i="3"/>
  <c r="X59" i="3" s="1"/>
  <c r="Y52" i="3"/>
  <c r="Y53" i="3" s="1"/>
  <c r="W53" i="3" s="1"/>
  <c r="Y50" i="3"/>
  <c r="Y48" i="3"/>
  <c r="R145" i="15" s="1"/>
  <c r="Y47" i="3"/>
  <c r="R144" i="15" s="1"/>
  <c r="Y36" i="3"/>
  <c r="Y35" i="3"/>
  <c r="Y18" i="3"/>
  <c r="R262" i="15" s="1"/>
  <c r="Y17" i="3"/>
  <c r="R44" i="15" s="1"/>
  <c r="Y16" i="3"/>
  <c r="Y15" i="3"/>
  <c r="Y14" i="3"/>
  <c r="Y9" i="3"/>
  <c r="T6" i="7" s="1"/>
  <c r="Y8" i="3"/>
  <c r="T5" i="7" s="1"/>
  <c r="V83" i="3"/>
  <c r="U83" i="3" s="1"/>
  <c r="V82" i="3"/>
  <c r="U82" i="3" s="1"/>
  <c r="V68" i="3"/>
  <c r="V79" i="3"/>
  <c r="U79" i="3" s="1"/>
  <c r="V78" i="3"/>
  <c r="U78" i="3" s="1"/>
  <c r="V67" i="3"/>
  <c r="V66" i="3"/>
  <c r="U66" i="3" s="1"/>
  <c r="V64" i="3"/>
  <c r="U64" i="3" s="1"/>
  <c r="V60" i="3"/>
  <c r="U60" i="3" s="1"/>
  <c r="V59" i="3"/>
  <c r="U59" i="3" s="1"/>
  <c r="V52" i="3"/>
  <c r="V53" i="3" s="1"/>
  <c r="V50" i="3"/>
  <c r="V48" i="3"/>
  <c r="O145" i="15" s="1"/>
  <c r="V47" i="3"/>
  <c r="V36" i="3"/>
  <c r="O88" i="15" s="1"/>
  <c r="V35" i="3"/>
  <c r="V18" i="3"/>
  <c r="O262" i="15" s="1"/>
  <c r="V17" i="3"/>
  <c r="O44" i="15" s="1"/>
  <c r="V16" i="3"/>
  <c r="V15" i="3"/>
  <c r="V14" i="3"/>
  <c r="V13" i="3"/>
  <c r="T13" i="3" s="1"/>
  <c r="V9" i="3"/>
  <c r="Q6" i="7" s="1"/>
  <c r="V8" i="3"/>
  <c r="Q5" i="7" s="1"/>
  <c r="S83" i="3"/>
  <c r="R83" i="3" s="1"/>
  <c r="S82" i="3"/>
  <c r="R82" i="3" s="1"/>
  <c r="S68" i="3"/>
  <c r="S79" i="3"/>
  <c r="R79" i="3" s="1"/>
  <c r="S78" i="3"/>
  <c r="R78" i="3" s="1"/>
  <c r="R71" i="3"/>
  <c r="S67" i="3"/>
  <c r="S66" i="3"/>
  <c r="R66" i="3" s="1"/>
  <c r="S64" i="3"/>
  <c r="R64" i="3" s="1"/>
  <c r="S60" i="3"/>
  <c r="R60" i="3" s="1"/>
  <c r="S59" i="3"/>
  <c r="R59" i="3" s="1"/>
  <c r="S52" i="3"/>
  <c r="S53" i="3" s="1"/>
  <c r="Q53" i="3" s="1"/>
  <c r="S50" i="3"/>
  <c r="S48" i="3"/>
  <c r="L145" i="15" s="1"/>
  <c r="S47" i="3"/>
  <c r="S36" i="3"/>
  <c r="S35" i="3"/>
  <c r="S18" i="3"/>
  <c r="L262" i="15" s="1"/>
  <c r="S17" i="3"/>
  <c r="L44" i="15" s="1"/>
  <c r="S16" i="3"/>
  <c r="S15" i="3"/>
  <c r="S14" i="3"/>
  <c r="S9" i="3"/>
  <c r="N6" i="7" s="1"/>
  <c r="L12" i="30" s="1"/>
  <c r="S8" i="3"/>
  <c r="N5" i="7" s="1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2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2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26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O46" i="15"/>
  <c r="O47" i="15" s="1"/>
  <c r="R46" i="15"/>
  <c r="R47" i="15" s="1"/>
  <c r="U46" i="15"/>
  <c r="U47" i="15" s="1"/>
  <c r="B123" i="15"/>
  <c r="B124" i="15" s="1"/>
  <c r="B125" i="15" s="1"/>
  <c r="V60" i="7"/>
  <c r="S60" i="7"/>
  <c r="P60" i="7"/>
  <c r="M60" i="7"/>
  <c r="J60" i="7"/>
  <c r="G60" i="7"/>
  <c r="U120" i="15"/>
  <c r="R120" i="15"/>
  <c r="O120" i="15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U141" i="15"/>
  <c r="R141" i="15"/>
  <c r="O141" i="15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W94" i="7"/>
  <c r="T94" i="7"/>
  <c r="Q94" i="7"/>
  <c r="N94" i="7"/>
  <c r="K94" i="7"/>
  <c r="H94" i="7"/>
  <c r="C62" i="14"/>
  <c r="C61" i="14"/>
  <c r="U84" i="15"/>
  <c r="R84" i="15"/>
  <c r="O84" i="15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U16" i="15"/>
  <c r="R16" i="15"/>
  <c r="O16" i="15"/>
  <c r="L16" i="15"/>
  <c r="I16" i="15"/>
  <c r="F16" i="15"/>
  <c r="U9" i="15"/>
  <c r="R9" i="15"/>
  <c r="O9" i="15"/>
  <c r="L9" i="15"/>
  <c r="I9" i="15"/>
  <c r="F9" i="15"/>
  <c r="U5" i="15"/>
  <c r="R5" i="15"/>
  <c r="O5" i="15"/>
  <c r="L5" i="15"/>
  <c r="I5" i="15"/>
  <c r="F5" i="15"/>
  <c r="B269" i="15"/>
  <c r="B270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U3" i="15"/>
  <c r="R3" i="15"/>
  <c r="O3" i="15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U65" i="15"/>
  <c r="I65" i="15"/>
  <c r="R65" i="15"/>
  <c r="O65" i="15"/>
  <c r="C48" i="31" l="1"/>
  <c r="I2" i="1"/>
  <c r="J2" i="1"/>
  <c r="O2" i="1"/>
  <c r="Q2" i="1"/>
  <c r="L2" i="1"/>
  <c r="M2" i="1"/>
  <c r="K2" i="1"/>
  <c r="P2" i="1"/>
  <c r="N2" i="1"/>
  <c r="U157" i="15"/>
  <c r="I186" i="15"/>
  <c r="I184" i="15" s="1"/>
  <c r="I243" i="15"/>
  <c r="D23" i="7"/>
  <c r="C36" i="31" s="1"/>
  <c r="D22" i="7"/>
  <c r="O186" i="15"/>
  <c r="O184" i="15" s="1"/>
  <c r="O243" i="15"/>
  <c r="I157" i="15"/>
  <c r="D32" i="7"/>
  <c r="D31" i="7"/>
  <c r="I62" i="3"/>
  <c r="C57" i="24" s="1"/>
  <c r="D125" i="7"/>
  <c r="D126" i="7"/>
  <c r="C49" i="31" s="1"/>
  <c r="D20" i="25"/>
  <c r="D12" i="30"/>
  <c r="D21" i="7"/>
  <c r="C32" i="30"/>
  <c r="F186" i="15"/>
  <c r="F184" i="15" s="1"/>
  <c r="F243" i="15"/>
  <c r="U186" i="15"/>
  <c r="U184" i="15" s="1"/>
  <c r="U243" i="15"/>
  <c r="R186" i="15"/>
  <c r="R184" i="15" s="1"/>
  <c r="R243" i="15"/>
  <c r="L186" i="15"/>
  <c r="L184" i="15" s="1"/>
  <c r="L243" i="15"/>
  <c r="K83" i="3"/>
  <c r="R3" i="3"/>
  <c r="R4" i="3"/>
  <c r="D69" i="7"/>
  <c r="D68" i="7"/>
  <c r="L157" i="15"/>
  <c r="O157" i="15"/>
  <c r="R157" i="15"/>
  <c r="O241" i="15"/>
  <c r="O238" i="15" s="1"/>
  <c r="Q79" i="7" s="1"/>
  <c r="L241" i="15"/>
  <c r="L238" i="15" s="1"/>
  <c r="F241" i="15"/>
  <c r="I241" i="15"/>
  <c r="I238" i="15" s="1"/>
  <c r="K79" i="7" s="1"/>
  <c r="R241" i="15"/>
  <c r="R238" i="15" s="1"/>
  <c r="U241" i="15"/>
  <c r="U238" i="15" s="1"/>
  <c r="W79" i="7" s="1"/>
  <c r="D78" i="7"/>
  <c r="D79" i="7"/>
  <c r="D80" i="7"/>
  <c r="D81" i="7"/>
  <c r="D77" i="7"/>
  <c r="D76" i="7"/>
  <c r="D99" i="7"/>
  <c r="D87" i="7"/>
  <c r="D72" i="7"/>
  <c r="U68" i="3"/>
  <c r="X68" i="3"/>
  <c r="AA68" i="3"/>
  <c r="I70" i="3"/>
  <c r="C65" i="24" s="1"/>
  <c r="I72" i="3"/>
  <c r="O68" i="3"/>
  <c r="R68" i="3"/>
  <c r="R67" i="3"/>
  <c r="U67" i="3"/>
  <c r="B40" i="24"/>
  <c r="I69" i="3"/>
  <c r="C64" i="24" s="1"/>
  <c r="O67" i="3"/>
  <c r="X67" i="3"/>
  <c r="AA67" i="3"/>
  <c r="I80" i="3"/>
  <c r="C75" i="24" s="1"/>
  <c r="D108" i="7"/>
  <c r="D104" i="7"/>
  <c r="C38" i="31" s="1"/>
  <c r="D109" i="7"/>
  <c r="D18" i="7"/>
  <c r="C38" i="30"/>
  <c r="D83" i="7"/>
  <c r="D46" i="7"/>
  <c r="D85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AB45" i="3"/>
  <c r="V45" i="3"/>
  <c r="P45" i="3"/>
  <c r="K7" i="7" s="1"/>
  <c r="Y45" i="3"/>
  <c r="S45" i="3"/>
  <c r="M45" i="3"/>
  <c r="I58" i="3"/>
  <c r="C53" i="24" s="1"/>
  <c r="O2" i="3"/>
  <c r="I26" i="3"/>
  <c r="C21" i="24" s="1"/>
  <c r="I27" i="3"/>
  <c r="C22" i="24" s="1"/>
  <c r="D9" i="7"/>
  <c r="R5" i="3"/>
  <c r="G7" i="31" s="1"/>
  <c r="D88" i="7"/>
  <c r="C42" i="31" s="1"/>
  <c r="D98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S38" i="3"/>
  <c r="Q38" i="3" s="1"/>
  <c r="W14" i="7"/>
  <c r="AB20" i="3"/>
  <c r="U116" i="15" s="1"/>
  <c r="O41" i="15"/>
  <c r="V20" i="3"/>
  <c r="O245" i="15" s="1"/>
  <c r="L41" i="15"/>
  <c r="S20" i="3"/>
  <c r="L245" i="15" s="1"/>
  <c r="I41" i="15"/>
  <c r="P20" i="3"/>
  <c r="I245" i="15" s="1"/>
  <c r="R41" i="15"/>
  <c r="Y20" i="3"/>
  <c r="R245" i="15" s="1"/>
  <c r="F41" i="15"/>
  <c r="M20" i="3"/>
  <c r="P13" i="3"/>
  <c r="H34" i="30" s="1"/>
  <c r="R88" i="15"/>
  <c r="M37" i="3"/>
  <c r="M38" i="3" s="1"/>
  <c r="K38" i="3" s="1"/>
  <c r="L88" i="15"/>
  <c r="U88" i="15"/>
  <c r="T37" i="3"/>
  <c r="U41" i="15"/>
  <c r="Y38" i="3"/>
  <c r="W38" i="3" s="1"/>
  <c r="R33" i="15"/>
  <c r="R53" i="15" s="1"/>
  <c r="R32" i="15"/>
  <c r="O32" i="15"/>
  <c r="P38" i="3"/>
  <c r="N38" i="3" s="1"/>
  <c r="N37" i="3"/>
  <c r="I87" i="15"/>
  <c r="W37" i="3"/>
  <c r="F88" i="15"/>
  <c r="I32" i="15"/>
  <c r="L32" i="15"/>
  <c r="I3" i="15"/>
  <c r="U87" i="15"/>
  <c r="Q14" i="7"/>
  <c r="S54" i="3"/>
  <c r="S55" i="3" s="1"/>
  <c r="S56" i="3" s="1"/>
  <c r="Q56" i="3" s="1"/>
  <c r="Z37" i="3"/>
  <c r="L33" i="15"/>
  <c r="L53" i="15" s="1"/>
  <c r="U33" i="15"/>
  <c r="U53" i="15" s="1"/>
  <c r="N36" i="3"/>
  <c r="F87" i="15"/>
  <c r="F90" i="15" s="1"/>
  <c r="F33" i="15"/>
  <c r="F53" i="15" s="1"/>
  <c r="L87" i="15"/>
  <c r="R87" i="15"/>
  <c r="O33" i="15"/>
  <c r="O53" i="15" s="1"/>
  <c r="O87" i="15"/>
  <c r="T14" i="7"/>
  <c r="U32" i="15"/>
  <c r="Y13" i="3"/>
  <c r="W13" i="3" s="1"/>
  <c r="B209" i="15"/>
  <c r="B208" i="15"/>
  <c r="S13" i="3"/>
  <c r="L34" i="30" s="1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V38" i="3"/>
  <c r="T38" i="3" s="1"/>
  <c r="AB38" i="3"/>
  <c r="Z38" i="3" s="1"/>
  <c r="AB11" i="3"/>
  <c r="R251" i="15"/>
  <c r="R248" i="15"/>
  <c r="R179" i="15"/>
  <c r="F157" i="15"/>
  <c r="F179" i="15"/>
  <c r="F248" i="15"/>
  <c r="F251" i="15"/>
  <c r="O251" i="15"/>
  <c r="O248" i="15"/>
  <c r="O179" i="15"/>
  <c r="I33" i="15"/>
  <c r="I53" i="15" s="1"/>
  <c r="U179" i="15"/>
  <c r="U251" i="15"/>
  <c r="U248" i="15"/>
  <c r="L248" i="15"/>
  <c r="L179" i="15"/>
  <c r="L251" i="15"/>
  <c r="K14" i="7"/>
  <c r="I179" i="15"/>
  <c r="D134" i="7"/>
  <c r="D121" i="7"/>
  <c r="D111" i="7"/>
  <c r="D106" i="7"/>
  <c r="D63" i="7"/>
  <c r="D55" i="7"/>
  <c r="D52" i="7"/>
  <c r="D35" i="7"/>
  <c r="D28" i="7"/>
  <c r="D5" i="7"/>
  <c r="D132" i="7"/>
  <c r="D124" i="7"/>
  <c r="D118" i="7"/>
  <c r="D97" i="7"/>
  <c r="D84" i="7"/>
  <c r="D82" i="7"/>
  <c r="D64" i="7"/>
  <c r="D51" i="7"/>
  <c r="D38" i="7"/>
  <c r="D34" i="7"/>
  <c r="D26" i="7"/>
  <c r="C35" i="30" s="1"/>
  <c r="D130" i="7"/>
  <c r="D123" i="7"/>
  <c r="D116" i="7"/>
  <c r="D110" i="7"/>
  <c r="D103" i="7"/>
  <c r="C43" i="31" s="1"/>
  <c r="D95" i="7"/>
  <c r="D101" i="7"/>
  <c r="D66" i="7"/>
  <c r="D62" i="7"/>
  <c r="D59" i="7"/>
  <c r="D54" i="7"/>
  <c r="D49" i="7"/>
  <c r="D41" i="7"/>
  <c r="D37" i="7"/>
  <c r="D17" i="7"/>
  <c r="D128" i="7"/>
  <c r="D122" i="7"/>
  <c r="D114" i="7"/>
  <c r="D94" i="7"/>
  <c r="D90" i="7"/>
  <c r="D65" i="7"/>
  <c r="D67" i="7"/>
  <c r="D57" i="7"/>
  <c r="D53" i="7"/>
  <c r="D40" i="7"/>
  <c r="D1" i="7"/>
  <c r="J13" i="3"/>
  <c r="D22" i="25"/>
  <c r="O144" i="15"/>
  <c r="I144" i="15"/>
  <c r="L144" i="15"/>
  <c r="U66" i="15"/>
  <c r="U68" i="15"/>
  <c r="U69" i="15" s="1"/>
  <c r="U67" i="15"/>
  <c r="L66" i="15"/>
  <c r="L67" i="15"/>
  <c r="L68" i="15"/>
  <c r="L69" i="15" s="1"/>
  <c r="D93" i="7"/>
  <c r="I74" i="3"/>
  <c r="C69" i="24" s="1"/>
  <c r="I76" i="3"/>
  <c r="C71" i="24" s="1"/>
  <c r="D92" i="7"/>
  <c r="D91" i="7"/>
  <c r="I75" i="3"/>
  <c r="C70" i="24" s="1"/>
  <c r="R67" i="15"/>
  <c r="R66" i="15"/>
  <c r="R68" i="15"/>
  <c r="R69" i="15" s="1"/>
  <c r="F67" i="15"/>
  <c r="F68" i="15"/>
  <c r="F69" i="15" s="1"/>
  <c r="F66" i="15"/>
  <c r="O66" i="15"/>
  <c r="O67" i="15"/>
  <c r="O68" i="15"/>
  <c r="O69" i="15" s="1"/>
  <c r="I67" i="15"/>
  <c r="I66" i="15"/>
  <c r="I68" i="15"/>
  <c r="I69" i="15" s="1"/>
  <c r="AB13" i="3"/>
  <c r="Z13" i="3" s="1"/>
  <c r="I251" i="15"/>
  <c r="I248" i="15"/>
  <c r="Z53" i="3"/>
  <c r="AB54" i="3"/>
  <c r="Y54" i="3"/>
  <c r="V54" i="3"/>
  <c r="T53" i="3"/>
  <c r="P53" i="3"/>
  <c r="K54" i="3"/>
  <c r="M55" i="3"/>
  <c r="K53" i="3"/>
  <c r="I30" i="3"/>
  <c r="C25" i="24" s="1"/>
  <c r="I29" i="3"/>
  <c r="C24" i="24" s="1"/>
  <c r="C2" i="14"/>
  <c r="I45" i="3"/>
  <c r="C40" i="24" s="1"/>
  <c r="I79" i="3"/>
  <c r="D102" i="7" s="1"/>
  <c r="X2" i="3"/>
  <c r="I51" i="3"/>
  <c r="C46" i="24" s="1"/>
  <c r="O4" i="3"/>
  <c r="I32" i="3"/>
  <c r="C27" i="24" s="1"/>
  <c r="U6" i="3"/>
  <c r="I13" i="3"/>
  <c r="I3" i="3"/>
  <c r="E3" i="7" s="1"/>
  <c r="I48" i="3"/>
  <c r="C43" i="24" s="1"/>
  <c r="C76" i="15"/>
  <c r="W277" i="15" s="1"/>
  <c r="I67" i="3"/>
  <c r="C62" i="24" s="1"/>
  <c r="R2" i="3"/>
  <c r="R6" i="3"/>
  <c r="I4" i="3"/>
  <c r="D8" i="7" s="1"/>
  <c r="X6" i="3"/>
  <c r="O6" i="3"/>
  <c r="I64" i="3"/>
  <c r="C59" i="24" s="1"/>
  <c r="I31" i="3"/>
  <c r="C26" i="24" s="1"/>
  <c r="I5" i="3"/>
  <c r="AA6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G1" i="1" l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C40" i="31"/>
  <c r="K38" i="31"/>
  <c r="G38" i="31"/>
  <c r="U212" i="15"/>
  <c r="U213" i="15"/>
  <c r="O212" i="15"/>
  <c r="O213" i="15"/>
  <c r="F212" i="15"/>
  <c r="F213" i="15"/>
  <c r="L242" i="15"/>
  <c r="N80" i="7" s="1"/>
  <c r="O242" i="15"/>
  <c r="Q80" i="7" s="1"/>
  <c r="C18" i="24"/>
  <c r="K14" i="30"/>
  <c r="G14" i="30"/>
  <c r="C14" i="30"/>
  <c r="L212" i="15"/>
  <c r="L213" i="15"/>
  <c r="G32" i="30"/>
  <c r="K32" i="30"/>
  <c r="C17" i="24"/>
  <c r="K13" i="30"/>
  <c r="C13" i="30"/>
  <c r="K42" i="30"/>
  <c r="G42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U206" i="15"/>
  <c r="U208" i="15" s="1"/>
  <c r="U183" i="15"/>
  <c r="R206" i="15"/>
  <c r="R208" i="15" s="1"/>
  <c r="R183" i="15"/>
  <c r="L206" i="15"/>
  <c r="L208" i="15" s="1"/>
  <c r="L183" i="15"/>
  <c r="O206" i="15"/>
  <c r="O208" i="15" s="1"/>
  <c r="O183" i="15"/>
  <c r="F238" i="15"/>
  <c r="H79" i="7" s="1"/>
  <c r="C16" i="24"/>
  <c r="R242" i="15"/>
  <c r="T80" i="7" s="1"/>
  <c r="I242" i="15"/>
  <c r="K80" i="7" s="1"/>
  <c r="U174" i="15"/>
  <c r="U245" i="15"/>
  <c r="U242" i="15" s="1"/>
  <c r="W80" i="7" s="1"/>
  <c r="U237" i="15"/>
  <c r="U234" i="15" s="1"/>
  <c r="W78" i="7" s="1"/>
  <c r="U169" i="15"/>
  <c r="F245" i="15"/>
  <c r="F242" i="15" s="1"/>
  <c r="H80" i="7" s="1"/>
  <c r="F237" i="15"/>
  <c r="F234" i="15" s="1"/>
  <c r="H78" i="7" s="1"/>
  <c r="R237" i="15"/>
  <c r="R234" i="15" s="1"/>
  <c r="T78" i="7" s="1"/>
  <c r="I237" i="15"/>
  <c r="I234" i="15" s="1"/>
  <c r="K78" i="7" s="1"/>
  <c r="L237" i="15"/>
  <c r="L234" i="15" s="1"/>
  <c r="N78" i="7" s="1"/>
  <c r="O237" i="15"/>
  <c r="O234" i="15" s="1"/>
  <c r="Q78" i="7" s="1"/>
  <c r="F169" i="15"/>
  <c r="R169" i="15"/>
  <c r="I169" i="15"/>
  <c r="L174" i="15"/>
  <c r="L169" i="15"/>
  <c r="O169" i="15"/>
  <c r="D86" i="7"/>
  <c r="C67" i="24"/>
  <c r="R212" i="15"/>
  <c r="R213" i="15"/>
  <c r="W7" i="7"/>
  <c r="T7" i="7"/>
  <c r="I212" i="15"/>
  <c r="I213" i="15"/>
  <c r="Q7" i="7"/>
  <c r="H7" i="7"/>
  <c r="N7" i="7"/>
  <c r="B73" i="14"/>
  <c r="B72" i="14"/>
  <c r="B71" i="14"/>
  <c r="E19" i="2"/>
  <c r="H85" i="7"/>
  <c r="F190" i="15" s="1"/>
  <c r="T85" i="7"/>
  <c r="W85" i="7"/>
  <c r="K85" i="7"/>
  <c r="N85" i="7"/>
  <c r="Q85" i="7"/>
  <c r="W10" i="7"/>
  <c r="Z11" i="3"/>
  <c r="B38" i="14"/>
  <c r="G22" i="3" s="1"/>
  <c r="B57" i="14"/>
  <c r="B56" i="14"/>
  <c r="B55" i="14"/>
  <c r="B54" i="14"/>
  <c r="L89" i="15"/>
  <c r="S39" i="3"/>
  <c r="Q39" i="3" s="1"/>
  <c r="R89" i="15"/>
  <c r="I89" i="15"/>
  <c r="O89" i="15"/>
  <c r="N13" i="3"/>
  <c r="Y39" i="3"/>
  <c r="W39" i="3" s="1"/>
  <c r="C8" i="24"/>
  <c r="C6" i="24"/>
  <c r="U165" i="15"/>
  <c r="Z20" i="3"/>
  <c r="AB39" i="3"/>
  <c r="Q13" i="3"/>
  <c r="L90" i="15"/>
  <c r="M39" i="3"/>
  <c r="M40" i="3" s="1"/>
  <c r="K40" i="3" s="1"/>
  <c r="K37" i="3"/>
  <c r="I174" i="15"/>
  <c r="O165" i="15"/>
  <c r="O174" i="15"/>
  <c r="R165" i="15"/>
  <c r="R174" i="15"/>
  <c r="F116" i="15"/>
  <c r="F174" i="15"/>
  <c r="V39" i="3"/>
  <c r="V40" i="3" s="1"/>
  <c r="T40" i="3" s="1"/>
  <c r="P39" i="3"/>
  <c r="N39" i="3" s="1"/>
  <c r="U89" i="15"/>
  <c r="R90" i="15"/>
  <c r="F89" i="15"/>
  <c r="F91" i="15" s="1"/>
  <c r="F92" i="15" s="1"/>
  <c r="I90" i="15"/>
  <c r="W20" i="3"/>
  <c r="X5" i="3"/>
  <c r="T20" i="3"/>
  <c r="O39" i="15"/>
  <c r="O34" i="15" s="1"/>
  <c r="O31" i="15" s="1"/>
  <c r="O116" i="15"/>
  <c r="O90" i="15"/>
  <c r="L39" i="15"/>
  <c r="L36" i="15" s="1"/>
  <c r="Q55" i="3"/>
  <c r="U90" i="15"/>
  <c r="Q54" i="3"/>
  <c r="U39" i="15"/>
  <c r="U36" i="15" s="1"/>
  <c r="F165" i="15"/>
  <c r="R116" i="15"/>
  <c r="R39" i="15"/>
  <c r="R36" i="15" s="1"/>
  <c r="K20" i="3"/>
  <c r="F39" i="15"/>
  <c r="F36" i="15" s="1"/>
  <c r="N120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96" i="7"/>
  <c r="O209" i="15"/>
  <c r="U209" i="15"/>
  <c r="D7" i="7"/>
  <c r="F209" i="15"/>
  <c r="L209" i="15"/>
  <c r="R209" i="15"/>
  <c r="I209" i="15"/>
  <c r="AB55" i="3"/>
  <c r="Z54" i="3"/>
  <c r="W54" i="3"/>
  <c r="Y55" i="3"/>
  <c r="V55" i="3"/>
  <c r="T54" i="3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5" i="15" s="1"/>
  <c r="D120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89" i="7"/>
  <c r="D14" i="7"/>
  <c r="D24" i="7"/>
  <c r="C55" i="24"/>
  <c r="D13" i="7"/>
  <c r="C7" i="24"/>
  <c r="C58" i="24"/>
  <c r="D50" i="7"/>
  <c r="D58" i="7"/>
  <c r="C60" i="24"/>
  <c r="D113" i="7"/>
  <c r="C77" i="24"/>
  <c r="C5" i="24"/>
  <c r="C61" i="24"/>
  <c r="D61" i="7"/>
  <c r="C14" i="31" s="1"/>
  <c r="C76" i="24"/>
  <c r="D112" i="7"/>
  <c r="D70" i="7"/>
  <c r="D71" i="7" s="1"/>
  <c r="C63" i="24"/>
  <c r="I42" i="3"/>
  <c r="C37" i="24" s="1"/>
  <c r="C53" i="3"/>
  <c r="I53" i="3" s="1"/>
  <c r="I38" i="3"/>
  <c r="C33" i="24" s="1"/>
  <c r="M51" i="3"/>
  <c r="AB51" i="3"/>
  <c r="C52" i="3"/>
  <c r="S51" i="3"/>
  <c r="V51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Y51" i="3"/>
  <c r="P51" i="3"/>
  <c r="D40" i="3"/>
  <c r="D55" i="3" s="1"/>
  <c r="C55" i="3"/>
  <c r="G34" i="30" l="1"/>
  <c r="G36" i="30"/>
  <c r="K47" i="30"/>
  <c r="K46" i="30"/>
  <c r="G39" i="30"/>
  <c r="U210" i="15"/>
  <c r="W38" i="7" s="1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O210" i="15"/>
  <c r="Q38" i="7" s="1"/>
  <c r="T73" i="7"/>
  <c r="Q13" i="7"/>
  <c r="T13" i="7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T48" i="7"/>
  <c r="H48" i="7"/>
  <c r="Q48" i="7"/>
  <c r="K48" i="7"/>
  <c r="W48" i="7"/>
  <c r="N48" i="7"/>
  <c r="B19" i="24"/>
  <c r="B17" i="24"/>
  <c r="B60" i="24"/>
  <c r="B56" i="24"/>
  <c r="G61" i="3"/>
  <c r="B23" i="24"/>
  <c r="B25" i="24"/>
  <c r="B24" i="24"/>
  <c r="B22" i="24"/>
  <c r="B20" i="24"/>
  <c r="Q73" i="7"/>
  <c r="W73" i="7"/>
  <c r="N73" i="7"/>
  <c r="K15" i="30" s="1"/>
  <c r="K73" i="7"/>
  <c r="G15" i="30" s="1"/>
  <c r="H73" i="7"/>
  <c r="C15" i="30" s="1"/>
  <c r="I210" i="15"/>
  <c r="K38" i="7" s="1"/>
  <c r="H13" i="7"/>
  <c r="W13" i="7"/>
  <c r="U61" i="3"/>
  <c r="R61" i="3"/>
  <c r="AA61" i="3"/>
  <c r="O61" i="3"/>
  <c r="X61" i="3"/>
  <c r="R210" i="15"/>
  <c r="T38" i="7" s="1"/>
  <c r="G27" i="3"/>
  <c r="G23" i="3"/>
  <c r="G46" i="3"/>
  <c r="G12" i="3"/>
  <c r="G25" i="3"/>
  <c r="O91" i="15"/>
  <c r="O92" i="15" s="1"/>
  <c r="O85" i="15" s="1"/>
  <c r="O86" i="15" s="1"/>
  <c r="O93" i="15" s="1"/>
  <c r="O95" i="15" s="1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S40" i="3"/>
  <c r="Q40" i="3" s="1"/>
  <c r="R91" i="15"/>
  <c r="R92" i="15" s="1"/>
  <c r="R85" i="15" s="1"/>
  <c r="R86" i="15" s="1"/>
  <c r="R93" i="15" s="1"/>
  <c r="R95" i="15" s="1"/>
  <c r="Y40" i="3"/>
  <c r="W40" i="3" s="1"/>
  <c r="Z39" i="3"/>
  <c r="AB40" i="3"/>
  <c r="P40" i="3"/>
  <c r="N40" i="3" s="1"/>
  <c r="K39" i="3"/>
  <c r="M41" i="3"/>
  <c r="K41" i="3" s="1"/>
  <c r="L34" i="15"/>
  <c r="L31" i="15" s="1"/>
  <c r="L37" i="15" s="1"/>
  <c r="U91" i="15"/>
  <c r="U92" i="15" s="1"/>
  <c r="U85" i="15" s="1"/>
  <c r="U86" i="15" s="1"/>
  <c r="T39" i="3"/>
  <c r="V41" i="3"/>
  <c r="T41" i="3" s="1"/>
  <c r="U34" i="15"/>
  <c r="U31" i="15" s="1"/>
  <c r="R34" i="15"/>
  <c r="R31" i="15" s="1"/>
  <c r="R264" i="15" s="1"/>
  <c r="O36" i="15"/>
  <c r="O35" i="15" s="1"/>
  <c r="F34" i="15"/>
  <c r="F31" i="15" s="1"/>
  <c r="F264" i="15" s="1"/>
  <c r="G29" i="3"/>
  <c r="G30" i="3"/>
  <c r="G28" i="3"/>
  <c r="I34" i="15"/>
  <c r="I31" i="15" s="1"/>
  <c r="I37" i="15" s="1"/>
  <c r="I38" i="15" s="1"/>
  <c r="K46" i="3"/>
  <c r="H29" i="25"/>
  <c r="O37" i="15"/>
  <c r="O38" i="15" s="1"/>
  <c r="O264" i="15"/>
  <c r="Z55" i="3"/>
  <c r="AB56" i="3"/>
  <c r="Z56" i="3" s="1"/>
  <c r="Y56" i="3"/>
  <c r="W55" i="3"/>
  <c r="V56" i="3"/>
  <c r="T56" i="3" s="1"/>
  <c r="T55" i="3"/>
  <c r="P55" i="3"/>
  <c r="N54" i="3"/>
  <c r="H120" i="7"/>
  <c r="D47" i="31" s="1"/>
  <c r="I57" i="31" s="1"/>
  <c r="K21" i="3"/>
  <c r="Y65" i="3"/>
  <c r="X65" i="3" s="1"/>
  <c r="F85" i="15"/>
  <c r="F114" i="15"/>
  <c r="K25" i="3"/>
  <c r="AB65" i="3"/>
  <c r="AA65" i="3" s="1"/>
  <c r="L193" i="15"/>
  <c r="I56" i="3"/>
  <c r="C51" i="24" s="1"/>
  <c r="U193" i="15"/>
  <c r="R193" i="15"/>
  <c r="I40" i="3"/>
  <c r="C35" i="24" s="1"/>
  <c r="I41" i="3"/>
  <c r="C36" i="24" s="1"/>
  <c r="N40" i="7"/>
  <c r="S65" i="3"/>
  <c r="R65" i="3" s="1"/>
  <c r="K49" i="3"/>
  <c r="U51" i="15"/>
  <c r="K31" i="3"/>
  <c r="K29" i="3" s="1"/>
  <c r="F51" i="15"/>
  <c r="G31" i="3"/>
  <c r="I190" i="15"/>
  <c r="P65" i="3"/>
  <c r="O65" i="3" s="1"/>
  <c r="I7" i="15"/>
  <c r="I52" i="3"/>
  <c r="C47" i="24" s="1"/>
  <c r="O18" i="15"/>
  <c r="I193" i="15"/>
  <c r="F193" i="15"/>
  <c r="G45" i="3"/>
  <c r="K45" i="3"/>
  <c r="I37" i="3"/>
  <c r="O51" i="15"/>
  <c r="V65" i="3"/>
  <c r="U65" i="3" s="1"/>
  <c r="O193" i="15"/>
  <c r="R114" i="15"/>
  <c r="R146" i="15"/>
  <c r="F146" i="15"/>
  <c r="H91" i="7" s="1"/>
  <c r="M74" i="3" s="1"/>
  <c r="L74" i="3" s="1"/>
  <c r="I55" i="3"/>
  <c r="C50" i="24" s="1"/>
  <c r="H40" i="7"/>
  <c r="F7" i="15"/>
  <c r="F11" i="15"/>
  <c r="F18" i="15"/>
  <c r="O114" i="15"/>
  <c r="L114" i="15"/>
  <c r="F19" i="15"/>
  <c r="F121" i="15" s="1"/>
  <c r="U146" i="15"/>
  <c r="I146" i="15"/>
  <c r="K91" i="7" s="1"/>
  <c r="P74" i="3" s="1"/>
  <c r="O74" i="3" s="1"/>
  <c r="R60" i="15"/>
  <c r="I39" i="3"/>
  <c r="C34" i="24" s="1"/>
  <c r="U114" i="15"/>
  <c r="I114" i="15"/>
  <c r="O146" i="15"/>
  <c r="L146" i="15"/>
  <c r="C32" i="24" l="1"/>
  <c r="M42" i="3"/>
  <c r="M43" i="3" s="1"/>
  <c r="K43" i="3" s="1"/>
  <c r="O115" i="15"/>
  <c r="O113" i="15" s="1"/>
  <c r="I115" i="15"/>
  <c r="L68" i="7" s="1"/>
  <c r="V68" i="7"/>
  <c r="L115" i="15"/>
  <c r="L113" i="15" s="1"/>
  <c r="U37" i="15"/>
  <c r="U115" i="15" s="1"/>
  <c r="U113" i="15" s="1"/>
  <c r="F29" i="15"/>
  <c r="F178" i="15"/>
  <c r="F177" i="15" s="1"/>
  <c r="J68" i="7"/>
  <c r="P68" i="7"/>
  <c r="S68" i="7"/>
  <c r="M68" i="7"/>
  <c r="G30" i="7"/>
  <c r="F26" i="15"/>
  <c r="F267" i="15"/>
  <c r="F173" i="15"/>
  <c r="F170" i="15" s="1"/>
  <c r="F270" i="15"/>
  <c r="F268" i="15" s="1"/>
  <c r="H125" i="7" s="1"/>
  <c r="F194" i="15"/>
  <c r="F151" i="15"/>
  <c r="F185" i="15" s="1"/>
  <c r="F125" i="15"/>
  <c r="F122" i="15" s="1"/>
  <c r="H82" i="7" s="1"/>
  <c r="F10" i="15"/>
  <c r="F140" i="15"/>
  <c r="F142" i="15" s="1"/>
  <c r="F154" i="15"/>
  <c r="F17" i="15"/>
  <c r="F15" i="15" s="1"/>
  <c r="F6" i="15"/>
  <c r="F4" i="15" s="1"/>
  <c r="S41" i="3"/>
  <c r="Q41" i="3" s="1"/>
  <c r="L38" i="15"/>
  <c r="Q19" i="3" s="1"/>
  <c r="Y41" i="3"/>
  <c r="Y42" i="3" s="1"/>
  <c r="W42" i="3" s="1"/>
  <c r="P41" i="3"/>
  <c r="N41" i="3" s="1"/>
  <c r="Z40" i="3"/>
  <c r="AB41" i="3"/>
  <c r="Z41" i="3" s="1"/>
  <c r="L35" i="15"/>
  <c r="L264" i="15"/>
  <c r="U264" i="15"/>
  <c r="F35" i="15"/>
  <c r="U93" i="15"/>
  <c r="U95" i="15" s="1"/>
  <c r="V42" i="3"/>
  <c r="I95" i="15"/>
  <c r="U35" i="15"/>
  <c r="R35" i="15"/>
  <c r="R37" i="15"/>
  <c r="R115" i="15" s="1"/>
  <c r="R113" i="15" s="1"/>
  <c r="I35" i="15"/>
  <c r="I264" i="15"/>
  <c r="L95" i="15"/>
  <c r="H12" i="7"/>
  <c r="D32" i="31" s="1"/>
  <c r="K13" i="3"/>
  <c r="F37" i="15"/>
  <c r="F115" i="15" s="1"/>
  <c r="F113" i="15" s="1"/>
  <c r="Q120" i="7"/>
  <c r="W120" i="7"/>
  <c r="F21" i="15"/>
  <c r="F182" i="15" s="1"/>
  <c r="F250" i="15"/>
  <c r="F249" i="15" s="1"/>
  <c r="F176" i="15" s="1"/>
  <c r="F247" i="15"/>
  <c r="F246" i="15" s="1"/>
  <c r="F20" i="15"/>
  <c r="H76" i="7" s="1"/>
  <c r="H81" i="7" s="1"/>
  <c r="F22" i="15"/>
  <c r="T19" i="3"/>
  <c r="W56" i="3"/>
  <c r="T120" i="7"/>
  <c r="N55" i="3"/>
  <c r="P56" i="3"/>
  <c r="N56" i="3" s="1"/>
  <c r="K28" i="3"/>
  <c r="K30" i="3"/>
  <c r="K22" i="3"/>
  <c r="L7" i="15"/>
  <c r="R19" i="15"/>
  <c r="F86" i="15"/>
  <c r="F93" i="15" s="1"/>
  <c r="F95" i="15" s="1"/>
  <c r="R190" i="15"/>
  <c r="O136" i="15"/>
  <c r="Q63" i="7" s="1"/>
  <c r="L190" i="15"/>
  <c r="I11" i="15"/>
  <c r="I18" i="15"/>
  <c r="L54" i="15"/>
  <c r="K40" i="7"/>
  <c r="R7" i="15"/>
  <c r="O19" i="15"/>
  <c r="O178" i="15" s="1"/>
  <c r="O177" i="15" s="1"/>
  <c r="R51" i="15"/>
  <c r="L60" i="15"/>
  <c r="L62" i="15" s="1"/>
  <c r="L64" i="15" s="1"/>
  <c r="F60" i="15"/>
  <c r="N12" i="7"/>
  <c r="L32" i="31" s="1"/>
  <c r="O96" i="15"/>
  <c r="O97" i="15" s="1"/>
  <c r="O11" i="15"/>
  <c r="K12" i="7"/>
  <c r="H32" i="31" s="1"/>
  <c r="R96" i="15"/>
  <c r="R97" i="15" s="1"/>
  <c r="L11" i="15"/>
  <c r="F136" i="15"/>
  <c r="H63" i="7" s="1"/>
  <c r="O7" i="15"/>
  <c r="O190" i="15"/>
  <c r="R11" i="15"/>
  <c r="T12" i="7"/>
  <c r="T15" i="7" s="1"/>
  <c r="W12" i="7"/>
  <c r="R18" i="15"/>
  <c r="U190" i="15"/>
  <c r="I19" i="15"/>
  <c r="L18" i="15"/>
  <c r="Q12" i="7"/>
  <c r="T40" i="7"/>
  <c r="U19" i="15"/>
  <c r="U60" i="15"/>
  <c r="U61" i="15" s="1"/>
  <c r="Q40" i="7"/>
  <c r="I51" i="15"/>
  <c r="I136" i="15"/>
  <c r="K63" i="7" s="1"/>
  <c r="I60" i="15"/>
  <c r="O60" i="15"/>
  <c r="O62" i="15" s="1"/>
  <c r="O64" i="15" s="1"/>
  <c r="L136" i="15"/>
  <c r="N63" i="7" s="1"/>
  <c r="L19" i="15"/>
  <c r="U11" i="15"/>
  <c r="U18" i="15"/>
  <c r="U7" i="15"/>
  <c r="W40" i="7"/>
  <c r="U136" i="15"/>
  <c r="W63" i="7" s="1"/>
  <c r="R136" i="15"/>
  <c r="T63" i="7" s="1"/>
  <c r="O55" i="15"/>
  <c r="O54" i="15"/>
  <c r="F54" i="15"/>
  <c r="F55" i="15"/>
  <c r="R62" i="15"/>
  <c r="R64" i="15" s="1"/>
  <c r="R61" i="15"/>
  <c r="G58" i="7"/>
  <c r="G68" i="7"/>
  <c r="U55" i="15"/>
  <c r="U54" i="15"/>
  <c r="N19" i="3"/>
  <c r="K42" i="3" l="1"/>
  <c r="I113" i="15"/>
  <c r="F27" i="15"/>
  <c r="F103" i="15" s="1"/>
  <c r="F175" i="15"/>
  <c r="F180" i="15"/>
  <c r="L96" i="15"/>
  <c r="L97" i="15" s="1"/>
  <c r="L94" i="15" s="1"/>
  <c r="R94" i="15"/>
  <c r="R119" i="15" s="1"/>
  <c r="O94" i="15"/>
  <c r="O119" i="15" s="1"/>
  <c r="F152" i="15"/>
  <c r="O68" i="7"/>
  <c r="U38" i="15"/>
  <c r="Z19" i="3" s="1"/>
  <c r="F220" i="15"/>
  <c r="H44" i="7" s="1"/>
  <c r="O29" i="15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U29" i="15"/>
  <c r="U178" i="15"/>
  <c r="U177" i="15" s="1"/>
  <c r="L29" i="15"/>
  <c r="L27" i="15" s="1"/>
  <c r="L103" i="15" s="1"/>
  <c r="L178" i="15"/>
  <c r="L177" i="15" s="1"/>
  <c r="R29" i="15"/>
  <c r="R178" i="15"/>
  <c r="R177" i="15" s="1"/>
  <c r="U96" i="15"/>
  <c r="U97" i="15" s="1"/>
  <c r="U94" i="15" s="1"/>
  <c r="Q15" i="7"/>
  <c r="W15" i="7"/>
  <c r="N15" i="7"/>
  <c r="H15" i="7"/>
  <c r="K15" i="7"/>
  <c r="F192" i="15"/>
  <c r="H101" i="7" s="1"/>
  <c r="I270" i="15"/>
  <c r="I268" i="15" s="1"/>
  <c r="K125" i="7" s="1"/>
  <c r="I267" i="15"/>
  <c r="I26" i="15"/>
  <c r="I194" i="15"/>
  <c r="I173" i="15"/>
  <c r="I170" i="15" s="1"/>
  <c r="I151" i="15"/>
  <c r="I154" i="15"/>
  <c r="I17" i="15"/>
  <c r="I15" i="15" s="1"/>
  <c r="I125" i="15"/>
  <c r="I122" i="15" s="1"/>
  <c r="K82" i="7" s="1"/>
  <c r="I10" i="15"/>
  <c r="I140" i="15"/>
  <c r="I142" i="15" s="1"/>
  <c r="I121" i="15"/>
  <c r="I6" i="15"/>
  <c r="I4" i="15" s="1"/>
  <c r="L267" i="15"/>
  <c r="L26" i="15"/>
  <c r="L194" i="15"/>
  <c r="L173" i="15"/>
  <c r="L170" i="15" s="1"/>
  <c r="L270" i="15"/>
  <c r="L268" i="15" s="1"/>
  <c r="N125" i="7" s="1"/>
  <c r="L154" i="15"/>
  <c r="L17" i="15"/>
  <c r="L15" i="15" s="1"/>
  <c r="L125" i="15"/>
  <c r="L122" i="15" s="1"/>
  <c r="N82" i="7" s="1"/>
  <c r="L10" i="15"/>
  <c r="L140" i="15"/>
  <c r="L142" i="15" s="1"/>
  <c r="L121" i="15"/>
  <c r="L6" i="15"/>
  <c r="L4" i="15" s="1"/>
  <c r="L151" i="15"/>
  <c r="L185" i="15" s="1"/>
  <c r="U270" i="15"/>
  <c r="U268" i="15" s="1"/>
  <c r="W125" i="7" s="1"/>
  <c r="U267" i="15"/>
  <c r="U26" i="15"/>
  <c r="U194" i="15"/>
  <c r="U173" i="15"/>
  <c r="U170" i="15" s="1"/>
  <c r="U151" i="15"/>
  <c r="U154" i="15"/>
  <c r="U17" i="15"/>
  <c r="U15" i="15" s="1"/>
  <c r="U125" i="15"/>
  <c r="U122" i="15" s="1"/>
  <c r="W82" i="7" s="1"/>
  <c r="U10" i="15"/>
  <c r="U140" i="15"/>
  <c r="U142" i="15" s="1"/>
  <c r="U6" i="15"/>
  <c r="U121" i="15"/>
  <c r="O26" i="15"/>
  <c r="O194" i="15"/>
  <c r="O173" i="15"/>
  <c r="O170" i="15" s="1"/>
  <c r="O270" i="15"/>
  <c r="O268" i="15" s="1"/>
  <c r="Q125" i="7" s="1"/>
  <c r="O267" i="15"/>
  <c r="O125" i="15"/>
  <c r="O122" i="15" s="1"/>
  <c r="Q82" i="7" s="1"/>
  <c r="O10" i="15"/>
  <c r="O140" i="15"/>
  <c r="O142" i="15" s="1"/>
  <c r="O121" i="15"/>
  <c r="O6" i="15"/>
  <c r="O4" i="15" s="1"/>
  <c r="O151" i="15"/>
  <c r="O185" i="15" s="1"/>
  <c r="O154" i="15"/>
  <c r="O17" i="15"/>
  <c r="O15" i="15" s="1"/>
  <c r="R173" i="15"/>
  <c r="R170" i="15" s="1"/>
  <c r="R270" i="15"/>
  <c r="R268" i="15" s="1"/>
  <c r="T125" i="7" s="1"/>
  <c r="R267" i="15"/>
  <c r="R26" i="15"/>
  <c r="R194" i="15"/>
  <c r="R140" i="15"/>
  <c r="R142" i="15" s="1"/>
  <c r="R121" i="15"/>
  <c r="R6" i="15"/>
  <c r="R4" i="15" s="1"/>
  <c r="R151" i="15"/>
  <c r="R185" i="15" s="1"/>
  <c r="R154" i="15"/>
  <c r="R125" i="15"/>
  <c r="R122" i="15" s="1"/>
  <c r="T82" i="7" s="1"/>
  <c r="R17" i="15"/>
  <c r="R15" i="15" s="1"/>
  <c r="R10" i="15"/>
  <c r="S42" i="3"/>
  <c r="Q42" i="3" s="1"/>
  <c r="R38" i="15"/>
  <c r="W19" i="3" s="1"/>
  <c r="F38" i="15"/>
  <c r="K19" i="3" s="1"/>
  <c r="W41" i="3"/>
  <c r="P42" i="3"/>
  <c r="N42" i="3" s="1"/>
  <c r="AB42" i="3"/>
  <c r="AB43" i="3" s="1"/>
  <c r="Z43" i="3" s="1"/>
  <c r="Y43" i="3"/>
  <c r="R68" i="7"/>
  <c r="M44" i="3"/>
  <c r="F254" i="15" s="1"/>
  <c r="F205" i="15" s="1"/>
  <c r="T42" i="3"/>
  <c r="V43" i="3"/>
  <c r="F62" i="15"/>
  <c r="F64" i="15" s="1"/>
  <c r="F61" i="15"/>
  <c r="L55" i="15"/>
  <c r="L52" i="15" s="1"/>
  <c r="L56" i="15" s="1"/>
  <c r="L57" i="15" s="1"/>
  <c r="L50" i="15" s="1"/>
  <c r="L51" i="15"/>
  <c r="U63" i="15"/>
  <c r="R63" i="15"/>
  <c r="U250" i="15"/>
  <c r="U249" i="15" s="1"/>
  <c r="U176" i="15" s="1"/>
  <c r="U247" i="15"/>
  <c r="U246" i="15" s="1"/>
  <c r="U20" i="15"/>
  <c r="W76" i="7" s="1"/>
  <c r="W81" i="7" s="1"/>
  <c r="U21" i="15"/>
  <c r="U182" i="15" s="1"/>
  <c r="U22" i="15"/>
  <c r="I21" i="15"/>
  <c r="I182" i="15" s="1"/>
  <c r="I20" i="15"/>
  <c r="K76" i="7" s="1"/>
  <c r="K81" i="7" s="1"/>
  <c r="I250" i="15"/>
  <c r="I249" i="15" s="1"/>
  <c r="I176" i="15" s="1"/>
  <c r="I247" i="15"/>
  <c r="I246" i="15" s="1"/>
  <c r="I22" i="15"/>
  <c r="O20" i="15"/>
  <c r="Q76" i="7" s="1"/>
  <c r="Q81" i="7" s="1"/>
  <c r="O21" i="15"/>
  <c r="O182" i="15" s="1"/>
  <c r="O22" i="15"/>
  <c r="O250" i="15"/>
  <c r="O249" i="15" s="1"/>
  <c r="O176" i="15" s="1"/>
  <c r="O247" i="15"/>
  <c r="O246" i="15" s="1"/>
  <c r="R247" i="15"/>
  <c r="R246" i="15" s="1"/>
  <c r="R20" i="15"/>
  <c r="T76" i="7" s="1"/>
  <c r="R21" i="15"/>
  <c r="R182" i="15" s="1"/>
  <c r="R22" i="15"/>
  <c r="R250" i="15"/>
  <c r="R249" i="15" s="1"/>
  <c r="R176" i="15" s="1"/>
  <c r="L20" i="15"/>
  <c r="N76" i="7" s="1"/>
  <c r="L21" i="15"/>
  <c r="L182" i="15" s="1"/>
  <c r="L22" i="15"/>
  <c r="L247" i="15"/>
  <c r="L246" i="15" s="1"/>
  <c r="L250" i="15"/>
  <c r="L249" i="15" s="1"/>
  <c r="L176" i="15" s="1"/>
  <c r="K120" i="7"/>
  <c r="H47" i="31" s="1"/>
  <c r="I63" i="31" s="1"/>
  <c r="U62" i="15"/>
  <c r="R55" i="15"/>
  <c r="L61" i="15"/>
  <c r="R54" i="15"/>
  <c r="O61" i="15"/>
  <c r="I55" i="15"/>
  <c r="I54" i="15"/>
  <c r="I62" i="15"/>
  <c r="I64" i="15" s="1"/>
  <c r="I61" i="15"/>
  <c r="F52" i="15"/>
  <c r="F56" i="15" s="1"/>
  <c r="F49" i="15" s="1"/>
  <c r="F72" i="15" s="1"/>
  <c r="H64" i="7"/>
  <c r="H90" i="7"/>
  <c r="U52" i="15"/>
  <c r="U56" i="15" s="1"/>
  <c r="H41" i="7"/>
  <c r="H56" i="7"/>
  <c r="O52" i="15"/>
  <c r="O56" i="15" s="1"/>
  <c r="X67" i="7"/>
  <c r="X68" i="7"/>
  <c r="E36" i="30" l="1"/>
  <c r="E34" i="31"/>
  <c r="M36" i="30"/>
  <c r="M34" i="31"/>
  <c r="I36" i="30"/>
  <c r="I34" i="31"/>
  <c r="F260" i="15"/>
  <c r="F255" i="15" s="1"/>
  <c r="U4" i="15"/>
  <c r="X24" i="7" s="1"/>
  <c r="L175" i="15"/>
  <c r="L252" i="15" s="1"/>
  <c r="N88" i="7" s="1"/>
  <c r="K16" i="30" s="1"/>
  <c r="R175" i="15"/>
  <c r="R252" i="15" s="1"/>
  <c r="T88" i="7" s="1"/>
  <c r="U175" i="15"/>
  <c r="U252" i="15" s="1"/>
  <c r="W88" i="7" s="1"/>
  <c r="O175" i="15"/>
  <c r="O252" i="15" s="1"/>
  <c r="Q88" i="7" s="1"/>
  <c r="I175" i="15"/>
  <c r="I252" i="15" s="1"/>
  <c r="K88" i="7" s="1"/>
  <c r="G16" i="30" s="1"/>
  <c r="F252" i="15"/>
  <c r="H88" i="7" s="1"/>
  <c r="C16" i="30" s="1"/>
  <c r="F12" i="15"/>
  <c r="F8" i="15" s="1"/>
  <c r="F147" i="15"/>
  <c r="F148" i="15"/>
  <c r="F149" i="15" s="1"/>
  <c r="F230" i="15" s="1"/>
  <c r="F231" i="15" s="1"/>
  <c r="F225" i="15" s="1"/>
  <c r="F118" i="15" s="1"/>
  <c r="F134" i="15"/>
  <c r="R27" i="15"/>
  <c r="R103" i="15" s="1"/>
  <c r="U27" i="15"/>
  <c r="U103" i="15" s="1"/>
  <c r="I27" i="15"/>
  <c r="I103" i="15" s="1"/>
  <c r="O27" i="15"/>
  <c r="O103" i="15" s="1"/>
  <c r="U119" i="15"/>
  <c r="U203" i="15"/>
  <c r="U200" i="15" s="1"/>
  <c r="R199" i="15"/>
  <c r="R203" i="15"/>
  <c r="R200" i="15" s="1"/>
  <c r="I119" i="15"/>
  <c r="I203" i="15"/>
  <c r="I200" i="15" s="1"/>
  <c r="O199" i="15"/>
  <c r="O203" i="15"/>
  <c r="O200" i="15" s="1"/>
  <c r="L119" i="15"/>
  <c r="L203" i="15"/>
  <c r="L200" i="15" s="1"/>
  <c r="I185" i="15"/>
  <c r="I180" i="15" s="1"/>
  <c r="L199" i="15"/>
  <c r="L180" i="15"/>
  <c r="O180" i="15"/>
  <c r="R180" i="15"/>
  <c r="U185" i="15"/>
  <c r="U180" i="15" s="1"/>
  <c r="S43" i="3"/>
  <c r="Q43" i="3" s="1"/>
  <c r="Q36" i="3" s="1"/>
  <c r="K77" i="7"/>
  <c r="T56" i="7"/>
  <c r="N77" i="7"/>
  <c r="T77" i="7"/>
  <c r="Q77" i="7"/>
  <c r="W77" i="7"/>
  <c r="F119" i="15"/>
  <c r="F199" i="15"/>
  <c r="F71" i="15"/>
  <c r="F74" i="15" s="1"/>
  <c r="U199" i="15"/>
  <c r="I199" i="15"/>
  <c r="O192" i="15"/>
  <c r="Q101" i="7" s="1"/>
  <c r="U192" i="15"/>
  <c r="W101" i="7" s="1"/>
  <c r="I192" i="15"/>
  <c r="R192" i="15"/>
  <c r="T101" i="7" s="1"/>
  <c r="L192" i="15"/>
  <c r="N101" i="7" s="1"/>
  <c r="L220" i="15"/>
  <c r="O220" i="15"/>
  <c r="L260" i="15"/>
  <c r="L134" i="15"/>
  <c r="R220" i="15"/>
  <c r="T79" i="7"/>
  <c r="T81" i="7" s="1"/>
  <c r="I220" i="15"/>
  <c r="U220" i="15"/>
  <c r="W44" i="7" s="1"/>
  <c r="F191" i="15"/>
  <c r="F187" i="15" s="1"/>
  <c r="L135" i="15"/>
  <c r="N55" i="7" s="1"/>
  <c r="L12" i="15"/>
  <c r="L8" i="15" s="1"/>
  <c r="L147" i="15"/>
  <c r="L148" i="15"/>
  <c r="L149" i="15" s="1"/>
  <c r="L230" i="15" s="1"/>
  <c r="U152" i="15"/>
  <c r="L152" i="15"/>
  <c r="R152" i="15"/>
  <c r="O152" i="15"/>
  <c r="I152" i="15"/>
  <c r="P43" i="3"/>
  <c r="W90" i="7"/>
  <c r="Z42" i="3"/>
  <c r="Z36" i="3" s="1"/>
  <c r="AB44" i="3"/>
  <c r="U68" i="7"/>
  <c r="W43" i="3"/>
  <c r="W36" i="3" s="1"/>
  <c r="Y44" i="3"/>
  <c r="K90" i="7"/>
  <c r="I68" i="7"/>
  <c r="T43" i="3"/>
  <c r="T36" i="3" s="1"/>
  <c r="V44" i="3"/>
  <c r="O254" i="15" s="1"/>
  <c r="O205" i="15" s="1"/>
  <c r="Q22" i="7" s="1"/>
  <c r="H22" i="7"/>
  <c r="F127" i="15"/>
  <c r="K44" i="3"/>
  <c r="K64" i="7"/>
  <c r="L63" i="15"/>
  <c r="I63" i="15"/>
  <c r="O63" i="15"/>
  <c r="F63" i="15"/>
  <c r="X51" i="7"/>
  <c r="U64" i="15"/>
  <c r="G51" i="7"/>
  <c r="Q64" i="7"/>
  <c r="Q41" i="7"/>
  <c r="Q56" i="7"/>
  <c r="Q90" i="7"/>
  <c r="T41" i="7"/>
  <c r="T90" i="7"/>
  <c r="T64" i="7"/>
  <c r="K56" i="7"/>
  <c r="R52" i="15"/>
  <c r="R56" i="15" s="1"/>
  <c r="R57" i="15" s="1"/>
  <c r="R50" i="15" s="1"/>
  <c r="W64" i="7"/>
  <c r="K41" i="7"/>
  <c r="W41" i="7"/>
  <c r="F57" i="15"/>
  <c r="F50" i="15" s="1"/>
  <c r="F58" i="15" s="1"/>
  <c r="F45" i="15" s="1"/>
  <c r="F42" i="15" s="1"/>
  <c r="H17" i="7" s="1"/>
  <c r="E35" i="31" s="1"/>
  <c r="W56" i="7"/>
  <c r="L49" i="15"/>
  <c r="L72" i="15" s="1"/>
  <c r="L71" i="15" s="1"/>
  <c r="F256" i="15"/>
  <c r="I52" i="15"/>
  <c r="I56" i="15" s="1"/>
  <c r="N90" i="7"/>
  <c r="N64" i="7"/>
  <c r="N56" i="7"/>
  <c r="N41" i="7"/>
  <c r="U49" i="15"/>
  <c r="U72" i="15" s="1"/>
  <c r="U71" i="15" s="1"/>
  <c r="U57" i="15"/>
  <c r="U50" i="15" s="1"/>
  <c r="O49" i="15"/>
  <c r="O72" i="15" s="1"/>
  <c r="O71" i="15" s="1"/>
  <c r="O57" i="15"/>
  <c r="O50" i="15" s="1"/>
  <c r="F257" i="15" l="1"/>
  <c r="F258" i="15" s="1"/>
  <c r="F265" i="15" s="1"/>
  <c r="O148" i="15"/>
  <c r="O149" i="15" s="1"/>
  <c r="O230" i="15" s="1"/>
  <c r="O231" i="15" s="1"/>
  <c r="U12" i="15"/>
  <c r="U8" i="15" s="1"/>
  <c r="O260" i="15"/>
  <c r="O255" i="15" s="1"/>
  <c r="O147" i="15"/>
  <c r="O134" i="15"/>
  <c r="O12" i="15"/>
  <c r="O8" i="15" s="1"/>
  <c r="F195" i="15"/>
  <c r="L256" i="15"/>
  <c r="L255" i="15"/>
  <c r="U147" i="15"/>
  <c r="U135" i="15"/>
  <c r="W55" i="7" s="1"/>
  <c r="U134" i="15"/>
  <c r="U148" i="15"/>
  <c r="U149" i="15" s="1"/>
  <c r="U230" i="15" s="1"/>
  <c r="U231" i="15" s="1"/>
  <c r="U225" i="15" s="1"/>
  <c r="U118" i="15" s="1"/>
  <c r="U260" i="15"/>
  <c r="U255" i="15" s="1"/>
  <c r="S44" i="3"/>
  <c r="L127" i="15" s="1"/>
  <c r="I12" i="15"/>
  <c r="I8" i="15" s="1"/>
  <c r="I260" i="15"/>
  <c r="I255" i="15" s="1"/>
  <c r="R12" i="15"/>
  <c r="R8" i="15" s="1"/>
  <c r="I147" i="15"/>
  <c r="R134" i="15"/>
  <c r="F155" i="15"/>
  <c r="F137" i="15" s="1"/>
  <c r="H54" i="7" s="1"/>
  <c r="I148" i="15"/>
  <c r="I149" i="15" s="1"/>
  <c r="I230" i="15" s="1"/>
  <c r="I231" i="15" s="1"/>
  <c r="I135" i="15"/>
  <c r="K55" i="7" s="1"/>
  <c r="R148" i="15"/>
  <c r="R149" i="15" s="1"/>
  <c r="R230" i="15" s="1"/>
  <c r="R231" i="15" s="1"/>
  <c r="R260" i="15"/>
  <c r="R256" i="15" s="1"/>
  <c r="I134" i="15"/>
  <c r="R147" i="15"/>
  <c r="H18" i="7"/>
  <c r="E37" i="30"/>
  <c r="F117" i="15"/>
  <c r="L155" i="15"/>
  <c r="L137" i="15" s="1"/>
  <c r="N54" i="7" s="1"/>
  <c r="N57" i="7" s="1"/>
  <c r="L231" i="15"/>
  <c r="L225" i="15" s="1"/>
  <c r="L118" i="15" s="1"/>
  <c r="L117" i="15" s="1"/>
  <c r="N68" i="7" s="1"/>
  <c r="N69" i="7" s="1"/>
  <c r="O155" i="15"/>
  <c r="O137" i="15" s="1"/>
  <c r="Q54" i="7" s="1"/>
  <c r="N79" i="7"/>
  <c r="N81" i="7" s="1"/>
  <c r="O135" i="15"/>
  <c r="Q55" i="7" s="1"/>
  <c r="R135" i="15"/>
  <c r="T55" i="7" s="1"/>
  <c r="F135" i="15"/>
  <c r="H55" i="7" s="1"/>
  <c r="H97" i="7"/>
  <c r="H98" i="7" s="1"/>
  <c r="E42" i="31" s="1"/>
  <c r="F189" i="15"/>
  <c r="F275" i="15"/>
  <c r="K101" i="7"/>
  <c r="F73" i="15"/>
  <c r="F59" i="15" s="1"/>
  <c r="O275" i="15"/>
  <c r="O74" i="15"/>
  <c r="L275" i="15"/>
  <c r="L74" i="15"/>
  <c r="U74" i="15"/>
  <c r="U275" i="15"/>
  <c r="L257" i="15"/>
  <c r="I191" i="15"/>
  <c r="I187" i="15" s="1"/>
  <c r="I195" i="15" s="1"/>
  <c r="L191" i="15"/>
  <c r="L187" i="15" s="1"/>
  <c r="L195" i="15" s="1"/>
  <c r="U191" i="15"/>
  <c r="U187" i="15" s="1"/>
  <c r="U195" i="15" s="1"/>
  <c r="Q44" i="7"/>
  <c r="K44" i="7"/>
  <c r="T44" i="7"/>
  <c r="N44" i="7"/>
  <c r="P44" i="3"/>
  <c r="N43" i="3"/>
  <c r="U254" i="15"/>
  <c r="U205" i="15" s="1"/>
  <c r="W22" i="7" s="1"/>
  <c r="U127" i="15"/>
  <c r="Z44" i="3"/>
  <c r="W44" i="3"/>
  <c r="R127" i="15"/>
  <c r="R254" i="15"/>
  <c r="R205" i="15" s="1"/>
  <c r="T22" i="7" s="1"/>
  <c r="T44" i="3"/>
  <c r="O127" i="15"/>
  <c r="O73" i="15"/>
  <c r="L73" i="15"/>
  <c r="L59" i="15" s="1"/>
  <c r="U73" i="15"/>
  <c r="R191" i="15"/>
  <c r="R187" i="15" s="1"/>
  <c r="R189" i="15" s="1"/>
  <c r="O191" i="15"/>
  <c r="O187" i="15" s="1"/>
  <c r="O195" i="15" s="1"/>
  <c r="R49" i="15"/>
  <c r="L58" i="15"/>
  <c r="L45" i="15" s="1"/>
  <c r="L42" i="15" s="1"/>
  <c r="N17" i="7" s="1"/>
  <c r="I57" i="15"/>
  <c r="I50" i="15" s="1"/>
  <c r="I49" i="15"/>
  <c r="I72" i="15" s="1"/>
  <c r="O58" i="15"/>
  <c r="O45" i="15" s="1"/>
  <c r="O42" i="15" s="1"/>
  <c r="F43" i="15"/>
  <c r="F40" i="15" s="1"/>
  <c r="U58" i="15"/>
  <c r="U45" i="15" s="1"/>
  <c r="U42" i="15" s="1"/>
  <c r="E44" i="30" l="1"/>
  <c r="M37" i="30"/>
  <c r="M35" i="31"/>
  <c r="O256" i="15"/>
  <c r="O257" i="15"/>
  <c r="I257" i="15"/>
  <c r="Q44" i="3"/>
  <c r="L254" i="15"/>
  <c r="L205" i="15" s="1"/>
  <c r="N22" i="7" s="1"/>
  <c r="I256" i="15"/>
  <c r="U256" i="15"/>
  <c r="U257" i="15"/>
  <c r="U155" i="15"/>
  <c r="U137" i="15" s="1"/>
  <c r="W54" i="7" s="1"/>
  <c r="W57" i="7" s="1"/>
  <c r="R257" i="15"/>
  <c r="R255" i="15"/>
  <c r="H57" i="7"/>
  <c r="I155" i="15"/>
  <c r="I137" i="15" s="1"/>
  <c r="K54" i="7" s="1"/>
  <c r="K57" i="7" s="1"/>
  <c r="R155" i="15"/>
  <c r="R137" i="15" s="1"/>
  <c r="T54" i="7" s="1"/>
  <c r="T57" i="7" s="1"/>
  <c r="R195" i="15"/>
  <c r="L161" i="15"/>
  <c r="U117" i="15"/>
  <c r="W68" i="7" s="1"/>
  <c r="W69" i="7" s="1"/>
  <c r="R225" i="15"/>
  <c r="R118" i="15" s="1"/>
  <c r="R117" i="15" s="1"/>
  <c r="T68" i="7" s="1"/>
  <c r="T69" i="7" s="1"/>
  <c r="O225" i="15"/>
  <c r="O118" i="15" s="1"/>
  <c r="O117" i="15" s="1"/>
  <c r="O161" i="15" s="1"/>
  <c r="I225" i="15"/>
  <c r="I118" i="15" s="1"/>
  <c r="I117" i="15" s="1"/>
  <c r="K68" i="7" s="1"/>
  <c r="K69" i="7" s="1"/>
  <c r="F163" i="15"/>
  <c r="F162" i="15" s="1"/>
  <c r="F167" i="15"/>
  <c r="F166" i="15" s="1"/>
  <c r="Q57" i="7"/>
  <c r="H68" i="7"/>
  <c r="H69" i="7" s="1"/>
  <c r="F161" i="15"/>
  <c r="O189" i="15"/>
  <c r="U189" i="15"/>
  <c r="I189" i="15"/>
  <c r="L189" i="15"/>
  <c r="T97" i="7"/>
  <c r="T98" i="7" s="1"/>
  <c r="I71" i="15"/>
  <c r="I275" i="15" s="1"/>
  <c r="I73" i="15"/>
  <c r="F78" i="15"/>
  <c r="F111" i="15"/>
  <c r="F109" i="15" s="1"/>
  <c r="H62" i="7" s="1"/>
  <c r="N97" i="7"/>
  <c r="N98" i="7" s="1"/>
  <c r="M42" i="31" s="1"/>
  <c r="N18" i="7"/>
  <c r="Q97" i="7"/>
  <c r="Q98" i="7" s="1"/>
  <c r="W97" i="7"/>
  <c r="W98" i="7" s="1"/>
  <c r="K97" i="7"/>
  <c r="K98" i="7" s="1"/>
  <c r="I42" i="31" s="1"/>
  <c r="I254" i="15"/>
  <c r="I205" i="15" s="1"/>
  <c r="K22" i="7" s="1"/>
  <c r="N44" i="3"/>
  <c r="I127" i="15"/>
  <c r="L43" i="15"/>
  <c r="L40" i="15" s="1"/>
  <c r="L111" i="15" s="1"/>
  <c r="R58" i="15"/>
  <c r="R45" i="15" s="1"/>
  <c r="R42" i="15" s="1"/>
  <c r="T17" i="7" s="1"/>
  <c r="T18" i="7" s="1"/>
  <c r="R72" i="15"/>
  <c r="R71" i="15" s="1"/>
  <c r="F253" i="15"/>
  <c r="F128" i="15" s="1"/>
  <c r="F263" i="15"/>
  <c r="H124" i="7" s="1"/>
  <c r="D48" i="31" s="1"/>
  <c r="E49" i="31" s="1"/>
  <c r="I58" i="15"/>
  <c r="I45" i="15" s="1"/>
  <c r="I42" i="15" s="1"/>
  <c r="L70" i="15"/>
  <c r="F70" i="15"/>
  <c r="L276" i="15"/>
  <c r="U43" i="15"/>
  <c r="U40" i="15" s="1"/>
  <c r="W17" i="7"/>
  <c r="W18" i="7" s="1"/>
  <c r="F160" i="15"/>
  <c r="H33" i="7"/>
  <c r="O43" i="15"/>
  <c r="O40" i="15" s="1"/>
  <c r="Q17" i="7"/>
  <c r="Q18" i="7" s="1"/>
  <c r="U59" i="15"/>
  <c r="U70" i="15"/>
  <c r="O70" i="15"/>
  <c r="O59" i="15"/>
  <c r="F276" i="15"/>
  <c r="M44" i="30" l="1"/>
  <c r="I44" i="30"/>
  <c r="O258" i="15"/>
  <c r="O253" i="15" s="1"/>
  <c r="O128" i="15" s="1"/>
  <c r="L258" i="15"/>
  <c r="L253" i="15" s="1"/>
  <c r="L128" i="15" s="1"/>
  <c r="R258" i="15"/>
  <c r="R253" i="15" s="1"/>
  <c r="R259" i="15" s="1"/>
  <c r="I258" i="15"/>
  <c r="I265" i="15" s="1"/>
  <c r="U161" i="15"/>
  <c r="U258" i="15"/>
  <c r="U253" i="15" s="1"/>
  <c r="U259" i="15" s="1"/>
  <c r="H65" i="7"/>
  <c r="H66" i="7" s="1"/>
  <c r="O285" i="15"/>
  <c r="O286" i="15" s="1"/>
  <c r="U285" i="15"/>
  <c r="U286" i="15" s="1"/>
  <c r="F158" i="15"/>
  <c r="F156" i="15" s="1"/>
  <c r="H59" i="7" s="1"/>
  <c r="R161" i="15"/>
  <c r="Q68" i="7"/>
  <c r="Q69" i="7" s="1"/>
  <c r="I161" i="15"/>
  <c r="O163" i="15"/>
  <c r="O162" i="15" s="1"/>
  <c r="O167" i="15"/>
  <c r="O166" i="15" s="1"/>
  <c r="U163" i="15"/>
  <c r="U162" i="15" s="1"/>
  <c r="U167" i="15"/>
  <c r="U166" i="15" s="1"/>
  <c r="L163" i="15"/>
  <c r="L162" i="15" s="1"/>
  <c r="L167" i="15"/>
  <c r="L166" i="15" s="1"/>
  <c r="I74" i="15"/>
  <c r="F129" i="15"/>
  <c r="F130" i="15" s="1"/>
  <c r="F131" i="15" s="1"/>
  <c r="R275" i="15"/>
  <c r="R74" i="15"/>
  <c r="R276" i="15" s="1"/>
  <c r="U111" i="15"/>
  <c r="U109" i="15" s="1"/>
  <c r="W62" i="7" s="1"/>
  <c r="W65" i="7" s="1"/>
  <c r="W66" i="7" s="1"/>
  <c r="L285" i="15"/>
  <c r="L286" i="15" s="1"/>
  <c r="O109" i="15"/>
  <c r="Q62" i="7" s="1"/>
  <c r="Q65" i="7" s="1"/>
  <c r="Q66" i="7" s="1"/>
  <c r="O78" i="15"/>
  <c r="U78" i="15"/>
  <c r="L109" i="15"/>
  <c r="N62" i="7" s="1"/>
  <c r="N65" i="7" s="1"/>
  <c r="N66" i="7" s="1"/>
  <c r="L78" i="15"/>
  <c r="F285" i="15"/>
  <c r="F286" i="15" s="1"/>
  <c r="L160" i="15"/>
  <c r="L158" i="15" s="1"/>
  <c r="L156" i="15" s="1"/>
  <c r="N33" i="7"/>
  <c r="Q33" i="7"/>
  <c r="W33" i="7"/>
  <c r="F259" i="15"/>
  <c r="R43" i="15"/>
  <c r="R40" i="15" s="1"/>
  <c r="U77" i="15"/>
  <c r="F77" i="15"/>
  <c r="F82" i="15" s="1"/>
  <c r="F79" i="15" s="1"/>
  <c r="N51" i="7"/>
  <c r="N118" i="7" s="1"/>
  <c r="L77" i="15"/>
  <c r="R73" i="15"/>
  <c r="R59" i="15" s="1"/>
  <c r="O77" i="15"/>
  <c r="I43" i="15"/>
  <c r="I40" i="15" s="1"/>
  <c r="I111" i="15" s="1"/>
  <c r="K17" i="7"/>
  <c r="I59" i="15"/>
  <c r="I70" i="15"/>
  <c r="H51" i="7"/>
  <c r="H118" i="7" s="1"/>
  <c r="G49" i="7"/>
  <c r="E275" i="15"/>
  <c r="W51" i="7"/>
  <c r="W118" i="7" s="1"/>
  <c r="O160" i="15"/>
  <c r="O158" i="15" s="1"/>
  <c r="O156" i="15" s="1"/>
  <c r="O276" i="15"/>
  <c r="U276" i="15"/>
  <c r="Q51" i="7"/>
  <c r="Q118" i="7" s="1"/>
  <c r="U160" i="15"/>
  <c r="U158" i="15" s="1"/>
  <c r="K275" i="15"/>
  <c r="O259" i="15" l="1"/>
  <c r="Q123" i="7" s="1"/>
  <c r="I37" i="30"/>
  <c r="I35" i="31"/>
  <c r="O129" i="15"/>
  <c r="O130" i="15" s="1"/>
  <c r="O131" i="15" s="1"/>
  <c r="Q49" i="7" s="1"/>
  <c r="O265" i="15"/>
  <c r="O263" i="15" s="1"/>
  <c r="Q124" i="7" s="1"/>
  <c r="L265" i="15"/>
  <c r="L263" i="15" s="1"/>
  <c r="N124" i="7" s="1"/>
  <c r="L48" i="31" s="1"/>
  <c r="M49" i="31" s="1"/>
  <c r="R265" i="15"/>
  <c r="R263" i="15" s="1"/>
  <c r="T124" i="7" s="1"/>
  <c r="U265" i="15"/>
  <c r="U263" i="15" s="1"/>
  <c r="W124" i="7" s="1"/>
  <c r="U156" i="15"/>
  <c r="W59" i="7" s="1"/>
  <c r="U104" i="15" s="1"/>
  <c r="U282" i="15"/>
  <c r="W123" i="7"/>
  <c r="R282" i="15"/>
  <c r="T123" i="7"/>
  <c r="F282" i="15"/>
  <c r="H123" i="7"/>
  <c r="O82" i="15"/>
  <c r="O79" i="15" s="1"/>
  <c r="F284" i="15"/>
  <c r="I285" i="15"/>
  <c r="I286" i="15" s="1"/>
  <c r="L82" i="15"/>
  <c r="L79" i="15" s="1"/>
  <c r="U82" i="15"/>
  <c r="U79" i="15" s="1"/>
  <c r="I163" i="15"/>
  <c r="I162" i="15" s="1"/>
  <c r="I167" i="15"/>
  <c r="I166" i="15" s="1"/>
  <c r="R163" i="15"/>
  <c r="R162" i="15" s="1"/>
  <c r="R167" i="15"/>
  <c r="R166" i="15" s="1"/>
  <c r="R281" i="15"/>
  <c r="F283" i="15"/>
  <c r="H49" i="7"/>
  <c r="U281" i="15"/>
  <c r="R128" i="15"/>
  <c r="U128" i="15"/>
  <c r="R78" i="15"/>
  <c r="AB70" i="3"/>
  <c r="AA70" i="3" s="1"/>
  <c r="O282" i="15"/>
  <c r="K18" i="7"/>
  <c r="F75" i="15"/>
  <c r="H19" i="7" s="1"/>
  <c r="H20" i="7" s="1"/>
  <c r="L129" i="15"/>
  <c r="L283" i="15" s="1"/>
  <c r="L259" i="15"/>
  <c r="N123" i="7" s="1"/>
  <c r="N59" i="7"/>
  <c r="N60" i="7" s="1"/>
  <c r="I109" i="15"/>
  <c r="K62" i="7" s="1"/>
  <c r="K65" i="7" s="1"/>
  <c r="K66" i="7" s="1"/>
  <c r="I78" i="15"/>
  <c r="I263" i="15"/>
  <c r="K124" i="7" s="1"/>
  <c r="H48" i="31" s="1"/>
  <c r="I49" i="31" s="1"/>
  <c r="I253" i="15"/>
  <c r="T33" i="7"/>
  <c r="R109" i="15"/>
  <c r="T62" i="7" s="1"/>
  <c r="T65" i="7" s="1"/>
  <c r="T66" i="7" s="1"/>
  <c r="O281" i="15"/>
  <c r="R70" i="15"/>
  <c r="E276" i="15"/>
  <c r="K276" i="15"/>
  <c r="Q59" i="7"/>
  <c r="Q60" i="7" s="1"/>
  <c r="K33" i="7"/>
  <c r="F281" i="15"/>
  <c r="F76" i="15"/>
  <c r="G76" i="15" s="1"/>
  <c r="F277" i="15"/>
  <c r="R160" i="15"/>
  <c r="I77" i="15"/>
  <c r="L277" i="15"/>
  <c r="Q275" i="15"/>
  <c r="L75" i="15"/>
  <c r="N19" i="7" s="1"/>
  <c r="L76" i="15"/>
  <c r="M76" i="15" s="1"/>
  <c r="I276" i="15"/>
  <c r="K51" i="7"/>
  <c r="K118" i="7" s="1"/>
  <c r="I160" i="15"/>
  <c r="I158" i="15" s="1"/>
  <c r="I156" i="15" s="1"/>
  <c r="U75" i="15"/>
  <c r="W19" i="7" s="1"/>
  <c r="U277" i="15"/>
  <c r="U76" i="15"/>
  <c r="O76" i="15"/>
  <c r="P76" i="15" s="1"/>
  <c r="O277" i="15"/>
  <c r="N275" i="15"/>
  <c r="O75" i="15"/>
  <c r="Q19" i="7" s="1"/>
  <c r="T275" i="15"/>
  <c r="O283" i="15" l="1"/>
  <c r="O284" i="15"/>
  <c r="R158" i="15"/>
  <c r="R156" i="15" s="1"/>
  <c r="I82" i="15"/>
  <c r="I79" i="15" s="1"/>
  <c r="R129" i="15"/>
  <c r="R284" i="15" s="1"/>
  <c r="U129" i="15"/>
  <c r="U284" i="15" s="1"/>
  <c r="U106" i="15"/>
  <c r="Q20" i="7"/>
  <c r="F280" i="15"/>
  <c r="H60" i="7"/>
  <c r="Q71" i="7"/>
  <c r="Q72" i="7" s="1"/>
  <c r="N71" i="7"/>
  <c r="N72" i="7" s="1"/>
  <c r="W20" i="7"/>
  <c r="L282" i="15"/>
  <c r="N20" i="7"/>
  <c r="H83" i="7"/>
  <c r="H87" i="7" s="1"/>
  <c r="L281" i="15"/>
  <c r="L130" i="15"/>
  <c r="L131" i="15" s="1"/>
  <c r="L284" i="15"/>
  <c r="L104" i="15"/>
  <c r="L280" i="15"/>
  <c r="E277" i="15"/>
  <c r="E278" i="15" s="1"/>
  <c r="I259" i="15"/>
  <c r="I128" i="15"/>
  <c r="T51" i="7"/>
  <c r="T118" i="7" s="1"/>
  <c r="R285" i="15"/>
  <c r="R286" i="15" s="1"/>
  <c r="R77" i="15"/>
  <c r="R82" i="15" s="1"/>
  <c r="K277" i="15"/>
  <c r="K278" i="15" s="1"/>
  <c r="K59" i="7"/>
  <c r="I104" i="15" s="1"/>
  <c r="L279" i="15"/>
  <c r="Q276" i="15"/>
  <c r="N276" i="15"/>
  <c r="N277" i="15" s="1"/>
  <c r="N278" i="15" s="1"/>
  <c r="T276" i="15"/>
  <c r="T277" i="15" s="1"/>
  <c r="T278" i="15" s="1"/>
  <c r="F104" i="15"/>
  <c r="U280" i="15"/>
  <c r="O280" i="15"/>
  <c r="W60" i="7"/>
  <c r="F278" i="15"/>
  <c r="O104" i="15"/>
  <c r="N83" i="7"/>
  <c r="N87" i="7" s="1"/>
  <c r="L278" i="15"/>
  <c r="I75" i="15"/>
  <c r="K19" i="7" s="1"/>
  <c r="W83" i="7"/>
  <c r="W87" i="7" s="1"/>
  <c r="I277" i="15"/>
  <c r="I76" i="15"/>
  <c r="J76" i="15" s="1"/>
  <c r="H275" i="15"/>
  <c r="O279" i="15"/>
  <c r="U278" i="15"/>
  <c r="Q83" i="7"/>
  <c r="Q87" i="7" s="1"/>
  <c r="O278" i="15"/>
  <c r="M43" i="30" l="1"/>
  <c r="M41" i="31"/>
  <c r="E43" i="30"/>
  <c r="E41" i="31"/>
  <c r="M42" i="30"/>
  <c r="M40" i="31"/>
  <c r="I282" i="15"/>
  <c r="K123" i="7"/>
  <c r="U98" i="15"/>
  <c r="W32" i="7" s="1"/>
  <c r="R283" i="15"/>
  <c r="R130" i="15"/>
  <c r="R131" i="15" s="1"/>
  <c r="T49" i="7" s="1"/>
  <c r="U283" i="15"/>
  <c r="U130" i="15"/>
  <c r="O106" i="15"/>
  <c r="O98" i="15" s="1"/>
  <c r="L106" i="15"/>
  <c r="L98" i="15" s="1"/>
  <c r="F106" i="15"/>
  <c r="F98" i="15" s="1"/>
  <c r="I106" i="15"/>
  <c r="K20" i="7"/>
  <c r="H71" i="7"/>
  <c r="H72" i="7" s="1"/>
  <c r="W71" i="7"/>
  <c r="W72" i="7" s="1"/>
  <c r="T59" i="7"/>
  <c r="R280" i="15" s="1"/>
  <c r="K83" i="7"/>
  <c r="K87" i="7" s="1"/>
  <c r="N49" i="7"/>
  <c r="I129" i="15"/>
  <c r="I283" i="15" s="1"/>
  <c r="R76" i="15"/>
  <c r="S76" i="15" s="1"/>
  <c r="R79" i="15"/>
  <c r="I281" i="15"/>
  <c r="R75" i="15"/>
  <c r="T19" i="7" s="1"/>
  <c r="R277" i="15"/>
  <c r="Q277" i="15" s="1"/>
  <c r="K279" i="15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U279" i="15"/>
  <c r="T279" i="15" s="1"/>
  <c r="H276" i="15"/>
  <c r="F279" i="15"/>
  <c r="E279" i="15" s="1"/>
  <c r="I280" i="15"/>
  <c r="K60" i="7"/>
  <c r="I278" i="15"/>
  <c r="N279" i="15"/>
  <c r="E42" i="30" l="1"/>
  <c r="E40" i="31"/>
  <c r="I43" i="30"/>
  <c r="I41" i="31"/>
  <c r="W28" i="7"/>
  <c r="I98" i="15"/>
  <c r="K29" i="7" s="1"/>
  <c r="U101" i="15"/>
  <c r="W34" i="7" s="1"/>
  <c r="U102" i="15"/>
  <c r="U24" i="15"/>
  <c r="U23" i="15" s="1"/>
  <c r="U224" i="15" s="1"/>
  <c r="U223" i="15" s="1"/>
  <c r="U107" i="15"/>
  <c r="U108" i="15" s="1"/>
  <c r="W35" i="7" s="1"/>
  <c r="W37" i="7"/>
  <c r="W39" i="7" s="1"/>
  <c r="W29" i="7"/>
  <c r="T60" i="7"/>
  <c r="T71" i="7" s="1"/>
  <c r="T72" i="7" s="1"/>
  <c r="U131" i="15"/>
  <c r="W49" i="7" s="1"/>
  <c r="Q32" i="7"/>
  <c r="Q29" i="7"/>
  <c r="O107" i="15"/>
  <c r="O108" i="15" s="1"/>
  <c r="Q35" i="7" s="1"/>
  <c r="Q28" i="7"/>
  <c r="O101" i="15"/>
  <c r="N29" i="7"/>
  <c r="N32" i="7"/>
  <c r="H29" i="7"/>
  <c r="H32" i="7"/>
  <c r="K71" i="7"/>
  <c r="K72" i="7" s="1"/>
  <c r="T20" i="7"/>
  <c r="R104" i="15"/>
  <c r="O24" i="15"/>
  <c r="O23" i="15" s="1"/>
  <c r="O102" i="15"/>
  <c r="Q37" i="7"/>
  <c r="Q39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T83" i="7"/>
  <c r="T87" i="7" s="1"/>
  <c r="I130" i="15"/>
  <c r="I284" i="15"/>
  <c r="N130" i="7"/>
  <c r="N131" i="7"/>
  <c r="N133" i="7"/>
  <c r="N132" i="7"/>
  <c r="R278" i="15"/>
  <c r="N135" i="7"/>
  <c r="N134" i="7"/>
  <c r="T280" i="15"/>
  <c r="T281" i="15" s="1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H277" i="15"/>
  <c r="E280" i="15"/>
  <c r="E281" i="15" s="1"/>
  <c r="Q278" i="15"/>
  <c r="I279" i="15"/>
  <c r="N280" i="15"/>
  <c r="I42" i="30" l="1"/>
  <c r="I40" i="31"/>
  <c r="Q34" i="7"/>
  <c r="Q36" i="7" s="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79" i="15"/>
  <c r="Q279" i="15" s="1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I131" i="15"/>
  <c r="K49" i="7" s="1"/>
  <c r="R106" i="15"/>
  <c r="R98" i="15" s="1"/>
  <c r="F224" i="15"/>
  <c r="L224" i="15"/>
  <c r="L108" i="15"/>
  <c r="N35" i="7" s="1"/>
  <c r="F108" i="15"/>
  <c r="H35" i="7" s="1"/>
  <c r="O224" i="15"/>
  <c r="W42" i="7"/>
  <c r="W36" i="7"/>
  <c r="H34" i="7"/>
  <c r="N34" i="7"/>
  <c r="W130" i="7"/>
  <c r="W43" i="7"/>
  <c r="W45" i="7" s="1"/>
  <c r="W21" i="7"/>
  <c r="W23" i="7" s="1"/>
  <c r="W25" i="7" s="1"/>
  <c r="H278" i="15"/>
  <c r="H279" i="15" s="1"/>
  <c r="T292" i="15"/>
  <c r="W131" i="7" s="1"/>
  <c r="W132" i="7"/>
  <c r="W134" i="7"/>
  <c r="E282" i="15"/>
  <c r="N281" i="15"/>
  <c r="N282" i="15" s="1"/>
  <c r="N283" i="15" s="1"/>
  <c r="N284" i="15" s="1"/>
  <c r="N285" i="15" s="1"/>
  <c r="N286" i="15" s="1"/>
  <c r="N287" i="15" s="1"/>
  <c r="N288" i="15" s="1"/>
  <c r="N289" i="15" s="1"/>
  <c r="N290" i="15" s="1"/>
  <c r="N291" i="15" s="1"/>
  <c r="K34" i="7" l="1"/>
  <c r="K36" i="7" s="1"/>
  <c r="Q42" i="7"/>
  <c r="T29" i="7"/>
  <c r="R24" i="15"/>
  <c r="R23" i="15" s="1"/>
  <c r="R224" i="15" s="1"/>
  <c r="T21" i="7" s="1"/>
  <c r="T23" i="7" s="1"/>
  <c r="T25" i="7" s="1"/>
  <c r="R107" i="15"/>
  <c r="R108" i="15" s="1"/>
  <c r="T35" i="7" s="1"/>
  <c r="T37" i="7"/>
  <c r="T39" i="7" s="1"/>
  <c r="R102" i="15"/>
  <c r="T32" i="7"/>
  <c r="T28" i="7"/>
  <c r="R101" i="15"/>
  <c r="W47" i="7"/>
  <c r="W100" i="7" s="1"/>
  <c r="O223" i="15"/>
  <c r="Q21" i="7"/>
  <c r="Q23" i="7" s="1"/>
  <c r="Q25" i="7" s="1"/>
  <c r="Q2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W26" i="7"/>
  <c r="T131" i="7"/>
  <c r="T130" i="7"/>
  <c r="K43" i="7"/>
  <c r="K45" i="7" s="1"/>
  <c r="K21" i="7"/>
  <c r="K23" i="7" s="1"/>
  <c r="I36" i="31" s="1"/>
  <c r="H280" i="15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T135" i="7"/>
  <c r="T133" i="7"/>
  <c r="T132" i="7"/>
  <c r="T134" i="7"/>
  <c r="W135" i="7"/>
  <c r="W133" i="7"/>
  <c r="Q134" i="7"/>
  <c r="Q132" i="7"/>
  <c r="Q130" i="7"/>
  <c r="N292" i="15"/>
  <c r="Q131" i="7" s="1"/>
  <c r="E283" i="15"/>
  <c r="E38" i="30" l="1"/>
  <c r="E36" i="31"/>
  <c r="K42" i="7"/>
  <c r="K47" i="7" s="1"/>
  <c r="T34" i="7"/>
  <c r="T42" i="7" s="1"/>
  <c r="R223" i="15"/>
  <c r="T43" i="7" s="1"/>
  <c r="T45" i="7" s="1"/>
  <c r="K25" i="7"/>
  <c r="I38" i="30"/>
  <c r="N25" i="7"/>
  <c r="M38" i="30"/>
  <c r="W114" i="7"/>
  <c r="N43" i="7"/>
  <c r="N45" i="7" s="1"/>
  <c r="N47" i="7" s="1"/>
  <c r="M39" i="31" s="1"/>
  <c r="Q43" i="7"/>
  <c r="Q45" i="7" s="1"/>
  <c r="Q47" i="7" s="1"/>
  <c r="Q100" i="7" s="1"/>
  <c r="Q114" i="7" s="1"/>
  <c r="H47" i="7"/>
  <c r="E39" i="31" s="1"/>
  <c r="H25" i="7"/>
  <c r="T26" i="7"/>
  <c r="W103" i="7"/>
  <c r="W104" i="7" s="1"/>
  <c r="K132" i="7"/>
  <c r="K131" i="7"/>
  <c r="K135" i="7"/>
  <c r="K130" i="7"/>
  <c r="K134" i="7"/>
  <c r="K133" i="7"/>
  <c r="E284" i="15"/>
  <c r="E285" i="15" s="1"/>
  <c r="E286" i="15" s="1"/>
  <c r="E287" i="15" s="1"/>
  <c r="E288" i="15" s="1"/>
  <c r="E289" i="15" s="1"/>
  <c r="E290" i="15" s="1"/>
  <c r="E291" i="15" s="1"/>
  <c r="E292" i="15" s="1"/>
  <c r="H133" i="7" s="1"/>
  <c r="Q135" i="7"/>
  <c r="Q133" i="7"/>
  <c r="I41" i="30" l="1"/>
  <c r="I39" i="31"/>
  <c r="E39" i="30"/>
  <c r="E37" i="31"/>
  <c r="D33" i="31" s="1"/>
  <c r="I39" i="30"/>
  <c r="I37" i="31"/>
  <c r="H33" i="31" s="1"/>
  <c r="M39" i="30"/>
  <c r="M37" i="31"/>
  <c r="L33" i="31" s="1"/>
  <c r="T36" i="7"/>
  <c r="T47" i="7" s="1"/>
  <c r="T100" i="7" s="1"/>
  <c r="T103" i="7" s="1"/>
  <c r="T104" i="7" s="1"/>
  <c r="H100" i="7"/>
  <c r="H103" i="7" s="1"/>
  <c r="E43" i="31" s="1"/>
  <c r="D38" i="31" s="1"/>
  <c r="D57" i="31" s="1"/>
  <c r="E41" i="30"/>
  <c r="N26" i="7"/>
  <c r="L35" i="30" s="1"/>
  <c r="N100" i="7"/>
  <c r="N103" i="7" s="1"/>
  <c r="M43" i="31" s="1"/>
  <c r="L38" i="31" s="1"/>
  <c r="M41" i="30"/>
  <c r="H26" i="7"/>
  <c r="D35" i="30" s="1"/>
  <c r="W107" i="7"/>
  <c r="W109" i="7" s="1"/>
  <c r="K26" i="7"/>
  <c r="H35" i="30" s="1"/>
  <c r="Q103" i="7"/>
  <c r="Q104" i="7" s="1"/>
  <c r="K100" i="7"/>
  <c r="H131" i="7"/>
  <c r="H130" i="7"/>
  <c r="H132" i="7"/>
  <c r="H135" i="7"/>
  <c r="H134" i="7"/>
  <c r="C57" i="31" l="1"/>
  <c r="D58" i="31" s="1"/>
  <c r="E58" i="31" s="1"/>
  <c r="C63" i="31"/>
  <c r="D64" i="31" s="1"/>
  <c r="C68" i="31"/>
  <c r="D69" i="31" s="1"/>
  <c r="N114" i="7"/>
  <c r="T114" i="7"/>
  <c r="K114" i="7"/>
  <c r="H114" i="7"/>
  <c r="N104" i="7"/>
  <c r="D68" i="31" s="1"/>
  <c r="H104" i="7"/>
  <c r="T107" i="7"/>
  <c r="T109" i="7" s="1"/>
  <c r="K103" i="7"/>
  <c r="I43" i="31" s="1"/>
  <c r="H38" i="31" s="1"/>
  <c r="Q107" i="7"/>
  <c r="Q109" i="7" s="1"/>
  <c r="Q110" i="7"/>
  <c r="W110" i="7"/>
  <c r="W111" i="7" s="1"/>
  <c r="L47" i="30" l="1"/>
  <c r="L45" i="31"/>
  <c r="E69" i="31"/>
  <c r="D47" i="30"/>
  <c r="D45" i="31"/>
  <c r="H47" i="30"/>
  <c r="H45" i="31"/>
  <c r="N110" i="7"/>
  <c r="L40" i="30"/>
  <c r="M45" i="30"/>
  <c r="E45" i="30"/>
  <c r="D40" i="30"/>
  <c r="K104" i="7"/>
  <c r="H107" i="7"/>
  <c r="H109" i="7" s="1"/>
  <c r="N107" i="7"/>
  <c r="H110" i="7"/>
  <c r="Q111" i="7"/>
  <c r="W116" i="7"/>
  <c r="W2" i="7" s="1"/>
  <c r="W3" i="7" s="1"/>
  <c r="W4" i="7" s="1"/>
  <c r="T110" i="7"/>
  <c r="F63" i="31" l="1"/>
  <c r="F68" i="31"/>
  <c r="F57" i="31"/>
  <c r="D63" i="31"/>
  <c r="E64" i="31" s="1"/>
  <c r="K107" i="7"/>
  <c r="K109" i="7" s="1"/>
  <c r="I45" i="30"/>
  <c r="H40" i="30"/>
  <c r="N109" i="7"/>
  <c r="N111" i="7" s="1"/>
  <c r="L44" i="31" s="1"/>
  <c r="H111" i="7"/>
  <c r="D44" i="31" s="1"/>
  <c r="K110" i="7"/>
  <c r="Q116" i="7"/>
  <c r="Q2" i="7" s="1"/>
  <c r="Q3" i="7" s="1"/>
  <c r="Q4" i="7" s="1"/>
  <c r="W121" i="7"/>
  <c r="W122" i="7" s="1"/>
  <c r="T111" i="7"/>
  <c r="E57" i="31" l="1"/>
  <c r="F58" i="31" s="1"/>
  <c r="D46" i="31"/>
  <c r="E47" i="31" s="1"/>
  <c r="E68" i="31"/>
  <c r="F69" i="31" s="1"/>
  <c r="L46" i="31"/>
  <c r="M47" i="31" s="1"/>
  <c r="K111" i="7"/>
  <c r="N116" i="7"/>
  <c r="N2" i="7" s="1"/>
  <c r="N3" i="7" s="1"/>
  <c r="N4" i="7" s="1"/>
  <c r="L46" i="30"/>
  <c r="L48" i="30" s="1"/>
  <c r="H116" i="7"/>
  <c r="H2" i="7" s="1"/>
  <c r="H3" i="7" s="1"/>
  <c r="H4" i="7" s="1"/>
  <c r="D46" i="30"/>
  <c r="D48" i="30" s="1"/>
  <c r="Q121" i="7"/>
  <c r="Q122" i="7" s="1"/>
  <c r="T116" i="7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16" i="7"/>
  <c r="K2" i="7" s="1"/>
  <c r="K3" i="7" s="1"/>
  <c r="K4" i="7" s="1"/>
  <c r="H121" i="7"/>
  <c r="H122" i="7" s="1"/>
  <c r="N121" i="7"/>
  <c r="N122" i="7" s="1"/>
  <c r="E46" i="30"/>
  <c r="E47" i="30"/>
  <c r="M46" i="30"/>
  <c r="M47" i="30"/>
  <c r="T121" i="7"/>
  <c r="T122" i="7" s="1"/>
  <c r="T2" i="7"/>
  <c r="T3" i="7" s="1"/>
  <c r="T4" i="7" s="1"/>
  <c r="I46" i="30" l="1"/>
  <c r="E63" i="31"/>
  <c r="F64" i="31" s="1"/>
  <c r="H46" i="31"/>
  <c r="I47" i="31" s="1"/>
  <c r="K121" i="7"/>
  <c r="K122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1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1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1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1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9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AB8247-E2DB-433A-A470-0DE2BED31D05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9FD980AB-371D-4DED-BED8-FA525EEF90A6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640989FE-79C8-498E-B5BF-AEC009A09839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F9E3DC29-E66E-4E97-9A73-B2255858E641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C93EB0B0-4F04-4785-846A-466118C1A429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<sst xmlns="http://schemas.openxmlformats.org/spreadsheetml/2006/main" count="3647" uniqueCount="999">
  <si>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</si>
  <si>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</si>
  <si>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</si>
  <si>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</si>
  <si>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</si>
  <si>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</si>
  <si>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</si>
  <si>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</si>
  <si>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</si>
  <si>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</si>
  <si>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</si>
  <si>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</si>
  <si>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</si>
  <si>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</si>
  <si>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</si>
  <si>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</si>
  <si>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</si>
  <si>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</si>
  <si>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</si>
  <si>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</si>
  <si>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</si>
  <si>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</si>
  <si>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</si>
  <si>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</si>
  <si>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</si>
  <si>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</si>
  <si>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</si>
  <si>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</si>
  <si>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</si>
  <si>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</si>
  <si>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</si>
  <si>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</si>
  <si>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</si>
  <si>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</si>
  <si>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</si>
  <si>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</si>
  <si>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</si>
  <si>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</si>
  <si>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</si>
  <si>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</si>
  <si>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</si>
  <si>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</si>
  <si>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</si>
  <si>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</si>
  <si>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</si>
  <si>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</si>
  <si>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</si>
  <si>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</si>
  <si>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</si>
  <si>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</si>
  <si>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</si>
  <si>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</si>
  <si>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</si>
  <si>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</si>
  <si>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</si>
  <si>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</si>
  <si>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</si>
  <si>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</si>
  <si>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</si>
  <si>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</si>
  <si>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</si>
  <si>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</si>
  <si>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</si>
  <si>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</si>
  <si>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</si>
  <si>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</si>
  <si>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</si>
  <si>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</si>
  <si>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</si>
  <si>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</si>
  <si>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</si>
  <si>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</si>
  <si>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</si>
  <si>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</si>
  <si>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</si>
  <si>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</si>
  <si>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</si>
  <si>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</si>
  <si>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</si>
  <si>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</si>
  <si>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</si>
  <si>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</si>
  <si>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</si>
  <si>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</si>
  <si>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</si>
  <si>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</si>
  <si>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</si>
  <si>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</si>
  <si>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</si>
  <si>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</si>
  <si>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</si>
  <si>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</si>
  <si>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</si>
  <si>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</si>
  <si>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</si>
  <si>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</si>
  <si>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</si>
  <si>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</si>
  <si>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</si>
  <si>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</si>
  <si>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</si>
  <si>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</si>
  <si>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</si>
  <si>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</si>
  <si>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</si>
  <si>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</si>
  <si>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</si>
  <si>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</si>
  <si>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</si>
  <si>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</si>
  <si>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</si>
  <si>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</si>
  <si>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</si>
  <si>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</si>
  <si>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</si>
  <si>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</si>
  <si>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</si>
  <si>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</si>
  <si>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</si>
  <si>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</si>
  <si>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</si>
  <si>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</si>
  <si>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</si>
  <si>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</si>
  <si>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</si>
  <si>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</si>
  <si>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</si>
  <si>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</si>
  <si>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</si>
  <si>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</si>
  <si>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</si>
  <si>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</si>
  <si>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</si>
  <si>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</si>
  <si>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</si>
  <si>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</si>
  <si>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</si>
  <si>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</si>
  <si>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</si>
  <si>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</si>
  <si>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</si>
  <si>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</si>
  <si>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</si>
  <si>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</si>
  <si>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</si>
  <si>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</si>
  <si>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</si>
  <si>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</si>
  <si>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</si>
  <si>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</si>
  <si>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</si>
  <si>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</si>
  <si>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</si>
  <si>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</si>
  <si>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</si>
  <si>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</si>
  <si>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</si>
  <si>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</si>
  <si>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</si>
  <si>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</si>
  <si>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</si>
  <si>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</si>
  <si>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</si>
  <si>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</si>
  <si>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</si>
  <si>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</si>
  <si>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</si>
  <si>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</si>
  <si>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</si>
  <si>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</si>
  <si>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</si>
  <si>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</si>
  <si>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S4</t>
  </si>
  <si>
    <t>S5</t>
  </si>
  <si>
    <t>S6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</si>
  <si>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</si>
  <si>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</si>
  <si>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</si>
  <si>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</si>
  <si>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</si>
  <si>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</si>
  <si>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</si>
  <si>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</si>
  <si>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</si>
  <si>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</si>
  <si>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</si>
  <si>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</si>
  <si>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</si>
  <si>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</si>
  <si>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</si>
  <si>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</si>
  <si>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</si>
  <si>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</si>
  <si>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</si>
  <si>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</si>
  <si>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</si>
  <si>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</si>
  <si>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</si>
  <si>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</si>
  <si>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</si>
  <si>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</si>
  <si>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</si>
  <si>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</si>
  <si>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</si>
  <si>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</si>
  <si>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</si>
  <si>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</si>
  <si>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</si>
  <si>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</si>
  <si>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</si>
  <si>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</si>
  <si>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</si>
  <si>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</si>
  <si>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</si>
  <si>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</si>
  <si>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</si>
  <si>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</si>
  <si>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</si>
  <si>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</si>
  <si>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</si>
  <si>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</si>
  <si>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</si>
  <si>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</si>
  <si>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</si>
  <si>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</si>
  <si>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</si>
  <si>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</si>
  <si>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</si>
  <si>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</si>
  <si>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</si>
  <si>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</si>
  <si>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</si>
  <si>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</si>
  <si>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</si>
  <si>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</si>
  <si>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</si>
  <si>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</si>
  <si>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</si>
  <si>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</si>
  <si>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</si>
  <si>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</si>
  <si>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</si>
  <si>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</si>
  <si>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</si>
  <si>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</si>
  <si>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</si>
  <si>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</si>
  <si>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</si>
  <si>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</si>
  <si>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</si>
  <si>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</si>
  <si>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</si>
  <si>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</si>
  <si>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</si>
  <si>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</si>
  <si>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</si>
  <si>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</si>
  <si>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</si>
  <si>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</si>
  <si>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</si>
  <si>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</si>
  <si>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</si>
  <si>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</si>
  <si>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</si>
  <si>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</si>
  <si>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</si>
  <si>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</si>
  <si>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</si>
  <si>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</si>
  <si>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</si>
  <si>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</si>
  <si>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</si>
  <si>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</si>
  <si>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</si>
  <si>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</si>
  <si>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</si>
  <si>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</si>
  <si>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</si>
  <si>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</si>
  <si>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</si>
  <si>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</si>
  <si>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</si>
  <si>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</si>
  <si>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</si>
  <si>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</si>
  <si>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</si>
  <si>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</si>
  <si>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</si>
  <si>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</si>
  <si>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</si>
  <si>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</si>
  <si>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</si>
  <si>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</si>
  <si>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</si>
  <si>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</si>
  <si>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</si>
  <si>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</si>
  <si>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</si>
  <si>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</si>
  <si>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</si>
  <si>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</si>
  <si>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</si>
  <si>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</si>
  <si>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</si>
  <si>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</si>
  <si>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</si>
  <si>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</si>
  <si>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</si>
  <si>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</si>
  <si>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</si>
  <si>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</si>
  <si>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</si>
  <si>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</si>
  <si>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</si>
  <si>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</si>
  <si>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</si>
  <si>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</si>
  <si>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</si>
  <si>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</si>
  <si>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</si>
  <si>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</si>
  <si>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</si>
  <si>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</si>
  <si>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</si>
  <si>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</si>
  <si>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</si>
  <si>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</si>
  <si>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</si>
  <si>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</si>
  <si>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</si>
  <si>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</si>
  <si>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</si>
  <si>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</si>
  <si>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</si>
  <si>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</si>
  <si>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</si>
  <si>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</si>
  <si>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</si>
  <si>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</si>
  <si>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</si>
  <si>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</si>
  <si>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</si>
  <si>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</si>
  <si>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</si>
  <si>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</si>
  <si>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</si>
  <si>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</si>
  <si>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</si>
  <si>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</si>
  <si>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</si>
  <si>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</si>
  <si>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</si>
  <si>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</si>
  <si>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</si>
  <si>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</si>
  <si>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</si>
  <si>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</si>
  <si>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</si>
  <si>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</si>
  <si>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</si>
  <si>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</si>
  <si>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</si>
  <si>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</si>
  <si>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</si>
  <si>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</si>
  <si>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</si>
  <si>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</si>
  <si>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</si>
  <si>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</si>
  <si>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</si>
  <si>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</si>
  <si>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</si>
  <si>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</si>
  <si>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</si>
  <si>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</si>
  <si>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</si>
  <si>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</si>
  <si>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</si>
  <si>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</si>
  <si>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</si>
  <si>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</si>
  <si>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</si>
  <si>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</si>
  <si>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</si>
  <si>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</si>
  <si>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</si>
  <si>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</si>
  <si>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</si>
  <si>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</si>
  <si>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</si>
  <si>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</si>
  <si>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</si>
  <si>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</si>
  <si>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</si>
  <si>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</si>
  <si>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</si>
  <si>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</si>
  <si>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</si>
  <si>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</si>
  <si>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</si>
  <si>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</si>
  <si>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</si>
  <si>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</si>
  <si>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</si>
  <si>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</si>
  <si>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</si>
  <si>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</si>
  <si>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</si>
  <si>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</si>
  <si>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</si>
  <si>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</si>
  <si>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</si>
  <si>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</si>
  <si>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</si>
  <si>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</si>
  <si>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</si>
  <si>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</si>
  <si>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</si>
  <si>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</si>
  <si>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</si>
  <si>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</si>
  <si>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</si>
  <si>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</si>
  <si>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</si>
  <si>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</si>
  <si>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</si>
  <si>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</si>
  <si>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</si>
  <si>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</si>
  <si>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</si>
  <si>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</si>
  <si>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</si>
  <si>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</si>
  <si>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</si>
  <si>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</si>
  <si>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</si>
  <si>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</si>
  <si>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</si>
  <si>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</si>
  <si>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</si>
  <si>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</si>
  <si>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</si>
  <si>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</si>
  <si>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</si>
  <si>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</si>
  <si>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</si>
  <si>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</si>
  <si>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</si>
  <si>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</si>
  <si>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</si>
  <si>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</si>
  <si>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</si>
  <si>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</si>
  <si>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</si>
  <si>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</si>
  <si>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</si>
  <si>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</si>
  <si>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</si>
  <si>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</si>
  <si>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</si>
  <si>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</si>
  <si>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</si>
  <si>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</si>
  <si>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</si>
  <si>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</si>
  <si>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</si>
  <si>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</si>
  <si>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</si>
  <si>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</si>
  <si>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</si>
  <si>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</si>
  <si>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</si>
  <si>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</si>
  <si>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</si>
  <si>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</si>
  <si>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</si>
  <si>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</si>
  <si>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</si>
  <si>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</si>
  <si>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</si>
  <si>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</si>
  <si>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</si>
  <si>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</si>
  <si>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</si>
  <si>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</si>
  <si>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</si>
  <si>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</si>
  <si>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</si>
  <si>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</si>
  <si>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</si>
  <si>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</si>
  <si>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</si>
  <si>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</si>
  <si>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</si>
  <si>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</si>
  <si>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</si>
  <si>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</si>
  <si>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</si>
  <si>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</si>
  <si>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</si>
  <si>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</si>
  <si>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</si>
  <si>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</si>
  <si>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</si>
  <si>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</si>
  <si>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</si>
  <si>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</si>
  <si>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</si>
  <si>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</si>
  <si>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</si>
  <si>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</si>
  <si>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</si>
  <si>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</si>
  <si>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</si>
  <si>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</si>
  <si>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</si>
  <si>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</si>
  <si>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</si>
  <si>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</si>
  <si>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</si>
  <si>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</si>
  <si>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</si>
  <si>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</si>
  <si>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</si>
  <si>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</si>
  <si>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</si>
  <si>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</si>
  <si>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</si>
  <si>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</si>
  <si>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</si>
  <si>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</si>
  <si>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</si>
  <si>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</si>
  <si>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</si>
  <si>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</si>
  <si>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</si>
  <si>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</si>
  <si>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</si>
  <si>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</si>
  <si>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</si>
  <si>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</si>
  <si>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</si>
  <si>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</si>
  <si>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</si>
  <si>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</si>
  <si>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</si>
  <si>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</si>
  <si>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</si>
  <si>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</si>
  <si>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</si>
  <si>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</si>
  <si>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</si>
  <si>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</si>
  <si>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</si>
  <si>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</si>
  <si>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</si>
  <si>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</si>
  <si>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</si>
  <si>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</si>
  <si>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</si>
  <si>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</si>
  <si>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</si>
  <si>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</si>
  <si>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</si>
  <si>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</si>
  <si>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</si>
  <si>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</si>
  <si>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</si>
  <si>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</si>
  <si>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</si>
  <si>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</si>
  <si>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</si>
  <si>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</si>
  <si>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</si>
  <si>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</si>
  <si>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</si>
  <si>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</si>
  <si>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</si>
  <si>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</si>
  <si>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</si>
  <si>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</si>
  <si>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</si>
  <si>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</si>
  <si>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</si>
  <si>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</si>
  <si>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</si>
  <si>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</si>
  <si>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</si>
  <si>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</si>
  <si>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</si>
  <si>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</si>
  <si>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</si>
  <si>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</si>
  <si>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</si>
  <si>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</si>
  <si>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</si>
  <si>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</si>
  <si>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</si>
  <si>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</si>
  <si>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</si>
  <si>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</si>
  <si>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</si>
  <si>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</si>
  <si>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</si>
  <si>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</si>
  <si>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</si>
  <si>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</si>
  <si>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</si>
  <si>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</si>
  <si>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</si>
  <si>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</si>
  <si>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</si>
  <si>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</si>
  <si>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</si>
  <si>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</si>
  <si>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</si>
  <si>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</si>
  <si>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</si>
  <si>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</si>
  <si>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</si>
  <si>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</si>
  <si>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</si>
  <si>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</si>
  <si>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</si>
  <si>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</si>
  <si>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</si>
  <si>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</si>
  <si>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</si>
  <si>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</si>
  <si>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</si>
  <si>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</si>
  <si>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</si>
  <si>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</si>
  <si>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</si>
  <si>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</si>
  <si>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</si>
  <si>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</si>
  <si>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</si>
  <si>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</si>
  <si>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</si>
  <si>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</si>
  <si>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</si>
  <si>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</si>
  <si>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</si>
  <si>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</si>
  <si>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</si>
  <si>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</si>
  <si>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</si>
  <si>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</si>
  <si>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</si>
  <si>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</si>
  <si>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</si>
  <si>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</si>
  <si>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</si>
  <si>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</si>
  <si>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</si>
  <si>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</si>
  <si>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</si>
  <si>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</si>
  <si>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</si>
  <si>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</si>
  <si>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</si>
  <si>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</si>
  <si>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</si>
  <si>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</si>
  <si>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</si>
  <si>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</si>
  <si>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</si>
  <si>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</si>
  <si>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</si>
  <si>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</si>
  <si>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</si>
  <si>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</si>
  <si>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</si>
  <si>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</si>
  <si>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</si>
  <si>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</si>
  <si>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</si>
  <si>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</si>
  <si>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</si>
  <si>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</si>
  <si>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</si>
  <si>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</si>
  <si>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</si>
  <si>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</si>
  <si>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</si>
  <si>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</si>
  <si>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</si>
  <si>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</si>
  <si>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</si>
  <si>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</si>
  <si>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</si>
  <si>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</si>
  <si>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</si>
  <si>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</si>
  <si>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</si>
  <si>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</si>
  <si>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</si>
  <si>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</si>
  <si>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</si>
  <si>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</si>
  <si>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</si>
  <si>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</si>
  <si>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</si>
  <si>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</si>
  <si>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</si>
  <si>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</si>
  <si>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</si>
  <si>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</si>
  <si>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</si>
  <si>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</si>
  <si>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</si>
  <si>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</si>
  <si>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</si>
  <si>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</si>
  <si>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</si>
  <si>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</si>
  <si>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</si>
  <si>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</si>
  <si>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</si>
  <si>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</si>
  <si>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</si>
  <si>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</si>
  <si>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</si>
  <si>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</si>
  <si>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</si>
  <si>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</si>
  <si>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</si>
  <si>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</si>
  <si>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</si>
  <si>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</si>
  <si>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</si>
  <si>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</si>
  <si>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</si>
  <si>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</si>
  <si>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</si>
  <si>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</si>
  <si>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</si>
  <si>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</si>
  <si>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</si>
  <si>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</si>
  <si>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</si>
  <si>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</si>
  <si>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</si>
  <si>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</si>
  <si>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</si>
  <si>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</si>
  <si>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</si>
  <si>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</si>
  <si>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</si>
  <si>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</si>
  <si>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</si>
  <si>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</si>
  <si>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</si>
  <si>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</si>
  <si>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</si>
  <si>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</si>
  <si>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</si>
  <si>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</si>
  <si>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</si>
  <si>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</si>
  <si>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</si>
  <si>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</si>
  <si>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</si>
  <si>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</si>
  <si>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</si>
  <si>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</si>
  <si>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</si>
  <si>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</si>
  <si>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</si>
  <si>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</si>
  <si>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</si>
  <si>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</si>
  <si>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</si>
  <si>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</si>
  <si>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</si>
  <si>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</si>
  <si>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</si>
  <si>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</si>
  <si>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</si>
  <si>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</si>
  <si>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</si>
  <si>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</si>
  <si>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</si>
  <si>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</si>
  <si>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</si>
  <si>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</si>
  <si>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</si>
  <si>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</si>
  <si>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</si>
  <si>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</si>
  <si>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</si>
  <si>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</si>
  <si>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</si>
  <si>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</si>
  <si>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</si>
  <si>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</si>
  <si>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</si>
  <si>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</si>
  <si>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</si>
  <si>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</si>
  <si>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</si>
  <si>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</si>
  <si>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</si>
  <si>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</si>
  <si>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</si>
  <si>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</si>
  <si>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</si>
  <si>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</si>
  <si>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</si>
  <si>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</si>
  <si>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</si>
  <si>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</si>
  <si>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</si>
  <si>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</si>
  <si>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</si>
  <si>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</si>
  <si>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</si>
  <si>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</si>
  <si>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</si>
  <si>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</si>
  <si>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</si>
  <si>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</si>
  <si>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</si>
  <si>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</si>
  <si>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</si>
  <si>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</si>
  <si>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</si>
  <si>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</si>
  <si>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</si>
  <si>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</si>
  <si>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</si>
  <si>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</si>
  <si>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</si>
  <si>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</si>
  <si>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</si>
  <si>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</si>
  <si>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</si>
  <si>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</si>
  <si>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</si>
  <si>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</si>
  <si>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</si>
  <si>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</si>
  <si>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</si>
  <si>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</si>
  <si>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</si>
  <si>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</si>
  <si>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</si>
  <si>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</si>
  <si>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</si>
  <si>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</si>
  <si>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</si>
  <si>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</si>
  <si>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</si>
  <si>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</si>
  <si>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</si>
  <si>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</si>
  <si>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</si>
  <si>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</si>
  <si>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</si>
  <si>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</si>
  <si>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</si>
  <si>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</si>
  <si>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</si>
  <si>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</si>
  <si>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</si>
  <si>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</si>
  <si>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</si>
  <si>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</si>
  <si>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</si>
  <si>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</si>
  <si>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</si>
  <si>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</si>
  <si>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</si>
  <si>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</si>
  <si>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</si>
  <si>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</si>
  <si>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</si>
  <si>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</si>
  <si>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</si>
  <si>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</si>
  <si>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</si>
  <si>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</si>
  <si>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</si>
  <si>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</si>
  <si>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</si>
  <si>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</si>
  <si>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</si>
  <si>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</si>
  <si>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</si>
  <si>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</si>
  <si>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</si>
  <si>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</si>
  <si>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</si>
  <si>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</si>
  <si>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</si>
  <si>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</si>
  <si>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</si>
  <si>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</si>
  <si>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</si>
  <si>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</si>
  <si>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</si>
  <si>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</si>
  <si>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</si>
  <si>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</si>
  <si>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</si>
  <si>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</si>
  <si>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</si>
  <si>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</si>
  <si>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</si>
  <si>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</si>
  <si>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</si>
  <si>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</si>
  <si>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</si>
  <si>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</si>
  <si>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</si>
  <si>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</si>
  <si>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</si>
  <si>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</si>
  <si>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</si>
  <si>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</si>
  <si>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</si>
  <si>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</si>
  <si>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</si>
  <si>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</si>
  <si>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</si>
  <si>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</si>
  <si>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</si>
  <si>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</si>
  <si>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</si>
  <si>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</si>
  <si>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</si>
  <si>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</si>
  <si>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</si>
  <si>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</si>
  <si>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</si>
  <si>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</si>
  <si>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</si>
  <si>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</si>
  <si>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</si>
  <si>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</si>
  <si>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</si>
  <si>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</si>
  <si>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</si>
  <si>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</si>
  <si>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</si>
  <si>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</si>
  <si>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</si>
  <si>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</si>
  <si>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</si>
  <si>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</si>
  <si>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</si>
  <si>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</si>
  <si>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</si>
  <si>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</si>
  <si>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</si>
  <si>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</si>
  <si>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</si>
  <si>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</si>
  <si>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</si>
  <si>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</si>
  <si>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</si>
  <si>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</si>
  <si>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</si>
  <si>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</si>
  <si>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</si>
  <si>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</si>
  <si>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</si>
  <si>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</si>
  <si>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</si>
  <si>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</si>
  <si>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</si>
  <si>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</si>
  <si>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</si>
  <si>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</si>
  <si>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</si>
  <si>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</si>
  <si>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</si>
  <si>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</si>
  <si>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</si>
  <si>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</si>
  <si>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</si>
  <si>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</si>
  <si>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</si>
  <si>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</si>
  <si>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</si>
  <si>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</si>
  <si>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</si>
  <si>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</si>
  <si>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Farbeindring</t>
  </si>
  <si>
    <t>Farbeindring Karl Deutsch</t>
  </si>
  <si>
    <t>Imprägnierung</t>
  </si>
  <si>
    <t>automatic</t>
  </si>
  <si>
    <t>T6 Wärmebehandlung 750kg /h</t>
  </si>
  <si>
    <t>T5 Aushärten</t>
  </si>
  <si>
    <t>Strahlenanlage</t>
  </si>
  <si>
    <t>Trovallieren/Gleitschleifen</t>
  </si>
  <si>
    <t>VT Prüfzeit/Teil (sec)</t>
  </si>
  <si>
    <t>VT testing time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</si>
</sst>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9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7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15" fillId="2" borderId="2" xfId="0" applyFont="1" applyFill="1" applyBorder="1"/>
    <xf numFmtId="0" fontId="15" fillId="2" borderId="2" xfId="0" applyFont="1" applyFill="1" applyBorder="1" applyAlignment="1">
      <alignment horizontal="left"/>
    </xf>
    <xf numFmtId="9" fontId="15" fillId="2" borderId="2" xfId="5" applyFont="1" applyFill="1" applyBorder="1"/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9" fontId="15" fillId="2" borderId="2" xfId="5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167" fontId="0" fillId="0" borderId="0" xfId="0" applyNumberFormat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171" fontId="15" fillId="2" borderId="2" xfId="0" applyNumberFormat="1" applyFont="1" applyFill="1" applyBorder="1" applyAlignment="1">
      <alignment horizontal="left"/>
    </xf>
    <xf numFmtId="2" fontId="15" fillId="2" borderId="2" xfId="0" applyNumberFormat="1" applyFont="1" applyFill="1" applyBorder="1" applyAlignment="1">
      <alignment horizontal="left"/>
    </xf>
    <xf numFmtId="169" fontId="15" fillId="2" borderId="2" xfId="0" applyNumberFormat="1" applyFont="1" applyFill="1" applyBorder="1" applyAlignment="1">
      <alignment horizontal="left"/>
    </xf>
    <xf numFmtId="1" fontId="15" fillId="2" borderId="2" xfId="5" applyNumberFormat="1" applyFont="1" applyFill="1" applyBorder="1" applyProtection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0" fillId="0" borderId="49" xfId="0" applyBorder="1"/>
    <xf numFmtId="0" fontId="21" fillId="3" borderId="0" xfId="0" applyFont="1" applyFill="1" applyBorder="1"/>
    <xf numFmtId="0" fontId="15" fillId="2" borderId="2" xfId="0" applyFont="1" applyFill="1" applyBorder="1" applyProtection="1"/>
    <xf numFmtId="0" fontId="0" fillId="2" borderId="6" xfId="0" applyFill="1" applyBorder="1" applyProtection="1"/>
    <xf numFmtId="0" fontId="15" fillId="2" borderId="49" xfId="0" applyFont="1" applyFill="1" applyBorder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1" xfId="0" applyFill="1" applyBorder="1" applyAlignment="1">
      <alignment horizontal="center"/>
    </xf>
    <xf numFmtId="0" fontId="11" fillId="10" borderId="51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1" xfId="0" applyFill="1" applyBorder="1" applyAlignment="1">
      <alignment horizontal="center" vertical="top"/>
    </xf>
    <xf numFmtId="0" fontId="15" fillId="10" borderId="0" xfId="0" applyFont="1" applyFill="1" applyBorder="1" applyAlignment="1">
      <alignment horizontal="left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2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50" xfId="0" applyFill="1" applyBorder="1"/>
    <xf numFmtId="0" fontId="0" fillId="2" borderId="53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50" xfId="0" applyNumberFormat="1" applyFill="1" applyBorder="1"/>
    <xf numFmtId="4" fontId="0" fillId="2" borderId="53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3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3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50" xfId="0" applyNumberFormat="1" applyFill="1" applyBorder="1"/>
    <xf numFmtId="167" fontId="0" fillId="2" borderId="53" xfId="0" applyNumberFormat="1" applyFill="1" applyBorder="1"/>
    <xf numFmtId="2" fontId="0" fillId="2" borderId="52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4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50" xfId="0" applyFont="1" applyBorder="1" applyProtection="1"/>
    <xf numFmtId="0" fontId="53" fillId="0" borderId="7" xfId="0" applyFont="1" applyBorder="1" applyProtection="1"/>
    <xf numFmtId="0" fontId="0" fillId="18" borderId="5" xfId="0" applyFill="1" applyBorder="1" applyProtection="1"/>
    <xf numFmtId="0" fontId="0" fillId="18" borderId="2" xfId="0" applyFill="1" applyBorder="1" applyProtection="1"/>
    <xf numFmtId="0" fontId="9" fillId="18" borderId="2" xfId="0" applyFont="1" applyFill="1" applyBorder="1" applyAlignment="1" applyProtection="1">
      <alignment horizontal="center"/>
    </xf>
    <xf numFmtId="0" fontId="0" fillId="18" borderId="10" xfId="0" applyFill="1" applyBorder="1" applyProtection="1"/>
    <xf numFmtId="1" fontId="9" fillId="18" borderId="2" xfId="0" applyNumberFormat="1" applyFont="1" applyFill="1" applyBorder="1" applyProtection="1"/>
    <xf numFmtId="4" fontId="9" fillId="18" borderId="49" xfId="0" applyNumberFormat="1" applyFont="1" applyFill="1" applyBorder="1" applyProtection="1"/>
    <xf numFmtId="4" fontId="6" fillId="0" borderId="22" xfId="0" applyNumberFormat="1" applyFont="1" applyFill="1" applyBorder="1" applyAlignment="1">
      <alignment horizontal="center"/>
    </xf>
    <xf numFmtId="0" fontId="53" fillId="18" borderId="2" xfId="0" applyFont="1" applyFill="1" applyBorder="1" applyProtection="1"/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5" fillId="2" borderId="2" xfId="0" applyNumberFormat="1" applyFont="1" applyFill="1" applyBorder="1" applyAlignment="1">
      <alignment horizontal="left"/>
    </xf>
    <xf numFmtId="3" fontId="15" fillId="2" borderId="2" xfId="0" applyNumberFormat="1" applyFont="1" applyFill="1" applyBorder="1" applyAlignment="1" applyProtection="1">
      <alignment horizontal="left"/>
    </xf>
    <xf numFmtId="3" fontId="15" fillId="2" borderId="2" xfId="0" applyNumberFormat="1" applyFont="1" applyFill="1" applyBorder="1"/>
    <xf numFmtId="175" fontId="15" fillId="2" borderId="2" xfId="0" applyNumberFormat="1" applyFont="1" applyFill="1" applyBorder="1"/>
    <xf numFmtId="0" fontId="9" fillId="2" borderId="2" xfId="0" applyFont="1" applyFill="1" applyBorder="1" applyProtection="1"/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72" fontId="15" fillId="2" borderId="58" xfId="0" applyNumberFormat="1" applyFont="1" applyFill="1" applyBorder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4" fontId="53" fillId="0" borderId="49" xfId="0" applyNumberFormat="1" applyFont="1" applyBorder="1" applyProtection="1"/>
    <xf numFmtId="0" fontId="0" fillId="18" borderId="49" xfId="0" applyFill="1" applyBorder="1" applyProtection="1"/>
    <xf numFmtId="1" fontId="15" fillId="2" borderId="49" xfId="5" applyNumberFormat="1" applyFont="1" applyFill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1" fontId="15" fillId="2" borderId="49" xfId="5" applyNumberFormat="1" applyFont="1" applyFill="1" applyBorder="1" applyAlignment="1" applyProtection="1">
      <alignment horizontal="right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5" xfId="0" applyFont="1" applyFill="1" applyBorder="1" applyProtection="1"/>
    <xf numFmtId="0" fontId="4" fillId="10" borderId="65" xfId="0" applyFont="1" applyFill="1" applyBorder="1" applyProtection="1"/>
    <xf numFmtId="0" fontId="4" fillId="10" borderId="76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7" xfId="0" applyBorder="1"/>
    <xf numFmtId="0" fontId="0" fillId="0" borderId="78" xfId="0" applyBorder="1"/>
    <xf numFmtId="0" fontId="0" fillId="0" borderId="56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6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9" xfId="0" applyNumberFormat="1" applyFont="1" applyFill="1" applyBorder="1" applyAlignment="1" applyProtection="1">
      <alignment horizontal="center"/>
    </xf>
    <xf numFmtId="9" fontId="12" fillId="5" borderId="50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8" xfId="0" applyNumberFormat="1" applyFont="1" applyFill="1" applyBorder="1" applyAlignment="1" applyProtection="1">
      <alignment horizontal="center"/>
    </xf>
    <xf numFmtId="0" fontId="0" fillId="3" borderId="79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8" xfId="0" applyFill="1" applyBorder="1" applyProtection="1"/>
    <xf numFmtId="0" fontId="6" fillId="3" borderId="58" xfId="0" applyFont="1" applyFill="1" applyBorder="1" applyAlignment="1" applyProtection="1">
      <alignment horizontal="center"/>
    </xf>
    <xf numFmtId="9" fontId="6" fillId="3" borderId="50" xfId="0" applyNumberFormat="1" applyFont="1" applyFill="1" applyBorder="1" applyAlignment="1" applyProtection="1">
      <alignment horizontal="center"/>
    </xf>
    <xf numFmtId="0" fontId="6" fillId="3" borderId="50" xfId="3" applyNumberFormat="1" applyFont="1" applyFill="1" applyBorder="1" applyAlignment="1" applyProtection="1">
      <alignment horizontal="center"/>
    </xf>
    <xf numFmtId="0" fontId="6" fillId="3" borderId="79" xfId="0" applyFont="1" applyFill="1" applyBorder="1" applyAlignment="1" applyProtection="1">
      <alignment horizontal="center"/>
    </xf>
    <xf numFmtId="0" fontId="12" fillId="3" borderId="79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50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9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50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9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1" xfId="0" applyBorder="1"/>
    <xf numFmtId="0" fontId="4" fillId="0" borderId="82" xfId="0" applyFont="1" applyBorder="1" applyAlignment="1">
      <alignment horizontal="right"/>
    </xf>
    <xf numFmtId="0" fontId="3" fillId="0" borderId="80" xfId="0" applyFont="1" applyBorder="1"/>
    <xf numFmtId="49" fontId="4" fillId="0" borderId="1" xfId="0" quotePrefix="1" applyNumberFormat="1" applyFont="1" applyBorder="1" applyAlignment="1">
      <alignment horizontal="right"/>
    </xf>
    <xf numFmtId="0" fontId="6" fillId="2" borderId="83" xfId="0" applyFont="1" applyFill="1" applyBorder="1" applyAlignment="1" applyProtection="1">
      <alignment horizontal="right" vertical="center" wrapText="1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9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9" xfId="0" applyFill="1" applyBorder="1" applyAlignment="1" applyProtection="1">
      <alignment horizontal="center"/>
    </xf>
    <xf numFmtId="0" fontId="12" fillId="3" borderId="79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0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4" xfId="0" applyFont="1" applyFill="1" applyBorder="1" applyAlignment="1">
      <alignment vertical="top" wrapText="1"/>
    </xf>
    <xf numFmtId="0" fontId="71" fillId="3" borderId="84" xfId="0" applyFont="1" applyFill="1" applyBorder="1" applyAlignment="1">
      <alignment horizontal="center" vertical="top" wrapText="1"/>
    </xf>
    <xf numFmtId="0" fontId="71" fillId="3" borderId="85" xfId="0" applyFont="1" applyFill="1" applyBorder="1" applyAlignment="1">
      <alignment horizontal="center" vertical="top" wrapText="1"/>
    </xf>
    <xf numFmtId="0" fontId="72" fillId="0" borderId="84" xfId="0" applyFont="1" applyBorder="1" applyAlignment="1">
      <alignment vertical="top" wrapText="1"/>
    </xf>
    <xf numFmtId="0" fontId="12" fillId="0" borderId="84" xfId="0" applyFont="1" applyBorder="1"/>
    <xf numFmtId="0" fontId="0" fillId="0" borderId="84" xfId="0" applyBorder="1"/>
    <xf numFmtId="0" fontId="0" fillId="0" borderId="84" xfId="0" applyBorder="1" applyAlignment="1">
      <alignment wrapText="1"/>
    </xf>
    <xf numFmtId="0" fontId="0" fillId="0" borderId="86" xfId="0" applyBorder="1" applyAlignment="1">
      <alignment horizontal="center" wrapText="1"/>
    </xf>
    <xf numFmtId="1" fontId="72" fillId="0" borderId="84" xfId="0" applyNumberFormat="1" applyFont="1" applyBorder="1" applyAlignment="1">
      <alignment horizontal="center" vertical="top" wrapText="1"/>
    </xf>
    <xf numFmtId="0" fontId="72" fillId="0" borderId="84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4" fontId="53" fillId="0" borderId="2" xfId="0" applyNumberFormat="1" applyFont="1" applyBorder="1" applyProtection="1"/>
    <xf numFmtId="4" fontId="15" fillId="2" borderId="2" xfId="0" applyNumberFormat="1" applyFont="1" applyFill="1" applyBorder="1" applyAlignment="1">
      <alignment horizontal="left"/>
    </xf>
    <xf numFmtId="3" fontId="15" fillId="2" borderId="49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2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2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4" xfId="0" applyFont="1" applyFill="1" applyBorder="1" applyAlignment="1">
      <alignment vertical="top"/>
    </xf>
    <xf numFmtId="0" fontId="0" fillId="0" borderId="48" xfId="0" applyFill="1" applyBorder="1"/>
    <xf numFmtId="0" fontId="0" fillId="0" borderId="52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4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4" fontId="9" fillId="18" borderId="2" xfId="0" applyNumberFormat="1" applyFont="1" applyFill="1" applyBorder="1" applyProtection="1"/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5" xfId="11" applyFill="1" applyBorder="1"/>
    <xf numFmtId="0" fontId="3" fillId="18" borderId="65" xfId="11" applyFill="1" applyBorder="1"/>
    <xf numFmtId="49" fontId="3" fillId="18" borderId="65" xfId="11" applyNumberFormat="1" applyFill="1" applyBorder="1"/>
    <xf numFmtId="14" fontId="3" fillId="18" borderId="65" xfId="11" applyNumberFormat="1" applyFill="1" applyBorder="1"/>
    <xf numFmtId="14" fontId="3" fillId="18" borderId="76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5" xfId="11" applyFont="1" applyFill="1" applyBorder="1" applyAlignment="1">
      <alignment vertical="top"/>
    </xf>
    <xf numFmtId="182" fontId="61" fillId="18" borderId="65" xfId="11" applyNumberFormat="1" applyFont="1" applyFill="1" applyBorder="1" applyAlignment="1">
      <alignment horizontal="left" vertical="top"/>
    </xf>
    <xf numFmtId="0" fontId="62" fillId="18" borderId="76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5" xfId="11" applyFont="1" applyFill="1" applyBorder="1" applyAlignment="1">
      <alignment horizontal="left"/>
    </xf>
    <xf numFmtId="174" fontId="3" fillId="26" borderId="65" xfId="11" applyNumberFormat="1" applyFill="1" applyBorder="1" applyAlignment="1">
      <alignment horizontal="center"/>
    </xf>
    <xf numFmtId="182" fontId="12" fillId="26" borderId="76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6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72" fontId="15" fillId="2" borderId="2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3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8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3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8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5" xfId="11" applyFill="1" applyBorder="1"/>
    <xf numFmtId="0" fontId="3" fillId="30" borderId="65" xfId="11" applyFill="1" applyBorder="1"/>
    <xf numFmtId="49" fontId="3" fillId="30" borderId="65" xfId="11" applyNumberFormat="1" applyFill="1" applyBorder="1"/>
    <xf numFmtId="14" fontId="3" fillId="30" borderId="76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5" xfId="11" applyFont="1" applyFill="1" applyBorder="1" applyAlignment="1">
      <alignment vertical="top"/>
    </xf>
    <xf numFmtId="182" fontId="61" fillId="30" borderId="65" xfId="11" applyNumberFormat="1" applyFont="1" applyFill="1" applyBorder="1" applyAlignment="1">
      <alignment horizontal="left" vertical="top"/>
    </xf>
    <xf numFmtId="0" fontId="62" fillId="30" borderId="76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5" xfId="11" applyFont="1" applyFill="1" applyBorder="1" applyAlignment="1">
      <alignment horizontal="left"/>
    </xf>
    <xf numFmtId="174" fontId="3" fillId="30" borderId="65" xfId="11" applyNumberFormat="1" applyFill="1" applyBorder="1" applyAlignment="1">
      <alignment horizontal="center"/>
    </xf>
    <xf numFmtId="182" fontId="12" fillId="30" borderId="76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5" xfId="11" applyNumberFormat="1" applyFont="1" applyFill="1" applyBorder="1" applyAlignment="1">
      <alignment horizontal="center" vertical="center"/>
    </xf>
    <xf numFmtId="175" fontId="61" fillId="30" borderId="76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5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5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170" fontId="0" fillId="0" borderId="0" xfId="0" applyNumberFormat="1"/>
    <xf numFmtId="0" fontId="16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17" fillId="20" borderId="75" xfId="4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3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7" fillId="3" borderId="66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66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3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31" fillId="3" borderId="68" xfId="0" applyFont="1" applyFill="1" applyBorder="1" applyAlignment="1" applyProtection="1">
      <alignment horizontal="center" vertical="center"/>
    </xf>
    <xf numFmtId="0" fontId="16" fillId="3" borderId="59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</cellXfs>
  <cellStyles count="18">
    <cellStyle name="Euro" xfId="1" xr:uid="{00000000-0005-0000-0000-000000000000}"/>
    <cellStyle name="Gut" xfId="2" builtinId="26"/>
    <cellStyle name="Komma" xfId="3" builtinId="3"/>
    <cellStyle name="Komma 2" xfId="9" xr:uid="{00000000-0005-0000-0000-000003000000}"/>
    <cellStyle name="Komma 3" xfId="16" xr:uid="{E896CCD1-619C-4EE8-92A9-27591F6F1D9A}"/>
    <cellStyle name="Notiz" xfId="4" builtinId="10"/>
    <cellStyle name="Prozent" xfId="5" builtinId="5"/>
    <cellStyle name="Prozent 2" xfId="10" xr:uid="{00000000-0005-0000-0000-000006000000}"/>
    <cellStyle name="Prozent 3" xfId="14" xr:uid="{A8E09BE7-E440-41E8-A8E9-0DD8F6CAEDC4}"/>
    <cellStyle name="Schlecht" xfId="6" builtinId="27"/>
    <cellStyle name="Standard" xfId="0" builtinId="0"/>
    <cellStyle name="Standard 2" xfId="8" xr:uid="{00000000-0005-0000-0000-000009000000}"/>
    <cellStyle name="Standard 3" xfId="11" xr:uid="{00000000-0005-0000-0000-00000A000000}"/>
    <cellStyle name="Standard 4" xfId="13" xr:uid="{538C59C7-8833-4DDE-B0EE-F12A9FE6C450}"/>
    <cellStyle name="Standard 4 2" xfId="17" xr:uid="{9599DCCF-F40E-46AB-B90D-DE403507CF93}"/>
    <cellStyle name="Währung" xfId="7" builtinId="4"/>
    <cellStyle name="Währung 2" xfId="12" xr:uid="{00000000-0005-0000-0000-00000C000000}"/>
    <cellStyle name="Währung 3" xfId="15" xr:uid="{6BDA83DA-B42D-4525-8866-B0EF99C46A6F}"/>
  </cellStyles>
  <dxfs count="237">
    <dxf>
      <font>
        <sz val="10"/>
        <color theme="0"/>
        <family val="2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  <family val="2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15.78852555671148</c:v>
                </c:pt>
                <c:pt idx="5">
                  <c:v>72.603939292091951</c:v>
                </c:pt>
                <c:pt idx="11">
                  <c:v>16.415410925223767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11.60782421514778</c:v>
                </c:pt>
                <c:pt idx="11">
                  <c:v>3.8422242260944444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17.371466777293559</c:v>
                </c:pt>
                <c:pt idx="11">
                  <c:v>4.994952738523601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</xdr:row>
      <xdr:rowOff>9525</xdr:rowOff>
    </xdr:from>
    <xdr:to>
      <xdr:col>24</xdr:col>
      <xdr:colOff>0</xdr:colOff>
      <xdr:row>5</xdr:row>
      <xdr:rowOff>190500</xdr:rowOff>
    </xdr:to>
    <xdr:sp macro="[0]!INPUT_S1nachS5" textlink="">
      <xdr:nvSpPr>
        <xdr:cNvPr id="34131" name="Rectangle 127">
          <a:extLst>
            <a:ext uri="{FF2B5EF4-FFF2-40B4-BE49-F238E27FC236}">
              <a16:creationId xmlns:a16="http://schemas.microsoft.com/office/drawing/2014/main" id="{00000000-0008-0000-0200-000053850000}"/>
            </a:ext>
          </a:extLst>
        </xdr:cNvPr>
        <xdr:cNvSpPr>
          <a:spLocks noChangeArrowheads="1"/>
        </xdr:cNvSpPr>
      </xdr:nvSpPr>
      <xdr:spPr bwMode="auto">
        <a:xfrm>
          <a:off x="10363200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5</xdr:row>
      <xdr:rowOff>9525</xdr:rowOff>
    </xdr:from>
    <xdr:to>
      <xdr:col>27</xdr:col>
      <xdr:colOff>0</xdr:colOff>
      <xdr:row>5</xdr:row>
      <xdr:rowOff>190500</xdr:rowOff>
    </xdr:to>
    <xdr:sp macro="[0]!INPUT_S1nachS6" textlink="">
      <xdr:nvSpPr>
        <xdr:cNvPr id="34132" name="Rectangle 130">
          <a:extLst>
            <a:ext uri="{FF2B5EF4-FFF2-40B4-BE49-F238E27FC236}">
              <a16:creationId xmlns:a16="http://schemas.microsoft.com/office/drawing/2014/main" id="{00000000-0008-0000-0200-000054850000}"/>
            </a:ext>
          </a:extLst>
        </xdr:cNvPr>
        <xdr:cNvSpPr>
          <a:spLocks noChangeArrowheads="1"/>
        </xdr:cNvSpPr>
      </xdr:nvSpPr>
      <xdr:spPr bwMode="auto">
        <a:xfrm>
          <a:off x="11915775" y="819150"/>
          <a:ext cx="13525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0</xdr:colOff>
      <xdr:row>5</xdr:row>
      <xdr:rowOff>9525</xdr:rowOff>
    </xdr:from>
    <xdr:to>
      <xdr:col>21</xdr:col>
      <xdr:colOff>0</xdr:colOff>
      <xdr:row>5</xdr:row>
      <xdr:rowOff>190500</xdr:rowOff>
    </xdr:to>
    <xdr:sp macro="[0]!INPUT_S1nachS4" textlink="">
      <xdr:nvSpPr>
        <xdr:cNvPr id="34133" name="Rectangle 250">
          <a:extLst>
            <a:ext uri="{FF2B5EF4-FFF2-40B4-BE49-F238E27FC236}">
              <a16:creationId xmlns:a16="http://schemas.microsoft.com/office/drawing/2014/main" id="{00000000-0008-0000-0200-000055850000}"/>
            </a:ext>
          </a:extLst>
        </xdr:cNvPr>
        <xdr:cNvSpPr>
          <a:spLocks noChangeArrowheads="1"/>
        </xdr:cNvSpPr>
      </xdr:nvSpPr>
      <xdr:spPr bwMode="auto">
        <a:xfrm>
          <a:off x="8810625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76200</xdr:rowOff>
        </xdr:from>
        <xdr:to>
          <xdr:col>16</xdr:col>
          <xdr:colOff>1162050</xdr:colOff>
          <xdr:row>2</xdr:row>
          <xdr:rowOff>190500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A849ABBB-8650-483D-99F3-024373A9724B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D1BB3C84-193C-46A1-9CCE-4780CCB6C247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81555828-1C02-485A-9CD1-9AD40AA7557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E781-A22E-49AE-BDD9-10A8145D143A}" name="Table_0__2" displayName="Table_0__2" ref="A2:I5" tableType="queryTable" totalsRowShown="0" headerRowDxfId="26" dataDxfId="25">
  <autoFilter ref="A2:I5" xr:uid="{399A8E1C-09BC-4743-AD8C-E418CE2EA4E8}"/>
  <tableColumns count="9">
    <tableColumn id="1" xr3:uid="{B225B105-11E0-4B7D-876C-35434AD95A88}" uniqueName="1" name="Contract" queryTableFieldId="1" dataDxfId="24"/>
    <tableColumn id="2" xr3:uid="{3EFA9724-CFDD-4663-AB0A-513A3288DDDE}" uniqueName="2" name="Bid (US$ / Tonne)" queryTableFieldId="2" dataDxfId="23"/>
    <tableColumn id="3" xr3:uid="{5794DC2A-421E-484C-A3E5-D6BD65E63E5B}" uniqueName="3" name="Offer (US$ / Tonne)*" queryTableFieldId="3" dataDxfId="22"/>
    <tableColumn id="11" xr3:uid="{227DC090-9CC6-4ACB-940A-060FA6149FC5}" uniqueName="11" name="Spalte2" queryTableFieldId="11" dataDxfId="21"/>
    <tableColumn id="6" xr3:uid="{B4645055-4894-4C05-823C-070977F75F3E}" uniqueName="6" name="Exchange [$/€]" queryTableFieldId="6" dataDxfId="20">
      <calculatedColumnFormula>MID($B$9,1,6)</calculatedColumnFormula>
    </tableColumn>
    <tableColumn id="13" xr3:uid="{C18F9609-F45D-46E8-B4A0-57BD5DE45F50}" uniqueName="13" name="Abbrand" queryTableFieldId="4" dataDxfId="19"/>
    <tableColumn id="12" xr3:uid="{893B3F09-6F5B-453F-9DB9-06EC27D1B0FF}" uniqueName="12" name="Premium_x000a_[€/t]" queryTableFieldId="5" dataDxfId="18"/>
    <tableColumn id="8" xr3:uid="{974393AB-7E4D-4F8E-99AC-5C57496E75BE}" uniqueName="8" name="Alu-Alloy_x000a_3-months [$/kg]" queryTableFieldId="8" dataDxfId="17" dataCellStyle="Währung">
      <calculatedColumnFormula>(C3/100+G3*E3)/1000*(1+F3)</calculatedColumnFormula>
    </tableColumn>
    <tableColumn id="9" xr3:uid="{982DBF3A-FF1F-4435-B50D-47024F92245A}" uniqueName="9" name="Alu-Alloy_x000a_3-months [€/kg]" queryTableFieldId="9" dataDxfId="16" dataCellStyle="Komma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D7C1A-DCE1-4E3E-9A93-C39952626933}" name="Börsenplätze_EUR_USD6" displayName="Börsenplätze_EUR_USD6" ref="A8:H13" tableType="queryTable" totalsRowShown="0">
  <autoFilter ref="A8:H13" xr:uid="{FCB66206-9EC4-46BD-B9B3-3A0C2296A2E8}"/>
  <tableColumns count="8">
    <tableColumn id="1" xr3:uid="{C725CB87-9CCF-4C90-8B6B-04E2A4747029}" uniqueName="1" name="Börsenplatz" queryTableFieldId="1" dataDxfId="15"/>
    <tableColumn id="2" xr3:uid="{C03FD864-AFEE-44BB-B951-D0D4DAD18490}" uniqueName="2" name="Kurs" queryTableFieldId="2" dataDxfId="14"/>
    <tableColumn id="3" xr3:uid="{A4C2B2BB-6AA3-4B22-8DEB-3906671A7EBF}" uniqueName="3" name="Diff. %" queryTableFieldId="3" dataDxfId="13"/>
    <tableColumn id="4" xr3:uid="{BFCC29AB-4E28-462C-AB84-349A9E098312}" uniqueName="4" name="Datum" queryTableFieldId="4"/>
    <tableColumn id="5" xr3:uid="{1A3C214E-7127-4164-A36B-F677BEB85A2A}" uniqueName="5" name="Zeit" queryTableFieldId="5" dataDxfId="12"/>
    <tableColumn id="6" xr3:uid="{C0ECD932-A527-466C-8F2E-A68A19722DB1}" uniqueName="6" name="Eröffnung" queryTableFieldId="6" dataDxfId="11"/>
    <tableColumn id="7" xr3:uid="{FBB0D7E8-40FF-49D8-863E-E500BE4134C6}" uniqueName="7" name="T.-Hoch" queryTableFieldId="7" dataDxfId="10"/>
    <tableColumn id="8" xr3:uid="{5E9B2620-C889-4E1F-B9EE-DEA4775AD7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E2AC0C-A370-4143-B68D-FB31252F18D9}" name="Table_0" displayName="Table_0" ref="A17:I21" tableType="queryTable" totalsRowShown="0">
  <autoFilter ref="A17:I21" xr:uid="{917F3744-0B14-4BD1-81B9-41AE83F28E07}"/>
  <tableColumns count="9">
    <tableColumn id="1" xr3:uid="{9D086AF7-5B30-404B-B88C-C3304F979E45}" uniqueName="1" name="Contract" queryTableFieldId="1" dataDxfId="8" dataCellStyle="Standard 4"/>
    <tableColumn id="2" xr3:uid="{FBE21D6A-46E2-48CF-9AB9-57ACBAC49356}" uniqueName="2" name="Bid (US$ / Tonne)" queryTableFieldId="2" dataDxfId="7" dataCellStyle="Standard 4"/>
    <tableColumn id="3" xr3:uid="{9CCB034B-697E-4340-9016-4F9260AF9130}" uniqueName="3" name="Offer (US$ / Tonne)*" queryTableFieldId="3" dataDxfId="6" dataCellStyle="Standard 4"/>
    <tableColumn id="4" xr3:uid="{1B69AAC5-FBB8-4773-9BF5-325B64A4FAB8}" uniqueName="4" name="Spalte2" queryTableFieldId="4" dataDxfId="5" dataCellStyle="Standard 4"/>
    <tableColumn id="5" xr3:uid="{14F0497C-9F37-4055-8F16-0332B1CC3F3F}" uniqueName="5" name="Exchange [$/€]" queryTableFieldId="5" dataDxfId="4" dataCellStyle="Standard 4">
      <calculatedColumnFormula>MID($B$9,1,6)</calculatedColumnFormula>
    </tableColumn>
    <tableColumn id="6" xr3:uid="{69F4BCAE-C936-4909-986E-C0A4FAB354D8}" uniqueName="6" name="Abbrand" queryTableFieldId="6" dataDxfId="3" dataCellStyle="Prozent 3"/>
    <tableColumn id="7" xr3:uid="{528A962C-055C-443F-BC0A-C9EB518D1DE7}" uniqueName="7" name="Premium_x000a_[€/t]" queryTableFieldId="7" dataDxfId="2" dataCellStyle="Standard 4"/>
    <tableColumn id="8" xr3:uid="{3003FB8D-BA21-441D-82C4-AA119C161CF1}" uniqueName="8" name="Alu-Alloy_x000a_3-months [$/kg]" queryTableFieldId="8" dataDxfId="1" dataCellStyle="Währung 3">
      <calculatedColumnFormula>(C18/100+G18*E18)/1000*(1+F18)</calculatedColumnFormula>
    </tableColumn>
    <tableColumn id="9" xr3:uid="{FF7A1A44-B921-4A09-BAFD-07CCBB5F4B9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32E3-38E4-4C10-ADFC-D32CBA5F4991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92" customWidth="1"/>
    <col min="2" max="2" width="0.875" style="992" customWidth="1"/>
    <col min="3" max="3" width="31.75" style="992" customWidth="1"/>
    <col min="4" max="4" width="13" style="992" bestFit="1" customWidth="1"/>
    <col min="5" max="5" width="11" style="992"/>
    <col min="6" max="6" width="0.875" style="992" customWidth="1"/>
    <col min="7" max="7" width="31.75" style="992" customWidth="1"/>
    <col min="8" max="8" width="13" style="992" bestFit="1" customWidth="1"/>
    <col min="9" max="9" width="11" style="992"/>
    <col min="10" max="10" width="0.875" style="992" customWidth="1"/>
    <col min="11" max="11" width="31.75" style="992" customWidth="1"/>
    <col min="12" max="12" width="13" style="992" bestFit="1" customWidth="1"/>
    <col min="13" max="13" width="11" style="992"/>
    <col min="14" max="14" width="0.875" style="992" customWidth="1"/>
    <col min="15" max="15" width="2.6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96"/>
      <c r="C2" s="1094"/>
      <c r="D2" s="1095"/>
      <c r="E2" s="1095"/>
      <c r="F2" s="1095"/>
      <c r="G2" s="1095"/>
      <c r="H2" s="1095"/>
      <c r="I2" s="1095"/>
      <c r="J2" s="1095"/>
      <c r="K2" s="1095"/>
      <c r="L2" s="1095"/>
      <c r="M2" s="1096"/>
      <c r="N2" s="996"/>
      <c r="O2" s="995"/>
    </row>
    <row r="3" spans="1:28" x14ac:dyDescent="0.2">
      <c r="A3" s="993"/>
      <c r="B3" s="996"/>
      <c r="C3" s="1097"/>
      <c r="D3" s="1098"/>
      <c r="E3" s="1098"/>
      <c r="F3" s="1098"/>
      <c r="G3" s="1098"/>
      <c r="H3" s="1098"/>
      <c r="I3" s="1098"/>
      <c r="J3" s="1098"/>
      <c r="K3" s="1098"/>
      <c r="L3" s="1098"/>
      <c r="M3" s="1100">
        <f ca="1">TODAY()</f>
        <v>44412</v>
      </c>
      <c r="N3" s="996"/>
      <c r="O3" s="995"/>
    </row>
    <row r="4" spans="1:28" ht="20.25" x14ac:dyDescent="0.3">
      <c r="A4" s="993"/>
      <c r="B4" s="996"/>
      <c r="C4" s="1122" t="str">
        <f>'Quick Input'!O2</f>
        <v>AL - Sandguss</v>
      </c>
      <c r="D4" s="1098"/>
      <c r="E4" s="1098"/>
      <c r="F4" s="1098"/>
      <c r="G4" s="1102" t="str">
        <f>'Quick Input'!R2</f>
        <v>Siemens Standort</v>
      </c>
      <c r="H4" s="1103" t="str">
        <f>'Quick Input'!U2</f>
        <v>Erlangen</v>
      </c>
      <c r="I4" s="1098"/>
      <c r="J4" s="1098"/>
      <c r="K4" s="1098"/>
      <c r="L4" s="1098"/>
      <c r="M4" s="1123" t="str">
        <f>'Quick Input'!L3</f>
        <v>Dr.P. Pawar</v>
      </c>
      <c r="N4" s="996"/>
      <c r="O4" s="995"/>
    </row>
    <row r="5" spans="1:28" ht="20.25" x14ac:dyDescent="0.3">
      <c r="A5" s="993"/>
      <c r="B5" s="996"/>
      <c r="C5" s="1097" t="str">
        <f>CONCATENATE('Quick Input'!I9,": ",'Quick Input'!L9," / ESN: ",'Quick Input'!L8)</f>
        <v>Bezeichnung: Housing / ESN: 58622</v>
      </c>
      <c r="D5" s="1101"/>
      <c r="E5" s="1098"/>
      <c r="F5" s="1098"/>
      <c r="G5" s="1102" t="str">
        <f>'Quick Input'!R3</f>
        <v>Lieferant</v>
      </c>
      <c r="H5" s="1103" t="str">
        <f>'Quick Input'!U3</f>
        <v>MGG</v>
      </c>
      <c r="I5" s="1098"/>
      <c r="J5" s="1098"/>
      <c r="K5" s="1098"/>
      <c r="L5" s="1098"/>
      <c r="M5" s="1104"/>
      <c r="N5" s="996"/>
      <c r="O5" s="995"/>
    </row>
    <row r="6" spans="1:28" ht="15" x14ac:dyDescent="0.25">
      <c r="A6" s="993"/>
      <c r="B6" s="996"/>
      <c r="C6" s="1097"/>
      <c r="D6" s="1098"/>
      <c r="E6" s="1098"/>
      <c r="F6" s="1098"/>
      <c r="G6" s="1102" t="str">
        <f>'Quick Input'!R4</f>
        <v>Werk</v>
      </c>
      <c r="H6" s="1103" t="str">
        <f>'Quick Input'!U4</f>
        <v>DI MC</v>
      </c>
      <c r="I6" s="1098"/>
      <c r="J6" s="1098"/>
      <c r="K6" s="1098"/>
      <c r="L6" s="1098"/>
      <c r="M6" s="1100"/>
      <c r="N6" s="996"/>
      <c r="O6" s="995"/>
    </row>
    <row r="7" spans="1:28" ht="15" x14ac:dyDescent="0.25">
      <c r="A7" s="993"/>
      <c r="B7" s="996"/>
      <c r="C7" s="1097"/>
      <c r="D7" s="1098"/>
      <c r="E7" s="1098"/>
      <c r="F7" s="1098"/>
      <c r="G7" s="1102" t="str">
        <f>'Quick Input'!R5</f>
        <v>Ansprechpartner</v>
      </c>
      <c r="H7" s="1103" t="str">
        <f>'Quick Input'!U5</f>
        <v>JM_PUC AL</v>
      </c>
      <c r="I7" s="1098"/>
      <c r="J7" s="1098"/>
      <c r="K7" s="1098"/>
      <c r="L7" s="1098"/>
      <c r="M7" s="1100"/>
      <c r="N7" s="996"/>
      <c r="O7" s="995"/>
    </row>
    <row r="8" spans="1:28" ht="5.0999999999999996" customHeight="1" x14ac:dyDescent="0.2">
      <c r="A8" s="993"/>
      <c r="B8" s="996"/>
      <c r="C8" s="1105"/>
      <c r="D8" s="1106"/>
      <c r="E8" s="1106"/>
      <c r="F8" s="1106"/>
      <c r="G8" s="1107"/>
      <c r="H8" s="1106"/>
      <c r="I8" s="1106"/>
      <c r="J8" s="1106"/>
      <c r="K8" s="1106"/>
      <c r="L8" s="1106"/>
      <c r="M8" s="1108"/>
      <c r="N8" s="996"/>
      <c r="O8" s="995"/>
    </row>
    <row r="9" spans="1:28" ht="6.95" customHeight="1" x14ac:dyDescent="0.2">
      <c r="A9" s="993"/>
      <c r="B9" s="996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6"/>
      <c r="O9" s="995"/>
      <c r="AB9" s="1004"/>
    </row>
    <row r="10" spans="1:28" ht="15.75" x14ac:dyDescent="0.25">
      <c r="A10" s="993"/>
      <c r="B10" s="996"/>
      <c r="C10" s="1109" t="str">
        <f>Refkalkulation!H7</f>
        <v>Deutschland</v>
      </c>
      <c r="D10" s="1110"/>
      <c r="E10" s="1111"/>
      <c r="F10" s="1014"/>
      <c r="G10" s="1109" t="str">
        <f>Refkalkulation!K7</f>
        <v>Türkei</v>
      </c>
      <c r="H10" s="1110"/>
      <c r="I10" s="1111"/>
      <c r="J10" s="1014"/>
      <c r="K10" s="1109" t="str">
        <f>Refkalkulation!N7</f>
        <v>Polen</v>
      </c>
      <c r="L10" s="1110"/>
      <c r="M10" s="1112"/>
      <c r="N10" s="996"/>
      <c r="O10" s="995"/>
    </row>
    <row r="11" spans="1:28" x14ac:dyDescent="0.2">
      <c r="A11" s="993"/>
      <c r="B11" s="996"/>
      <c r="C11" s="1115" t="s">
        <v>926</v>
      </c>
      <c r="D11" s="1099">
        <f>Refkalkulation!H8</f>
        <v>43531</v>
      </c>
      <c r="E11" s="1104"/>
      <c r="F11" s="996"/>
      <c r="G11" s="1115" t="str">
        <f>C11</f>
        <v>Project-Start:</v>
      </c>
      <c r="H11" s="1099">
        <f>Refkalkulation!K8</f>
        <v>43531</v>
      </c>
      <c r="I11" s="1104"/>
      <c r="J11" s="996"/>
      <c r="K11" s="1115" t="str">
        <f>C11</f>
        <v>Project-Start:</v>
      </c>
      <c r="L11" s="1099">
        <f>Refkalkulation!N8</f>
        <v>43531</v>
      </c>
      <c r="M11" s="1104"/>
      <c r="N11" s="996"/>
      <c r="O11" s="995"/>
    </row>
    <row r="12" spans="1:28" x14ac:dyDescent="0.2">
      <c r="A12" s="993"/>
      <c r="B12" s="996"/>
      <c r="C12" s="1115" t="str">
        <f>CONCATENATE('Quick Input'!$I$35,": ")</f>
        <v xml:space="preserve">Laufzeit (Jahre): </v>
      </c>
      <c r="D12" s="1113">
        <f>'Quick Input'!L35</f>
        <v>6</v>
      </c>
      <c r="E12" s="1104"/>
      <c r="F12" s="996"/>
      <c r="G12" s="1115" t="str">
        <f>CONCATENATE('Quick Input'!$I$35,": ")</f>
        <v xml:space="preserve">Laufzeit (Jahre): </v>
      </c>
      <c r="H12" s="1113">
        <f>'Quick Input'!O35</f>
        <v>6</v>
      </c>
      <c r="I12" s="1104"/>
      <c r="J12" s="996"/>
      <c r="K12" s="1115" t="str">
        <f>CONCATENATE('Quick Input'!$I$35,": ")</f>
        <v xml:space="preserve">Laufzeit (Jahre): </v>
      </c>
      <c r="L12" s="1113">
        <f>'Quick Input'!R35</f>
        <v>6</v>
      </c>
      <c r="M12" s="1104"/>
      <c r="N12" s="996"/>
      <c r="O12" s="995"/>
    </row>
    <row r="13" spans="1:28" x14ac:dyDescent="0.2">
      <c r="A13" s="993"/>
      <c r="B13" s="996"/>
      <c r="C13" s="1116" t="str">
        <f>CONCATENATE('Quick Input'!$I$36,": ")</f>
        <v xml:space="preserve">Stückzahl pa (peak): </v>
      </c>
      <c r="D13" s="1113">
        <f>'Quick Input'!L36</f>
        <v>5000</v>
      </c>
      <c r="E13" s="1104"/>
      <c r="F13" s="996"/>
      <c r="G13" s="1116" t="str">
        <f>CONCATENATE('Quick Input'!$I$36,": ")</f>
        <v xml:space="preserve">Stückzahl pa (peak): </v>
      </c>
      <c r="H13" s="1113">
        <f>'Quick Input'!O36</f>
        <v>5000</v>
      </c>
      <c r="I13" s="1104"/>
      <c r="J13" s="996"/>
      <c r="K13" s="1116" t="str">
        <f>CONCATENATE('Quick Input'!$I$36,": ")</f>
        <v xml:space="preserve">Stückzahl pa (peak): </v>
      </c>
      <c r="L13" s="1113">
        <f>'Quick Input'!R36</f>
        <v>5000</v>
      </c>
      <c r="M13" s="1104"/>
      <c r="N13" s="996"/>
      <c r="O13" s="995"/>
    </row>
    <row r="14" spans="1:28" x14ac:dyDescent="0.2">
      <c r="A14" s="993"/>
      <c r="B14" s="996"/>
      <c r="C14" s="1116" t="str">
        <f>Refkalkulation!D61</f>
        <v>Fertigungslosgröße</v>
      </c>
      <c r="D14" s="1113">
        <f>Refkalkulation!H61</f>
        <v>100</v>
      </c>
      <c r="E14" s="1104"/>
      <c r="F14" s="996"/>
      <c r="G14" s="1116" t="str">
        <f>$C$14</f>
        <v>Fertigungslosgröße</v>
      </c>
      <c r="H14" s="1113">
        <f>Refkalkulation!K61</f>
        <v>100</v>
      </c>
      <c r="I14" s="1104"/>
      <c r="J14" s="996"/>
      <c r="K14" s="1116" t="str">
        <f>$C$14</f>
        <v>Fertigungslosgröße</v>
      </c>
      <c r="L14" s="1113">
        <f>Refkalkulation!N61</f>
        <v>100</v>
      </c>
      <c r="M14" s="1104"/>
      <c r="N14" s="996"/>
      <c r="O14" s="995"/>
    </row>
    <row r="15" spans="1:28" ht="15" x14ac:dyDescent="0.25">
      <c r="A15" s="993"/>
      <c r="B15" s="996"/>
      <c r="C15" s="1117" t="str">
        <f>CONCATENATE('Quick Input'!I22,": ",'Quick Input'!L22," / Sandkern: ",'Quick Input'!L23)</f>
        <v>Formverfahren: halbautomatisch / Sandkern: ohne</v>
      </c>
      <c r="D15" s="1118"/>
      <c r="E15" s="1104"/>
      <c r="F15" s="996"/>
      <c r="G15" s="1117" t="str">
        <f>CONCATENATE('Quick Input'!I22,": ",'Quick Input'!O22," / Sandkern: ",'Quick Input'!O23)</f>
        <v>Formverfahren: Handformen / Sandkern: ohne</v>
      </c>
      <c r="H15" s="1119"/>
      <c r="I15" s="1120"/>
      <c r="J15" s="996"/>
      <c r="K15" s="1117" t="str">
        <f>CONCATENATE('Quick Input'!I22,": ",'Quick Input'!R22," / Sandkern: ",'Quick Input'!R23)</f>
        <v>Formverfahren: Handformen / Sandkern: ohne</v>
      </c>
      <c r="L15" s="1098"/>
      <c r="M15" s="1104"/>
      <c r="N15" s="996"/>
      <c r="O15" s="995"/>
    </row>
    <row r="16" spans="1:28" x14ac:dyDescent="0.2">
      <c r="A16" s="993"/>
      <c r="B16" s="996"/>
      <c r="C16" s="1097"/>
      <c r="D16" s="1098"/>
      <c r="E16" s="1104"/>
      <c r="F16" s="996"/>
      <c r="G16" s="1097"/>
      <c r="H16" s="1098"/>
      <c r="I16" s="1104"/>
      <c r="J16" s="996"/>
      <c r="K16" s="1097"/>
      <c r="L16" s="1098"/>
      <c r="M16" s="1104"/>
      <c r="N16" s="996"/>
      <c r="O16" s="995"/>
    </row>
    <row r="17" spans="1:15" x14ac:dyDescent="0.2">
      <c r="A17" s="993"/>
      <c r="B17" s="996"/>
      <c r="C17" s="1097"/>
      <c r="D17" s="1098"/>
      <c r="E17" s="1104"/>
      <c r="F17" s="996"/>
      <c r="G17" s="1097"/>
      <c r="H17" s="1098"/>
      <c r="I17" s="1104"/>
      <c r="J17" s="996"/>
      <c r="K17" s="1097"/>
      <c r="L17" s="1098"/>
      <c r="M17" s="1104"/>
      <c r="N17" s="996"/>
      <c r="O17" s="995"/>
    </row>
    <row r="18" spans="1:15" x14ac:dyDescent="0.2">
      <c r="A18" s="993"/>
      <c r="B18" s="996"/>
      <c r="C18" s="1097"/>
      <c r="D18" s="1098"/>
      <c r="E18" s="1104"/>
      <c r="F18" s="996"/>
      <c r="G18" s="1097"/>
      <c r="H18" s="1098"/>
      <c r="I18" s="1104"/>
      <c r="J18" s="996"/>
      <c r="K18" s="1097"/>
      <c r="L18" s="1098"/>
      <c r="M18" s="1104"/>
      <c r="N18" s="996"/>
      <c r="O18" s="995"/>
    </row>
    <row r="19" spans="1:15" x14ac:dyDescent="0.2">
      <c r="A19" s="993"/>
      <c r="B19" s="996"/>
      <c r="C19" s="1097"/>
      <c r="D19" s="1098"/>
      <c r="E19" s="1104"/>
      <c r="F19" s="996"/>
      <c r="G19" s="1097"/>
      <c r="H19" s="1098"/>
      <c r="I19" s="1104"/>
      <c r="J19" s="996"/>
      <c r="K19" s="1097"/>
      <c r="L19" s="1098"/>
      <c r="M19" s="1104"/>
      <c r="N19" s="996"/>
      <c r="O19" s="995"/>
    </row>
    <row r="20" spans="1:15" x14ac:dyDescent="0.2">
      <c r="A20" s="993"/>
      <c r="B20" s="996"/>
      <c r="C20" s="1097"/>
      <c r="D20" s="1098"/>
      <c r="E20" s="1104"/>
      <c r="F20" s="996"/>
      <c r="G20" s="1097"/>
      <c r="H20" s="1098"/>
      <c r="I20" s="1104"/>
      <c r="J20" s="996"/>
      <c r="K20" s="1097"/>
      <c r="L20" s="1098"/>
      <c r="M20" s="1104"/>
      <c r="N20" s="996"/>
      <c r="O20" s="995"/>
    </row>
    <row r="21" spans="1:15" x14ac:dyDescent="0.2">
      <c r="A21" s="993"/>
      <c r="B21" s="996"/>
      <c r="C21" s="1097"/>
      <c r="D21" s="1098"/>
      <c r="E21" s="1104"/>
      <c r="F21" s="996"/>
      <c r="G21" s="1097"/>
      <c r="H21" s="1098"/>
      <c r="I21" s="1104"/>
      <c r="J21" s="996"/>
      <c r="K21" s="1097"/>
      <c r="L21" s="1098"/>
      <c r="M21" s="1104"/>
      <c r="N21" s="996"/>
      <c r="O21" s="995"/>
    </row>
    <row r="22" spans="1:15" x14ac:dyDescent="0.2">
      <c r="A22" s="993"/>
      <c r="B22" s="996"/>
      <c r="C22" s="1097"/>
      <c r="D22" s="1098"/>
      <c r="E22" s="1104"/>
      <c r="F22" s="996"/>
      <c r="G22" s="1097"/>
      <c r="H22" s="1098"/>
      <c r="I22" s="1104"/>
      <c r="J22" s="996"/>
      <c r="K22" s="1097"/>
      <c r="L22" s="1098"/>
      <c r="M22" s="1104"/>
      <c r="N22" s="996"/>
      <c r="O22" s="995"/>
    </row>
    <row r="23" spans="1:15" x14ac:dyDescent="0.2">
      <c r="A23" s="993"/>
      <c r="B23" s="996"/>
      <c r="C23" s="1097"/>
      <c r="D23" s="1098"/>
      <c r="E23" s="1104"/>
      <c r="F23" s="996"/>
      <c r="G23" s="1097"/>
      <c r="H23" s="1098"/>
      <c r="I23" s="1104"/>
      <c r="J23" s="996"/>
      <c r="K23" s="1097"/>
      <c r="L23" s="1098"/>
      <c r="M23" s="1104"/>
      <c r="N23" s="996"/>
      <c r="O23" s="995"/>
    </row>
    <row r="24" spans="1:15" x14ac:dyDescent="0.2">
      <c r="A24" s="993"/>
      <c r="B24" s="996"/>
      <c r="C24" s="1097"/>
      <c r="D24" s="1098"/>
      <c r="E24" s="1104"/>
      <c r="F24" s="996"/>
      <c r="G24" s="1097"/>
      <c r="H24" s="1098"/>
      <c r="I24" s="1104"/>
      <c r="J24" s="996"/>
      <c r="K24" s="1097"/>
      <c r="L24" s="1098"/>
      <c r="M24" s="1104"/>
      <c r="N24" s="996"/>
      <c r="O24" s="995"/>
    </row>
    <row r="25" spans="1:15" x14ac:dyDescent="0.2">
      <c r="A25" s="993"/>
      <c r="B25" s="996"/>
      <c r="C25" s="1097"/>
      <c r="D25" s="1098"/>
      <c r="E25" s="1104"/>
      <c r="F25" s="996"/>
      <c r="G25" s="1097"/>
      <c r="H25" s="1098"/>
      <c r="I25" s="1104"/>
      <c r="J25" s="996"/>
      <c r="K25" s="1097"/>
      <c r="L25" s="1098"/>
      <c r="M25" s="1104"/>
      <c r="N25" s="996"/>
      <c r="O25" s="995"/>
    </row>
    <row r="26" spans="1:15" x14ac:dyDescent="0.2">
      <c r="A26" s="993"/>
      <c r="B26" s="996"/>
      <c r="C26" s="1097"/>
      <c r="D26" s="1098"/>
      <c r="E26" s="1104"/>
      <c r="F26" s="996"/>
      <c r="G26" s="1097"/>
      <c r="H26" s="1098"/>
      <c r="I26" s="1104"/>
      <c r="J26" s="996"/>
      <c r="K26" s="1097"/>
      <c r="L26" s="1098"/>
      <c r="M26" s="1104"/>
      <c r="N26" s="996"/>
      <c r="O26" s="995"/>
    </row>
    <row r="27" spans="1:15" x14ac:dyDescent="0.2">
      <c r="A27" s="993"/>
      <c r="B27" s="996"/>
      <c r="C27" s="1097"/>
      <c r="D27" s="1098"/>
      <c r="E27" s="1104"/>
      <c r="F27" s="996"/>
      <c r="G27" s="1097"/>
      <c r="H27" s="1098"/>
      <c r="I27" s="1104"/>
      <c r="J27" s="996"/>
      <c r="K27" s="1097"/>
      <c r="L27" s="1098"/>
      <c r="M27" s="1104"/>
      <c r="N27" s="996"/>
      <c r="O27" s="995"/>
    </row>
    <row r="28" spans="1:15" x14ac:dyDescent="0.2">
      <c r="A28" s="993"/>
      <c r="B28" s="996"/>
      <c r="C28" s="1097"/>
      <c r="D28" s="1098"/>
      <c r="E28" s="1104"/>
      <c r="F28" s="996"/>
      <c r="G28" s="1097"/>
      <c r="H28" s="1098"/>
      <c r="I28" s="1104"/>
      <c r="J28" s="996"/>
      <c r="K28" s="1097"/>
      <c r="L28" s="1098"/>
      <c r="M28" s="1104"/>
      <c r="N28" s="996"/>
      <c r="O28" s="995"/>
    </row>
    <row r="29" spans="1:15" x14ac:dyDescent="0.2">
      <c r="A29" s="993"/>
      <c r="B29" s="996"/>
      <c r="C29" s="1097"/>
      <c r="D29" s="1098"/>
      <c r="E29" s="1104"/>
      <c r="F29" s="996"/>
      <c r="G29" s="1097"/>
      <c r="H29" s="1098"/>
      <c r="I29" s="1104"/>
      <c r="J29" s="996"/>
      <c r="K29" s="1097"/>
      <c r="L29" s="1098"/>
      <c r="M29" s="1104"/>
      <c r="N29" s="996"/>
      <c r="O29" s="995"/>
    </row>
    <row r="30" spans="1:15" x14ac:dyDescent="0.2">
      <c r="A30" s="993"/>
      <c r="B30" s="996"/>
      <c r="C30" s="1124" t="s">
        <v>919</v>
      </c>
      <c r="D30" s="1125" t="str">
        <f>'Quick Input'!M10</f>
        <v>EN AC-46100</v>
      </c>
      <c r="E30" s="1112"/>
      <c r="F30" s="996"/>
      <c r="G30" s="1124" t="str">
        <f>C30</f>
        <v>Material - Information:</v>
      </c>
      <c r="H30" s="1125" t="str">
        <f>'Quick Input'!P10</f>
        <v>EN AC-43100</v>
      </c>
      <c r="I30" s="1112"/>
      <c r="J30" s="996"/>
      <c r="K30" s="1124" t="str">
        <f>C30</f>
        <v>Material - Information:</v>
      </c>
      <c r="L30" s="1125" t="str">
        <f>'Quick Input'!S10</f>
        <v>EN AC-43100</v>
      </c>
      <c r="M30" s="1112"/>
      <c r="N30" s="996"/>
      <c r="O30" s="995"/>
    </row>
    <row r="31" spans="1:15" x14ac:dyDescent="0.2">
      <c r="A31" s="993"/>
      <c r="B31" s="996"/>
      <c r="C31" s="1126" t="str">
        <f>CONCATENATE("               ",Refkalkulation!D9)</f>
        <v xml:space="preserve">               Materialien</v>
      </c>
      <c r="D31" s="1127" t="str">
        <f>'Quick Input'!M11</f>
        <v>Al Si10Cu2(Fe)</v>
      </c>
      <c r="E31" s="1128"/>
      <c r="F31" s="996"/>
      <c r="G31" s="1126" t="str">
        <f t="shared" ref="G31:G46" si="0">C31</f>
        <v xml:space="preserve">               Materialien</v>
      </c>
      <c r="H31" s="1127" t="str">
        <f>'Quick Input'!P11</f>
        <v>Al Si10Mg(b)</v>
      </c>
      <c r="I31" s="1128"/>
      <c r="J31" s="996"/>
      <c r="K31" s="1126" t="str">
        <f t="shared" ref="K31:K46" si="1">C31</f>
        <v xml:space="preserve">               Materialien</v>
      </c>
      <c r="L31" s="1127" t="str">
        <f>'Quick Input'!S11</f>
        <v>Al Si10Mg(b)</v>
      </c>
      <c r="M31" s="1128"/>
      <c r="N31" s="996"/>
      <c r="O31" s="995"/>
    </row>
    <row r="32" spans="1:15" x14ac:dyDescent="0.2">
      <c r="A32" s="993"/>
      <c r="B32" s="996"/>
      <c r="C32" s="1129" t="str">
        <f>CONCATENATE("               ",'Quick Input'!I13)</f>
        <v xml:space="preserve">               Al-Materialpreis (€/kg)</v>
      </c>
      <c r="D32" s="1130">
        <f>Refkalkulation!H12</f>
        <v>2.0002526724975707</v>
      </c>
      <c r="E32" s="1131"/>
      <c r="F32" s="1023"/>
      <c r="G32" s="1129" t="str">
        <f t="shared" si="0"/>
        <v xml:space="preserve">               Al-Materialpreis (€/kg)</v>
      </c>
      <c r="H32" s="1130">
        <f>Refkalkulation!K12</f>
        <v>1.9670528580208975</v>
      </c>
      <c r="I32" s="1131"/>
      <c r="J32" s="1023"/>
      <c r="K32" s="1129" t="str">
        <f t="shared" si="1"/>
        <v xml:space="preserve">               Al-Materialpreis (€/kg)</v>
      </c>
      <c r="L32" s="1130">
        <f>Refkalkulation!N12</f>
        <v>1.9670528580208975</v>
      </c>
      <c r="M32" s="1131"/>
      <c r="N32" s="996"/>
      <c r="O32" s="995"/>
    </row>
    <row r="33" spans="1:16" ht="15" x14ac:dyDescent="0.25">
      <c r="A33" s="993"/>
      <c r="B33" s="996"/>
      <c r="C33" s="1132" t="str">
        <f>Refkalkulation!D9</f>
        <v>Materialien</v>
      </c>
      <c r="D33" s="1133">
        <f>SUM(E34:E37)</f>
        <v>15.78852555671148</v>
      </c>
      <c r="E33" s="1134"/>
      <c r="F33" s="996"/>
      <c r="G33" s="1132" t="str">
        <f t="shared" si="0"/>
        <v>Materialien</v>
      </c>
      <c r="H33" s="1133">
        <f>SUM(I34:I37)</f>
        <v>12.672161525540741</v>
      </c>
      <c r="I33" s="1134"/>
      <c r="J33" s="996"/>
      <c r="K33" s="1132" t="str">
        <f t="shared" si="1"/>
        <v>Materialien</v>
      </c>
      <c r="L33" s="1133">
        <f>SUM(M34:M37)</f>
        <v>12.672161525540741</v>
      </c>
      <c r="M33" s="1134"/>
      <c r="N33" s="996"/>
      <c r="O33" s="995"/>
    </row>
    <row r="34" spans="1:16" x14ac:dyDescent="0.2">
      <c r="A34" s="993"/>
      <c r="B34" s="996"/>
      <c r="C34" s="1135" t="str">
        <f>CONCATENATE("               ",Refkalkulation!D15)</f>
        <v xml:space="preserve">               Materialkosten Rohteil</v>
      </c>
      <c r="D34" s="1136"/>
      <c r="E34" s="1137">
        <f>Refkalkulation!H15</f>
        <v>10.001263362487853</v>
      </c>
      <c r="F34" s="1030"/>
      <c r="G34" s="1135" t="str">
        <f t="shared" si="0"/>
        <v xml:space="preserve">               Materialkosten Rohteil</v>
      </c>
      <c r="H34" s="1136"/>
      <c r="I34" s="1137">
        <f>Refkalkulation!K15</f>
        <v>9.8352642901044867</v>
      </c>
      <c r="J34" s="1030"/>
      <c r="K34" s="1135" t="str">
        <f t="shared" si="1"/>
        <v xml:space="preserve">               Materialkosten Rohteil</v>
      </c>
      <c r="L34" s="1136"/>
      <c r="M34" s="1137">
        <f>Refkalkulation!N15</f>
        <v>9.8352642901044867</v>
      </c>
      <c r="N34" s="1030"/>
      <c r="O34" s="995"/>
    </row>
    <row r="35" spans="1:16" x14ac:dyDescent="0.2">
      <c r="A35" s="993"/>
      <c r="B35" s="996"/>
      <c r="C35" s="1135" t="str">
        <f>CONCATENATE("               ",Refkalkulation!D17)</f>
        <v xml:space="preserve">               Kosten Schmelzverlust</v>
      </c>
      <c r="D35" s="1136"/>
      <c r="E35" s="1137">
        <f>Refkalkulation!H17</f>
        <v>0.81107480677288102</v>
      </c>
      <c r="F35" s="1030"/>
      <c r="G35" s="1135" t="str">
        <f t="shared" si="0"/>
        <v xml:space="preserve">               Kosten Schmelzverlust</v>
      </c>
      <c r="H35" s="1136"/>
      <c r="I35" s="1137">
        <f>Refkalkulation!K17</f>
        <v>0.79784922319733242</v>
      </c>
      <c r="J35" s="1030"/>
      <c r="K35" s="1135" t="str">
        <f t="shared" si="1"/>
        <v xml:space="preserve">               Kosten Schmelzverlust</v>
      </c>
      <c r="L35" s="1136"/>
      <c r="M35" s="1137">
        <f>Refkalkulation!N17</f>
        <v>0.79784922319733242</v>
      </c>
      <c r="N35" s="1030"/>
      <c r="O35" s="995"/>
    </row>
    <row r="36" spans="1:16" x14ac:dyDescent="0.2">
      <c r="A36" s="993"/>
      <c r="B36" s="996"/>
      <c r="C36" s="1135" t="str">
        <f>CONCATENATE("               ",Refkalkulation!D23)</f>
        <v xml:space="preserve">               Kosten Hilfsstoffe (€/Stk.)</v>
      </c>
      <c r="D36" s="1136"/>
      <c r="E36" s="1137">
        <f>Refkalkulation!H23</f>
        <v>3.9432931921518644</v>
      </c>
      <c r="F36" s="1030"/>
      <c r="G36" s="1135" t="str">
        <f t="shared" si="0"/>
        <v xml:space="preserve">               Kosten Hilfsstoffe (€/Stk.)</v>
      </c>
      <c r="H36" s="1136"/>
      <c r="I36" s="1137">
        <f>Refkalkulation!K23</f>
        <v>1.2100280993530796</v>
      </c>
      <c r="J36" s="1030"/>
      <c r="K36" s="1135" t="str">
        <f t="shared" si="1"/>
        <v xml:space="preserve">               Kosten Hilfsstoffe (€/Stk.)</v>
      </c>
      <c r="L36" s="1136"/>
      <c r="M36" s="1137">
        <f>Refkalkulation!N23</f>
        <v>1.2100280993530796</v>
      </c>
      <c r="N36" s="1030"/>
      <c r="O36" s="995"/>
    </row>
    <row r="37" spans="1:16" x14ac:dyDescent="0.2">
      <c r="A37" s="993"/>
      <c r="B37" s="996"/>
      <c r="C37" s="1138" t="str">
        <f>CONCATENATE("               ",Refkalkulation!D25)</f>
        <v xml:space="preserve">               Materialgemeinkosten</v>
      </c>
      <c r="D37" s="1139"/>
      <c r="E37" s="1140">
        <f>Refkalkulation!H25</f>
        <v>1.0328941952988819</v>
      </c>
      <c r="F37" s="1030"/>
      <c r="G37" s="1138" t="str">
        <f t="shared" si="0"/>
        <v xml:space="preserve">               Materialgemeinkosten</v>
      </c>
      <c r="H37" s="1139"/>
      <c r="I37" s="1140">
        <f>Refkalkulation!K25</f>
        <v>0.82901991288584298</v>
      </c>
      <c r="J37" s="1030"/>
      <c r="K37" s="1138" t="str">
        <f t="shared" si="1"/>
        <v xml:space="preserve">               Materialgemeinkosten</v>
      </c>
      <c r="L37" s="1139"/>
      <c r="M37" s="1140">
        <f>Refkalkulation!N25</f>
        <v>0.82901991288584298</v>
      </c>
      <c r="N37" s="1030"/>
      <c r="O37" s="995"/>
    </row>
    <row r="38" spans="1:16" ht="15" x14ac:dyDescent="0.25">
      <c r="A38" s="993"/>
      <c r="B38" s="996"/>
      <c r="C38" s="1132" t="str">
        <f>Refkalkulation!D104</f>
        <v>Fertigungskosten gesamt</v>
      </c>
      <c r="D38" s="1133">
        <f>SUM(E39:E43)</f>
        <v>72.603939292091951</v>
      </c>
      <c r="E38" s="1141"/>
      <c r="F38" s="1037"/>
      <c r="G38" s="1132" t="str">
        <f t="shared" si="0"/>
        <v>Fertigungskosten gesamt</v>
      </c>
      <c r="H38" s="1133">
        <f>SUM(I39:I43)</f>
        <v>11.60782421514778</v>
      </c>
      <c r="I38" s="1141"/>
      <c r="J38" s="1037"/>
      <c r="K38" s="1132" t="str">
        <f t="shared" si="1"/>
        <v>Fertigungskosten gesamt</v>
      </c>
      <c r="L38" s="1133">
        <f>SUM(M39:M43)</f>
        <v>17.371466777293559</v>
      </c>
      <c r="M38" s="1141"/>
      <c r="N38" s="1037"/>
      <c r="O38" s="995"/>
    </row>
    <row r="39" spans="1:16" x14ac:dyDescent="0.2">
      <c r="A39" s="993"/>
      <c r="B39" s="996"/>
      <c r="C39" s="1142" t="str">
        <f>CONCATENATE("               ",Refkalkulation!D28)</f>
        <v xml:space="preserve">               Prozess Schmelzen</v>
      </c>
      <c r="D39" s="1143"/>
      <c r="E39" s="1144">
        <f>Refkalkulation!H47</f>
        <v>0.46955652965239764</v>
      </c>
      <c r="F39" s="1041"/>
      <c r="G39" s="1142" t="str">
        <f t="shared" si="0"/>
        <v xml:space="preserve">               Prozess Schmelzen</v>
      </c>
      <c r="H39" s="1143"/>
      <c r="I39" s="1144">
        <f>Refkalkulation!K47</f>
        <v>0.33154136144434415</v>
      </c>
      <c r="J39" s="1041"/>
      <c r="K39" s="1142" t="str">
        <f t="shared" si="1"/>
        <v xml:space="preserve">               Prozess Schmelzen</v>
      </c>
      <c r="L39" s="1143"/>
      <c r="M39" s="1144">
        <f>Refkalkulation!N47</f>
        <v>0.83550167745339732</v>
      </c>
      <c r="N39" s="1041"/>
      <c r="O39" s="995"/>
    </row>
    <row r="40" spans="1:16" x14ac:dyDescent="0.2">
      <c r="A40" s="993"/>
      <c r="B40" s="996"/>
      <c r="C40" s="1142" t="str">
        <f>CONCATENATE("               ",Refkalkulation!D48)</f>
        <v xml:space="preserve">               Prozess Formen</v>
      </c>
      <c r="D40" s="1145"/>
      <c r="E40" s="1144">
        <f>Refkalkulation!H72</f>
        <v>32.269079349046009</v>
      </c>
      <c r="F40" s="1041"/>
      <c r="G40" s="1142" t="str">
        <f t="shared" si="0"/>
        <v xml:space="preserve">               Prozess Formen</v>
      </c>
      <c r="H40" s="1145"/>
      <c r="I40" s="1144">
        <f>Refkalkulation!K72</f>
        <v>8.9371560581078882</v>
      </c>
      <c r="J40" s="1041"/>
      <c r="K40" s="1142" t="str">
        <f t="shared" si="1"/>
        <v xml:space="preserve">               Prozess Formen</v>
      </c>
      <c r="L40" s="1145"/>
      <c r="M40" s="1144">
        <f>Refkalkulation!N72</f>
        <v>13.39478130950847</v>
      </c>
      <c r="N40" s="1041"/>
      <c r="O40" s="995"/>
    </row>
    <row r="41" spans="1:16" x14ac:dyDescent="0.2">
      <c r="A41" s="993"/>
      <c r="B41" s="996"/>
      <c r="C41" s="1142" t="str">
        <f>CONCATENATE("               ",Refkalkulation!D73)</f>
        <v xml:space="preserve">               Nachbehandlung</v>
      </c>
      <c r="D41" s="1145"/>
      <c r="E41" s="1144">
        <f>Refkalkulation!H87</f>
        <v>28.877110573708414</v>
      </c>
      <c r="F41" s="1041"/>
      <c r="G41" s="1142" t="str">
        <f t="shared" si="0"/>
        <v xml:space="preserve">               Nachbehandlung</v>
      </c>
      <c r="H41" s="1145"/>
      <c r="I41" s="1144">
        <f>Refkalkulation!K87</f>
        <v>0.59883234043059663</v>
      </c>
      <c r="J41" s="1041"/>
      <c r="K41" s="1142" t="str">
        <f t="shared" si="1"/>
        <v xml:space="preserve">               Nachbehandlung</v>
      </c>
      <c r="L41" s="1145"/>
      <c r="M41" s="1144">
        <f>Refkalkulation!N87</f>
        <v>0.72795053785045649</v>
      </c>
      <c r="N41" s="1041"/>
      <c r="O41" s="995"/>
    </row>
    <row r="42" spans="1:16" x14ac:dyDescent="0.2">
      <c r="A42" s="993"/>
      <c r="B42" s="996"/>
      <c r="C42" s="1142" t="str">
        <f>CONCATENATE("               ",Refkalkulation!D88)</f>
        <v xml:space="preserve">               Prüfen</v>
      </c>
      <c r="D42" s="1145"/>
      <c r="E42" s="1144">
        <f>Refkalkulation!H98+Refkalkulation!H101/Refkalkulation!H61</f>
        <v>4.3878347222222214</v>
      </c>
      <c r="F42" s="1041"/>
      <c r="G42" s="1142" t="str">
        <f t="shared" si="0"/>
        <v xml:space="preserve">               Prüfen</v>
      </c>
      <c r="H42" s="1145"/>
      <c r="I42" s="1144">
        <f>Refkalkulation!K98+Refkalkulation!K101/Refkalkulation!K61</f>
        <v>0.68503770833333333</v>
      </c>
      <c r="J42" s="1041"/>
      <c r="K42" s="1142" t="str">
        <f t="shared" si="1"/>
        <v xml:space="preserve">               Prüfen</v>
      </c>
      <c r="L42" s="1145"/>
      <c r="M42" s="1144">
        <f>Refkalkulation!N98+Refkalkulation!N101/Refkalkulation!N61</f>
        <v>0.83400899999999978</v>
      </c>
      <c r="N42" s="1041"/>
      <c r="O42" s="995"/>
    </row>
    <row r="43" spans="1:16" x14ac:dyDescent="0.2">
      <c r="A43" s="993"/>
      <c r="B43" s="996"/>
      <c r="C43" s="1142" t="str">
        <f>CONCATENATE("               ",Refkalkulation!D103)</f>
        <v xml:space="preserve">               Fertigungsgemeinkosten</v>
      </c>
      <c r="D43" s="1145"/>
      <c r="E43" s="1144">
        <f>Refkalkulation!H103</f>
        <v>6.6003581174629051</v>
      </c>
      <c r="F43" s="1041"/>
      <c r="G43" s="1142" t="str">
        <f t="shared" si="0"/>
        <v xml:space="preserve">               Fertigungsgemeinkosten</v>
      </c>
      <c r="H43" s="1145"/>
      <c r="I43" s="1144">
        <f>Refkalkulation!K103</f>
        <v>1.0552567468316163</v>
      </c>
      <c r="J43" s="1041"/>
      <c r="K43" s="1142" t="str">
        <f t="shared" si="1"/>
        <v xml:space="preserve">               Fertigungsgemeinkosten</v>
      </c>
      <c r="L43" s="1145"/>
      <c r="M43" s="1144">
        <f>Refkalkulation!N103</f>
        <v>1.5792242524812325</v>
      </c>
      <c r="N43" s="1041"/>
      <c r="O43" s="995"/>
    </row>
    <row r="44" spans="1:16" x14ac:dyDescent="0.2">
      <c r="A44" s="993"/>
      <c r="B44" s="996"/>
      <c r="C44" s="1146" t="str">
        <f>Refkalkulation!D111</f>
        <v>Gesamtgemeinkosten</v>
      </c>
      <c r="D44" s="1147">
        <f>Refkalkulation!H111</f>
        <v>16.415410925223767</v>
      </c>
      <c r="E44" s="1148">
        <f>D44/D46</f>
        <v>0.15662383006995098</v>
      </c>
      <c r="F44" s="1041"/>
      <c r="G44" s="1146" t="str">
        <f t="shared" si="0"/>
        <v>Gesamtgemeinkosten</v>
      </c>
      <c r="H44" s="1147">
        <f>Refkalkulation!K111</f>
        <v>3.8422242260944444</v>
      </c>
      <c r="I44" s="1148">
        <f>H44/H46</f>
        <v>0.13662597038542681</v>
      </c>
      <c r="J44" s="996"/>
      <c r="K44" s="1146" t="str">
        <f t="shared" si="1"/>
        <v>Gesamtgemeinkosten</v>
      </c>
      <c r="L44" s="1147">
        <f>Refkalkulation!N111</f>
        <v>4.994952738523601</v>
      </c>
      <c r="M44" s="1148">
        <f>L44/L46</f>
        <v>0.1425557939297768</v>
      </c>
      <c r="N44" s="996"/>
      <c r="O44" s="995"/>
    </row>
    <row r="45" spans="1:16" ht="18" customHeight="1" x14ac:dyDescent="0.25">
      <c r="A45" s="993"/>
      <c r="B45" s="996"/>
      <c r="C45" s="1149" t="str">
        <f>Refkalkulation!D114</f>
        <v>Gesamtgewinn</v>
      </c>
      <c r="D45" s="1147">
        <f>Refkalkulation!H114</f>
        <v>0</v>
      </c>
      <c r="E45" s="1150">
        <f>D45/D46</f>
        <v>0</v>
      </c>
      <c r="F45" s="1041"/>
      <c r="G45" s="1149" t="str">
        <f t="shared" si="0"/>
        <v>Gesamtgewinn</v>
      </c>
      <c r="H45" s="1147">
        <f>Refkalkulation!K114</f>
        <v>0</v>
      </c>
      <c r="I45" s="1150">
        <f>H45/H46</f>
        <v>0</v>
      </c>
      <c r="J45" s="996"/>
      <c r="K45" s="1149" t="str">
        <f t="shared" si="1"/>
        <v>Gesamtgewinn</v>
      </c>
      <c r="L45" s="1147">
        <f>Refkalkulation!N114</f>
        <v>0</v>
      </c>
      <c r="M45" s="1150">
        <f>L45/L46</f>
        <v>0</v>
      </c>
      <c r="N45" s="996"/>
      <c r="O45" s="995"/>
    </row>
    <row r="46" spans="1:16" ht="15" x14ac:dyDescent="0.2">
      <c r="A46" s="993"/>
      <c r="B46" s="996"/>
      <c r="C46" s="1155" t="str">
        <f>Refkalkulation!D116</f>
        <v>Bauteilpreis gesamt</v>
      </c>
      <c r="D46" s="1151">
        <f>SUM(D33:D45)</f>
        <v>104.8078757740272</v>
      </c>
      <c r="E46" s="1152" t="s">
        <v>920</v>
      </c>
      <c r="F46" s="1114"/>
      <c r="G46" s="1155" t="str">
        <f t="shared" si="0"/>
        <v>Bauteilpreis gesamt</v>
      </c>
      <c r="H46" s="1151">
        <f>SUM(H33:H45)</f>
        <v>28.122209966782965</v>
      </c>
      <c r="I46" s="1152" t="s">
        <v>920</v>
      </c>
      <c r="J46" s="1114"/>
      <c r="K46" s="1155" t="str">
        <f t="shared" si="1"/>
        <v>Bauteilpreis gesamt</v>
      </c>
      <c r="L46" s="1151">
        <f>SUM(L33:L45)</f>
        <v>35.038581041357901</v>
      </c>
      <c r="M46" s="1152" t="s">
        <v>920</v>
      </c>
      <c r="N46" s="1052"/>
      <c r="O46" s="995"/>
    </row>
    <row r="47" spans="1:16" x14ac:dyDescent="0.2">
      <c r="A47" s="993"/>
      <c r="B47" s="996"/>
      <c r="C47" s="1156" t="str">
        <f>Refkalkulation!D120</f>
        <v>Zielpreis Bauteil</v>
      </c>
      <c r="D47" s="1153">
        <f>Refkalkulation!H120</f>
        <v>55</v>
      </c>
      <c r="E47" s="1154">
        <f>(D47-D46)*D13</f>
        <v>-249039.37887013599</v>
      </c>
      <c r="F47" s="1114"/>
      <c r="G47" s="1156" t="str">
        <f>C47</f>
        <v>Zielpreis Bauteil</v>
      </c>
      <c r="H47" s="1153">
        <f>Refkalkulation!K120</f>
        <v>55</v>
      </c>
      <c r="I47" s="1154">
        <f>(H47-H46)*H13</f>
        <v>134388.95016608518</v>
      </c>
      <c r="J47" s="1114"/>
      <c r="K47" s="1156" t="str">
        <f>C47</f>
        <v>Zielpreis Bauteil</v>
      </c>
      <c r="L47" s="1153">
        <f>Refkalkulation!N120</f>
        <v>55</v>
      </c>
      <c r="M47" s="1154">
        <f>(L47-L46)*L13</f>
        <v>99807.09479321049</v>
      </c>
      <c r="N47" s="1052"/>
      <c r="O47" s="995"/>
    </row>
    <row r="48" spans="1:16" ht="15" x14ac:dyDescent="0.2">
      <c r="A48" s="993"/>
      <c r="B48" s="996"/>
      <c r="C48" s="1155" t="str">
        <f>IF(Deutsch,"Modellkosten geschätzt","Pattern Cost estimated")</f>
        <v>Modellkosten geschätzt</v>
      </c>
      <c r="D48" s="1151">
        <f>Refkalkulation!H124+Refkalkulation!H125</f>
        <v>10100</v>
      </c>
      <c r="E48" s="1152" t="s">
        <v>921</v>
      </c>
      <c r="F48" s="1114"/>
      <c r="G48" s="1155" t="str">
        <f>C48</f>
        <v>Modellkosten geschätzt</v>
      </c>
      <c r="H48" s="1151">
        <f>Refkalkulation!K124+Refkalkulation!K125</f>
        <v>8500</v>
      </c>
      <c r="I48" s="1152" t="s">
        <v>921</v>
      </c>
      <c r="J48" s="1114"/>
      <c r="K48" s="1155" t="str">
        <f>C48</f>
        <v>Modellkosten geschätzt</v>
      </c>
      <c r="L48" s="1151">
        <f>Refkalkulation!N124+Refkalkulation!N125</f>
        <v>8800</v>
      </c>
      <c r="M48" s="1152" t="s">
        <v>921</v>
      </c>
      <c r="N48" s="1052"/>
      <c r="O48" s="995"/>
      <c r="P48" s="1184"/>
    </row>
    <row r="49" spans="1:15" x14ac:dyDescent="0.2">
      <c r="A49" s="993"/>
      <c r="B49" s="996"/>
      <c r="C49" s="1156" t="str">
        <f>Refkalkulation!D126</f>
        <v>Modellkosten Angebot</v>
      </c>
      <c r="D49" s="1153">
        <f>Refkalkulation!H126</f>
        <v>10000</v>
      </c>
      <c r="E49" s="1154">
        <f>D49-D48</f>
        <v>-100</v>
      </c>
      <c r="F49" s="1114"/>
      <c r="G49" s="1156" t="str">
        <f>C49</f>
        <v>Modellkosten Angebot</v>
      </c>
      <c r="H49" s="1153">
        <f>Refkalkulation!K126</f>
        <v>5600</v>
      </c>
      <c r="I49" s="1154">
        <f>H49-H48</f>
        <v>-2900</v>
      </c>
      <c r="J49" s="1114"/>
      <c r="K49" s="1156" t="str">
        <f>C49</f>
        <v>Modellkosten Angebot</v>
      </c>
      <c r="L49" s="1153">
        <f>Refkalkulation!N126</f>
        <v>7500</v>
      </c>
      <c r="M49" s="1154">
        <f>L49-L48</f>
        <v>-1300</v>
      </c>
      <c r="N49" s="1052"/>
      <c r="O49" s="995"/>
    </row>
    <row r="50" spans="1:15" x14ac:dyDescent="0.2">
      <c r="A50" s="1005"/>
      <c r="B50" s="1006"/>
      <c r="C50" s="1006"/>
      <c r="D50" s="1006"/>
      <c r="E50" s="1006"/>
      <c r="F50" s="1006"/>
      <c r="G50" s="1006"/>
      <c r="H50" s="1006"/>
      <c r="I50" s="1006"/>
      <c r="J50" s="1006"/>
      <c r="K50" s="1006"/>
      <c r="L50" s="1006"/>
      <c r="M50" s="1006"/>
      <c r="N50" s="1006"/>
      <c r="O50" s="1053"/>
    </row>
    <row r="56" spans="1:15" ht="0.2" customHeight="1" x14ac:dyDescent="0.2">
      <c r="A56" s="992" t="str">
        <f>C10</f>
        <v>Deutschland</v>
      </c>
      <c r="C56" s="992" t="s">
        <v>922</v>
      </c>
      <c r="D56" s="992" t="s">
        <v>923</v>
      </c>
      <c r="E56" s="992" t="s">
        <v>924</v>
      </c>
      <c r="F56" s="992" t="s">
        <v>925</v>
      </c>
      <c r="G56" s="992" t="s">
        <v>928</v>
      </c>
      <c r="H56" s="992" t="s">
        <v>927</v>
      </c>
      <c r="I56" s="992" t="s">
        <v>929</v>
      </c>
    </row>
    <row r="57" spans="1:15" ht="0.2" customHeight="1" x14ac:dyDescent="0.2">
      <c r="C57" s="1121">
        <f>D33</f>
        <v>15.78852555671148</v>
      </c>
      <c r="D57" s="1121">
        <f>D38</f>
        <v>72.603939292091951</v>
      </c>
      <c r="E57" s="1121">
        <f>D44</f>
        <v>16.415410925223767</v>
      </c>
      <c r="F57" s="1121">
        <f>D45</f>
        <v>0</v>
      </c>
      <c r="G57" s="1121">
        <f>D46</f>
        <v>104.8078757740272</v>
      </c>
      <c r="H57" s="1121">
        <f>I57-G57</f>
        <v>-49.807875774027195</v>
      </c>
      <c r="I57" s="1121">
        <f>D47</f>
        <v>55</v>
      </c>
    </row>
    <row r="58" spans="1:15" ht="0.2" customHeight="1" x14ac:dyDescent="0.2">
      <c r="C58" s="1121"/>
      <c r="D58" s="1121">
        <f>C57</f>
        <v>15.78852555671148</v>
      </c>
      <c r="E58" s="1121">
        <f>D57+D58</f>
        <v>88.392464848803428</v>
      </c>
      <c r="F58" s="1121">
        <f>E57+E58</f>
        <v>104.8078757740272</v>
      </c>
      <c r="G58" s="1121"/>
      <c r="H58" s="1121"/>
      <c r="I58" s="1121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92" t="str">
        <f>G10</f>
        <v>Türkei</v>
      </c>
      <c r="C62" s="992" t="s">
        <v>922</v>
      </c>
      <c r="D62" s="992" t="s">
        <v>923</v>
      </c>
      <c r="E62" s="992" t="s">
        <v>924</v>
      </c>
      <c r="F62" s="992" t="s">
        <v>925</v>
      </c>
      <c r="G62" s="992" t="s">
        <v>928</v>
      </c>
      <c r="H62" s="992" t="s">
        <v>927</v>
      </c>
      <c r="I62" s="992" t="s">
        <v>929</v>
      </c>
    </row>
    <row r="63" spans="1:15" ht="0.2" customHeight="1" x14ac:dyDescent="0.2">
      <c r="C63" s="1121">
        <f>H33</f>
        <v>12.672161525540741</v>
      </c>
      <c r="D63" s="1121">
        <f>H38</f>
        <v>11.60782421514778</v>
      </c>
      <c r="E63" s="1121">
        <f>H44</f>
        <v>3.8422242260944444</v>
      </c>
      <c r="F63" s="1121">
        <f>H45</f>
        <v>0</v>
      </c>
      <c r="G63" s="1121">
        <f>H46</f>
        <v>28.122209966782965</v>
      </c>
      <c r="H63" s="1121">
        <f>I63-G63</f>
        <v>26.877790033217035</v>
      </c>
      <c r="I63" s="1121">
        <f>H47</f>
        <v>55</v>
      </c>
    </row>
    <row r="64" spans="1:15" ht="0.2" customHeight="1" x14ac:dyDescent="0.2">
      <c r="C64" s="1121"/>
      <c r="D64" s="1121">
        <f>C63</f>
        <v>12.672161525540741</v>
      </c>
      <c r="E64" s="1121">
        <f>D63+D64</f>
        <v>24.27998574068852</v>
      </c>
      <c r="F64" s="1121">
        <f>E63+E64</f>
        <v>28.122209966782965</v>
      </c>
      <c r="G64" s="1121"/>
      <c r="H64" s="1121"/>
      <c r="I64" s="1121"/>
    </row>
    <row r="65" spans="1:9" ht="0.2" customHeight="1" x14ac:dyDescent="0.2"/>
    <row r="66" spans="1:9" ht="0.2" customHeight="1" x14ac:dyDescent="0.2"/>
    <row r="67" spans="1:9" ht="0.2" customHeight="1" x14ac:dyDescent="0.2">
      <c r="A67" s="992" t="str">
        <f>K10</f>
        <v>Polen</v>
      </c>
      <c r="C67" s="992" t="s">
        <v>922</v>
      </c>
      <c r="D67" s="992" t="s">
        <v>923</v>
      </c>
      <c r="E67" s="992" t="s">
        <v>924</v>
      </c>
      <c r="F67" s="992" t="s">
        <v>925</v>
      </c>
      <c r="G67" s="992" t="s">
        <v>928</v>
      </c>
      <c r="H67" s="992" t="s">
        <v>927</v>
      </c>
      <c r="I67" s="992" t="s">
        <v>929</v>
      </c>
    </row>
    <row r="68" spans="1:9" ht="0.2" customHeight="1" x14ac:dyDescent="0.2">
      <c r="C68" s="1121">
        <f>L33</f>
        <v>12.672161525540741</v>
      </c>
      <c r="D68" s="1121">
        <f>L38</f>
        <v>17.371466777293559</v>
      </c>
      <c r="E68" s="1121">
        <f>L44</f>
        <v>4.994952738523601</v>
      </c>
      <c r="F68" s="1121">
        <f>L45</f>
        <v>0</v>
      </c>
      <c r="G68" s="1121">
        <f>L46</f>
        <v>35.038581041357901</v>
      </c>
      <c r="H68" s="1121">
        <f>I68-G68</f>
        <v>19.961418958642099</v>
      </c>
      <c r="I68" s="1121">
        <f>L47</f>
        <v>55</v>
      </c>
    </row>
    <row r="69" spans="1:9" ht="0.2" customHeight="1" x14ac:dyDescent="0.2">
      <c r="C69" s="1121"/>
      <c r="D69" s="1121">
        <f>C68</f>
        <v>12.672161525540741</v>
      </c>
      <c r="E69" s="1121">
        <f>D68+D69</f>
        <v>30.0436283028343</v>
      </c>
      <c r="F69" s="1121">
        <f>E68+E69</f>
        <v>35.038581041357901</v>
      </c>
      <c r="G69" s="1121"/>
      <c r="H69" s="1121"/>
      <c r="I69" s="1121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92" customWidth="1"/>
    <col min="2" max="2" width="0.875" style="992" customWidth="1"/>
    <col min="3" max="3" width="31.75" style="992" customWidth="1"/>
    <col min="4" max="5" width="11" style="992"/>
    <col min="6" max="6" width="10.625" style="992" customWidth="1"/>
    <col min="7" max="7" width="31.75" style="992" customWidth="1"/>
    <col min="8" max="9" width="11" style="992"/>
    <col min="10" max="10" width="10.625" style="992" customWidth="1"/>
    <col min="11" max="11" width="31.75" style="992" customWidth="1"/>
    <col min="12" max="13" width="11" style="992"/>
    <col min="14" max="14" width="0.875" style="992" customWidth="1"/>
    <col min="15" max="15" width="8.1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88"/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90"/>
      <c r="N2" s="994"/>
      <c r="O2" s="995"/>
    </row>
    <row r="3" spans="1:28" x14ac:dyDescent="0.2">
      <c r="A3" s="993"/>
      <c r="B3" s="993"/>
      <c r="C3" s="996"/>
      <c r="D3" s="996"/>
      <c r="E3" s="996"/>
      <c r="F3" s="996"/>
      <c r="G3" s="996"/>
      <c r="H3" s="996"/>
      <c r="I3" s="996"/>
      <c r="J3" s="996"/>
      <c r="K3" s="996"/>
      <c r="L3" s="996"/>
      <c r="M3" s="997">
        <f ca="1">TODAY()</f>
        <v>44412</v>
      </c>
      <c r="N3" s="998"/>
      <c r="O3" s="995"/>
    </row>
    <row r="4" spans="1:28" x14ac:dyDescent="0.2">
      <c r="A4" s="993"/>
      <c r="B4" s="993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1055" t="str">
        <f>'Quick Input'!L3</f>
        <v>Dr.P. Pawar</v>
      </c>
      <c r="N4" s="999"/>
      <c r="O4" s="995"/>
    </row>
    <row r="5" spans="1:28" ht="20.25" x14ac:dyDescent="0.3">
      <c r="A5" s="993"/>
      <c r="B5" s="993"/>
      <c r="C5" s="1000"/>
      <c r="D5" s="1001"/>
      <c r="E5" s="996"/>
      <c r="F5" s="996"/>
      <c r="G5" s="1002" t="str">
        <f>'Quick Input'!R2</f>
        <v>Siemens Standort</v>
      </c>
      <c r="H5" s="1054" t="str">
        <f>'Quick Input'!U2</f>
        <v>Erlangen</v>
      </c>
      <c r="I5" s="996"/>
      <c r="J5" s="996"/>
      <c r="K5" s="996"/>
      <c r="L5" s="996"/>
      <c r="M5" s="996"/>
      <c r="N5" s="995"/>
      <c r="O5" s="995"/>
    </row>
    <row r="6" spans="1:28" x14ac:dyDescent="0.2">
      <c r="A6" s="993"/>
      <c r="B6" s="993"/>
      <c r="C6" s="996"/>
      <c r="D6" s="996"/>
      <c r="E6" s="996"/>
      <c r="F6" s="1004"/>
      <c r="G6" s="1002" t="str">
        <f>'Quick Input'!R3</f>
        <v>Lieferant</v>
      </c>
      <c r="H6" s="1054" t="str">
        <f>'Quick Input'!U3</f>
        <v>MGG</v>
      </c>
      <c r="I6" s="996"/>
      <c r="J6" s="996"/>
      <c r="K6" s="996"/>
      <c r="L6" s="996"/>
      <c r="M6" s="997"/>
      <c r="N6" s="998"/>
      <c r="O6" s="995"/>
    </row>
    <row r="7" spans="1:28" x14ac:dyDescent="0.2">
      <c r="A7" s="993"/>
      <c r="B7" s="993"/>
      <c r="C7" s="996"/>
      <c r="D7" s="996"/>
      <c r="E7" s="996"/>
      <c r="F7" s="996"/>
      <c r="G7" s="1002" t="str">
        <f>'Quick Input'!R4</f>
        <v>Werk</v>
      </c>
      <c r="H7" s="1054" t="str">
        <f>'Quick Input'!U4</f>
        <v>DI MC</v>
      </c>
      <c r="I7" s="996"/>
      <c r="J7" s="996"/>
      <c r="K7" s="996"/>
      <c r="L7" s="996"/>
      <c r="M7" s="997"/>
      <c r="N7" s="998"/>
      <c r="O7" s="995"/>
    </row>
    <row r="8" spans="1:28" x14ac:dyDescent="0.2">
      <c r="A8" s="993"/>
      <c r="B8" s="993"/>
      <c r="C8" s="996"/>
      <c r="D8" s="996"/>
      <c r="E8" s="996"/>
      <c r="F8" s="996"/>
      <c r="G8" s="1003"/>
      <c r="H8" s="996"/>
      <c r="I8" s="996"/>
      <c r="J8" s="996"/>
      <c r="K8" s="996"/>
      <c r="L8" s="996"/>
      <c r="M8" s="997"/>
      <c r="N8" s="998"/>
      <c r="O8" s="995"/>
    </row>
    <row r="9" spans="1:28" x14ac:dyDescent="0.2">
      <c r="A9" s="993"/>
      <c r="B9" s="993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8"/>
      <c r="O9" s="995"/>
    </row>
    <row r="10" spans="1:28" ht="5.0999999999999996" customHeight="1" x14ac:dyDescent="0.2">
      <c r="A10" s="993"/>
      <c r="B10" s="1005"/>
      <c r="C10" s="1006"/>
      <c r="D10" s="1006"/>
      <c r="E10" s="1006"/>
      <c r="F10" s="1006"/>
      <c r="G10" s="1007"/>
      <c r="H10" s="1006"/>
      <c r="I10" s="1006"/>
      <c r="J10" s="1006"/>
      <c r="K10" s="1006"/>
      <c r="L10" s="1006"/>
      <c r="M10" s="1008"/>
      <c r="N10" s="1009"/>
      <c r="O10" s="995"/>
    </row>
    <row r="11" spans="1:28" x14ac:dyDescent="0.2">
      <c r="A11" s="993"/>
      <c r="B11" s="996"/>
      <c r="C11" s="1004"/>
      <c r="D11" s="996"/>
      <c r="E11" s="996"/>
      <c r="F11" s="996"/>
      <c r="G11" s="1003"/>
      <c r="H11" s="996"/>
      <c r="I11" s="996"/>
      <c r="J11" s="996"/>
      <c r="K11" s="996"/>
      <c r="L11" s="996"/>
      <c r="M11" s="997"/>
      <c r="N11" s="997"/>
      <c r="O11" s="995"/>
      <c r="AB11" s="1010"/>
    </row>
    <row r="12" spans="1:28" ht="15" x14ac:dyDescent="0.2">
      <c r="A12" s="993"/>
      <c r="B12" s="996"/>
      <c r="C12" s="1011" t="str">
        <f>Refkalkulation!H7</f>
        <v>Deutschland</v>
      </c>
      <c r="D12" s="1012" t="str">
        <f>Refkalkulation!H$6</f>
        <v>Housing</v>
      </c>
      <c r="E12" s="1013"/>
      <c r="F12" s="1014"/>
      <c r="G12" s="1011" t="str">
        <f>Refkalkulation!K7</f>
        <v>Türkei</v>
      </c>
      <c r="H12" s="1012" t="str">
        <f>Refkalkulation!K$6</f>
        <v>Housing</v>
      </c>
      <c r="I12" s="1013"/>
      <c r="J12" s="1014"/>
      <c r="K12" s="1011" t="str">
        <f>Refkalkulation!N7</f>
        <v>Polen</v>
      </c>
      <c r="L12" s="1012" t="str">
        <f>Refkalkulation!N$6</f>
        <v>Housing</v>
      </c>
      <c r="M12" s="991"/>
      <c r="N12" s="996"/>
      <c r="O12" s="995"/>
    </row>
    <row r="13" spans="1:28" x14ac:dyDescent="0.2">
      <c r="A13" s="993"/>
      <c r="B13" s="996"/>
      <c r="C13" s="993" t="str">
        <f>CONCATENATE('Quick Input'!$I22," ",'Quick Input'!L22)</f>
        <v>Formverfahren halbautomatisch</v>
      </c>
      <c r="D13" s="996">
        <f>'Quick Input'!L19</f>
        <v>5</v>
      </c>
      <c r="E13" s="995" t="s">
        <v>70</v>
      </c>
      <c r="F13" s="996"/>
      <c r="G13" s="993" t="str">
        <f>CONCATENATE('Quick Input'!$I22," ",'Quick Input'!O22)</f>
        <v>Formverfahren Handformen</v>
      </c>
      <c r="H13" s="996">
        <f>'Quick Input'!O19</f>
        <v>5</v>
      </c>
      <c r="I13" s="995" t="s">
        <v>70</v>
      </c>
      <c r="J13" s="996"/>
      <c r="K13" s="993" t="str">
        <f>CONCATENATE('Quick Input'!$I22," ",'Quick Input'!R22)</f>
        <v>Formverfahren Handformen</v>
      </c>
      <c r="L13" s="996">
        <f>'Quick Input'!R19</f>
        <v>5</v>
      </c>
      <c r="M13" s="995" t="s">
        <v>70</v>
      </c>
      <c r="N13" s="996"/>
      <c r="O13" s="995"/>
    </row>
    <row r="14" spans="1:28" x14ac:dyDescent="0.2">
      <c r="A14" s="993"/>
      <c r="B14" s="996"/>
      <c r="C14" s="993" t="str">
        <f>CONCATENATE('Quick Input'!$I23," ",'Quick Input'!L23,": ",Refkalkulation!H67," ltr")</f>
        <v>Sandkerne ohne: 0 ltr</v>
      </c>
      <c r="D14" s="996"/>
      <c r="E14" s="995"/>
      <c r="F14" s="996"/>
      <c r="G14" s="993" t="str">
        <f>CONCATENATE('Quick Input'!$I23," ",'Quick Input'!O23,": ",Refkalkulation!K67," ltr")</f>
        <v>Sandkerne ohne: 0 ltr</v>
      </c>
      <c r="H14" s="996"/>
      <c r="I14" s="995"/>
      <c r="J14" s="996"/>
      <c r="K14" s="993" t="str">
        <f>CONCATENATE('Quick Input'!$I23," ",'Quick Input'!R23,": ",Refkalkulation!N67," ltr")</f>
        <v>Sandkerne ohne: 0 ltr</v>
      </c>
      <c r="L14" s="996"/>
      <c r="M14" s="995"/>
      <c r="N14" s="996"/>
      <c r="O14" s="995"/>
    </row>
    <row r="15" spans="1:28" x14ac:dyDescent="0.2">
      <c r="A15" s="993"/>
      <c r="B15" s="996"/>
      <c r="C15" s="993" t="str">
        <f>Refkalkulation!H73</f>
        <v>Sandstrahlen</v>
      </c>
      <c r="D15" s="996"/>
      <c r="E15" s="995"/>
      <c r="F15" s="996"/>
      <c r="G15" s="993" t="str">
        <f>Refkalkulation!K73</f>
        <v>Sandstrahlen</v>
      </c>
      <c r="H15" s="996"/>
      <c r="I15" s="995"/>
      <c r="J15" s="996"/>
      <c r="K15" s="993" t="str">
        <f>Refkalkulation!N73</f>
        <v>Sandstrahlen</v>
      </c>
      <c r="L15" s="996"/>
      <c r="M15" s="995"/>
      <c r="N15" s="996"/>
      <c r="O15" s="995"/>
    </row>
    <row r="16" spans="1:28" x14ac:dyDescent="0.2">
      <c r="A16" s="993"/>
      <c r="B16" s="996"/>
      <c r="C16" s="993" t="str">
        <f>Refkalkulation!H88</f>
        <v>US prüfen</v>
      </c>
      <c r="D16" s="996"/>
      <c r="E16" s="995"/>
      <c r="F16" s="996"/>
      <c r="G16" s="993" t="str">
        <f>Refkalkulation!K88</f>
        <v>US prüfen</v>
      </c>
      <c r="H16" s="996"/>
      <c r="I16" s="995"/>
      <c r="J16" s="996"/>
      <c r="K16" s="993" t="str">
        <f>Refkalkulation!N88</f>
        <v>ohne Prfg.</v>
      </c>
      <c r="L16" s="996"/>
      <c r="M16" s="995"/>
      <c r="N16" s="996"/>
      <c r="O16" s="995"/>
    </row>
    <row r="17" spans="1:15" x14ac:dyDescent="0.2">
      <c r="A17" s="993"/>
      <c r="B17" s="996"/>
      <c r="C17" s="993"/>
      <c r="D17" s="996"/>
      <c r="E17" s="995"/>
      <c r="F17" s="996"/>
      <c r="G17" s="993"/>
      <c r="H17" s="996"/>
      <c r="I17" s="995"/>
      <c r="J17" s="996"/>
      <c r="K17" s="993"/>
      <c r="L17" s="996"/>
      <c r="M17" s="995"/>
      <c r="N17" s="996"/>
      <c r="O17" s="995"/>
    </row>
    <row r="18" spans="1:15" x14ac:dyDescent="0.2">
      <c r="A18" s="993"/>
      <c r="B18" s="996"/>
      <c r="C18" s="993"/>
      <c r="D18" s="996"/>
      <c r="E18" s="995"/>
      <c r="F18" s="996"/>
      <c r="G18" s="993"/>
      <c r="H18" s="996"/>
      <c r="I18" s="995"/>
      <c r="J18" s="996"/>
      <c r="K18" s="993"/>
      <c r="L18" s="996"/>
      <c r="M18" s="995"/>
      <c r="N18" s="996"/>
      <c r="O18" s="995"/>
    </row>
    <row r="19" spans="1:15" x14ac:dyDescent="0.2">
      <c r="A19" s="993"/>
      <c r="B19" s="996"/>
      <c r="C19" s="993"/>
      <c r="D19" s="996"/>
      <c r="E19" s="995"/>
      <c r="F19" s="996"/>
      <c r="G19" s="993"/>
      <c r="H19" s="996"/>
      <c r="I19" s="995"/>
      <c r="J19" s="996"/>
      <c r="K19" s="993"/>
      <c r="L19" s="996"/>
      <c r="M19" s="995"/>
      <c r="N19" s="996"/>
      <c r="O19" s="995"/>
    </row>
    <row r="20" spans="1:15" x14ac:dyDescent="0.2">
      <c r="A20" s="993"/>
      <c r="B20" s="996"/>
      <c r="C20" s="993"/>
      <c r="D20" s="996"/>
      <c r="E20" s="995"/>
      <c r="F20" s="996"/>
      <c r="G20" s="993"/>
      <c r="H20" s="996"/>
      <c r="I20" s="995"/>
      <c r="J20" s="996"/>
      <c r="K20" s="993"/>
      <c r="L20" s="996"/>
      <c r="M20" s="995"/>
      <c r="N20" s="996"/>
      <c r="O20" s="995"/>
    </row>
    <row r="21" spans="1:15" x14ac:dyDescent="0.2">
      <c r="A21" s="993"/>
      <c r="B21" s="996"/>
      <c r="C21" s="993"/>
      <c r="D21" s="996"/>
      <c r="E21" s="995"/>
      <c r="F21" s="996"/>
      <c r="G21" s="993"/>
      <c r="H21" s="996"/>
      <c r="I21" s="995"/>
      <c r="J21" s="996"/>
      <c r="K21" s="993"/>
      <c r="L21" s="996"/>
      <c r="M21" s="995"/>
      <c r="N21" s="996"/>
      <c r="O21" s="995"/>
    </row>
    <row r="22" spans="1:15" x14ac:dyDescent="0.2">
      <c r="A22" s="993"/>
      <c r="B22" s="996"/>
      <c r="C22" s="993"/>
      <c r="D22" s="996"/>
      <c r="E22" s="995"/>
      <c r="F22" s="996"/>
      <c r="G22" s="993"/>
      <c r="H22" s="996"/>
      <c r="I22" s="995"/>
      <c r="J22" s="996"/>
      <c r="K22" s="993"/>
      <c r="L22" s="996"/>
      <c r="M22" s="995"/>
      <c r="N22" s="996"/>
      <c r="O22" s="995"/>
    </row>
    <row r="23" spans="1:15" x14ac:dyDescent="0.2">
      <c r="A23" s="993"/>
      <c r="B23" s="996"/>
      <c r="C23" s="993"/>
      <c r="D23" s="996"/>
      <c r="E23" s="995"/>
      <c r="F23" s="996"/>
      <c r="G23" s="993"/>
      <c r="H23" s="996"/>
      <c r="I23" s="995"/>
      <c r="J23" s="996"/>
      <c r="K23" s="993"/>
      <c r="L23" s="996"/>
      <c r="M23" s="995"/>
      <c r="N23" s="996"/>
      <c r="O23" s="995"/>
    </row>
    <row r="24" spans="1:15" x14ac:dyDescent="0.2">
      <c r="A24" s="993"/>
      <c r="B24" s="996"/>
      <c r="C24" s="993"/>
      <c r="D24" s="996"/>
      <c r="E24" s="995"/>
      <c r="F24" s="996"/>
      <c r="G24" s="993"/>
      <c r="H24" s="996"/>
      <c r="I24" s="995"/>
      <c r="J24" s="996"/>
      <c r="K24" s="993"/>
      <c r="L24" s="996"/>
      <c r="M24" s="995"/>
      <c r="N24" s="996"/>
      <c r="O24" s="995"/>
    </row>
    <row r="25" spans="1:15" x14ac:dyDescent="0.2">
      <c r="A25" s="993"/>
      <c r="B25" s="996"/>
      <c r="C25" s="993"/>
      <c r="D25" s="996"/>
      <c r="E25" s="995"/>
      <c r="F25" s="996"/>
      <c r="G25" s="993"/>
      <c r="H25" s="996"/>
      <c r="I25" s="995"/>
      <c r="J25" s="996"/>
      <c r="K25" s="993"/>
      <c r="L25" s="996"/>
      <c r="M25" s="995"/>
      <c r="N25" s="996"/>
      <c r="O25" s="995"/>
    </row>
    <row r="26" spans="1:15" x14ac:dyDescent="0.2">
      <c r="A26" s="993"/>
      <c r="B26" s="996"/>
      <c r="C26" s="993"/>
      <c r="D26" s="996"/>
      <c r="E26" s="995"/>
      <c r="F26" s="996"/>
      <c r="G26" s="993"/>
      <c r="H26" s="996"/>
      <c r="I26" s="995"/>
      <c r="J26" s="996"/>
      <c r="K26" s="993"/>
      <c r="L26" s="996"/>
      <c r="M26" s="995"/>
      <c r="N26" s="996"/>
      <c r="O26" s="995"/>
    </row>
    <row r="27" spans="1:15" x14ac:dyDescent="0.2">
      <c r="A27" s="993"/>
      <c r="B27" s="996"/>
      <c r="C27" s="993"/>
      <c r="D27" s="996"/>
      <c r="E27" s="995"/>
      <c r="F27" s="996"/>
      <c r="G27" s="993"/>
      <c r="H27" s="996"/>
      <c r="I27" s="995"/>
      <c r="J27" s="996"/>
      <c r="K27" s="993"/>
      <c r="L27" s="996"/>
      <c r="M27" s="995"/>
      <c r="N27" s="996"/>
      <c r="O27" s="995"/>
    </row>
    <row r="28" spans="1:15" x14ac:dyDescent="0.2">
      <c r="A28" s="993"/>
      <c r="B28" s="996"/>
      <c r="C28" s="993"/>
      <c r="D28" s="996"/>
      <c r="E28" s="995"/>
      <c r="F28" s="996"/>
      <c r="G28" s="993"/>
      <c r="H28" s="996"/>
      <c r="I28" s="995"/>
      <c r="J28" s="996"/>
      <c r="K28" s="993"/>
      <c r="L28" s="996"/>
      <c r="M28" s="995"/>
      <c r="N28" s="996"/>
      <c r="O28" s="995"/>
    </row>
    <row r="29" spans="1:15" x14ac:dyDescent="0.2">
      <c r="A29" s="993"/>
      <c r="B29" s="996"/>
      <c r="C29" s="993"/>
      <c r="D29" s="996"/>
      <c r="E29" s="995"/>
      <c r="F29" s="996"/>
      <c r="G29" s="993"/>
      <c r="H29" s="996"/>
      <c r="I29" s="995"/>
      <c r="J29" s="996"/>
      <c r="K29" s="993"/>
      <c r="L29" s="996"/>
      <c r="M29" s="995"/>
      <c r="N29" s="996"/>
      <c r="O29" s="995"/>
    </row>
    <row r="30" spans="1:15" x14ac:dyDescent="0.2">
      <c r="A30" s="993"/>
      <c r="B30" s="996"/>
      <c r="C30" s="993"/>
      <c r="D30" s="996"/>
      <c r="E30" s="995"/>
      <c r="F30" s="996"/>
      <c r="G30" s="993"/>
      <c r="H30" s="996"/>
      <c r="I30" s="995"/>
      <c r="J30" s="996"/>
      <c r="K30" s="993"/>
      <c r="L30" s="996"/>
      <c r="M30" s="995"/>
      <c r="N30" s="996"/>
      <c r="O30" s="995"/>
    </row>
    <row r="31" spans="1:15" x14ac:dyDescent="0.2">
      <c r="A31" s="993"/>
      <c r="B31" s="996"/>
      <c r="C31" s="993"/>
      <c r="D31" s="996"/>
      <c r="E31" s="995"/>
      <c r="F31" s="996"/>
      <c r="G31" s="993"/>
      <c r="H31" s="996"/>
      <c r="I31" s="995"/>
      <c r="J31" s="996"/>
      <c r="K31" s="993"/>
      <c r="L31" s="996"/>
      <c r="M31" s="995"/>
      <c r="N31" s="996"/>
      <c r="O31" s="995"/>
    </row>
    <row r="32" spans="1:15" x14ac:dyDescent="0.2">
      <c r="A32" s="993"/>
      <c r="B32" s="996"/>
      <c r="C32" s="1015" t="str">
        <f>IF(Deutsch,"Material - Information:","material information:")</f>
        <v>Material - Information:</v>
      </c>
      <c r="D32" s="1016"/>
      <c r="E32" s="991"/>
      <c r="F32" s="996"/>
      <c r="G32" s="1015" t="str">
        <f>C32</f>
        <v>Material - Information:</v>
      </c>
      <c r="H32" s="1016"/>
      <c r="I32" s="991"/>
      <c r="J32" s="996"/>
      <c r="K32" s="1015" t="str">
        <f>C32</f>
        <v>Material - Information:</v>
      </c>
      <c r="L32" s="1016"/>
      <c r="M32" s="991"/>
      <c r="N32" s="996"/>
      <c r="O32" s="995"/>
    </row>
    <row r="33" spans="1:15" x14ac:dyDescent="0.2">
      <c r="A33" s="993"/>
      <c r="B33" s="996"/>
      <c r="C33" s="1017" t="str">
        <f>CONCATENATE("               ",'Quick Input'!$I$11)</f>
        <v xml:space="preserve">               Bezeichnung</v>
      </c>
      <c r="D33" s="1018" t="str">
        <f>'Quick Input'!M11</f>
        <v>Al Si10Cu2(Fe)</v>
      </c>
      <c r="E33" s="1019"/>
      <c r="F33" s="996"/>
      <c r="G33" s="1017" t="str">
        <f t="shared" ref="G33:G48" si="0">C33</f>
        <v xml:space="preserve">               Bezeichnung</v>
      </c>
      <c r="H33" s="1018" t="str">
        <f>'Quick Input'!P11</f>
        <v>Al Si10Mg(b)</v>
      </c>
      <c r="I33" s="1019"/>
      <c r="J33" s="996"/>
      <c r="K33" s="1017" t="str">
        <f t="shared" ref="K33:K48" si="1">C33</f>
        <v xml:space="preserve">               Bezeichnung</v>
      </c>
      <c r="L33" s="1018" t="str">
        <f>'Quick Input'!S11</f>
        <v>Al Si10Mg(b)</v>
      </c>
      <c r="M33" s="1019"/>
      <c r="N33" s="996"/>
      <c r="O33" s="995"/>
    </row>
    <row r="34" spans="1:15" x14ac:dyDescent="0.2">
      <c r="A34" s="993"/>
      <c r="B34" s="996"/>
      <c r="C34" s="1020" t="str">
        <f>CONCATENATE("               ",'Quick Input'!$I$13)</f>
        <v xml:space="preserve">               Al-Materialpreis (€/kg)</v>
      </c>
      <c r="D34" s="1021">
        <f>'Quick Input'!M13</f>
        <v>2.0002526724975707</v>
      </c>
      <c r="E34" s="1022"/>
      <c r="F34" s="1023"/>
      <c r="G34" s="1020" t="str">
        <f t="shared" si="0"/>
        <v xml:space="preserve">               Al-Materialpreis (€/kg)</v>
      </c>
      <c r="H34" s="1021">
        <f>'Quick Input'!P13</f>
        <v>1.9670528580208975</v>
      </c>
      <c r="I34" s="1022"/>
      <c r="J34" s="1023"/>
      <c r="K34" s="1020" t="str">
        <f t="shared" si="1"/>
        <v xml:space="preserve">               Al-Materialpreis (€/kg)</v>
      </c>
      <c r="L34" s="1021">
        <f>'Quick Input'!S13</f>
        <v>1.9670528580208975</v>
      </c>
      <c r="M34" s="1022"/>
      <c r="N34" s="996"/>
      <c r="O34" s="995"/>
    </row>
    <row r="35" spans="1:15" ht="15" x14ac:dyDescent="0.25">
      <c r="A35" s="993"/>
      <c r="B35" s="996"/>
      <c r="C35" s="1024" t="str">
        <f>Refkalkulation!D26</f>
        <v>Materialkosten gesamt</v>
      </c>
      <c r="D35" s="1025">
        <f>Refkalkulation!H26</f>
        <v>15.78852555671148</v>
      </c>
      <c r="E35" s="1026"/>
      <c r="F35" s="996"/>
      <c r="G35" s="1024" t="str">
        <f t="shared" si="0"/>
        <v>Materialkosten gesamt</v>
      </c>
      <c r="H35" s="1025">
        <f>Refkalkulation!K26</f>
        <v>12.672161525540741</v>
      </c>
      <c r="I35" s="1026"/>
      <c r="J35" s="996"/>
      <c r="K35" s="1024" t="str">
        <f t="shared" si="1"/>
        <v>Materialkosten gesamt</v>
      </c>
      <c r="L35" s="1025">
        <f>Refkalkulation!N26</f>
        <v>12.672161525540741</v>
      </c>
      <c r="M35" s="1026"/>
      <c r="N35" s="996"/>
      <c r="O35" s="995"/>
    </row>
    <row r="36" spans="1:15" x14ac:dyDescent="0.2">
      <c r="A36" s="993"/>
      <c r="B36" s="996"/>
      <c r="C36" s="1027" t="str">
        <f>CONCATENATE("               ",Refkalkulation!D15)</f>
        <v xml:space="preserve">               Materialkosten Rohteil</v>
      </c>
      <c r="D36" s="1028"/>
      <c r="E36" s="1029">
        <f>Refkalkulation!H15</f>
        <v>10.001263362487853</v>
      </c>
      <c r="F36" s="1030"/>
      <c r="G36" s="1027" t="str">
        <f t="shared" si="0"/>
        <v xml:space="preserve">               Materialkosten Rohteil</v>
      </c>
      <c r="H36" s="1028"/>
      <c r="I36" s="1029">
        <f>Refkalkulation!K15</f>
        <v>9.8352642901044867</v>
      </c>
      <c r="J36" s="1030"/>
      <c r="K36" s="1027" t="str">
        <f t="shared" si="1"/>
        <v xml:space="preserve">               Materialkosten Rohteil</v>
      </c>
      <c r="L36" s="1028"/>
      <c r="M36" s="1029">
        <f>Refkalkulation!N15</f>
        <v>9.8352642901044867</v>
      </c>
      <c r="N36" s="1030"/>
      <c r="O36" s="995"/>
    </row>
    <row r="37" spans="1:15" x14ac:dyDescent="0.2">
      <c r="A37" s="993"/>
      <c r="B37" s="996"/>
      <c r="C37" s="1027" t="str">
        <f>CONCATENATE("               ",Refkalkulation!$D$17)</f>
        <v xml:space="preserve">               Kosten Schmelzverlust</v>
      </c>
      <c r="D37" s="1028"/>
      <c r="E37" s="1029">
        <f>Refkalkulation!H17</f>
        <v>0.81107480677288102</v>
      </c>
      <c r="F37" s="1030"/>
      <c r="G37" s="1027" t="str">
        <f t="shared" si="0"/>
        <v xml:space="preserve">               Kosten Schmelzverlust</v>
      </c>
      <c r="H37" s="1028"/>
      <c r="I37" s="1029">
        <f>Refkalkulation!K17</f>
        <v>0.79784922319733242</v>
      </c>
      <c r="J37" s="1030"/>
      <c r="K37" s="1027" t="str">
        <f t="shared" si="1"/>
        <v xml:space="preserve">               Kosten Schmelzverlust</v>
      </c>
      <c r="L37" s="1028"/>
      <c r="M37" s="1029">
        <f>Refkalkulation!N17</f>
        <v>0.79784922319733242</v>
      </c>
      <c r="N37" s="1030"/>
      <c r="O37" s="995"/>
    </row>
    <row r="38" spans="1:15" x14ac:dyDescent="0.2">
      <c r="A38" s="993"/>
      <c r="B38" s="996"/>
      <c r="C38" s="1027" t="str">
        <f>CONCATENATE("               ",Refkalkulation!D23)</f>
        <v xml:space="preserve">               Kosten Hilfsstoffe (€/Stk.)</v>
      </c>
      <c r="D38" s="1028"/>
      <c r="E38" s="1029">
        <f>Refkalkulation!H23</f>
        <v>3.9432931921518644</v>
      </c>
      <c r="F38" s="1030"/>
      <c r="G38" s="1027" t="str">
        <f t="shared" si="0"/>
        <v xml:space="preserve">               Kosten Hilfsstoffe (€/Stk.)</v>
      </c>
      <c r="H38" s="1028"/>
      <c r="I38" s="1029">
        <f>Refkalkulation!K23</f>
        <v>1.2100280993530796</v>
      </c>
      <c r="J38" s="1030"/>
      <c r="K38" s="1027" t="str">
        <f t="shared" si="1"/>
        <v xml:space="preserve">               Kosten Hilfsstoffe (€/Stk.)</v>
      </c>
      <c r="L38" s="1028"/>
      <c r="M38" s="1029">
        <f>Refkalkulation!N23</f>
        <v>1.2100280993530796</v>
      </c>
      <c r="N38" s="1030"/>
      <c r="O38" s="995"/>
    </row>
    <row r="39" spans="1:15" x14ac:dyDescent="0.2">
      <c r="A39" s="993"/>
      <c r="B39" s="996"/>
      <c r="C39" s="1031" t="str">
        <f>CONCATENATE("               ",Refkalkulation!D25)</f>
        <v xml:space="preserve">               Materialgemeinkosten</v>
      </c>
      <c r="D39" s="1032"/>
      <c r="E39" s="1033">
        <f>Refkalkulation!H25</f>
        <v>1.0328941952988819</v>
      </c>
      <c r="F39" s="1030"/>
      <c r="G39" s="1031" t="str">
        <f t="shared" si="0"/>
        <v xml:space="preserve">               Materialgemeinkosten</v>
      </c>
      <c r="H39" s="1032"/>
      <c r="I39" s="1033">
        <f>Refkalkulation!K25</f>
        <v>0.82901991288584298</v>
      </c>
      <c r="J39" s="1030"/>
      <c r="K39" s="1031" t="str">
        <f t="shared" si="1"/>
        <v xml:space="preserve">               Materialgemeinkosten</v>
      </c>
      <c r="L39" s="1032"/>
      <c r="M39" s="1033">
        <f>Refkalkulation!N25</f>
        <v>0.82901991288584298</v>
      </c>
      <c r="N39" s="1030"/>
      <c r="O39" s="995"/>
    </row>
    <row r="40" spans="1:15" ht="15" x14ac:dyDescent="0.25">
      <c r="A40" s="993"/>
      <c r="B40" s="996"/>
      <c r="C40" s="1034" t="s">
        <v>913</v>
      </c>
      <c r="D40" s="1035">
        <f>Refkalkulation!H104</f>
        <v>72.603939292091951</v>
      </c>
      <c r="E40" s="1036"/>
      <c r="F40" s="1037"/>
      <c r="G40" s="1034" t="str">
        <f t="shared" si="0"/>
        <v>Fertigungskosten</v>
      </c>
      <c r="H40" s="1035">
        <f>Refkalkulation!K104</f>
        <v>11.60782421514778</v>
      </c>
      <c r="I40" s="1036"/>
      <c r="J40" s="1037"/>
      <c r="K40" s="1034" t="str">
        <f t="shared" si="1"/>
        <v>Fertigungskosten</v>
      </c>
      <c r="L40" s="1035">
        <f>Refkalkulation!N104</f>
        <v>17.371466777293559</v>
      </c>
      <c r="M40" s="1036"/>
      <c r="N40" s="1037"/>
      <c r="O40" s="995"/>
    </row>
    <row r="41" spans="1:15" x14ac:dyDescent="0.2">
      <c r="A41" s="993"/>
      <c r="B41" s="996"/>
      <c r="C41" s="1038" t="str">
        <f>CONCATENATE("               ",Refkalkulation!D28)</f>
        <v xml:space="preserve">               Prozess Schmelzen</v>
      </c>
      <c r="D41" s="1039"/>
      <c r="E41" s="1040">
        <f>Refkalkulation!H47</f>
        <v>0.46955652965239764</v>
      </c>
      <c r="F41" s="1041"/>
      <c r="G41" s="1038" t="str">
        <f t="shared" si="0"/>
        <v xml:space="preserve">               Prozess Schmelzen</v>
      </c>
      <c r="H41" s="1039"/>
      <c r="I41" s="1040">
        <f>Refkalkulation!K47</f>
        <v>0.33154136144434415</v>
      </c>
      <c r="J41" s="1041"/>
      <c r="K41" s="1038" t="str">
        <f t="shared" si="1"/>
        <v xml:space="preserve">               Prozess Schmelzen</v>
      </c>
      <c r="L41" s="1039"/>
      <c r="M41" s="1040">
        <f>Refkalkulation!N47</f>
        <v>0.83550167745339732</v>
      </c>
      <c r="N41" s="1041"/>
      <c r="O41" s="995"/>
    </row>
    <row r="42" spans="1:15" x14ac:dyDescent="0.2">
      <c r="A42" s="993"/>
      <c r="B42" s="996"/>
      <c r="C42" s="1038" t="str">
        <f>CONCATENATE("               ",Refkalkulation!D48)</f>
        <v xml:space="preserve">               Prozess Formen</v>
      </c>
      <c r="D42" s="1042"/>
      <c r="E42" s="1040">
        <f>Refkalkulation!H72</f>
        <v>32.269079349046009</v>
      </c>
      <c r="F42" s="1041"/>
      <c r="G42" s="1038" t="str">
        <f t="shared" si="0"/>
        <v xml:space="preserve">               Prozess Formen</v>
      </c>
      <c r="H42" s="1042"/>
      <c r="I42" s="1040">
        <f>Refkalkulation!K72</f>
        <v>8.9371560581078882</v>
      </c>
      <c r="J42" s="1041"/>
      <c r="K42" s="1038" t="str">
        <f t="shared" si="1"/>
        <v xml:space="preserve">               Prozess Formen</v>
      </c>
      <c r="L42" s="1042"/>
      <c r="M42" s="1040">
        <f>Refkalkulation!N72</f>
        <v>13.39478130950847</v>
      </c>
      <c r="N42" s="1041"/>
      <c r="O42" s="995"/>
    </row>
    <row r="43" spans="1:15" x14ac:dyDescent="0.2">
      <c r="A43" s="993"/>
      <c r="B43" s="996"/>
      <c r="C43" s="1038" t="s">
        <v>914</v>
      </c>
      <c r="D43" s="1042"/>
      <c r="E43" s="1040">
        <f>Refkalkulation!H87</f>
        <v>28.877110573708414</v>
      </c>
      <c r="F43" s="1041"/>
      <c r="G43" s="1038" t="str">
        <f t="shared" si="0"/>
        <v xml:space="preserve">               Nachbehandlung</v>
      </c>
      <c r="H43" s="1042"/>
      <c r="I43" s="1040">
        <f>Refkalkulation!K87</f>
        <v>0.59883234043059663</v>
      </c>
      <c r="J43" s="1041"/>
      <c r="K43" s="1038" t="str">
        <f t="shared" si="1"/>
        <v xml:space="preserve">               Nachbehandlung</v>
      </c>
      <c r="L43" s="1042"/>
      <c r="M43" s="1040">
        <f>Refkalkulation!N87</f>
        <v>0.72795053785045649</v>
      </c>
      <c r="N43" s="1041"/>
      <c r="O43" s="995"/>
    </row>
    <row r="44" spans="1:15" x14ac:dyDescent="0.2">
      <c r="A44" s="993"/>
      <c r="B44" s="996"/>
      <c r="C44" s="1038" t="s">
        <v>915</v>
      </c>
      <c r="D44" s="1042"/>
      <c r="E44" s="1040">
        <f>Refkalkulation!H98</f>
        <v>4.3878347222222214</v>
      </c>
      <c r="F44" s="1041"/>
      <c r="G44" s="1038" t="str">
        <f t="shared" si="0"/>
        <v xml:space="preserve">               Prüfen</v>
      </c>
      <c r="H44" s="1042"/>
      <c r="I44" s="1040">
        <f>Refkalkulation!K98</f>
        <v>0.68503770833333333</v>
      </c>
      <c r="J44" s="1041"/>
      <c r="K44" s="1038" t="str">
        <f t="shared" si="1"/>
        <v xml:space="preserve">               Prüfen</v>
      </c>
      <c r="L44" s="1042"/>
      <c r="M44" s="1040">
        <f>Refkalkulation!N98</f>
        <v>0.83400899999999978</v>
      </c>
      <c r="N44" s="1041"/>
      <c r="O44" s="995"/>
    </row>
    <row r="45" spans="1:15" x14ac:dyDescent="0.2">
      <c r="A45" s="993"/>
      <c r="B45" s="996"/>
      <c r="C45" s="1038" t="s">
        <v>916</v>
      </c>
      <c r="D45" s="1042"/>
      <c r="E45" s="1040">
        <f>Refkalkulation!H104-Refkalkulation!H100</f>
        <v>6.6003581174629034</v>
      </c>
      <c r="F45" s="1041"/>
      <c r="G45" s="1038" t="str">
        <f t="shared" si="0"/>
        <v xml:space="preserve">               Fertigungsnebenkosten</v>
      </c>
      <c r="H45" s="1042"/>
      <c r="I45" s="1040">
        <f>Refkalkulation!K104-Refkalkulation!K100</f>
        <v>1.055256746831617</v>
      </c>
      <c r="J45" s="1041"/>
      <c r="K45" s="1038" t="str">
        <f t="shared" si="1"/>
        <v xml:space="preserve">               Fertigungsnebenkosten</v>
      </c>
      <c r="L45" s="1042"/>
      <c r="M45" s="1040">
        <f>Refkalkulation!N104-Refkalkulation!N100</f>
        <v>1.5792242524812341</v>
      </c>
      <c r="N45" s="1041"/>
      <c r="O45" s="995"/>
    </row>
    <row r="46" spans="1:15" ht="15" x14ac:dyDescent="0.25">
      <c r="A46" s="993"/>
      <c r="B46" s="996"/>
      <c r="C46" s="1043" t="str">
        <f>Refkalkulation!D111</f>
        <v>Gesamtgemeinkosten</v>
      </c>
      <c r="D46" s="1044">
        <f>Refkalkulation!H111</f>
        <v>16.415410925223767</v>
      </c>
      <c r="E46" s="1045">
        <f>D46/D48</f>
        <v>0.15662383006995098</v>
      </c>
      <c r="F46" s="1041"/>
      <c r="G46" s="1043" t="str">
        <f t="shared" si="0"/>
        <v>Gesamtgemeinkosten</v>
      </c>
      <c r="H46" s="1044">
        <f>Refkalkulation!K111</f>
        <v>3.8422242260944444</v>
      </c>
      <c r="I46" s="1045">
        <f>H46/H48</f>
        <v>0.13662597038542681</v>
      </c>
      <c r="J46" s="996"/>
      <c r="K46" s="1043" t="str">
        <f t="shared" si="1"/>
        <v>Gesamtgemeinkosten</v>
      </c>
      <c r="L46" s="1044">
        <f>Refkalkulation!N111</f>
        <v>4.994952738523601</v>
      </c>
      <c r="M46" s="1045">
        <f>L46/L48</f>
        <v>0.1425557939297768</v>
      </c>
      <c r="N46" s="996"/>
      <c r="O46" s="995"/>
    </row>
    <row r="47" spans="1:15" ht="18" customHeight="1" x14ac:dyDescent="0.25">
      <c r="A47" s="993"/>
      <c r="B47" s="996"/>
      <c r="C47" s="1046" t="str">
        <f>Refkalkulation!D114</f>
        <v>Gesamtgewinn</v>
      </c>
      <c r="D47" s="1047">
        <f>Refkalkulation!H114</f>
        <v>0</v>
      </c>
      <c r="E47" s="1048">
        <f>D47/D48</f>
        <v>0</v>
      </c>
      <c r="F47" s="1041"/>
      <c r="G47" s="1046" t="str">
        <f t="shared" si="0"/>
        <v>Gesamtgewinn</v>
      </c>
      <c r="H47" s="1047">
        <f>Refkalkulation!K114</f>
        <v>0</v>
      </c>
      <c r="I47" s="1048">
        <f>H47/H48</f>
        <v>0</v>
      </c>
      <c r="J47" s="996"/>
      <c r="K47" s="1046" t="str">
        <f t="shared" si="1"/>
        <v>Gesamtgewinn</v>
      </c>
      <c r="L47" s="1047">
        <f>Refkalkulation!N114</f>
        <v>0</v>
      </c>
      <c r="M47" s="1048">
        <f>L47/L48</f>
        <v>0</v>
      </c>
      <c r="N47" s="996"/>
      <c r="O47" s="995"/>
    </row>
    <row r="48" spans="1:15" ht="33" customHeight="1" x14ac:dyDescent="0.2">
      <c r="A48" s="993"/>
      <c r="B48" s="996"/>
      <c r="C48" s="1049" t="str">
        <f>Refkalkulation!D116</f>
        <v>Bauteilpreis gesamt</v>
      </c>
      <c r="D48" s="1050">
        <f>SUM(D35:D47)</f>
        <v>104.8078757740272</v>
      </c>
      <c r="E48" s="1051"/>
      <c r="F48" s="1052"/>
      <c r="G48" s="1049" t="str">
        <f t="shared" si="0"/>
        <v>Bauteilpreis gesamt</v>
      </c>
      <c r="H48" s="1050">
        <f>SUM(H35:H47)</f>
        <v>28.122209966782965</v>
      </c>
      <c r="I48" s="1051"/>
      <c r="J48" s="1052"/>
      <c r="K48" s="1049" t="str">
        <f t="shared" si="1"/>
        <v>Bauteilpreis gesamt</v>
      </c>
      <c r="L48" s="1050">
        <f>SUM(L35:L47)</f>
        <v>35.038581041357901</v>
      </c>
      <c r="M48" s="1051"/>
      <c r="N48" s="1052"/>
      <c r="O48" s="995"/>
    </row>
    <row r="49" spans="1:15" x14ac:dyDescent="0.2">
      <c r="A49" s="1005"/>
      <c r="B49" s="1006"/>
      <c r="C49" s="1006"/>
      <c r="D49" s="1006"/>
      <c r="E49" s="1006"/>
      <c r="F49" s="1006"/>
      <c r="G49" s="1006"/>
      <c r="H49" s="1006"/>
      <c r="I49" s="1006"/>
      <c r="J49" s="1006"/>
      <c r="K49" s="1006"/>
      <c r="L49" s="1006"/>
      <c r="M49" s="1006"/>
      <c r="N49" s="1006"/>
      <c r="O49" s="10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rgb="FFFFFF99"/>
    <pageSetUpPr fitToPage="1"/>
  </sheetPr>
  <dimension ref="A1:ZZ85"/>
  <sheetViews>
    <sheetView tabSelected="1" zoomScaleNormal="100" workbookViewId="0">
      <pane xSplit="10" ySplit="9" topLeftCell="K44" activePane="bottomRight" state="frozenSplit"/>
      <selection activeCell="L30" sqref="L30"/>
      <selection pane="topRight" activeCell="L30" sqref="L30"/>
      <selection pane="bottomLeft" activeCell="L30" sqref="L30"/>
      <selection pane="bottomRight" activeCell="D73" sqref="D73"/>
    </sheetView>
  </sheetViews>
  <sheetFormatPr baseColWidth="10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0.125" customWidth="1"/>
    <col min="21" max="21" width="18" customWidth="1"/>
    <col min="22" max="22" width="2.25" customWidth="1"/>
    <col min="23" max="23" width="0.125" customWidth="1"/>
    <col min="24" max="24" width="18" customWidth="1"/>
    <col min="25" max="25" width="2.25" customWidth="1"/>
    <col min="26" max="26" width="0.125" customWidth="1"/>
    <col min="27" max="27" width="17.75" customWidth="1"/>
    <col min="28" max="28" width="1.375" customWidth="1"/>
    <col min="29" max="29" width="0.625" customWidth="1"/>
  </cols>
  <sheetData>
    <row r="1" spans="1:702" s="701" customFormat="1" ht="3.75" customHeight="1" thickBot="1" x14ac:dyDescent="0.25">
      <c r="A1" s="698"/>
      <c r="B1" s="699"/>
      <c r="C1" s="699"/>
      <c r="D1" s="700">
        <f>'Artikel-DB'!D3</f>
        <v>815</v>
      </c>
      <c r="E1" s="700" t="str">
        <f>'Artikel-DB'!E3</f>
        <v>815-1</v>
      </c>
      <c r="F1" s="700" t="str">
        <f>'Artikel-DB'!F3</f>
        <v>815-2</v>
      </c>
      <c r="G1" s="700" t="str">
        <f>'Artikel-DB'!G3</f>
        <v>815-2-1</v>
      </c>
      <c r="H1" s="700" t="str">
        <f>'Artikel-DB'!H3</f>
        <v>815-3</v>
      </c>
      <c r="I1" s="700" t="str">
        <f>'Artikel-DB'!I3</f>
        <v>815-3-1</v>
      </c>
      <c r="J1" s="700" t="str">
        <f>'Artikel-DB'!J3</f>
        <v>820-1</v>
      </c>
      <c r="K1" s="700" t="str">
        <f>'Artikel-DB'!K3</f>
        <v>820-1-1</v>
      </c>
      <c r="L1" s="700" t="str">
        <f>'Artikel-DB'!L3</f>
        <v>820-2</v>
      </c>
      <c r="M1" s="700" t="str">
        <f>'Artikel-DB'!M3</f>
        <v>820-2-1</v>
      </c>
      <c r="N1" s="700" t="str">
        <f>'Artikel-DB'!N3</f>
        <v>820-3</v>
      </c>
      <c r="O1" s="700" t="str">
        <f>'Artikel-DB'!O3</f>
        <v>820-3-1</v>
      </c>
      <c r="P1" s="700" t="str">
        <f>'Artikel-DB'!P3</f>
        <v>820-1-5</v>
      </c>
      <c r="Q1" s="700" t="str">
        <f>'Artikel-DB'!Q3</f>
        <v>820-2-5</v>
      </c>
      <c r="R1" s="700" t="str">
        <f>'Artikel-DB'!R3</f>
        <v>820-3-5</v>
      </c>
      <c r="S1" s="700" t="str">
        <f>'Artikel-DB'!S3</f>
        <v>812-1</v>
      </c>
      <c r="T1" s="700" t="str">
        <f>'Artikel-DB'!T3</f>
        <v>817-2-1</v>
      </c>
      <c r="U1" s="700" t="str">
        <f>'Artikel-DB'!U3</f>
        <v>816-3-1</v>
      </c>
      <c r="V1" s="700" t="str">
        <f>'Artikel-DB'!V3</f>
        <v>x</v>
      </c>
      <c r="W1" s="700" t="str">
        <f>'Artikel-DB'!W3</f>
        <v>x</v>
      </c>
      <c r="X1" s="700" t="str">
        <f>'Artikel-DB'!X3</f>
        <v>x</v>
      </c>
      <c r="Y1" s="700" t="str">
        <f>'Artikel-DB'!Y3</f>
        <v>x</v>
      </c>
      <c r="Z1" s="700" t="str">
        <f>'Artikel-DB'!Z3</f>
        <v>x</v>
      </c>
      <c r="AA1" s="700" t="str">
        <f>'Artikel-DB'!AA3</f>
        <v>x</v>
      </c>
      <c r="AB1" s="700" t="str">
        <f>'Artikel-DB'!AB3</f>
        <v>x</v>
      </c>
      <c r="AC1" s="700" t="s">
        <v>33</v>
      </c>
      <c r="AD1" s="700" t="str">
        <f>'Artikel-DB'!AD3</f>
        <v>x</v>
      </c>
      <c r="AE1" s="700" t="str">
        <f>'Artikel-DB'!AE3</f>
        <v>x</v>
      </c>
      <c r="AF1" s="700" t="str">
        <f>'Artikel-DB'!AF3</f>
        <v>x</v>
      </c>
      <c r="AG1" s="700" t="str">
        <f>'Artikel-DB'!AG3</f>
        <v>x</v>
      </c>
      <c r="AH1" s="700" t="str">
        <f>'Artikel-DB'!AH3</f>
        <v>x</v>
      </c>
      <c r="AI1" s="700" t="str">
        <f>'Artikel-DB'!AI3</f>
        <v>x</v>
      </c>
      <c r="AJ1" s="700" t="str">
        <f>'Artikel-DB'!AJ3</f>
        <v>x</v>
      </c>
      <c r="AK1" s="700" t="str">
        <f>'Artikel-DB'!AK3</f>
        <v>x</v>
      </c>
      <c r="AL1" s="700" t="str">
        <f>'Artikel-DB'!AL3</f>
        <v>x</v>
      </c>
      <c r="AM1" s="700" t="str">
        <f>'Artikel-DB'!AM3</f>
        <v>x</v>
      </c>
      <c r="AN1" s="700" t="str">
        <f>'Artikel-DB'!AN3</f>
        <v>x</v>
      </c>
      <c r="AO1" s="700" t="str">
        <f>'Artikel-DB'!AO3</f>
        <v>x</v>
      </c>
      <c r="AP1" s="700" t="str">
        <f>'Artikel-DB'!AP3</f>
        <v>x</v>
      </c>
      <c r="AQ1" s="700" t="str">
        <f>'Artikel-DB'!AQ3</f>
        <v>x</v>
      </c>
      <c r="AR1" s="700" t="str">
        <f>'Artikel-DB'!AR3</f>
        <v>x</v>
      </c>
      <c r="AS1" s="700" t="str">
        <f>'Artikel-DB'!AS3</f>
        <v>x</v>
      </c>
      <c r="AT1" s="700" t="str">
        <f>'Artikel-DB'!AT3</f>
        <v>x</v>
      </c>
      <c r="AU1" s="700" t="str">
        <f>'Artikel-DB'!AU3</f>
        <v>x</v>
      </c>
      <c r="AV1" s="700" t="str">
        <f>'Artikel-DB'!AV3</f>
        <v>x</v>
      </c>
      <c r="AW1" s="700" t="str">
        <f>'Artikel-DB'!AW3</f>
        <v>x</v>
      </c>
      <c r="AX1" s="700" t="str">
        <f>'Artikel-DB'!AX3</f>
        <v>x</v>
      </c>
      <c r="AY1" s="700" t="str">
        <f>'Artikel-DB'!AY3</f>
        <v>x</v>
      </c>
      <c r="AZ1" s="700" t="str">
        <f>'Artikel-DB'!AZ3</f>
        <v>x</v>
      </c>
      <c r="BA1" s="700" t="str">
        <f>'Artikel-DB'!BA3</f>
        <v>x</v>
      </c>
      <c r="BB1" s="700" t="str">
        <f>'Artikel-DB'!BB3</f>
        <v>x</v>
      </c>
      <c r="BC1" s="700" t="str">
        <f>'Artikel-DB'!BC3</f>
        <v>x</v>
      </c>
      <c r="BD1" s="700" t="str">
        <f>'Artikel-DB'!BD3</f>
        <v>x</v>
      </c>
      <c r="BE1" s="700" t="str">
        <f>'Artikel-DB'!BE3</f>
        <v>x</v>
      </c>
      <c r="BF1" s="700" t="str">
        <f>'Artikel-DB'!BF3</f>
        <v>x</v>
      </c>
      <c r="BG1" s="700" t="str">
        <f>'Artikel-DB'!BG3</f>
        <v>x</v>
      </c>
      <c r="BH1" s="700" t="str">
        <f>'Artikel-DB'!BH3</f>
        <v>x</v>
      </c>
      <c r="BI1" s="700" t="str">
        <f>'Artikel-DB'!BI3</f>
        <v>x</v>
      </c>
      <c r="BJ1" s="700" t="str">
        <f>'Artikel-DB'!BJ3</f>
        <v>x</v>
      </c>
      <c r="BK1" s="700" t="str">
        <f>'Artikel-DB'!BK3</f>
        <v>x</v>
      </c>
      <c r="BL1" s="700" t="str">
        <f>'Artikel-DB'!BL3</f>
        <v>x</v>
      </c>
      <c r="BM1" s="700" t="str">
        <f>'Artikel-DB'!BM3</f>
        <v>x</v>
      </c>
      <c r="BN1" s="700" t="str">
        <f>'Artikel-DB'!BN3</f>
        <v>x</v>
      </c>
      <c r="BO1" s="700" t="str">
        <f>'Artikel-DB'!BO3</f>
        <v>x</v>
      </c>
      <c r="BP1" s="700" t="str">
        <f>'Artikel-DB'!BP3</f>
        <v>x</v>
      </c>
      <c r="BQ1" s="700" t="str">
        <f>'Artikel-DB'!BQ3</f>
        <v>x</v>
      </c>
      <c r="BR1" s="700" t="str">
        <f>'Artikel-DB'!BR3</f>
        <v>x</v>
      </c>
      <c r="BS1" s="700" t="str">
        <f>'Artikel-DB'!BS3</f>
        <v>x</v>
      </c>
      <c r="BT1" s="700" t="str">
        <f>'Artikel-DB'!BT3</f>
        <v>x</v>
      </c>
      <c r="BU1" s="700" t="str">
        <f>'Artikel-DB'!BU3</f>
        <v>x</v>
      </c>
      <c r="BV1" s="700" t="str">
        <f>'Artikel-DB'!BV3</f>
        <v>x</v>
      </c>
      <c r="BW1" s="700" t="str">
        <f>'Artikel-DB'!BW3</f>
        <v>x</v>
      </c>
      <c r="BX1" s="700" t="str">
        <f>'Artikel-DB'!BX3</f>
        <v>x</v>
      </c>
      <c r="BY1" s="700" t="str">
        <f>'Artikel-DB'!BY3</f>
        <v>x</v>
      </c>
      <c r="BZ1" s="700" t="str">
        <f>'Artikel-DB'!BZ3</f>
        <v>x</v>
      </c>
      <c r="CA1" s="700" t="str">
        <f>'Artikel-DB'!CA3</f>
        <v>x</v>
      </c>
      <c r="CB1" s="700" t="str">
        <f>'Artikel-DB'!CB3</f>
        <v>x</v>
      </c>
      <c r="CC1" s="700" t="str">
        <f>'Artikel-DB'!CC3</f>
        <v>x</v>
      </c>
      <c r="CD1" s="700" t="str">
        <f>'Artikel-DB'!CD3</f>
        <v>x</v>
      </c>
      <c r="CE1" s="700" t="str">
        <f>'Artikel-DB'!CE3</f>
        <v>x</v>
      </c>
      <c r="CF1" s="700" t="str">
        <f>'Artikel-DB'!CF3</f>
        <v>x</v>
      </c>
      <c r="CG1" s="700" t="str">
        <f>'Artikel-DB'!CG3</f>
        <v>x</v>
      </c>
      <c r="CH1" s="700" t="str">
        <f>'Artikel-DB'!CH3</f>
        <v>x</v>
      </c>
      <c r="CI1" s="700" t="str">
        <f>'Artikel-DB'!CI3</f>
        <v>x</v>
      </c>
      <c r="CJ1" s="700" t="str">
        <f>'Artikel-DB'!CJ3</f>
        <v>x</v>
      </c>
      <c r="CK1" s="700" t="str">
        <f>'Artikel-DB'!CK3</f>
        <v>x</v>
      </c>
      <c r="CL1" s="700" t="str">
        <f>'Artikel-DB'!CL3</f>
        <v>x</v>
      </c>
      <c r="CM1" s="700" t="str">
        <f>'Artikel-DB'!CM3</f>
        <v>x</v>
      </c>
      <c r="CN1" s="700" t="str">
        <f>'Artikel-DB'!CN3</f>
        <v>x</v>
      </c>
      <c r="CO1" s="700" t="str">
        <f>'Artikel-DB'!CO3</f>
        <v>x</v>
      </c>
      <c r="CP1" s="700" t="str">
        <f>'Artikel-DB'!CP3</f>
        <v>x</v>
      </c>
      <c r="CQ1" s="700" t="str">
        <f>'Artikel-DB'!CQ3</f>
        <v>x</v>
      </c>
      <c r="CR1" s="700" t="str">
        <f>'Artikel-DB'!CR3</f>
        <v>x</v>
      </c>
      <c r="CS1" s="700" t="str">
        <f>'Artikel-DB'!CS3</f>
        <v>x</v>
      </c>
      <c r="CT1" s="700" t="str">
        <f>'Artikel-DB'!CT3</f>
        <v>x</v>
      </c>
      <c r="CU1" s="700" t="str">
        <f>'Artikel-DB'!CU3</f>
        <v>x</v>
      </c>
      <c r="CV1" s="700" t="str">
        <f>'Artikel-DB'!CV3</f>
        <v>x</v>
      </c>
      <c r="CW1" s="700" t="str">
        <f>'Artikel-DB'!CW3</f>
        <v>x</v>
      </c>
      <c r="CX1" s="700" t="str">
        <f>'Artikel-DB'!CX3</f>
        <v>x</v>
      </c>
      <c r="CY1" s="700" t="str">
        <f>'Artikel-DB'!CY3</f>
        <v>x</v>
      </c>
      <c r="CZ1" s="700" t="str">
        <f>'Artikel-DB'!CZ3</f>
        <v>x</v>
      </c>
      <c r="DA1" s="700" t="str">
        <f>'Artikel-DB'!DA3</f>
        <v>x</v>
      </c>
      <c r="DB1" s="700" t="str">
        <f>'Artikel-DB'!DB3</f>
        <v>x</v>
      </c>
      <c r="DC1" s="700" t="str">
        <f>'Artikel-DB'!DC3</f>
        <v>x</v>
      </c>
      <c r="DD1" s="700" t="str">
        <f>'Artikel-DB'!DD3</f>
        <v>x</v>
      </c>
      <c r="DE1" s="700" t="str">
        <f>'Artikel-DB'!DE3</f>
        <v>x</v>
      </c>
      <c r="DF1" s="700" t="str">
        <f>'Artikel-DB'!DF3</f>
        <v>x</v>
      </c>
      <c r="DG1" s="700" t="str">
        <f>'Artikel-DB'!DG3</f>
        <v>x</v>
      </c>
      <c r="DH1" s="700" t="str">
        <f>'Artikel-DB'!DH3</f>
        <v>x</v>
      </c>
      <c r="DI1" s="700" t="str">
        <f>'Artikel-DB'!DI3</f>
        <v>x</v>
      </c>
      <c r="DJ1" s="700" t="str">
        <f>'Artikel-DB'!DJ3</f>
        <v>x</v>
      </c>
      <c r="DK1" s="700" t="str">
        <f>'Artikel-DB'!DK3</f>
        <v>x</v>
      </c>
      <c r="DL1" s="700" t="str">
        <f>'Artikel-DB'!DL3</f>
        <v>x</v>
      </c>
      <c r="DM1" s="700" t="str">
        <f>'Artikel-DB'!DM3</f>
        <v>x</v>
      </c>
      <c r="DN1" s="700" t="str">
        <f>'Artikel-DB'!DN3</f>
        <v>x</v>
      </c>
      <c r="DO1" s="700" t="str">
        <f>'Artikel-DB'!DO3</f>
        <v>x</v>
      </c>
      <c r="DP1" s="700" t="str">
        <f>'Artikel-DB'!DP3</f>
        <v>x</v>
      </c>
      <c r="DQ1" s="700" t="str">
        <f>'Artikel-DB'!DQ3</f>
        <v>x</v>
      </c>
      <c r="DR1" s="700" t="str">
        <f>'Artikel-DB'!DR3</f>
        <v>x</v>
      </c>
      <c r="DS1" s="700" t="str">
        <f>'Artikel-DB'!DS3</f>
        <v>x</v>
      </c>
      <c r="DT1" s="700" t="str">
        <f>'Artikel-DB'!DT3</f>
        <v>x</v>
      </c>
      <c r="DU1" s="700" t="str">
        <f>'Artikel-DB'!DU3</f>
        <v>x</v>
      </c>
      <c r="DV1" s="700" t="str">
        <f>'Artikel-DB'!DV3</f>
        <v>x</v>
      </c>
      <c r="DW1" s="700" t="str">
        <f>'Artikel-DB'!DW3</f>
        <v>x</v>
      </c>
      <c r="DX1" s="700" t="str">
        <f>'Artikel-DB'!DX3</f>
        <v>x</v>
      </c>
      <c r="DY1" s="700" t="str">
        <f>'Artikel-DB'!DY3</f>
        <v>x</v>
      </c>
      <c r="DZ1" s="700" t="str">
        <f>'Artikel-DB'!DZ3</f>
        <v>x</v>
      </c>
      <c r="EA1" s="700" t="str">
        <f>'Artikel-DB'!EA3</f>
        <v>x</v>
      </c>
      <c r="EB1" s="700" t="str">
        <f>'Artikel-DB'!EB3</f>
        <v>x</v>
      </c>
      <c r="EC1" s="700" t="str">
        <f>'Artikel-DB'!EC3</f>
        <v>x</v>
      </c>
      <c r="ED1" s="700" t="str">
        <f>'Artikel-DB'!ED3</f>
        <v>x</v>
      </c>
      <c r="EE1" s="700" t="str">
        <f>'Artikel-DB'!EE3</f>
        <v>x</v>
      </c>
      <c r="EF1" s="700" t="str">
        <f>'Artikel-DB'!EF3</f>
        <v>x</v>
      </c>
      <c r="EG1" s="700" t="str">
        <f>'Artikel-DB'!EG3</f>
        <v>x</v>
      </c>
      <c r="EH1" s="700" t="str">
        <f>'Artikel-DB'!EH3</f>
        <v>x</v>
      </c>
      <c r="EI1" s="700" t="str">
        <f>'Artikel-DB'!EI3</f>
        <v>x</v>
      </c>
      <c r="EJ1" s="700" t="str">
        <f>'Artikel-DB'!EJ3</f>
        <v>x</v>
      </c>
      <c r="EK1" s="700" t="str">
        <f>'Artikel-DB'!EK3</f>
        <v>x</v>
      </c>
      <c r="EL1" s="700" t="str">
        <f>'Artikel-DB'!EL3</f>
        <v>x</v>
      </c>
      <c r="EM1" s="700" t="str">
        <f>'Artikel-DB'!EM3</f>
        <v>x</v>
      </c>
      <c r="EN1" s="700" t="str">
        <f>'Artikel-DB'!EN3</f>
        <v>x</v>
      </c>
      <c r="EO1" s="700" t="str">
        <f>'Artikel-DB'!EO3</f>
        <v>x</v>
      </c>
      <c r="EP1" s="700" t="str">
        <f>'Artikel-DB'!EP3</f>
        <v>x</v>
      </c>
      <c r="EQ1" s="700" t="str">
        <f>'Artikel-DB'!EQ3</f>
        <v>x</v>
      </c>
      <c r="ER1" s="700" t="str">
        <f>'Artikel-DB'!ER3</f>
        <v>x</v>
      </c>
      <c r="ES1" s="700" t="str">
        <f>'Artikel-DB'!ES3</f>
        <v>x</v>
      </c>
      <c r="ET1" s="700" t="str">
        <f>'Artikel-DB'!ET3</f>
        <v>x</v>
      </c>
      <c r="EU1" s="700" t="str">
        <f>'Artikel-DB'!EU3</f>
        <v>x</v>
      </c>
      <c r="EV1" s="700" t="str">
        <f>'Artikel-DB'!EV3</f>
        <v>x</v>
      </c>
      <c r="EW1" s="700" t="str">
        <f>'Artikel-DB'!EW3</f>
        <v>x</v>
      </c>
      <c r="EX1" s="700" t="str">
        <f>'Artikel-DB'!EX3</f>
        <v>x</v>
      </c>
      <c r="EY1" s="700" t="str">
        <f>'Artikel-DB'!EY3</f>
        <v>x</v>
      </c>
      <c r="EZ1" s="700" t="str">
        <f>'Artikel-DB'!EZ3</f>
        <v>x</v>
      </c>
      <c r="FA1" s="700" t="str">
        <f>'Artikel-DB'!FA3</f>
        <v>x</v>
      </c>
      <c r="FB1" s="700" t="str">
        <f>'Artikel-DB'!FB3</f>
        <v>x</v>
      </c>
      <c r="FC1" s="700" t="str">
        <f>'Artikel-DB'!FC3</f>
        <v>x</v>
      </c>
      <c r="FD1" s="700" t="str">
        <f>'Artikel-DB'!FD3</f>
        <v>x</v>
      </c>
      <c r="FE1" s="700" t="str">
        <f>'Artikel-DB'!FE3</f>
        <v>x</v>
      </c>
      <c r="FF1" s="700" t="str">
        <f>'Artikel-DB'!FF3</f>
        <v>x</v>
      </c>
      <c r="FG1" s="700" t="str">
        <f>'Artikel-DB'!FG3</f>
        <v>x</v>
      </c>
      <c r="FH1" s="700" t="str">
        <f>'Artikel-DB'!FH3</f>
        <v>x</v>
      </c>
      <c r="FI1" s="700" t="str">
        <f>'Artikel-DB'!FI3</f>
        <v>x</v>
      </c>
      <c r="FJ1" s="700" t="str">
        <f>'Artikel-DB'!FJ3</f>
        <v>x</v>
      </c>
      <c r="FK1" s="700" t="str">
        <f>'Artikel-DB'!FK3</f>
        <v>x</v>
      </c>
      <c r="FL1" s="700" t="str">
        <f>'Artikel-DB'!FL3</f>
        <v>x</v>
      </c>
      <c r="FM1" s="700" t="str">
        <f>'Artikel-DB'!FM3</f>
        <v>x</v>
      </c>
      <c r="FN1" s="700" t="str">
        <f>'Artikel-DB'!FN3</f>
        <v>x</v>
      </c>
      <c r="FO1" s="700" t="str">
        <f>'Artikel-DB'!FO3</f>
        <v>x</v>
      </c>
      <c r="FP1" s="700" t="str">
        <f>'Artikel-DB'!FP3</f>
        <v>x</v>
      </c>
      <c r="FQ1" s="700" t="str">
        <f>'Artikel-DB'!FQ3</f>
        <v>x</v>
      </c>
      <c r="FR1" s="700" t="str">
        <f>'Artikel-DB'!FR3</f>
        <v>x</v>
      </c>
      <c r="FS1" s="700" t="str">
        <f>'Artikel-DB'!FS3</f>
        <v>x</v>
      </c>
      <c r="FT1" s="700" t="str">
        <f>'Artikel-DB'!FT3</f>
        <v>x</v>
      </c>
      <c r="FU1" s="700" t="str">
        <f>'Artikel-DB'!FU3</f>
        <v>x</v>
      </c>
      <c r="FV1" s="700" t="str">
        <f>'Artikel-DB'!FV3</f>
        <v>x</v>
      </c>
      <c r="FW1" s="700" t="str">
        <f>'Artikel-DB'!FW3</f>
        <v>x</v>
      </c>
      <c r="FX1" s="700" t="str">
        <f>'Artikel-DB'!FX3</f>
        <v>x</v>
      </c>
      <c r="FY1" s="700" t="str">
        <f>'Artikel-DB'!FY3</f>
        <v>x</v>
      </c>
      <c r="FZ1" s="700" t="str">
        <f>'Artikel-DB'!FZ3</f>
        <v>x</v>
      </c>
      <c r="GA1" s="700" t="str">
        <f>'Artikel-DB'!GA3</f>
        <v>x</v>
      </c>
      <c r="GB1" s="700" t="str">
        <f>'Artikel-DB'!GB3</f>
        <v>x</v>
      </c>
      <c r="GC1" s="700" t="str">
        <f>'Artikel-DB'!GC3</f>
        <v>x</v>
      </c>
      <c r="GD1" s="700" t="str">
        <f>'Artikel-DB'!GD3</f>
        <v>x</v>
      </c>
      <c r="GE1" s="700" t="str">
        <f>'Artikel-DB'!GE3</f>
        <v>x</v>
      </c>
      <c r="GF1" s="700" t="str">
        <f>'Artikel-DB'!GF3</f>
        <v>x</v>
      </c>
      <c r="GG1" s="700" t="str">
        <f>'Artikel-DB'!GG3</f>
        <v>x</v>
      </c>
      <c r="GH1" s="700" t="str">
        <f>'Artikel-DB'!GH3</f>
        <v>x</v>
      </c>
      <c r="GI1" s="700" t="str">
        <f>'Artikel-DB'!GI3</f>
        <v>x</v>
      </c>
      <c r="GJ1" s="700" t="str">
        <f>'Artikel-DB'!GJ3</f>
        <v>x</v>
      </c>
      <c r="GK1" s="700" t="str">
        <f>'Artikel-DB'!GK3</f>
        <v>x</v>
      </c>
      <c r="GL1" s="700" t="str">
        <f>'Artikel-DB'!GL3</f>
        <v>x</v>
      </c>
      <c r="GM1" s="700" t="str">
        <f>'Artikel-DB'!GM3</f>
        <v>x</v>
      </c>
      <c r="GN1" s="700" t="str">
        <f>'Artikel-DB'!GN3</f>
        <v>x</v>
      </c>
      <c r="GO1" s="700" t="str">
        <f>'Artikel-DB'!GO3</f>
        <v>x</v>
      </c>
      <c r="GP1" s="700" t="str">
        <f>'Artikel-DB'!GP3</f>
        <v>x</v>
      </c>
      <c r="GQ1" s="700" t="str">
        <f>'Artikel-DB'!GQ3</f>
        <v>x</v>
      </c>
      <c r="GR1" s="700" t="str">
        <f>'Artikel-DB'!GR3</f>
        <v>x</v>
      </c>
      <c r="GS1" s="700" t="str">
        <f>'Artikel-DB'!GS3</f>
        <v>x</v>
      </c>
      <c r="GT1" s="700" t="str">
        <f>'Artikel-DB'!GT3</f>
        <v>x</v>
      </c>
      <c r="GU1" s="700" t="str">
        <f>'Artikel-DB'!GU3</f>
        <v>x</v>
      </c>
      <c r="GV1" s="700" t="str">
        <f>'Artikel-DB'!GV3</f>
        <v>x</v>
      </c>
      <c r="GW1" s="700" t="str">
        <f>'Artikel-DB'!GW3</f>
        <v>x</v>
      </c>
      <c r="GX1" s="700" t="str">
        <f>'Artikel-DB'!GX3</f>
        <v>x</v>
      </c>
      <c r="GY1" s="700" t="str">
        <f>'Artikel-DB'!GY3</f>
        <v>x</v>
      </c>
      <c r="GZ1" s="700" t="str">
        <f>'Artikel-DB'!GZ3</f>
        <v>x</v>
      </c>
      <c r="HA1" s="700" t="str">
        <f>'Artikel-DB'!HA3</f>
        <v>x</v>
      </c>
      <c r="HB1" s="700" t="str">
        <f>'Artikel-DB'!HB3</f>
        <v>x</v>
      </c>
      <c r="HC1" s="700" t="str">
        <f>'Artikel-DB'!HC3</f>
        <v>x</v>
      </c>
      <c r="HD1" s="700" t="str">
        <f>'Artikel-DB'!HD3</f>
        <v>x</v>
      </c>
      <c r="HE1" s="700" t="str">
        <f>'Artikel-DB'!HE3</f>
        <v>x</v>
      </c>
      <c r="HF1" s="700" t="str">
        <f>'Artikel-DB'!HF3</f>
        <v>x</v>
      </c>
      <c r="HG1" s="700" t="str">
        <f>'Artikel-DB'!HG3</f>
        <v>x</v>
      </c>
      <c r="HH1" s="700" t="str">
        <f>'Artikel-DB'!HH3</f>
        <v>x</v>
      </c>
      <c r="HI1" s="700" t="str">
        <f>'Artikel-DB'!HI3</f>
        <v>x</v>
      </c>
      <c r="HJ1" s="700" t="str">
        <f>'Artikel-DB'!HJ3</f>
        <v>x</v>
      </c>
      <c r="HK1" s="700" t="str">
        <f>'Artikel-DB'!HK3</f>
        <v>x</v>
      </c>
      <c r="HL1" s="700" t="str">
        <f>'Artikel-DB'!HL3</f>
        <v>x</v>
      </c>
      <c r="HM1" s="700" t="str">
        <f>'Artikel-DB'!HM3</f>
        <v>x</v>
      </c>
      <c r="HN1" s="700" t="str">
        <f>'Artikel-DB'!HN3</f>
        <v>x</v>
      </c>
      <c r="HO1" s="700" t="str">
        <f>'Artikel-DB'!HO3</f>
        <v>x</v>
      </c>
      <c r="HP1" s="700" t="str">
        <f>'Artikel-DB'!HP3</f>
        <v>x</v>
      </c>
      <c r="HQ1" s="700" t="str">
        <f>'Artikel-DB'!HQ3</f>
        <v>x</v>
      </c>
      <c r="HR1" s="700" t="str">
        <f>'Artikel-DB'!HR3</f>
        <v>x</v>
      </c>
      <c r="HS1" s="700" t="str">
        <f>'Artikel-DB'!HS3</f>
        <v>x</v>
      </c>
      <c r="HT1" s="700" t="str">
        <f>'Artikel-DB'!HT3</f>
        <v>x</v>
      </c>
      <c r="HU1" s="700" t="str">
        <f>'Artikel-DB'!HU3</f>
        <v>x</v>
      </c>
      <c r="HV1" s="700" t="str">
        <f>'Artikel-DB'!HV3</f>
        <v>x</v>
      </c>
      <c r="HW1" s="700" t="str">
        <f>'Artikel-DB'!HW3</f>
        <v>x</v>
      </c>
      <c r="HX1" s="700" t="str">
        <f>'Artikel-DB'!HX3</f>
        <v>x</v>
      </c>
      <c r="HY1" s="700" t="str">
        <f>'Artikel-DB'!HY3</f>
        <v>x</v>
      </c>
      <c r="HZ1" s="700" t="str">
        <f>'Artikel-DB'!HZ3</f>
        <v>x</v>
      </c>
      <c r="IA1" s="700" t="str">
        <f>'Artikel-DB'!IA3</f>
        <v>x</v>
      </c>
      <c r="IB1" s="700" t="str">
        <f>'Artikel-DB'!IB3</f>
        <v>x</v>
      </c>
      <c r="IC1" s="700" t="str">
        <f>'Artikel-DB'!IC3</f>
        <v>x</v>
      </c>
      <c r="ID1" s="700" t="str">
        <f>'Artikel-DB'!ID3</f>
        <v>x</v>
      </c>
      <c r="IE1" s="700" t="str">
        <f>'Artikel-DB'!IE3</f>
        <v>x</v>
      </c>
      <c r="IF1" s="700" t="str">
        <f>'Artikel-DB'!IF3</f>
        <v>x</v>
      </c>
      <c r="IG1" s="700" t="str">
        <f>'Artikel-DB'!IG3</f>
        <v>x</v>
      </c>
      <c r="IH1" s="700" t="str">
        <f>'Artikel-DB'!IH3</f>
        <v>x</v>
      </c>
      <c r="II1" s="700" t="str">
        <f>'Artikel-DB'!II3</f>
        <v>x</v>
      </c>
      <c r="IJ1" s="700" t="str">
        <f>'Artikel-DB'!IJ3</f>
        <v>x</v>
      </c>
      <c r="IK1" s="700" t="str">
        <f>'Artikel-DB'!IK3</f>
        <v>x</v>
      </c>
      <c r="IL1" s="700" t="str">
        <f>'Artikel-DB'!IL3</f>
        <v>x</v>
      </c>
      <c r="IM1" s="700" t="str">
        <f>'Artikel-DB'!IM3</f>
        <v>x</v>
      </c>
      <c r="IN1" s="700" t="str">
        <f>'Artikel-DB'!IN3</f>
        <v>x</v>
      </c>
      <c r="IO1" s="700" t="str">
        <f>'Artikel-DB'!IO3</f>
        <v>x</v>
      </c>
      <c r="IP1" s="700" t="str">
        <f>'Artikel-DB'!IP3</f>
        <v>x</v>
      </c>
      <c r="IQ1" s="700" t="str">
        <f>'Artikel-DB'!IQ3</f>
        <v>x</v>
      </c>
      <c r="IR1" s="700" t="str">
        <f>'Artikel-DB'!IR3</f>
        <v>x</v>
      </c>
      <c r="IS1" s="700" t="str">
        <f>'Artikel-DB'!IS3</f>
        <v>x</v>
      </c>
      <c r="IT1" s="700" t="str">
        <f>'Artikel-DB'!IT3</f>
        <v>x</v>
      </c>
      <c r="IU1" s="700" t="str">
        <f>'Artikel-DB'!IU3</f>
        <v>x</v>
      </c>
      <c r="IV1" s="700" t="str">
        <f>'Artikel-DB'!IV3</f>
        <v>x</v>
      </c>
      <c r="IW1" s="700" t="str">
        <f>'Artikel-DB'!IW3</f>
        <v>x</v>
      </c>
      <c r="IX1" s="700" t="str">
        <f>'Artikel-DB'!IX3</f>
        <v>x</v>
      </c>
      <c r="IY1" s="700" t="str">
        <f>'Artikel-DB'!IY3</f>
        <v>x</v>
      </c>
      <c r="IZ1" s="700" t="str">
        <f>'Artikel-DB'!IZ3</f>
        <v>x</v>
      </c>
      <c r="JA1" s="700" t="str">
        <f>'Artikel-DB'!JA3</f>
        <v>x</v>
      </c>
      <c r="JB1" s="700" t="str">
        <f>'Artikel-DB'!JB3</f>
        <v>x</v>
      </c>
      <c r="JC1" s="700" t="str">
        <f>'Artikel-DB'!JC3</f>
        <v>x</v>
      </c>
      <c r="JD1" s="700" t="str">
        <f>'Artikel-DB'!JD3</f>
        <v>x</v>
      </c>
      <c r="JE1" s="700" t="str">
        <f>'Artikel-DB'!JE3</f>
        <v>x</v>
      </c>
      <c r="JF1" s="700" t="str">
        <f>'Artikel-DB'!JF3</f>
        <v>x</v>
      </c>
      <c r="JG1" s="700" t="str">
        <f>'Artikel-DB'!JG3</f>
        <v>x</v>
      </c>
      <c r="JH1" s="700" t="str">
        <f>'Artikel-DB'!JH3</f>
        <v>x</v>
      </c>
      <c r="JI1" s="700" t="str">
        <f>'Artikel-DB'!JI3</f>
        <v>x</v>
      </c>
      <c r="JJ1" s="700" t="str">
        <f>'Artikel-DB'!JJ3</f>
        <v>x</v>
      </c>
      <c r="JK1" s="700" t="str">
        <f>'Artikel-DB'!JK3</f>
        <v>x</v>
      </c>
      <c r="JL1" s="700" t="str">
        <f>'Artikel-DB'!JL3</f>
        <v>x</v>
      </c>
      <c r="JM1" s="700" t="str">
        <f>'Artikel-DB'!JM3</f>
        <v>x</v>
      </c>
      <c r="JN1" s="700" t="str">
        <f>'Artikel-DB'!JN3</f>
        <v>x</v>
      </c>
      <c r="JO1" s="700" t="str">
        <f>'Artikel-DB'!JO3</f>
        <v>x</v>
      </c>
      <c r="JP1" s="700" t="str">
        <f>'Artikel-DB'!JP3</f>
        <v>x</v>
      </c>
      <c r="JQ1" s="700" t="str">
        <f>'Artikel-DB'!JQ3</f>
        <v>x</v>
      </c>
      <c r="JR1" s="700" t="str">
        <f>'Artikel-DB'!JR3</f>
        <v>x</v>
      </c>
      <c r="JS1" s="700" t="str">
        <f>'Artikel-DB'!JS3</f>
        <v>x</v>
      </c>
      <c r="JT1" s="700" t="str">
        <f>'Artikel-DB'!JT3</f>
        <v>x</v>
      </c>
      <c r="JU1" s="700" t="str">
        <f>'Artikel-DB'!JU3</f>
        <v>x</v>
      </c>
      <c r="JV1" s="700" t="str">
        <f>'Artikel-DB'!JV3</f>
        <v>x</v>
      </c>
      <c r="JW1" s="700" t="str">
        <f>'Artikel-DB'!JW3</f>
        <v>x</v>
      </c>
      <c r="JX1" s="700" t="str">
        <f>'Artikel-DB'!JX3</f>
        <v>x</v>
      </c>
      <c r="JY1" s="700" t="str">
        <f>'Artikel-DB'!JY3</f>
        <v>x</v>
      </c>
      <c r="JZ1" s="700" t="str">
        <f>'Artikel-DB'!JZ3</f>
        <v>x</v>
      </c>
      <c r="KA1" s="700" t="str">
        <f>'Artikel-DB'!KA3</f>
        <v>x</v>
      </c>
      <c r="KB1" s="700" t="str">
        <f>'Artikel-DB'!KB3</f>
        <v>x</v>
      </c>
      <c r="KC1" s="700" t="str">
        <f>'Artikel-DB'!KC3</f>
        <v>x</v>
      </c>
      <c r="KD1" s="700" t="str">
        <f>'Artikel-DB'!KD3</f>
        <v>x</v>
      </c>
      <c r="KE1" s="700" t="str">
        <f>'Artikel-DB'!KE3</f>
        <v>x</v>
      </c>
      <c r="KF1" s="700" t="str">
        <f>'Artikel-DB'!KF3</f>
        <v>x</v>
      </c>
      <c r="KG1" s="700" t="str">
        <f>'Artikel-DB'!KG3</f>
        <v>x</v>
      </c>
      <c r="KH1" s="700" t="str">
        <f>'Artikel-DB'!KH3</f>
        <v>x</v>
      </c>
      <c r="KI1" s="700" t="str">
        <f>'Artikel-DB'!KI3</f>
        <v>x</v>
      </c>
      <c r="KJ1" s="700" t="str">
        <f>'Artikel-DB'!KJ3</f>
        <v>x</v>
      </c>
      <c r="KK1" s="700" t="str">
        <f>'Artikel-DB'!KK3</f>
        <v>x</v>
      </c>
      <c r="KL1" s="700" t="str">
        <f>'Artikel-DB'!KL3</f>
        <v>x</v>
      </c>
      <c r="KM1" s="700" t="str">
        <f>'Artikel-DB'!KM3</f>
        <v>x</v>
      </c>
      <c r="KN1" s="700" t="str">
        <f>'Artikel-DB'!KN3</f>
        <v>x</v>
      </c>
      <c r="KO1" s="700" t="str">
        <f>'Artikel-DB'!KO3</f>
        <v>x</v>
      </c>
      <c r="KP1" s="700" t="str">
        <f>'Artikel-DB'!KP3</f>
        <v>x</v>
      </c>
      <c r="KQ1" s="700" t="str">
        <f>'Artikel-DB'!KQ3</f>
        <v>x</v>
      </c>
      <c r="KR1" s="700" t="str">
        <f>'Artikel-DB'!KR3</f>
        <v>x</v>
      </c>
      <c r="KS1" s="700" t="str">
        <f>'Artikel-DB'!KS3</f>
        <v>x</v>
      </c>
      <c r="KT1" s="700" t="str">
        <f>'Artikel-DB'!KT3</f>
        <v>x</v>
      </c>
      <c r="KU1" s="700" t="str">
        <f>'Artikel-DB'!KU3</f>
        <v>x</v>
      </c>
      <c r="KV1" s="700" t="str">
        <f>'Artikel-DB'!KV3</f>
        <v>x</v>
      </c>
      <c r="KW1" s="700" t="str">
        <f>'Artikel-DB'!KW3</f>
        <v>x</v>
      </c>
      <c r="KX1" s="700" t="str">
        <f>'Artikel-DB'!KX3</f>
        <v>x</v>
      </c>
      <c r="KY1" s="700" t="str">
        <f>'Artikel-DB'!KY3</f>
        <v>x</v>
      </c>
      <c r="KZ1" s="700" t="str">
        <f>'Artikel-DB'!KZ3</f>
        <v>x</v>
      </c>
      <c r="LA1" s="700" t="str">
        <f>'Artikel-DB'!LA3</f>
        <v>x</v>
      </c>
      <c r="LB1" s="700" t="str">
        <f>'Artikel-DB'!LB3</f>
        <v>x</v>
      </c>
      <c r="LC1" s="700" t="str">
        <f>'Artikel-DB'!LC3</f>
        <v>x</v>
      </c>
      <c r="LD1" s="700" t="str">
        <f>'Artikel-DB'!LD3</f>
        <v>x</v>
      </c>
      <c r="LE1" s="700" t="str">
        <f>'Artikel-DB'!LE3</f>
        <v>x</v>
      </c>
      <c r="LF1" s="700" t="str">
        <f>'Artikel-DB'!LF3</f>
        <v>x</v>
      </c>
      <c r="LG1" s="700" t="str">
        <f>'Artikel-DB'!LG3</f>
        <v>x</v>
      </c>
      <c r="LH1" s="700" t="str">
        <f>'Artikel-DB'!LH3</f>
        <v>x</v>
      </c>
      <c r="LI1" s="700" t="str">
        <f>'Artikel-DB'!LI3</f>
        <v>x</v>
      </c>
      <c r="LJ1" s="700" t="str">
        <f>'Artikel-DB'!LJ3</f>
        <v>x</v>
      </c>
      <c r="LK1" s="700" t="str">
        <f>'Artikel-DB'!LK3</f>
        <v>x</v>
      </c>
      <c r="LL1" s="700" t="str">
        <f>'Artikel-DB'!LL3</f>
        <v>x</v>
      </c>
      <c r="LM1" s="700" t="str">
        <f>'Artikel-DB'!LM3</f>
        <v>x</v>
      </c>
      <c r="LN1" s="700" t="str">
        <f>'Artikel-DB'!LN3</f>
        <v>x</v>
      </c>
      <c r="LO1" s="700" t="str">
        <f>'Artikel-DB'!LO3</f>
        <v>x</v>
      </c>
      <c r="LP1" s="700" t="str">
        <f>'Artikel-DB'!LP3</f>
        <v>x</v>
      </c>
      <c r="LQ1" s="700" t="str">
        <f>'Artikel-DB'!LQ3</f>
        <v>x</v>
      </c>
      <c r="LR1" s="700" t="str">
        <f>'Artikel-DB'!LR3</f>
        <v>x</v>
      </c>
      <c r="LS1" s="700" t="str">
        <f>'Artikel-DB'!LS3</f>
        <v>x</v>
      </c>
      <c r="LT1" s="700" t="str">
        <f>'Artikel-DB'!LT3</f>
        <v>x</v>
      </c>
      <c r="LU1" s="700" t="str">
        <f>'Artikel-DB'!LU3</f>
        <v>x</v>
      </c>
      <c r="LV1" s="700" t="str">
        <f>'Artikel-DB'!LV3</f>
        <v>x</v>
      </c>
      <c r="LW1" s="700" t="str">
        <f>'Artikel-DB'!LW3</f>
        <v>x</v>
      </c>
      <c r="LX1" s="700" t="str">
        <f>'Artikel-DB'!LX3</f>
        <v>x</v>
      </c>
      <c r="LY1" s="700" t="str">
        <f>'Artikel-DB'!LY3</f>
        <v>x</v>
      </c>
      <c r="LZ1" s="700" t="str">
        <f>'Artikel-DB'!LZ3</f>
        <v>x</v>
      </c>
      <c r="MA1" s="700" t="str">
        <f>'Artikel-DB'!MA3</f>
        <v>x</v>
      </c>
      <c r="MB1" s="700" t="str">
        <f>'Artikel-DB'!MB3</f>
        <v>x</v>
      </c>
      <c r="MC1" s="700" t="str">
        <f>'Artikel-DB'!MC3</f>
        <v>x</v>
      </c>
      <c r="MD1" s="700" t="str">
        <f>'Artikel-DB'!MD3</f>
        <v>x</v>
      </c>
      <c r="ME1" s="700" t="str">
        <f>'Artikel-DB'!ME3</f>
        <v>x</v>
      </c>
      <c r="MF1" s="700" t="str">
        <f>'Artikel-DB'!MF3</f>
        <v>x</v>
      </c>
      <c r="MG1" s="700" t="str">
        <f>'Artikel-DB'!MG3</f>
        <v>x</v>
      </c>
      <c r="MH1" s="700" t="str">
        <f>'Artikel-DB'!MH3</f>
        <v>x</v>
      </c>
      <c r="MI1" s="700" t="str">
        <f>'Artikel-DB'!MI3</f>
        <v>x</v>
      </c>
      <c r="MJ1" s="700" t="str">
        <f>'Artikel-DB'!MJ3</f>
        <v>x</v>
      </c>
      <c r="MK1" s="700" t="str">
        <f>'Artikel-DB'!MK3</f>
        <v>x</v>
      </c>
      <c r="ML1" s="700" t="str">
        <f>'Artikel-DB'!ML3</f>
        <v>x</v>
      </c>
      <c r="MM1" s="700" t="str">
        <f>'Artikel-DB'!MM3</f>
        <v>x</v>
      </c>
      <c r="MN1" s="700" t="str">
        <f>'Artikel-DB'!MN3</f>
        <v>x</v>
      </c>
      <c r="MO1" s="700" t="str">
        <f>'Artikel-DB'!MO3</f>
        <v>x</v>
      </c>
      <c r="MP1" s="700" t="str">
        <f>'Artikel-DB'!MP3</f>
        <v>x</v>
      </c>
      <c r="MQ1" s="700" t="str">
        <f>'Artikel-DB'!MQ3</f>
        <v>x</v>
      </c>
      <c r="MR1" s="700" t="str">
        <f>'Artikel-DB'!MR3</f>
        <v>x</v>
      </c>
      <c r="MS1" s="700" t="str">
        <f>'Artikel-DB'!MS3</f>
        <v>x</v>
      </c>
      <c r="MT1" s="700" t="str">
        <f>'Artikel-DB'!MT3</f>
        <v>x</v>
      </c>
      <c r="MU1" s="700" t="str">
        <f>'Artikel-DB'!MU3</f>
        <v>x</v>
      </c>
      <c r="MV1" s="700" t="str">
        <f>'Artikel-DB'!MV3</f>
        <v>x</v>
      </c>
      <c r="MW1" s="700" t="str">
        <f>'Artikel-DB'!MW3</f>
        <v>x</v>
      </c>
      <c r="MX1" s="700" t="str">
        <f>'Artikel-DB'!MX3</f>
        <v>x</v>
      </c>
      <c r="MY1" s="700" t="str">
        <f>'Artikel-DB'!MY3</f>
        <v>x</v>
      </c>
      <c r="MZ1" s="700" t="str">
        <f>'Artikel-DB'!MZ3</f>
        <v>x</v>
      </c>
      <c r="NA1" s="700" t="str">
        <f>'Artikel-DB'!NA3</f>
        <v>x</v>
      </c>
      <c r="NB1" s="700" t="str">
        <f>'Artikel-DB'!NB3</f>
        <v>x</v>
      </c>
      <c r="NC1" s="700" t="str">
        <f>'Artikel-DB'!NC3</f>
        <v>x</v>
      </c>
      <c r="ND1" s="700" t="str">
        <f>'Artikel-DB'!ND3</f>
        <v>x</v>
      </c>
      <c r="NE1" s="700" t="str">
        <f>'Artikel-DB'!NE3</f>
        <v>x</v>
      </c>
      <c r="NF1" s="700" t="str">
        <f>'Artikel-DB'!NF3</f>
        <v>x</v>
      </c>
      <c r="NG1" s="700" t="str">
        <f>'Artikel-DB'!NG3</f>
        <v>x</v>
      </c>
      <c r="NH1" s="700" t="str">
        <f>'Artikel-DB'!NH3</f>
        <v>x</v>
      </c>
      <c r="NI1" s="700" t="str">
        <f>'Artikel-DB'!NI3</f>
        <v>x</v>
      </c>
      <c r="NJ1" s="700" t="str">
        <f>'Artikel-DB'!NJ3</f>
        <v>x</v>
      </c>
      <c r="NK1" s="700" t="str">
        <f>'Artikel-DB'!NK3</f>
        <v>x</v>
      </c>
      <c r="NL1" s="700" t="str">
        <f>'Artikel-DB'!NL3</f>
        <v>x</v>
      </c>
      <c r="NM1" s="700" t="str">
        <f>'Artikel-DB'!NM3</f>
        <v>x</v>
      </c>
      <c r="NN1" s="700" t="str">
        <f>'Artikel-DB'!NN3</f>
        <v>x</v>
      </c>
      <c r="NO1" s="700" t="str">
        <f>'Artikel-DB'!NO3</f>
        <v>x</v>
      </c>
      <c r="NP1" s="700" t="str">
        <f>'Artikel-DB'!NP3</f>
        <v>x</v>
      </c>
      <c r="NQ1" s="700" t="str">
        <f>'Artikel-DB'!NQ3</f>
        <v>x</v>
      </c>
      <c r="NR1" s="700" t="str">
        <f>'Artikel-DB'!NR3</f>
        <v>x</v>
      </c>
      <c r="NS1" s="700" t="str">
        <f>'Artikel-DB'!NS3</f>
        <v>x</v>
      </c>
      <c r="NT1" s="700" t="str">
        <f>'Artikel-DB'!NT3</f>
        <v>x</v>
      </c>
      <c r="NU1" s="700" t="str">
        <f>'Artikel-DB'!NU3</f>
        <v>x</v>
      </c>
      <c r="NV1" s="700" t="str">
        <f>'Artikel-DB'!NV3</f>
        <v>x</v>
      </c>
      <c r="NW1" s="700" t="str">
        <f>'Artikel-DB'!NW3</f>
        <v>x</v>
      </c>
      <c r="NX1" s="700" t="str">
        <f>'Artikel-DB'!NX3</f>
        <v>x</v>
      </c>
      <c r="NY1" s="700" t="str">
        <f>'Artikel-DB'!NY3</f>
        <v>x</v>
      </c>
      <c r="NZ1" s="700" t="str">
        <f>'Artikel-DB'!NZ3</f>
        <v>x</v>
      </c>
      <c r="OA1" s="700" t="str">
        <f>'Artikel-DB'!OA3</f>
        <v>x</v>
      </c>
      <c r="OB1" s="700" t="str">
        <f>'Artikel-DB'!OB3</f>
        <v>x</v>
      </c>
      <c r="OC1" s="700" t="str">
        <f>'Artikel-DB'!OC3</f>
        <v>x</v>
      </c>
      <c r="OD1" s="700" t="str">
        <f>'Artikel-DB'!OD3</f>
        <v>x</v>
      </c>
      <c r="OE1" s="700" t="str">
        <f>'Artikel-DB'!OE3</f>
        <v>x</v>
      </c>
      <c r="OF1" s="700" t="str">
        <f>'Artikel-DB'!OF3</f>
        <v>x</v>
      </c>
      <c r="OG1" s="700" t="str">
        <f>'Artikel-DB'!OG3</f>
        <v>x</v>
      </c>
      <c r="OH1" s="700" t="str">
        <f>'Artikel-DB'!OH3</f>
        <v>x</v>
      </c>
      <c r="OI1" s="700" t="str">
        <f>'Artikel-DB'!OI3</f>
        <v>x</v>
      </c>
      <c r="OJ1" s="700" t="str">
        <f>'Artikel-DB'!OJ3</f>
        <v>x</v>
      </c>
      <c r="OK1" s="700" t="str">
        <f>'Artikel-DB'!OK3</f>
        <v>x</v>
      </c>
      <c r="OL1" s="700" t="str">
        <f>'Artikel-DB'!OL3</f>
        <v>x</v>
      </c>
      <c r="OM1" s="700" t="str">
        <f>'Artikel-DB'!OM3</f>
        <v>x</v>
      </c>
      <c r="ON1" s="700" t="str">
        <f>'Artikel-DB'!ON3</f>
        <v>x</v>
      </c>
      <c r="OO1" s="700" t="str">
        <f>'Artikel-DB'!OO3</f>
        <v>x</v>
      </c>
      <c r="OP1" s="700" t="str">
        <f>'Artikel-DB'!OP3</f>
        <v>x</v>
      </c>
      <c r="OQ1" s="700" t="str">
        <f>'Artikel-DB'!OQ3</f>
        <v>x</v>
      </c>
      <c r="OR1" s="700" t="str">
        <f>'Artikel-DB'!OR3</f>
        <v>x</v>
      </c>
      <c r="OS1" s="700" t="str">
        <f>'Artikel-DB'!OS3</f>
        <v>x</v>
      </c>
      <c r="OT1" s="700" t="str">
        <f>'Artikel-DB'!OT3</f>
        <v>x</v>
      </c>
      <c r="OU1" s="700" t="str">
        <f>'Artikel-DB'!OU3</f>
        <v>x</v>
      </c>
      <c r="OV1" s="700" t="str">
        <f>'Artikel-DB'!OV3</f>
        <v>x</v>
      </c>
      <c r="OW1" s="700" t="str">
        <f>'Artikel-DB'!OW3</f>
        <v>x</v>
      </c>
      <c r="OX1" s="700" t="str">
        <f>'Artikel-DB'!OX3</f>
        <v>x</v>
      </c>
      <c r="OY1" s="700" t="str">
        <f>'Artikel-DB'!OY3</f>
        <v>x</v>
      </c>
      <c r="OZ1" s="700" t="str">
        <f>'Artikel-DB'!OZ3</f>
        <v>x</v>
      </c>
      <c r="PA1" s="700" t="str">
        <f>'Artikel-DB'!PA3</f>
        <v>x</v>
      </c>
      <c r="PB1" s="700" t="str">
        <f>'Artikel-DB'!PB3</f>
        <v>x</v>
      </c>
      <c r="PC1" s="700" t="str">
        <f>'Artikel-DB'!PC3</f>
        <v>x</v>
      </c>
      <c r="PD1" s="700" t="str">
        <f>'Artikel-DB'!PD3</f>
        <v>x</v>
      </c>
      <c r="PE1" s="700" t="str">
        <f>'Artikel-DB'!PE3</f>
        <v>x</v>
      </c>
      <c r="PF1" s="700" t="str">
        <f>'Artikel-DB'!PF3</f>
        <v>x</v>
      </c>
      <c r="PG1" s="700" t="str">
        <f>'Artikel-DB'!PG3</f>
        <v>x</v>
      </c>
      <c r="PH1" s="700" t="str">
        <f>'Artikel-DB'!PH3</f>
        <v>x</v>
      </c>
      <c r="PI1" s="700" t="str">
        <f>'Artikel-DB'!PI3</f>
        <v>x</v>
      </c>
      <c r="PJ1" s="700" t="str">
        <f>'Artikel-DB'!PJ3</f>
        <v>x</v>
      </c>
      <c r="PK1" s="700" t="str">
        <f>'Artikel-DB'!PK3</f>
        <v>x</v>
      </c>
      <c r="PL1" s="700" t="str">
        <f>'Artikel-DB'!PL3</f>
        <v>x</v>
      </c>
      <c r="PM1" s="700" t="str">
        <f>'Artikel-DB'!PM3</f>
        <v>x</v>
      </c>
      <c r="PN1" s="700" t="str">
        <f>'Artikel-DB'!PN3</f>
        <v>x</v>
      </c>
      <c r="PO1" s="700" t="str">
        <f>'Artikel-DB'!PO3</f>
        <v>x</v>
      </c>
      <c r="PP1" s="700" t="str">
        <f>'Artikel-DB'!PP3</f>
        <v>x</v>
      </c>
      <c r="PQ1" s="700" t="str">
        <f>'Artikel-DB'!PQ3</f>
        <v>x</v>
      </c>
      <c r="PR1" s="700" t="str">
        <f>'Artikel-DB'!PR3</f>
        <v>x</v>
      </c>
      <c r="PS1" s="700" t="str">
        <f>'Artikel-DB'!PS3</f>
        <v>x</v>
      </c>
      <c r="PT1" s="700" t="str">
        <f>'Artikel-DB'!PT3</f>
        <v>x</v>
      </c>
      <c r="PU1" s="700" t="str">
        <f>'Artikel-DB'!PU3</f>
        <v>x</v>
      </c>
      <c r="PV1" s="700" t="str">
        <f>'Artikel-DB'!PV3</f>
        <v>x</v>
      </c>
      <c r="PW1" s="700" t="str">
        <f>'Artikel-DB'!PW3</f>
        <v>x</v>
      </c>
      <c r="PX1" s="700" t="str">
        <f>'Artikel-DB'!PX3</f>
        <v>x</v>
      </c>
      <c r="PY1" s="700" t="str">
        <f>'Artikel-DB'!PY3</f>
        <v>x</v>
      </c>
      <c r="PZ1" s="700" t="str">
        <f>'Artikel-DB'!PZ3</f>
        <v>x</v>
      </c>
      <c r="QA1" s="700" t="str">
        <f>'Artikel-DB'!QA3</f>
        <v>x</v>
      </c>
      <c r="QB1" s="700" t="str">
        <f>'Artikel-DB'!QB3</f>
        <v>x</v>
      </c>
      <c r="QC1" s="700" t="str">
        <f>'Artikel-DB'!QC3</f>
        <v>x</v>
      </c>
      <c r="QD1" s="700" t="str">
        <f>'Artikel-DB'!QD3</f>
        <v>x</v>
      </c>
      <c r="QE1" s="700" t="str">
        <f>'Artikel-DB'!QE3</f>
        <v>x</v>
      </c>
      <c r="QF1" s="700" t="str">
        <f>'Artikel-DB'!QF3</f>
        <v>x</v>
      </c>
      <c r="QG1" s="700" t="str">
        <f>'Artikel-DB'!QG3</f>
        <v>x</v>
      </c>
      <c r="QH1" s="700" t="str">
        <f>'Artikel-DB'!QH3</f>
        <v>x</v>
      </c>
      <c r="QI1" s="700" t="str">
        <f>'Artikel-DB'!QI3</f>
        <v>x</v>
      </c>
      <c r="QJ1" s="700" t="str">
        <f>'Artikel-DB'!QJ3</f>
        <v>x</v>
      </c>
      <c r="QK1" s="700" t="str">
        <f>'Artikel-DB'!QK3</f>
        <v>x</v>
      </c>
      <c r="QL1" s="700" t="str">
        <f>'Artikel-DB'!QL3</f>
        <v>x</v>
      </c>
      <c r="QM1" s="700" t="str">
        <f>'Artikel-DB'!QM3</f>
        <v>x</v>
      </c>
      <c r="QN1" s="700" t="str">
        <f>'Artikel-DB'!QN3</f>
        <v>x</v>
      </c>
      <c r="QO1" s="700" t="str">
        <f>'Artikel-DB'!QO3</f>
        <v>x</v>
      </c>
      <c r="QP1" s="700" t="str">
        <f>'Artikel-DB'!QP3</f>
        <v>x</v>
      </c>
      <c r="QQ1" s="700" t="str">
        <f>'Artikel-DB'!QQ3</f>
        <v>x</v>
      </c>
      <c r="QR1" s="700" t="str">
        <f>'Artikel-DB'!QR3</f>
        <v>x</v>
      </c>
      <c r="QS1" s="700" t="str">
        <f>'Artikel-DB'!QS3</f>
        <v>x</v>
      </c>
      <c r="QT1" s="700" t="str">
        <f>'Artikel-DB'!QT3</f>
        <v>x</v>
      </c>
      <c r="QU1" s="700" t="str">
        <f>'Artikel-DB'!QU3</f>
        <v>x</v>
      </c>
      <c r="QV1" s="700" t="str">
        <f>'Artikel-DB'!QV3</f>
        <v>x</v>
      </c>
      <c r="QW1" s="700" t="str">
        <f>'Artikel-DB'!QW3</f>
        <v>x</v>
      </c>
      <c r="QX1" s="700" t="str">
        <f>'Artikel-DB'!QX3</f>
        <v>x</v>
      </c>
      <c r="QY1" s="700" t="str">
        <f>'Artikel-DB'!QY3</f>
        <v>x</v>
      </c>
      <c r="QZ1" s="700" t="str">
        <f>'Artikel-DB'!QZ3</f>
        <v>x</v>
      </c>
      <c r="RA1" s="700" t="str">
        <f>'Artikel-DB'!RA3</f>
        <v>x</v>
      </c>
      <c r="RB1" s="700" t="str">
        <f>'Artikel-DB'!RB3</f>
        <v>x</v>
      </c>
      <c r="RC1" s="700" t="str">
        <f>'Artikel-DB'!RC3</f>
        <v>x</v>
      </c>
      <c r="RD1" s="700" t="str">
        <f>'Artikel-DB'!RD3</f>
        <v>x</v>
      </c>
      <c r="RE1" s="700" t="str">
        <f>'Artikel-DB'!RE3</f>
        <v>x</v>
      </c>
      <c r="RF1" s="700" t="str">
        <f>'Artikel-DB'!RF3</f>
        <v>x</v>
      </c>
      <c r="RG1" s="700" t="str">
        <f>'Artikel-DB'!RG3</f>
        <v>x</v>
      </c>
      <c r="RH1" s="700" t="str">
        <f>'Artikel-DB'!RH3</f>
        <v>x</v>
      </c>
      <c r="RI1" s="700" t="str">
        <f>'Artikel-DB'!RI3</f>
        <v>x</v>
      </c>
      <c r="RJ1" s="700" t="str">
        <f>'Artikel-DB'!RJ3</f>
        <v>x</v>
      </c>
      <c r="RK1" s="700" t="str">
        <f>'Artikel-DB'!RK3</f>
        <v>x</v>
      </c>
      <c r="RL1" s="700" t="str">
        <f>'Artikel-DB'!RL3</f>
        <v>x</v>
      </c>
      <c r="RM1" s="700" t="str">
        <f>'Artikel-DB'!RM3</f>
        <v>x</v>
      </c>
      <c r="RN1" s="700" t="str">
        <f>'Artikel-DB'!RN3</f>
        <v>x</v>
      </c>
      <c r="RO1" s="700" t="str">
        <f>'Artikel-DB'!RO3</f>
        <v>x</v>
      </c>
      <c r="RP1" s="700" t="str">
        <f>'Artikel-DB'!RP3</f>
        <v>x</v>
      </c>
      <c r="RQ1" s="700" t="str">
        <f>'Artikel-DB'!RQ3</f>
        <v>x</v>
      </c>
      <c r="RR1" s="700" t="str">
        <f>'Artikel-DB'!RR3</f>
        <v>x</v>
      </c>
      <c r="RS1" s="700" t="str">
        <f>'Artikel-DB'!RS3</f>
        <v>x</v>
      </c>
      <c r="RT1" s="700" t="str">
        <f>'Artikel-DB'!RT3</f>
        <v>x</v>
      </c>
      <c r="RU1" s="700" t="str">
        <f>'Artikel-DB'!RU3</f>
        <v>x</v>
      </c>
      <c r="RV1" s="700" t="str">
        <f>'Artikel-DB'!RV3</f>
        <v>x</v>
      </c>
      <c r="RW1" s="700" t="str">
        <f>'Artikel-DB'!RW3</f>
        <v>x</v>
      </c>
      <c r="RX1" s="700" t="str">
        <f>'Artikel-DB'!RX3</f>
        <v>x</v>
      </c>
      <c r="RY1" s="700" t="str">
        <f>'Artikel-DB'!RY3</f>
        <v>x</v>
      </c>
      <c r="RZ1" s="700" t="str">
        <f>'Artikel-DB'!RZ3</f>
        <v>x</v>
      </c>
      <c r="SA1" s="700" t="str">
        <f>'Artikel-DB'!SA3</f>
        <v>x</v>
      </c>
      <c r="SB1" s="700" t="str">
        <f>'Artikel-DB'!SB3</f>
        <v>x</v>
      </c>
      <c r="SC1" s="700" t="str">
        <f>'Artikel-DB'!SC3</f>
        <v>x</v>
      </c>
      <c r="SD1" s="700" t="str">
        <f>'Artikel-DB'!SD3</f>
        <v>x</v>
      </c>
      <c r="SE1" s="700" t="str">
        <f>'Artikel-DB'!SE3</f>
        <v>x</v>
      </c>
      <c r="SF1" s="700" t="str">
        <f>'Artikel-DB'!SF3</f>
        <v>x</v>
      </c>
      <c r="SG1" s="700" t="str">
        <f>'Artikel-DB'!SG3</f>
        <v>x</v>
      </c>
      <c r="SH1" s="700" t="str">
        <f>'Artikel-DB'!SH3</f>
        <v>x</v>
      </c>
      <c r="SI1" s="700" t="str">
        <f>'Artikel-DB'!SI3</f>
        <v>x</v>
      </c>
      <c r="SJ1" s="700" t="str">
        <f>'Artikel-DB'!SJ3</f>
        <v>x</v>
      </c>
      <c r="SK1" s="700" t="str">
        <f>'Artikel-DB'!SK3</f>
        <v>x</v>
      </c>
      <c r="SL1" s="700" t="str">
        <f>'Artikel-DB'!SL3</f>
        <v>x</v>
      </c>
      <c r="SM1" s="700" t="str">
        <f>'Artikel-DB'!SM3</f>
        <v>x</v>
      </c>
      <c r="SN1" s="700" t="str">
        <f>'Artikel-DB'!SN3</f>
        <v>x</v>
      </c>
      <c r="SO1" s="700" t="str">
        <f>'Artikel-DB'!SO3</f>
        <v>x</v>
      </c>
      <c r="SP1" s="700" t="str">
        <f>'Artikel-DB'!SP3</f>
        <v>x</v>
      </c>
      <c r="SQ1" s="700" t="str">
        <f>'Artikel-DB'!SQ3</f>
        <v>x</v>
      </c>
      <c r="SR1" s="700" t="str">
        <f>'Artikel-DB'!SR3</f>
        <v>x</v>
      </c>
      <c r="SS1" s="700" t="str">
        <f>'Artikel-DB'!SS3</f>
        <v>x</v>
      </c>
      <c r="ST1" s="700" t="str">
        <f>'Artikel-DB'!ST3</f>
        <v>x</v>
      </c>
      <c r="SU1" s="700" t="str">
        <f>'Artikel-DB'!SU3</f>
        <v>x</v>
      </c>
      <c r="SV1" s="700" t="str">
        <f>'Artikel-DB'!SV3</f>
        <v>x</v>
      </c>
      <c r="SW1" s="700" t="str">
        <f>'Artikel-DB'!SW3</f>
        <v>x</v>
      </c>
      <c r="SX1" s="700" t="str">
        <f>'Artikel-DB'!SX3</f>
        <v>x</v>
      </c>
      <c r="SY1" s="700" t="str">
        <f>'Artikel-DB'!SY3</f>
        <v>x</v>
      </c>
      <c r="SZ1" s="700" t="str">
        <f>'Artikel-DB'!SZ3</f>
        <v>x</v>
      </c>
      <c r="TA1" s="700" t="str">
        <f>'Artikel-DB'!TA3</f>
        <v>x</v>
      </c>
      <c r="TB1" s="700" t="str">
        <f>'Artikel-DB'!TB3</f>
        <v>x</v>
      </c>
      <c r="TC1" s="700" t="str">
        <f>'Artikel-DB'!TC3</f>
        <v>x</v>
      </c>
      <c r="TD1" s="700" t="str">
        <f>'Artikel-DB'!TD3</f>
        <v>x</v>
      </c>
      <c r="TE1" s="700" t="str">
        <f>'Artikel-DB'!TE3</f>
        <v>x</v>
      </c>
      <c r="TF1" s="700" t="str">
        <f>'Artikel-DB'!TF3</f>
        <v>x</v>
      </c>
      <c r="TG1" s="700" t="str">
        <f>'Artikel-DB'!TG3</f>
        <v>x</v>
      </c>
      <c r="TH1" s="700" t="str">
        <f>'Artikel-DB'!TH3</f>
        <v>x</v>
      </c>
      <c r="TI1" s="700" t="str">
        <f>'Artikel-DB'!TI3</f>
        <v>x</v>
      </c>
      <c r="TJ1" s="700" t="str">
        <f>'Artikel-DB'!TJ3</f>
        <v>x</v>
      </c>
      <c r="TK1" s="700" t="str">
        <f>'Artikel-DB'!TK3</f>
        <v>x</v>
      </c>
      <c r="TL1" s="700" t="str">
        <f>'Artikel-DB'!TL3</f>
        <v>x</v>
      </c>
      <c r="TM1" s="700" t="str">
        <f>'Artikel-DB'!TM3</f>
        <v>x</v>
      </c>
      <c r="TN1" s="700" t="str">
        <f>'Artikel-DB'!TN3</f>
        <v>x</v>
      </c>
      <c r="TO1" s="700" t="str">
        <f>'Artikel-DB'!TO3</f>
        <v>x</v>
      </c>
      <c r="TP1" s="700" t="str">
        <f>'Artikel-DB'!TP3</f>
        <v>x</v>
      </c>
      <c r="TQ1" s="700" t="str">
        <f>'Artikel-DB'!TQ3</f>
        <v>x</v>
      </c>
      <c r="TR1" s="700" t="str">
        <f>'Artikel-DB'!TR3</f>
        <v>x</v>
      </c>
      <c r="TS1" s="700" t="str">
        <f>'Artikel-DB'!TS3</f>
        <v>x</v>
      </c>
      <c r="TT1" s="700" t="str">
        <f>'Artikel-DB'!TT3</f>
        <v>x</v>
      </c>
      <c r="TU1" s="700" t="str">
        <f>'Artikel-DB'!TU3</f>
        <v>x</v>
      </c>
      <c r="TV1" s="700" t="str">
        <f>'Artikel-DB'!TV3</f>
        <v>x</v>
      </c>
      <c r="TW1" s="700" t="str">
        <f>'Artikel-DB'!TW3</f>
        <v>x</v>
      </c>
      <c r="TX1" s="700" t="str">
        <f>'Artikel-DB'!TX3</f>
        <v>x</v>
      </c>
      <c r="TY1" s="700" t="str">
        <f>'Artikel-DB'!TY3</f>
        <v>x</v>
      </c>
      <c r="TZ1" s="700" t="str">
        <f>'Artikel-DB'!TZ3</f>
        <v>x</v>
      </c>
      <c r="UA1" s="700" t="str">
        <f>'Artikel-DB'!UA3</f>
        <v>x</v>
      </c>
      <c r="UB1" s="700" t="str">
        <f>'Artikel-DB'!UB3</f>
        <v>x</v>
      </c>
      <c r="UC1" s="700" t="str">
        <f>'Artikel-DB'!UC3</f>
        <v>x</v>
      </c>
      <c r="UD1" s="700" t="str">
        <f>'Artikel-DB'!UD3</f>
        <v>x</v>
      </c>
      <c r="UE1" s="700" t="str">
        <f>'Artikel-DB'!UE3</f>
        <v>x</v>
      </c>
      <c r="UF1" s="700" t="str">
        <f>'Artikel-DB'!UF3</f>
        <v>x</v>
      </c>
      <c r="UG1" s="700" t="str">
        <f>'Artikel-DB'!UG3</f>
        <v>x</v>
      </c>
      <c r="UH1" s="700" t="str">
        <f>'Artikel-DB'!UH3</f>
        <v>x</v>
      </c>
      <c r="UI1" s="700" t="str">
        <f>'Artikel-DB'!UI3</f>
        <v>x</v>
      </c>
      <c r="UJ1" s="700" t="str">
        <f>'Artikel-DB'!UJ3</f>
        <v>x</v>
      </c>
      <c r="UK1" s="700" t="str">
        <f>'Artikel-DB'!UK3</f>
        <v>x</v>
      </c>
      <c r="UL1" s="700" t="str">
        <f>'Artikel-DB'!UL3</f>
        <v>x</v>
      </c>
      <c r="UM1" s="700" t="str">
        <f>'Artikel-DB'!UM3</f>
        <v>x</v>
      </c>
      <c r="UN1" s="700" t="str">
        <f>'Artikel-DB'!UN3</f>
        <v>x</v>
      </c>
      <c r="UO1" s="700" t="str">
        <f>'Artikel-DB'!UO3</f>
        <v>x</v>
      </c>
      <c r="UP1" s="700" t="str">
        <f>'Artikel-DB'!UP3</f>
        <v>x</v>
      </c>
      <c r="UQ1" s="700" t="str">
        <f>'Artikel-DB'!UQ3</f>
        <v>x</v>
      </c>
      <c r="UR1" s="700" t="str">
        <f>'Artikel-DB'!UR3</f>
        <v>x</v>
      </c>
      <c r="US1" s="700" t="str">
        <f>'Artikel-DB'!US3</f>
        <v>x</v>
      </c>
      <c r="UT1" s="700" t="str">
        <f>'Artikel-DB'!UT3</f>
        <v>x</v>
      </c>
      <c r="UU1" s="700" t="str">
        <f>'Artikel-DB'!UU3</f>
        <v>x</v>
      </c>
      <c r="UV1" s="700" t="str">
        <f>'Artikel-DB'!UV3</f>
        <v>x</v>
      </c>
      <c r="UW1" s="700" t="str">
        <f>'Artikel-DB'!UW3</f>
        <v>x</v>
      </c>
      <c r="UX1" s="700" t="str">
        <f>'Artikel-DB'!UX3</f>
        <v>x</v>
      </c>
      <c r="UY1" s="700" t="str">
        <f>'Artikel-DB'!UY3</f>
        <v>x</v>
      </c>
      <c r="UZ1" s="700" t="str">
        <f>'Artikel-DB'!UZ3</f>
        <v>x</v>
      </c>
      <c r="VA1" s="700" t="str">
        <f>'Artikel-DB'!VA3</f>
        <v>x</v>
      </c>
      <c r="VB1" s="700" t="str">
        <f>'Artikel-DB'!VB3</f>
        <v>x</v>
      </c>
      <c r="VC1" s="700" t="str">
        <f>'Artikel-DB'!VC3</f>
        <v>x</v>
      </c>
      <c r="VD1" s="700" t="str">
        <f>'Artikel-DB'!VD3</f>
        <v>x</v>
      </c>
      <c r="VE1" s="700" t="str">
        <f>'Artikel-DB'!VE3</f>
        <v>x</v>
      </c>
      <c r="VF1" s="700" t="str">
        <f>'Artikel-DB'!VF3</f>
        <v>x</v>
      </c>
      <c r="VG1" s="700" t="str">
        <f>'Artikel-DB'!VG3</f>
        <v>x</v>
      </c>
      <c r="VH1" s="700" t="str">
        <f>'Artikel-DB'!VH3</f>
        <v>x</v>
      </c>
      <c r="VI1" s="700" t="str">
        <f>'Artikel-DB'!VI3</f>
        <v>x</v>
      </c>
      <c r="VJ1" s="700" t="str">
        <f>'Artikel-DB'!VJ3</f>
        <v>x</v>
      </c>
      <c r="VK1" s="700" t="str">
        <f>'Artikel-DB'!VK3</f>
        <v>x</v>
      </c>
      <c r="VL1" s="700" t="str">
        <f>'Artikel-DB'!VL3</f>
        <v>x</v>
      </c>
      <c r="VM1" s="700" t="str">
        <f>'Artikel-DB'!VM3</f>
        <v>x</v>
      </c>
      <c r="VN1" s="700" t="str">
        <f>'Artikel-DB'!VN3</f>
        <v>x</v>
      </c>
      <c r="VO1" s="700" t="str">
        <f>'Artikel-DB'!VO3</f>
        <v>x</v>
      </c>
      <c r="VP1" s="700" t="str">
        <f>'Artikel-DB'!VP3</f>
        <v>x</v>
      </c>
      <c r="VQ1" s="700" t="str">
        <f>'Artikel-DB'!VQ3</f>
        <v>x</v>
      </c>
      <c r="VR1" s="700" t="str">
        <f>'Artikel-DB'!VR3</f>
        <v>x</v>
      </c>
      <c r="VS1" s="700" t="str">
        <f>'Artikel-DB'!VS3</f>
        <v>x</v>
      </c>
      <c r="VT1" s="700" t="str">
        <f>'Artikel-DB'!VT3</f>
        <v>x</v>
      </c>
      <c r="VU1" s="700" t="str">
        <f>'Artikel-DB'!VU3</f>
        <v>x</v>
      </c>
      <c r="VV1" s="700" t="str">
        <f>'Artikel-DB'!VV3</f>
        <v>x</v>
      </c>
      <c r="VW1" s="700" t="str">
        <f>'Artikel-DB'!VW3</f>
        <v>x</v>
      </c>
      <c r="VX1" s="700" t="str">
        <f>'Artikel-DB'!VX3</f>
        <v>x</v>
      </c>
      <c r="VY1" s="700" t="str">
        <f>'Artikel-DB'!VY3</f>
        <v>x</v>
      </c>
      <c r="VZ1" s="700" t="str">
        <f>'Artikel-DB'!VZ3</f>
        <v>x</v>
      </c>
      <c r="WA1" s="700" t="str">
        <f>'Artikel-DB'!WA3</f>
        <v>x</v>
      </c>
      <c r="WB1" s="700" t="str">
        <f>'Artikel-DB'!WB3</f>
        <v>x</v>
      </c>
      <c r="WC1" s="700" t="str">
        <f>'Artikel-DB'!WC3</f>
        <v>x</v>
      </c>
      <c r="WD1" s="700" t="str">
        <f>'Artikel-DB'!WD3</f>
        <v>x</v>
      </c>
      <c r="WE1" s="700" t="str">
        <f>'Artikel-DB'!WE3</f>
        <v>x</v>
      </c>
      <c r="WF1" s="700" t="str">
        <f>'Artikel-DB'!WF3</f>
        <v>x</v>
      </c>
      <c r="WG1" s="700" t="str">
        <f>'Artikel-DB'!WG3</f>
        <v>x</v>
      </c>
      <c r="WH1" s="700" t="str">
        <f>'Artikel-DB'!WH3</f>
        <v>x</v>
      </c>
      <c r="WI1" s="700" t="str">
        <f>'Artikel-DB'!WI3</f>
        <v>x</v>
      </c>
      <c r="WJ1" s="700" t="str">
        <f>'Artikel-DB'!WJ3</f>
        <v>x</v>
      </c>
      <c r="WK1" s="700" t="str">
        <f>'Artikel-DB'!WK3</f>
        <v>x</v>
      </c>
      <c r="WL1" s="700" t="str">
        <f>'Artikel-DB'!WL3</f>
        <v>x</v>
      </c>
      <c r="WM1" s="700" t="str">
        <f>'Artikel-DB'!WM3</f>
        <v>x</v>
      </c>
      <c r="WN1" s="700" t="str">
        <f>'Artikel-DB'!WN3</f>
        <v>x</v>
      </c>
      <c r="WO1" s="700" t="str">
        <f>'Artikel-DB'!WO3</f>
        <v>x</v>
      </c>
      <c r="WP1" s="700" t="str">
        <f>'Artikel-DB'!WP3</f>
        <v>x</v>
      </c>
      <c r="WQ1" s="700" t="str">
        <f>'Artikel-DB'!WQ3</f>
        <v>x</v>
      </c>
      <c r="WR1" s="700" t="str">
        <f>'Artikel-DB'!WR3</f>
        <v>x</v>
      </c>
      <c r="WS1" s="700" t="str">
        <f>'Artikel-DB'!WS3</f>
        <v>x</v>
      </c>
      <c r="WT1" s="700" t="str">
        <f>'Artikel-DB'!WT3</f>
        <v>x</v>
      </c>
      <c r="WU1" s="700" t="str">
        <f>'Artikel-DB'!WU3</f>
        <v>x</v>
      </c>
      <c r="WV1" s="700" t="str">
        <f>'Artikel-DB'!WV3</f>
        <v>x</v>
      </c>
      <c r="WW1" s="700" t="str">
        <f>'Artikel-DB'!WW3</f>
        <v>x</v>
      </c>
      <c r="WX1" s="700" t="str">
        <f>'Artikel-DB'!WX3</f>
        <v>x</v>
      </c>
      <c r="WY1" s="700" t="str">
        <f>'Artikel-DB'!WY3</f>
        <v>x</v>
      </c>
      <c r="WZ1" s="700" t="str">
        <f>'Artikel-DB'!WZ3</f>
        <v>x</v>
      </c>
      <c r="XA1" s="700" t="str">
        <f>'Artikel-DB'!XA3</f>
        <v>x</v>
      </c>
      <c r="XB1" s="700" t="str">
        <f>'Artikel-DB'!XB3</f>
        <v>x</v>
      </c>
      <c r="XC1" s="700" t="str">
        <f>'Artikel-DB'!XC3</f>
        <v>x</v>
      </c>
      <c r="XD1" s="700" t="str">
        <f>'Artikel-DB'!XD3</f>
        <v>x</v>
      </c>
      <c r="XE1" s="700" t="str">
        <f>'Artikel-DB'!XE3</f>
        <v>x</v>
      </c>
      <c r="XF1" s="700" t="str">
        <f>'Artikel-DB'!XF3</f>
        <v>x</v>
      </c>
      <c r="XG1" s="700" t="str">
        <f>'Artikel-DB'!XG3</f>
        <v>x</v>
      </c>
      <c r="XH1" s="700" t="str">
        <f>'Artikel-DB'!XH3</f>
        <v>x</v>
      </c>
      <c r="XI1" s="700" t="str">
        <f>'Artikel-DB'!XI3</f>
        <v>x</v>
      </c>
      <c r="XJ1" s="700" t="str">
        <f>'Artikel-DB'!XJ3</f>
        <v>x</v>
      </c>
      <c r="XK1" s="700" t="str">
        <f>'Artikel-DB'!XK3</f>
        <v>x</v>
      </c>
      <c r="XL1" s="700" t="str">
        <f>'Artikel-DB'!XL3</f>
        <v>x</v>
      </c>
      <c r="XM1" s="700" t="str">
        <f>'Artikel-DB'!XM3</f>
        <v>x</v>
      </c>
      <c r="XN1" s="700" t="str">
        <f>'Artikel-DB'!XN3</f>
        <v>x</v>
      </c>
      <c r="XO1" s="700" t="str">
        <f>'Artikel-DB'!XO3</f>
        <v>x</v>
      </c>
      <c r="XP1" s="700" t="str">
        <f>'Artikel-DB'!XP3</f>
        <v>x</v>
      </c>
      <c r="XQ1" s="700" t="str">
        <f>'Artikel-DB'!XQ3</f>
        <v>x</v>
      </c>
      <c r="XR1" s="700" t="str">
        <f>'Artikel-DB'!XR3</f>
        <v>x</v>
      </c>
      <c r="XS1" s="700" t="str">
        <f>'Artikel-DB'!XS3</f>
        <v>x</v>
      </c>
      <c r="XT1" s="700" t="str">
        <f>'Artikel-DB'!XT3</f>
        <v>x</v>
      </c>
      <c r="XU1" s="700" t="str">
        <f>'Artikel-DB'!XU3</f>
        <v>x</v>
      </c>
      <c r="XV1" s="700" t="str">
        <f>'Artikel-DB'!XV3</f>
        <v>x</v>
      </c>
      <c r="XW1" s="700" t="str">
        <f>'Artikel-DB'!XW3</f>
        <v>x</v>
      </c>
      <c r="XX1" s="700" t="str">
        <f>'Artikel-DB'!XX3</f>
        <v>x</v>
      </c>
      <c r="XY1" s="700" t="str">
        <f>'Artikel-DB'!XY3</f>
        <v>x</v>
      </c>
      <c r="XZ1" s="700" t="str">
        <f>'Artikel-DB'!XZ3</f>
        <v>x</v>
      </c>
      <c r="YA1" s="700" t="str">
        <f>'Artikel-DB'!YA3</f>
        <v>x</v>
      </c>
      <c r="YB1" s="700" t="str">
        <f>'Artikel-DB'!YB3</f>
        <v>x</v>
      </c>
      <c r="YC1" s="700" t="str">
        <f>'Artikel-DB'!YC3</f>
        <v>x</v>
      </c>
      <c r="YD1" s="700" t="str">
        <f>'Artikel-DB'!YD3</f>
        <v>x</v>
      </c>
      <c r="YE1" s="700" t="str">
        <f>'Artikel-DB'!YE3</f>
        <v>x</v>
      </c>
      <c r="YF1" s="700" t="str">
        <f>'Artikel-DB'!YF3</f>
        <v>x</v>
      </c>
      <c r="YG1" s="700" t="str">
        <f>'Artikel-DB'!YG3</f>
        <v>x</v>
      </c>
      <c r="YH1" s="700" t="str">
        <f>'Artikel-DB'!YH3</f>
        <v>x</v>
      </c>
      <c r="YI1" s="700" t="str">
        <f>'Artikel-DB'!YI3</f>
        <v>x</v>
      </c>
      <c r="YJ1" s="700" t="str">
        <f>'Artikel-DB'!YJ3</f>
        <v>x</v>
      </c>
      <c r="YK1" s="700" t="str">
        <f>'Artikel-DB'!YK3</f>
        <v>x</v>
      </c>
      <c r="YL1" s="700" t="str">
        <f>'Artikel-DB'!YL3</f>
        <v>x</v>
      </c>
      <c r="YM1" s="700" t="str">
        <f>'Artikel-DB'!YM3</f>
        <v>x</v>
      </c>
      <c r="YN1" s="700" t="str">
        <f>'Artikel-DB'!YN3</f>
        <v>x</v>
      </c>
      <c r="YO1" s="700" t="str">
        <f>'Artikel-DB'!YO3</f>
        <v>x</v>
      </c>
      <c r="YP1" s="700" t="str">
        <f>'Artikel-DB'!YP3</f>
        <v>x</v>
      </c>
      <c r="YQ1" s="700" t="str">
        <f>'Artikel-DB'!YQ3</f>
        <v>x</v>
      </c>
      <c r="YR1" s="700" t="str">
        <f>'Artikel-DB'!YR3</f>
        <v>x</v>
      </c>
      <c r="YS1" s="700" t="str">
        <f>'Artikel-DB'!YS3</f>
        <v>x</v>
      </c>
      <c r="YT1" s="700" t="str">
        <f>'Artikel-DB'!YT3</f>
        <v>x</v>
      </c>
      <c r="YU1" s="700" t="str">
        <f>'Artikel-DB'!YU3</f>
        <v>x</v>
      </c>
      <c r="YV1" s="700" t="str">
        <f>'Artikel-DB'!YV3</f>
        <v>x</v>
      </c>
      <c r="YW1" s="700" t="str">
        <f>'Artikel-DB'!YW3</f>
        <v>x</v>
      </c>
      <c r="YX1" s="700" t="str">
        <f>'Artikel-DB'!YX3</f>
        <v>x</v>
      </c>
      <c r="YY1" s="700" t="str">
        <f>'Artikel-DB'!YY3</f>
        <v>x</v>
      </c>
      <c r="YZ1" s="700" t="str">
        <f>'Artikel-DB'!YZ3</f>
        <v>x</v>
      </c>
      <c r="ZA1" s="700" t="str">
        <f>'Artikel-DB'!ZA3</f>
        <v>x</v>
      </c>
      <c r="ZB1" s="700" t="str">
        <f>'Artikel-DB'!ZB3</f>
        <v>x</v>
      </c>
      <c r="ZC1" s="700" t="str">
        <f>'Artikel-DB'!ZC3</f>
        <v>x</v>
      </c>
      <c r="ZD1" s="700" t="str">
        <f>'Artikel-DB'!ZD3</f>
        <v>x</v>
      </c>
      <c r="ZE1" s="700" t="str">
        <f>'Artikel-DB'!ZE3</f>
        <v>x</v>
      </c>
      <c r="ZF1" s="700" t="str">
        <f>'Artikel-DB'!ZF3</f>
        <v>x</v>
      </c>
      <c r="ZG1" s="700" t="str">
        <f>'Artikel-DB'!ZG3</f>
        <v>x</v>
      </c>
      <c r="ZH1" s="700" t="str">
        <f>'Artikel-DB'!ZH3</f>
        <v>x</v>
      </c>
      <c r="ZI1" s="700" t="str">
        <f>'Artikel-DB'!ZI3</f>
        <v>x</v>
      </c>
      <c r="ZJ1" s="700" t="str">
        <f>'Artikel-DB'!ZJ3</f>
        <v>x</v>
      </c>
      <c r="ZK1" s="700" t="str">
        <f>'Artikel-DB'!ZK3</f>
        <v>x</v>
      </c>
      <c r="ZL1" s="700" t="str">
        <f>'Artikel-DB'!ZL3</f>
        <v>x</v>
      </c>
      <c r="ZM1" s="700" t="str">
        <f>'Artikel-DB'!ZM3</f>
        <v>x</v>
      </c>
      <c r="ZN1" s="700" t="str">
        <f>'Artikel-DB'!ZN3</f>
        <v>x</v>
      </c>
      <c r="ZO1" s="700" t="str">
        <f>'Artikel-DB'!ZO3</f>
        <v>x</v>
      </c>
      <c r="ZP1" s="700" t="str">
        <f>'Artikel-DB'!ZP3</f>
        <v>x</v>
      </c>
      <c r="ZQ1" s="700" t="str">
        <f>'Artikel-DB'!ZQ3</f>
        <v>x</v>
      </c>
      <c r="ZR1" s="700" t="str">
        <f>'Artikel-DB'!ZR3</f>
        <v>x</v>
      </c>
      <c r="ZS1" s="700" t="str">
        <f>'Artikel-DB'!ZS3</f>
        <v>x</v>
      </c>
      <c r="ZT1" s="700" t="str">
        <f>'Artikel-DB'!ZT3</f>
        <v>x</v>
      </c>
      <c r="ZU1" s="700" t="str">
        <f>'Artikel-DB'!ZU3</f>
        <v>x</v>
      </c>
      <c r="ZV1" s="700" t="str">
        <f>'Artikel-DB'!ZV3</f>
        <v>x</v>
      </c>
      <c r="ZW1" s="700" t="str">
        <f>'Artikel-DB'!ZW3</f>
        <v>x</v>
      </c>
      <c r="ZX1" s="700" t="str">
        <f>'Artikel-DB'!ZX3</f>
        <v>x</v>
      </c>
      <c r="ZY1" s="700" t="str">
        <f>'Artikel-DB'!ZY3</f>
        <v>x</v>
      </c>
      <c r="ZZ1" s="700" t="str">
        <f>'Artikel-DB'!ZZ3</f>
        <v>x</v>
      </c>
    </row>
    <row r="2" spans="1:702" ht="18.75" thickBot="1" x14ac:dyDescent="0.3">
      <c r="A2" s="26"/>
      <c r="B2" s="367" t="s">
        <v>25</v>
      </c>
      <c r="C2" s="368" t="s">
        <v>50</v>
      </c>
      <c r="D2" s="369" t="s">
        <v>84</v>
      </c>
      <c r="E2" s="370" t="s">
        <v>60</v>
      </c>
      <c r="F2" s="371"/>
      <c r="G2" s="372" t="b">
        <f>$L$2=Auswahlfelder!$D$3</f>
        <v>1</v>
      </c>
      <c r="H2" s="124"/>
      <c r="I2" s="373" t="s">
        <v>51</v>
      </c>
      <c r="J2" s="374" t="s">
        <v>233</v>
      </c>
      <c r="K2" s="375"/>
      <c r="L2" s="900" t="s">
        <v>92</v>
      </c>
      <c r="M2" s="383"/>
      <c r="N2" s="384"/>
      <c r="O2" s="899" t="str">
        <f>IF(Deutsch,"AL - Sandguss","AL Sand Casting")</f>
        <v>AL - Sandguss</v>
      </c>
      <c r="P2" s="7"/>
      <c r="Q2" s="7"/>
      <c r="R2" s="373" t="str">
        <f>IF(Deutsch,"Siemens Standort","Siemens site")</f>
        <v>Siemens Standort</v>
      </c>
      <c r="S2" s="957" t="s">
        <v>233</v>
      </c>
      <c r="T2" s="7"/>
      <c r="U2" s="376" t="s">
        <v>563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69" t="str">
        <f>IF($G$2,"Version ","release ")</f>
        <v xml:space="preserve">Version </v>
      </c>
      <c r="AB2" s="37"/>
      <c r="AC2" s="879" t="s">
        <v>33</v>
      </c>
    </row>
    <row r="3" spans="1:702" ht="15" thickBot="1" x14ac:dyDescent="0.25">
      <c r="A3" s="26"/>
      <c r="B3" s="325"/>
      <c r="C3" s="323" t="s">
        <v>71</v>
      </c>
      <c r="D3" s="323" t="s">
        <v>554</v>
      </c>
      <c r="E3" s="334" t="s">
        <v>55</v>
      </c>
      <c r="F3" s="335" t="s">
        <v>56</v>
      </c>
      <c r="G3" s="272"/>
      <c r="H3" s="3"/>
      <c r="I3" s="260" t="str">
        <f>IF(Deutsch,C3,D3)</f>
        <v>Bearbeiter</v>
      </c>
      <c r="J3" s="263" t="s">
        <v>233</v>
      </c>
      <c r="K3" s="10"/>
      <c r="L3" s="828" t="s">
        <v>918</v>
      </c>
      <c r="M3" s="128"/>
      <c r="N3" s="128"/>
      <c r="O3" s="4"/>
      <c r="P3" s="10"/>
      <c r="Q3" s="10"/>
      <c r="R3" s="260" t="str">
        <f>IF(Deutsch,"Lieferant","supplier")</f>
        <v>Lieferant</v>
      </c>
      <c r="S3" s="958" t="s">
        <v>233</v>
      </c>
      <c r="T3" s="4"/>
      <c r="U3" s="190" t="s">
        <v>956</v>
      </c>
      <c r="V3" s="4"/>
      <c r="W3" s="4"/>
      <c r="X3" s="676" t="s">
        <v>903</v>
      </c>
      <c r="Y3" s="10"/>
      <c r="Z3" s="4"/>
      <c r="AA3" s="881" t="s">
        <v>846</v>
      </c>
      <c r="AB3" s="882"/>
      <c r="AC3" s="879" t="s">
        <v>33</v>
      </c>
    </row>
    <row r="4" spans="1:702" ht="15" thickBot="1" x14ac:dyDescent="0.25">
      <c r="A4" s="26"/>
      <c r="B4" s="325"/>
      <c r="C4" s="324" t="s">
        <v>72</v>
      </c>
      <c r="D4" s="324" t="s">
        <v>74</v>
      </c>
      <c r="E4" s="273"/>
      <c r="F4" s="336"/>
      <c r="G4" s="463">
        <f ca="1">TODAY()</f>
        <v>44412</v>
      </c>
      <c r="H4" s="125"/>
      <c r="I4" s="260" t="str">
        <f>IF(Deutsch,C4,D4)</f>
        <v>Datum</v>
      </c>
      <c r="J4" s="262" t="s">
        <v>233</v>
      </c>
      <c r="K4" s="34">
        <f ca="1">TODAY()</f>
        <v>44412</v>
      </c>
      <c r="L4" s="470">
        <v>43993</v>
      </c>
      <c r="M4" s="129"/>
      <c r="N4" s="129"/>
      <c r="O4" s="393" t="str">
        <f>IF(Deutsch,"Alle löschen","delete all")</f>
        <v>Alle löschen</v>
      </c>
      <c r="P4" s="25"/>
      <c r="Q4" s="25"/>
      <c r="R4" s="260" t="str">
        <f>IF(Deutsch,"Werk","plant")</f>
        <v>Werk</v>
      </c>
      <c r="S4" s="958" t="s">
        <v>233</v>
      </c>
      <c r="T4" s="10"/>
      <c r="U4" s="190" t="s">
        <v>958</v>
      </c>
      <c r="V4" s="4"/>
      <c r="W4" s="4"/>
      <c r="X4" s="186" t="b">
        <f>ISERROR('Artikel-DB'!$B$2)</f>
        <v>0</v>
      </c>
      <c r="Y4" s="10"/>
      <c r="Z4" s="4"/>
      <c r="AA4" s="883" t="s">
        <v>847</v>
      </c>
      <c r="AB4" s="880"/>
      <c r="AC4" s="879" t="s">
        <v>33</v>
      </c>
    </row>
    <row r="5" spans="1:702" ht="15" thickBot="1" x14ac:dyDescent="0.25">
      <c r="A5" s="26"/>
      <c r="B5" s="325"/>
      <c r="C5" s="324" t="s">
        <v>7</v>
      </c>
      <c r="D5" s="324" t="s">
        <v>75</v>
      </c>
      <c r="E5" s="273"/>
      <c r="F5" s="336"/>
      <c r="G5" s="242" t="s">
        <v>49</v>
      </c>
      <c r="H5" s="12"/>
      <c r="I5" s="261" t="str">
        <f>IF(Deutsch,C5,D5)</f>
        <v>Währung</v>
      </c>
      <c r="J5" s="264" t="s">
        <v>233</v>
      </c>
      <c r="K5" s="4"/>
      <c r="L5" s="468" t="s">
        <v>49</v>
      </c>
      <c r="M5" s="131"/>
      <c r="N5" s="131"/>
      <c r="O5" s="13"/>
      <c r="P5" s="127"/>
      <c r="Q5" s="127"/>
      <c r="R5" s="260" t="str">
        <f>IF(Deutsch,"Ansprechpartner","contact person")</f>
        <v>Ansprechpartner</v>
      </c>
      <c r="S5" s="959" t="s">
        <v>233</v>
      </c>
      <c r="T5" s="10"/>
      <c r="U5" s="190" t="s">
        <v>957</v>
      </c>
      <c r="V5" s="4"/>
      <c r="W5" s="4"/>
      <c r="X5" s="186" t="b">
        <f>X4</f>
        <v>0</v>
      </c>
      <c r="Y5" s="4"/>
      <c r="Z5" s="4"/>
      <c r="AA5" s="870" t="s">
        <v>710</v>
      </c>
      <c r="AB5" s="5"/>
      <c r="AC5" s="879" t="s">
        <v>33</v>
      </c>
    </row>
    <row r="6" spans="1:702" ht="15" customHeight="1" thickBot="1" x14ac:dyDescent="0.25">
      <c r="A6" s="26"/>
      <c r="B6" s="325"/>
      <c r="C6" s="324" t="s">
        <v>93</v>
      </c>
      <c r="D6" s="324" t="s">
        <v>245</v>
      </c>
      <c r="E6" s="273"/>
      <c r="F6" s="336"/>
      <c r="G6" s="41"/>
      <c r="H6" s="124"/>
      <c r="I6" s="7"/>
      <c r="J6" s="228"/>
      <c r="K6" s="229"/>
      <c r="L6" s="395" t="str">
        <f>IF(Deutsch,"Neu","new")</f>
        <v>Neu</v>
      </c>
      <c r="M6" s="230"/>
      <c r="N6" s="230"/>
      <c r="O6" s="396" t="str">
        <f>IF(Deutsch,$C6,$D6)</f>
        <v>S1 übernehmen</v>
      </c>
      <c r="P6" s="230"/>
      <c r="Q6" s="230"/>
      <c r="R6" s="397" t="str">
        <f>IF(Deutsch,$C6,$D6)</f>
        <v>S1 übernehmen</v>
      </c>
      <c r="S6" s="230"/>
      <c r="T6" s="230"/>
      <c r="U6" s="397" t="str">
        <f>IF(Deutsch,$C6,$D6)</f>
        <v>S1 übernehmen</v>
      </c>
      <c r="V6" s="230"/>
      <c r="W6" s="398"/>
      <c r="X6" s="397" t="str">
        <f>IF(Deutsch,$C6,$D6)</f>
        <v>S1 übernehmen</v>
      </c>
      <c r="Y6" s="230"/>
      <c r="Z6" s="231"/>
      <c r="AA6" s="397" t="str">
        <f>IF(Deutsch,$C6,$D6)</f>
        <v>S1 übernehmen</v>
      </c>
      <c r="AB6" s="377"/>
      <c r="AC6" s="879" t="s">
        <v>33</v>
      </c>
    </row>
    <row r="7" spans="1:702" ht="16.5" customHeight="1" x14ac:dyDescent="0.25">
      <c r="A7" s="26"/>
      <c r="B7" s="325"/>
      <c r="C7" s="324" t="s">
        <v>237</v>
      </c>
      <c r="D7" s="324" t="s">
        <v>254</v>
      </c>
      <c r="E7" s="273"/>
      <c r="F7" s="336"/>
      <c r="G7" s="274" t="s">
        <v>76</v>
      </c>
      <c r="H7" s="17"/>
      <c r="I7" s="23" t="str">
        <f>IF($G$2,C7,D7)</f>
        <v>Bauteildaten</v>
      </c>
      <c r="J7" s="4"/>
      <c r="K7" s="4"/>
      <c r="L7" s="382" t="s">
        <v>170</v>
      </c>
      <c r="M7" s="38"/>
      <c r="N7" s="38"/>
      <c r="O7" s="381" t="s">
        <v>171</v>
      </c>
      <c r="P7" s="4"/>
      <c r="Q7" s="4"/>
      <c r="R7" s="381" t="s">
        <v>175</v>
      </c>
      <c r="S7" s="4"/>
      <c r="T7" s="4"/>
      <c r="U7" s="381" t="s">
        <v>172</v>
      </c>
      <c r="V7" s="4"/>
      <c r="W7" s="4"/>
      <c r="X7" s="381" t="s">
        <v>173</v>
      </c>
      <c r="Y7" s="4"/>
      <c r="Z7" s="4"/>
      <c r="AA7" s="381" t="s">
        <v>174</v>
      </c>
      <c r="AB7" s="385"/>
      <c r="AC7" s="879" t="s">
        <v>33</v>
      </c>
    </row>
    <row r="8" spans="1:702" ht="13.5" customHeight="1" x14ac:dyDescent="0.2">
      <c r="A8" s="26"/>
      <c r="B8" s="325"/>
      <c r="C8" s="324" t="s">
        <v>90</v>
      </c>
      <c r="D8" s="324" t="s">
        <v>59</v>
      </c>
      <c r="E8" s="273"/>
      <c r="F8" s="336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R$8</f>
        <v>58622</v>
      </c>
      <c r="T8" s="104"/>
      <c r="U8" s="50" t="s">
        <v>69</v>
      </c>
      <c r="V8" s="108" t="str">
        <f>U$8</f>
        <v>?</v>
      </c>
      <c r="W8" s="104"/>
      <c r="X8" s="50" t="s">
        <v>69</v>
      </c>
      <c r="Y8" s="108" t="str">
        <f>X$8</f>
        <v>?</v>
      </c>
      <c r="Z8" s="104"/>
      <c r="AA8" s="50" t="s">
        <v>69</v>
      </c>
      <c r="AB8" s="677" t="str">
        <f>AA$8</f>
        <v>?</v>
      </c>
      <c r="AC8" s="3" t="s">
        <v>33</v>
      </c>
    </row>
    <row r="9" spans="1:702" x14ac:dyDescent="0.2">
      <c r="A9" s="26"/>
      <c r="B9" s="325"/>
      <c r="C9" s="324" t="s">
        <v>32</v>
      </c>
      <c r="D9" s="324" t="s">
        <v>34</v>
      </c>
      <c r="E9" s="273"/>
      <c r="F9" s="336"/>
      <c r="G9" s="42" t="s">
        <v>69</v>
      </c>
      <c r="H9" s="17"/>
      <c r="I9" s="18" t="str">
        <f>IF($G$2,C9,D9)</f>
        <v>Bezeichnung</v>
      </c>
      <c r="J9" s="18"/>
      <c r="K9" s="104"/>
      <c r="L9" s="300" t="s">
        <v>964</v>
      </c>
      <c r="M9" s="104" t="str">
        <f>L$9</f>
        <v>Housing</v>
      </c>
      <c r="N9" s="104"/>
      <c r="O9" s="52" t="s">
        <v>964</v>
      </c>
      <c r="P9" s="104" t="str">
        <f>O$9</f>
        <v>Housing</v>
      </c>
      <c r="Q9" s="104"/>
      <c r="R9" s="52" t="s">
        <v>964</v>
      </c>
      <c r="S9" s="104" t="str">
        <f>R$9</f>
        <v>Housing</v>
      </c>
      <c r="T9" s="104"/>
      <c r="U9" s="52" t="s">
        <v>69</v>
      </c>
      <c r="V9" s="104" t="str">
        <f>U$9</f>
        <v>?</v>
      </c>
      <c r="W9" s="104"/>
      <c r="X9" s="52" t="s">
        <v>69</v>
      </c>
      <c r="Y9" s="104" t="str">
        <f>X$9</f>
        <v>?</v>
      </c>
      <c r="Z9" s="104"/>
      <c r="AA9" s="52" t="s">
        <v>69</v>
      </c>
      <c r="AB9" s="245" t="str">
        <f>AA$9</f>
        <v>?</v>
      </c>
      <c r="AC9" s="3" t="s">
        <v>33</v>
      </c>
    </row>
    <row r="10" spans="1:702" x14ac:dyDescent="0.2">
      <c r="A10" s="26"/>
      <c r="B10" s="326">
        <v>1</v>
      </c>
      <c r="C10" s="324" t="s">
        <v>28</v>
      </c>
      <c r="D10" s="324" t="s">
        <v>169</v>
      </c>
      <c r="E10" s="273"/>
      <c r="F10" s="336"/>
      <c r="G10" s="901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6" t="s">
        <v>339</v>
      </c>
      <c r="M10" s="104" t="str">
        <f>IF(L$10=0,$G10,IF(L$10=" ",$G10,L$10))</f>
        <v>EN AC-46100</v>
      </c>
      <c r="N10" s="104"/>
      <c r="O10" s="47" t="s">
        <v>307</v>
      </c>
      <c r="P10" s="104" t="str">
        <f>IF(O$10=0,$G10,IF(O$10=" ",$G10,O$10))</f>
        <v>EN AC-43100</v>
      </c>
      <c r="Q10" s="104"/>
      <c r="R10" s="47" t="s">
        <v>307</v>
      </c>
      <c r="S10" s="104" t="str">
        <f>IF(R$10=0,$G10,IF(R$10=" ",$G10,R$10))</f>
        <v>EN AC-43100</v>
      </c>
      <c r="T10" s="104"/>
      <c r="U10" s="47" t="s">
        <v>307</v>
      </c>
      <c r="V10" s="104" t="str">
        <f>IF(U$10=0,$G10,IF(U$10=" ",$G10,U$10))</f>
        <v>EN AC-43100</v>
      </c>
      <c r="W10" s="104"/>
      <c r="X10" s="47" t="s">
        <v>307</v>
      </c>
      <c r="Y10" s="104" t="str">
        <f>IF(X$10=0,$G10,IF(X$10=" ",$G10,X$10))</f>
        <v>EN AC-43100</v>
      </c>
      <c r="Z10" s="104"/>
      <c r="AA10" s="47" t="s">
        <v>307</v>
      </c>
      <c r="AB10" s="245" t="str">
        <f>IF(AA$10=0,$G10,IF(AA$10=" ",$G10,AA$10))</f>
        <v>EN AC-43100</v>
      </c>
      <c r="AC10" s="3" t="s">
        <v>33</v>
      </c>
      <c r="AE10" s="526"/>
    </row>
    <row r="11" spans="1:702" x14ac:dyDescent="0.2">
      <c r="A11" s="26"/>
      <c r="B11" s="325" t="s">
        <v>82</v>
      </c>
      <c r="C11" s="324" t="s">
        <v>32</v>
      </c>
      <c r="D11" s="324" t="s">
        <v>35</v>
      </c>
      <c r="E11" s="273"/>
      <c r="F11" s="336"/>
      <c r="G11" s="240"/>
      <c r="H11" s="17"/>
      <c r="I11" s="20" t="str">
        <f t="shared" si="0"/>
        <v>Bezeichnung</v>
      </c>
      <c r="J11" s="130"/>
      <c r="K11" s="905" t="str">
        <f>CONCATENATE(M11,"  ",IFERROR(VLOOKUP(M$10,DB_Material,4,FALSE),""))</f>
        <v>Al Si10Cu2(Fe)  LM2, L-2640</v>
      </c>
      <c r="L11" s="702"/>
      <c r="M11" s="105" t="str">
        <f>IF(ISERROR(VLOOKUP(M$10,DB_Material,2,FALSE)),L11,VLOOKUP(M$10,DB_Material,2,FALSE))</f>
        <v>Al Si10Cu2(Fe)</v>
      </c>
      <c r="N11" s="905" t="str">
        <f>CONCATENATE(P11,"  ",IFERROR(VLOOKUP(P$10,DB_Material,4,FALSE),""))</f>
        <v>Al Si10Mg(b)  L239 (b)</v>
      </c>
      <c r="O11" s="702"/>
      <c r="P11" s="105" t="str">
        <f>IF(ISERROR(VLOOKUP(P$10,DB_Material,2,FALSE)),O11,VLOOKUP(P$10,DB_Material,2,FALSE))</f>
        <v>Al Si10Mg(b)</v>
      </c>
      <c r="Q11" s="905" t="str">
        <f>CONCATENATE(S11,"  ",IFERROR(VLOOKUP(S$10,DB_Material,4,FALSE),""))</f>
        <v>Al Si10Mg(b)  L239 (b)</v>
      </c>
      <c r="R11" s="702"/>
      <c r="S11" s="105" t="str">
        <f>IF(ISERROR(VLOOKUP(S$10,DB_Material,2,FALSE)),R11,VLOOKUP(S$10,DB_Material,2,FALSE))</f>
        <v>Al Si10Mg(b)</v>
      </c>
      <c r="T11" s="905" t="str">
        <f>CONCATENATE(V11,"  ",IFERROR(VLOOKUP(V$10,DB_Material,4,FALSE),""))</f>
        <v>Al Si10Mg(b)  L239 (b)</v>
      </c>
      <c r="U11" s="702"/>
      <c r="V11" s="105" t="str">
        <f>IF(ISERROR(VLOOKUP(V$10,DB_Material,2,FALSE)),U11,VLOOKUP(V$10,DB_Material,2,FALSE))</f>
        <v>Al Si10Mg(b)</v>
      </c>
      <c r="W11" s="905" t="str">
        <f>CONCATENATE(Y11,"  ",IFERROR(VLOOKUP(Y$10,DB_Material,4,FALSE),""))</f>
        <v>Al Si10Mg(b)  L239 (b)</v>
      </c>
      <c r="X11" s="702"/>
      <c r="Y11" s="105" t="str">
        <f>IF(ISERROR(VLOOKUP(Y$10,DB_Material,2,FALSE)),X11,VLOOKUP(Y$10,DB_Material,2,FALSE))</f>
        <v>Al Si10Mg(b)</v>
      </c>
      <c r="Z11" s="905" t="str">
        <f>CONCATENATE(AB11,"  ",IFERROR(VLOOKUP(AB$10,DB_Material,4,FALSE),""))</f>
        <v>Al Si10Mg(b)  L239 (b)</v>
      </c>
      <c r="AA11" s="702"/>
      <c r="AB11" s="938" t="str">
        <f>IF(ISERROR(VLOOKUP(AB$10,DB_Material,2,FALSE)),AA11,VLOOKUP(AB$10,DB_Material,2,FALSE))</f>
        <v>Al Si10Mg(b)</v>
      </c>
      <c r="AC11" s="3" t="s">
        <v>33</v>
      </c>
      <c r="AE11" s="526"/>
    </row>
    <row r="12" spans="1:702" x14ac:dyDescent="0.2">
      <c r="A12" s="26"/>
      <c r="B12" s="326" t="s">
        <v>83</v>
      </c>
      <c r="C12" s="324" t="s">
        <v>29</v>
      </c>
      <c r="D12" s="324" t="s">
        <v>89</v>
      </c>
      <c r="E12" s="273"/>
      <c r="F12" s="336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6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104"/>
      <c r="U12" s="47" t="s">
        <v>6</v>
      </c>
      <c r="V12" s="104" t="str">
        <f>IFERROR(VLOOKUP(U$12,Auswahlfelder!$D$12:$D$13,1,FALSE),VLOOKUP(U$12,Auswahlfelder!$C$12:$D$13,2,FALSE))</f>
        <v>Materialdatenbank</v>
      </c>
      <c r="W12" s="104"/>
      <c r="X12" s="47" t="s">
        <v>6</v>
      </c>
      <c r="Y12" s="104" t="str">
        <f>IFERROR(VLOOKUP(X$12,Auswahlfelder!$D$12:$D$13,1,FALSE),VLOOKUP(X$12,Auswahlfelder!$C$12:$D$13,2,FALSE))</f>
        <v>Materialdatenbank</v>
      </c>
      <c r="Z12" s="104"/>
      <c r="AA12" s="47" t="s">
        <v>6</v>
      </c>
      <c r="AB12" s="245" t="str">
        <f>IFERROR(VLOOKUP(AA$12,Auswahlfelder!$D$12:$D$13,1,FALSE),VLOOKUP(AA$12,Auswahlfelder!$C$12:$D$13,2,FALSE))</f>
        <v>Materialdatenbank</v>
      </c>
      <c r="AC12" s="3" t="s">
        <v>33</v>
      </c>
    </row>
    <row r="13" spans="1:702" x14ac:dyDescent="0.2">
      <c r="A13" s="26"/>
      <c r="B13" s="326">
        <v>36</v>
      </c>
      <c r="C13" s="324" t="s">
        <v>807</v>
      </c>
      <c r="D13" s="324" t="s">
        <v>808</v>
      </c>
      <c r="E13" s="337">
        <f>MIN('Material-DB'!C4:C37)*0.7</f>
        <v>1.4069999999999998</v>
      </c>
      <c r="F13" s="338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86" t="str">
        <f>TEXT(M13,"0,000")</f>
        <v>2,000</v>
      </c>
      <c r="L13" s="297">
        <f>'LME ALu-Alloy'!I19</f>
        <v>2.0002526724975707</v>
      </c>
      <c r="M13" s="107">
        <f>IF(M$12=Auswahlfelder!$D$12,L$13,VLOOKUP(M$10,DB_Material,3,FALSE))</f>
        <v>2.0002526724975707</v>
      </c>
      <c r="N13" s="489" t="str">
        <f>TEXT(P13,"0,000")</f>
        <v>1,967</v>
      </c>
      <c r="O13" s="297">
        <v>1.9670528580208975</v>
      </c>
      <c r="P13" s="107">
        <f>IF(P$12=Auswahlfelder!$D$12,O$13,VLOOKUP(P$10,DB_Material,3,FALSE))</f>
        <v>1.9670528580208975</v>
      </c>
      <c r="Q13" s="489" t="str">
        <f t="shared" ref="Q13" si="1">TEXT(S13,"0,000")</f>
        <v>1,967</v>
      </c>
      <c r="R13" s="297">
        <v>1.9670528580208975</v>
      </c>
      <c r="S13" s="107">
        <f>IF(S$12=Auswahlfelder!$D$12,R$13,VLOOKUP(S$10,DB_Material,3,FALSE))</f>
        <v>1.9670528580208975</v>
      </c>
      <c r="T13" s="489" t="str">
        <f t="shared" ref="T13" si="2">TEXT(V13,"0,000")</f>
        <v>2,290</v>
      </c>
      <c r="U13" s="297"/>
      <c r="V13" s="107">
        <f>IF(V$12=Auswahlfelder!$D$12,U$13,VLOOKUP(V$10,DB_Material,3,FALSE))</f>
        <v>2.29</v>
      </c>
      <c r="W13" s="489" t="str">
        <f t="shared" ref="W13" si="3">TEXT(Y13,"0,000")</f>
        <v>2,290</v>
      </c>
      <c r="X13" s="297"/>
      <c r="Y13" s="107">
        <f>IF(Y$12=Auswahlfelder!$D$12,X$13,VLOOKUP(Y$10,DB_Material,3,FALSE))</f>
        <v>2.29</v>
      </c>
      <c r="Z13" s="489" t="str">
        <f t="shared" ref="Z13" si="4">TEXT(AB13,"0,000")</f>
        <v>2,290</v>
      </c>
      <c r="AA13" s="297"/>
      <c r="AB13" s="378">
        <f>IF(AB$12=Auswahlfelder!$D$12,AA$13,VLOOKUP(AB$10,DB_Material,3,FALSE))</f>
        <v>2.29</v>
      </c>
      <c r="AC13" s="3" t="s">
        <v>33</v>
      </c>
    </row>
    <row r="14" spans="1:702" ht="15" x14ac:dyDescent="0.25">
      <c r="A14" s="26"/>
      <c r="B14" s="326">
        <v>6</v>
      </c>
      <c r="C14" s="324" t="s">
        <v>40</v>
      </c>
      <c r="D14" s="324" t="s">
        <v>36</v>
      </c>
      <c r="E14" s="339">
        <v>40</v>
      </c>
      <c r="F14" s="340">
        <v>3000</v>
      </c>
      <c r="G14" s="42" t="s">
        <v>69</v>
      </c>
      <c r="H14" s="17"/>
      <c r="I14" s="550" t="str">
        <f t="shared" si="0"/>
        <v>Länge (mm)</v>
      </c>
      <c r="J14" s="18"/>
      <c r="K14" s="104"/>
      <c r="L14" s="301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104"/>
      <c r="U14" s="50" t="s">
        <v>69</v>
      </c>
      <c r="V14" s="108" t="str">
        <f>U$14</f>
        <v>?</v>
      </c>
      <c r="W14" s="104"/>
      <c r="X14" s="50" t="s">
        <v>69</v>
      </c>
      <c r="Y14" s="108" t="str">
        <f>X$14</f>
        <v>?</v>
      </c>
      <c r="Z14" s="104"/>
      <c r="AA14" s="50" t="s">
        <v>69</v>
      </c>
      <c r="AB14" s="677" t="str">
        <f>AA$14</f>
        <v>?</v>
      </c>
      <c r="AC14" s="3" t="s">
        <v>33</v>
      </c>
    </row>
    <row r="15" spans="1:702" ht="15" x14ac:dyDescent="0.25">
      <c r="A15" s="26"/>
      <c r="B15" s="326">
        <v>29</v>
      </c>
      <c r="C15" s="324" t="s">
        <v>39</v>
      </c>
      <c r="D15" s="324" t="s">
        <v>37</v>
      </c>
      <c r="E15" s="339">
        <v>40</v>
      </c>
      <c r="F15" s="340">
        <v>1600</v>
      </c>
      <c r="G15" s="42" t="s">
        <v>69</v>
      </c>
      <c r="H15" s="17"/>
      <c r="I15" s="550" t="str">
        <f t="shared" si="0"/>
        <v>Breite (mm)</v>
      </c>
      <c r="J15" s="18"/>
      <c r="K15" s="104"/>
      <c r="L15" s="301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104"/>
      <c r="U15" s="50" t="s">
        <v>69</v>
      </c>
      <c r="V15" s="108" t="str">
        <f>U$15</f>
        <v>?</v>
      </c>
      <c r="W15" s="104"/>
      <c r="X15" s="50" t="s">
        <v>69</v>
      </c>
      <c r="Y15" s="108" t="str">
        <f>X$15</f>
        <v>?</v>
      </c>
      <c r="Z15" s="104"/>
      <c r="AA15" s="50" t="s">
        <v>69</v>
      </c>
      <c r="AB15" s="677" t="str">
        <f>AA$15</f>
        <v>?</v>
      </c>
      <c r="AC15" s="3" t="s">
        <v>33</v>
      </c>
    </row>
    <row r="16" spans="1:702" ht="15" x14ac:dyDescent="0.25">
      <c r="A16" s="26"/>
      <c r="B16" s="326">
        <v>33</v>
      </c>
      <c r="C16" s="324" t="s">
        <v>390</v>
      </c>
      <c r="D16" s="324" t="s">
        <v>391</v>
      </c>
      <c r="E16" s="339">
        <v>20</v>
      </c>
      <c r="F16" s="340">
        <v>1000</v>
      </c>
      <c r="G16" s="42" t="s">
        <v>69</v>
      </c>
      <c r="H16" s="17"/>
      <c r="I16" s="550" t="str">
        <f t="shared" si="0"/>
        <v>Höhe (mm)</v>
      </c>
      <c r="J16" s="18"/>
      <c r="K16" s="104"/>
      <c r="L16" s="301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104"/>
      <c r="U16" s="50" t="s">
        <v>69</v>
      </c>
      <c r="V16" s="108" t="str">
        <f>U$16</f>
        <v>?</v>
      </c>
      <c r="W16" s="104"/>
      <c r="X16" s="50" t="s">
        <v>69</v>
      </c>
      <c r="Y16" s="108" t="str">
        <f>X$16</f>
        <v>?</v>
      </c>
      <c r="Z16" s="104"/>
      <c r="AA16" s="50" t="s">
        <v>69</v>
      </c>
      <c r="AB16" s="677" t="str">
        <f>AA$16</f>
        <v>?</v>
      </c>
      <c r="AC16" s="3" t="s">
        <v>33</v>
      </c>
    </row>
    <row r="17" spans="1:31" ht="15" x14ac:dyDescent="0.25">
      <c r="A17" s="26"/>
      <c r="B17" s="326">
        <v>12</v>
      </c>
      <c r="C17" s="324" t="s">
        <v>38</v>
      </c>
      <c r="D17" s="324" t="s">
        <v>41</v>
      </c>
      <c r="E17" s="339">
        <v>8</v>
      </c>
      <c r="F17" s="340">
        <v>60</v>
      </c>
      <c r="G17" s="42" t="s">
        <v>69</v>
      </c>
      <c r="H17" s="17"/>
      <c r="I17" s="550" t="str">
        <f t="shared" si="0"/>
        <v>Wandstärke max (mm)</v>
      </c>
      <c r="J17" s="18"/>
      <c r="K17" s="106"/>
      <c r="L17" s="487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106"/>
      <c r="U17" s="48" t="s">
        <v>69</v>
      </c>
      <c r="V17" s="106" t="str">
        <f>U$17</f>
        <v>?</v>
      </c>
      <c r="W17" s="106"/>
      <c r="X17" s="48" t="s">
        <v>69</v>
      </c>
      <c r="Y17" s="106" t="str">
        <f>X$17</f>
        <v>?</v>
      </c>
      <c r="Z17" s="106"/>
      <c r="AA17" s="48" t="s">
        <v>69</v>
      </c>
      <c r="AB17" s="379" t="str">
        <f>AA$17</f>
        <v>?</v>
      </c>
      <c r="AC17" s="3" t="s">
        <v>33</v>
      </c>
    </row>
    <row r="18" spans="1:31" ht="15" x14ac:dyDescent="0.25">
      <c r="A18" s="26"/>
      <c r="B18" s="326">
        <v>14</v>
      </c>
      <c r="C18" s="324" t="s">
        <v>80</v>
      </c>
      <c r="D18" s="324" t="s">
        <v>81</v>
      </c>
      <c r="E18" s="339">
        <v>5</v>
      </c>
      <c r="F18" s="340">
        <v>45</v>
      </c>
      <c r="G18" s="42" t="s">
        <v>69</v>
      </c>
      <c r="H18" s="17"/>
      <c r="I18" s="550" t="str">
        <f t="shared" si="0"/>
        <v>Wandstärke min (mm)</v>
      </c>
      <c r="J18" s="18"/>
      <c r="K18" s="107"/>
      <c r="L18" s="488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107"/>
      <c r="U18" s="49" t="s">
        <v>69</v>
      </c>
      <c r="V18" s="107" t="str">
        <f>U$18</f>
        <v>?</v>
      </c>
      <c r="W18" s="107"/>
      <c r="X18" s="49" t="s">
        <v>69</v>
      </c>
      <c r="Y18" s="107" t="str">
        <f>X$18</f>
        <v>?</v>
      </c>
      <c r="Z18" s="107"/>
      <c r="AA18" s="49" t="s">
        <v>69</v>
      </c>
      <c r="AB18" s="378" t="str">
        <f>AA$18</f>
        <v>?</v>
      </c>
      <c r="AC18" s="3" t="s">
        <v>33</v>
      </c>
    </row>
    <row r="19" spans="1:31" ht="15" x14ac:dyDescent="0.25">
      <c r="A19" s="26"/>
      <c r="B19" s="326">
        <v>2</v>
      </c>
      <c r="C19" s="324" t="s">
        <v>367</v>
      </c>
      <c r="D19" s="324" t="s">
        <v>368</v>
      </c>
      <c r="E19" s="339">
        <v>0.2</v>
      </c>
      <c r="F19" s="340">
        <v>700</v>
      </c>
      <c r="G19" s="42" t="s">
        <v>69</v>
      </c>
      <c r="H19" s="17"/>
      <c r="I19" s="550" t="str">
        <f>IF($G$2,C19,D19)</f>
        <v>Rohteilgewicht AL (kg)</v>
      </c>
      <c r="J19" s="18"/>
      <c r="K19" s="108">
        <f>0.9*Parametrikber!F$38</f>
        <v>87.48</v>
      </c>
      <c r="L19" s="506">
        <v>5</v>
      </c>
      <c r="M19" s="107">
        <f>L$19</f>
        <v>5</v>
      </c>
      <c r="N19" s="108">
        <f>0.9*Parametrikber!I$38</f>
        <v>87.674400000000006</v>
      </c>
      <c r="O19" s="507">
        <v>5</v>
      </c>
      <c r="P19" s="107">
        <f>O$19</f>
        <v>5</v>
      </c>
      <c r="Q19" s="108">
        <f>0.9*Parametrikber!L$38</f>
        <v>87.674400000000006</v>
      </c>
      <c r="R19" s="507">
        <v>5</v>
      </c>
      <c r="S19" s="107">
        <f>R$19</f>
        <v>5</v>
      </c>
      <c r="T19" s="108" t="e">
        <f>0.9*Parametrikber!O$38</f>
        <v>#VALUE!</v>
      </c>
      <c r="U19" s="507" t="s">
        <v>69</v>
      </c>
      <c r="V19" s="107" t="str">
        <f>U$19</f>
        <v>?</v>
      </c>
      <c r="W19" s="108" t="e">
        <f>0.9*Parametrikber!R$38</f>
        <v>#VALUE!</v>
      </c>
      <c r="X19" s="507" t="s">
        <v>69</v>
      </c>
      <c r="Y19" s="107" t="str">
        <f>X$19</f>
        <v>?</v>
      </c>
      <c r="Z19" s="108" t="e">
        <f>0.9*Parametrikber!U$38</f>
        <v>#VALUE!</v>
      </c>
      <c r="AA19" s="507" t="s">
        <v>69</v>
      </c>
      <c r="AB19" s="378" t="str">
        <f>AA$19</f>
        <v>?</v>
      </c>
      <c r="AC19" s="3" t="s">
        <v>33</v>
      </c>
    </row>
    <row r="20" spans="1:31" ht="15" x14ac:dyDescent="0.25">
      <c r="A20" s="26"/>
      <c r="B20" s="325" t="s">
        <v>122</v>
      </c>
      <c r="C20" s="324" t="s">
        <v>190</v>
      </c>
      <c r="D20" s="324" t="s">
        <v>48</v>
      </c>
      <c r="E20" s="339"/>
      <c r="F20" s="340"/>
      <c r="G20" s="240"/>
      <c r="H20" s="17"/>
      <c r="I20" s="551" t="str">
        <f t="shared" si="0"/>
        <v>Bauteilvolumen (cm³)</v>
      </c>
      <c r="J20" s="18"/>
      <c r="K20" s="265" t="str">
        <f>TEXT(M20,"0.0")</f>
        <v>1.852</v>
      </c>
      <c r="L20" s="298"/>
      <c r="M20" s="237">
        <f>IF(M$19&lt;&gt;"?",M$19*1000/VLOOKUP(M$10,DB_Material,5,FALSE),0)</f>
        <v>1851.8518518518517</v>
      </c>
      <c r="N20" s="266" t="str">
        <f>TEXT(P20,"0.0")</f>
        <v>1.848</v>
      </c>
      <c r="O20" s="236"/>
      <c r="P20" s="237">
        <f>IF(P$19&lt;&gt;"?",P$19*1000/VLOOKUP(P$10,DB_Material,5,FALSE),0)</f>
        <v>1847.7457501847746</v>
      </c>
      <c r="Q20" s="266" t="str">
        <f>TEXT(S20,"0.0")</f>
        <v>1.848</v>
      </c>
      <c r="R20" s="236"/>
      <c r="S20" s="237">
        <f>IF(S$19&lt;&gt;"?",S$19*1000/VLOOKUP(S$10,'Material-DB'!$A$4:$F$37,5,FALSE),0)</f>
        <v>1847.7457501847746</v>
      </c>
      <c r="T20" s="266" t="str">
        <f>TEXT(V20,"0.0")</f>
        <v>00</v>
      </c>
      <c r="U20" s="236"/>
      <c r="V20" s="237">
        <f>IF(V$19&lt;&gt;"?",V$19*1000/VLOOKUP(V$10,'Material-DB'!$A$4:$F$37,5,FALSE),0)</f>
        <v>0</v>
      </c>
      <c r="W20" s="266" t="str">
        <f>TEXT(Y20,"0.0")</f>
        <v>00</v>
      </c>
      <c r="X20" s="236"/>
      <c r="Y20" s="237">
        <f>IF(Y$19&lt;&gt;"?",Y$19*1000/VLOOKUP(Y$10,'Material-DB'!$A$4:$F$37,5,FALSE),0)</f>
        <v>0</v>
      </c>
      <c r="Z20" s="266" t="str">
        <f>TEXT(AB20,"0.0")</f>
        <v>00</v>
      </c>
      <c r="AA20" s="236"/>
      <c r="AB20" s="678">
        <f>IF(AB$19&lt;&gt;"?",AB$19*1000/VLOOKUP(AB$10,'Material-DB'!$A$4:$F$37,5,FALSE),0)</f>
        <v>0</v>
      </c>
      <c r="AC20" s="3" t="s">
        <v>33</v>
      </c>
    </row>
    <row r="21" spans="1:31" ht="15" x14ac:dyDescent="0.25">
      <c r="A21" s="26"/>
      <c r="B21" s="326">
        <v>8</v>
      </c>
      <c r="C21" s="324" t="s">
        <v>26</v>
      </c>
      <c r="D21" s="324" t="s">
        <v>451</v>
      </c>
      <c r="E21" s="339"/>
      <c r="F21" s="340"/>
      <c r="G21" s="43" t="str">
        <f>INDEX(AW_Bauteilkomplexität,Auswahlfelder!C15,1)</f>
        <v>mäßig</v>
      </c>
      <c r="H21" s="17"/>
      <c r="I21" s="550" t="str">
        <f t="shared" si="0"/>
        <v>Bauteilkomplexität</v>
      </c>
      <c r="J21" s="39"/>
      <c r="K21" s="104" t="str">
        <f>VLOOKUP(L21,Auswahlfelder!$B$16:$C$19,2,FALSE)</f>
        <v>normal</v>
      </c>
      <c r="L21" s="300" t="s">
        <v>437</v>
      </c>
      <c r="M21" s="104" t="str">
        <f>IFERROR(VLOOKUP(L$21,Auswahlfelder!$D$16:$D$19,1,FALSE),VLOOKUP(L$21,Auswahlfelder!$C$16:$D$19,2,FALSE))</f>
        <v>mäßig</v>
      </c>
      <c r="N21" s="104"/>
      <c r="O21" s="52" t="s">
        <v>437</v>
      </c>
      <c r="P21" s="104" t="str">
        <f>IFERROR(VLOOKUP(O$21,Auswahlfelder!$D$16:$D$19,1,FALSE),VLOOKUP(O$21,Auswahlfelder!$C$16:$D$19,2,FALSE))</f>
        <v>mäßig</v>
      </c>
      <c r="Q21" s="104"/>
      <c r="R21" s="52" t="s">
        <v>437</v>
      </c>
      <c r="S21" s="104" t="str">
        <f>IFERROR(VLOOKUP(R$21,Auswahlfelder!$D$16:$D$19,1,FALSE),VLOOKUP(R$21,Auswahlfelder!$C$16:$D$19,2,FALSE))</f>
        <v>mäßig</v>
      </c>
      <c r="T21" s="104"/>
      <c r="U21" s="52" t="s">
        <v>437</v>
      </c>
      <c r="V21" s="104" t="str">
        <f>IFERROR(VLOOKUP(U$21,Auswahlfelder!$D$16:$D$19,1,FALSE),VLOOKUP(U$21,Auswahlfelder!$C$16:$D$19,2,FALSE))</f>
        <v>mäßig</v>
      </c>
      <c r="W21" s="104"/>
      <c r="X21" s="52" t="s">
        <v>437</v>
      </c>
      <c r="Y21" s="104" t="str">
        <f>IFERROR(VLOOKUP(X$21,Auswahlfelder!$D$16:$D$19,1,FALSE),VLOOKUP(X$21,Auswahlfelder!$C$16:$D$19,2,FALSE))</f>
        <v>mäßig</v>
      </c>
      <c r="Z21" s="104"/>
      <c r="AA21" s="52" t="s">
        <v>437</v>
      </c>
      <c r="AB21" s="245" t="str">
        <f>IFERROR(VLOOKUP(AA$21,Auswahlfelder!$D$16:$D$19,1,FALSE),VLOOKUP(AA$21,Auswahlfelder!$C$16:$D$19,2,FALSE))</f>
        <v>mäßig</v>
      </c>
      <c r="AC21" s="3" t="s">
        <v>33</v>
      </c>
    </row>
    <row r="22" spans="1:31" ht="15" x14ac:dyDescent="0.25">
      <c r="A22" s="26"/>
      <c r="B22" s="326">
        <v>7</v>
      </c>
      <c r="C22" s="324" t="s">
        <v>476</v>
      </c>
      <c r="D22" s="324" t="s">
        <v>475</v>
      </c>
      <c r="E22" s="339"/>
      <c r="F22" s="340"/>
      <c r="G22" s="42" t="str">
        <f>INDEX(AW_Gusstechnik,Auswahlfelder!C35,1)</f>
        <v>automatisch</v>
      </c>
      <c r="H22" s="17"/>
      <c r="I22" s="550" t="str">
        <f>IF($G$2,C22,D22)</f>
        <v>Formverfahren</v>
      </c>
      <c r="J22" s="670"/>
      <c r="K22" s="104" t="e">
        <f>IF(K$31=$G31,0,L22)</f>
        <v>#N/A</v>
      </c>
      <c r="L22" s="554" t="s">
        <v>471</v>
      </c>
      <c r="M22" s="104" t="str">
        <f>IFERROR(VLOOKUP(L$22,Auswahlfelder!$D$36:$D$38,1,FALSE),VLOOKUP(L$22,Auswahlfelder!$C$36:$D$38,2,FALSE))</f>
        <v>halbautomatisch</v>
      </c>
      <c r="N22" s="104"/>
      <c r="O22" s="543" t="s">
        <v>372</v>
      </c>
      <c r="P22" s="104" t="str">
        <f>IFERROR(VLOOKUP(O$22,Auswahlfelder!$D$36:$D$38,1,FALSE),VLOOKUP(O$22,Auswahlfelder!$C$36:$D$38,2,FALSE))</f>
        <v>Handformen</v>
      </c>
      <c r="Q22" s="104"/>
      <c r="R22" s="543" t="s">
        <v>372</v>
      </c>
      <c r="S22" s="104" t="str">
        <f>IFERROR(VLOOKUP(R$22,Auswahlfelder!$D$36:$D$38,1,FALSE),VLOOKUP(R$22,Auswahlfelder!$C$36:$D$38,2,FALSE))</f>
        <v>Handformen</v>
      </c>
      <c r="T22" s="104"/>
      <c r="U22" s="543" t="s">
        <v>473</v>
      </c>
      <c r="V22" s="104" t="str">
        <f>IFERROR(VLOOKUP(U$22,Auswahlfelder!$D$36:$D$38,1,FALSE),VLOOKUP(U$22,Auswahlfelder!$C$36:$D$38,2,FALSE))</f>
        <v>automatisch</v>
      </c>
      <c r="W22" s="104"/>
      <c r="X22" s="543" t="s">
        <v>473</v>
      </c>
      <c r="Y22" s="104" t="str">
        <f>IFERROR(VLOOKUP(X$22,Auswahlfelder!$D$36:$D$38,1,FALSE),VLOOKUP(X$22,Auswahlfelder!$C$36:$D$38,2,FALSE))</f>
        <v>automatisch</v>
      </c>
      <c r="Z22" s="104"/>
      <c r="AA22" s="543" t="s">
        <v>473</v>
      </c>
      <c r="AB22" s="245" t="str">
        <f>IFERROR(VLOOKUP(AA$22,Auswahlfelder!$D$36:$D$38,1,FALSE),VLOOKUP(AA$22,Auswahlfelder!$C$36:$D$38,2,FALSE))</f>
        <v>automatisch</v>
      </c>
      <c r="AC22" s="3" t="s">
        <v>33</v>
      </c>
    </row>
    <row r="23" spans="1:31" ht="15" x14ac:dyDescent="0.25">
      <c r="A23" s="26"/>
      <c r="B23" s="544" t="s">
        <v>449</v>
      </c>
      <c r="C23" s="324" t="s">
        <v>352</v>
      </c>
      <c r="D23" s="324" t="s">
        <v>353</v>
      </c>
      <c r="E23" s="339"/>
      <c r="F23" s="340"/>
      <c r="G23" s="43" t="str">
        <f>INDEX(AW_Einlegekerne,Auswahlfelder!C48,1)</f>
        <v>ohne</v>
      </c>
      <c r="H23" s="17"/>
      <c r="I23" s="550" t="str">
        <f t="shared" si="0"/>
        <v>Sandkerne</v>
      </c>
      <c r="J23" s="39"/>
      <c r="K23" s="104"/>
      <c r="L23" s="300" t="s">
        <v>265</v>
      </c>
      <c r="M23" s="104" t="str">
        <f>IFERROR(VLOOKUP(L$23,Auswahlfelder!$D$49:$D$51,1,FALSE),VLOOKUP(L$23,Auswahlfelder!$C$49:$D$51,2,FALSE))</f>
        <v>ohne</v>
      </c>
      <c r="N23" s="104"/>
      <c r="O23" s="52" t="s">
        <v>265</v>
      </c>
      <c r="P23" s="104" t="str">
        <f>IFERROR(VLOOKUP(O$23,Auswahlfelder!$D$49:$D$51,1,FALSE),VLOOKUP(O$23,Auswahlfelder!$C$49:$D$51,2,FALSE))</f>
        <v>ohne</v>
      </c>
      <c r="Q23" s="104"/>
      <c r="R23" s="52" t="s">
        <v>265</v>
      </c>
      <c r="S23" s="104" t="str">
        <f>IFERROR(VLOOKUP(R$23,Auswahlfelder!$D$49:$D$51,1,FALSE),VLOOKUP(R$23,Auswahlfelder!$C$49:$D$51,2,FALSE))</f>
        <v>ohne</v>
      </c>
      <c r="T23" s="104"/>
      <c r="U23" s="52" t="s">
        <v>265</v>
      </c>
      <c r="V23" s="104" t="str">
        <f>IFERROR(VLOOKUP(U$23,Auswahlfelder!$D$49:$D$51,1,FALSE),VLOOKUP(U$23,Auswahlfelder!$C$49:$D$51,2,FALSE))</f>
        <v>ohne</v>
      </c>
      <c r="W23" s="104"/>
      <c r="X23" s="52" t="s">
        <v>265</v>
      </c>
      <c r="Y23" s="104" t="str">
        <f>IFERROR(VLOOKUP(X$23,Auswahlfelder!$D$49:$D$51,1,FALSE),VLOOKUP(X$23,Auswahlfelder!$C$49:$D$51,2,FALSE))</f>
        <v>ohne</v>
      </c>
      <c r="Z23" s="104"/>
      <c r="AA23" s="52" t="s">
        <v>265</v>
      </c>
      <c r="AB23" s="245" t="str">
        <f>IFERROR(VLOOKUP(AA$23,Auswahlfelder!$D$49:$D$51,1,FALSE),VLOOKUP(AA$23,Auswahlfelder!$C$49:$D$51,2,FALSE))</f>
        <v>ohne</v>
      </c>
      <c r="AC23" s="3" t="s">
        <v>33</v>
      </c>
    </row>
    <row r="24" spans="1:31" ht="15" x14ac:dyDescent="0.25">
      <c r="A24" s="26"/>
      <c r="B24" s="326">
        <v>11</v>
      </c>
      <c r="C24" s="324" t="s">
        <v>770</v>
      </c>
      <c r="D24" s="324" t="s">
        <v>769</v>
      </c>
      <c r="E24" s="339"/>
      <c r="F24" s="340"/>
      <c r="G24" s="43" t="str">
        <f>INDEX(AW_Kernschiessen,Auswahlfelder!C53,1)</f>
        <v>Cold Box</v>
      </c>
      <c r="H24" s="17"/>
      <c r="I24" s="550" t="str">
        <f t="shared" si="0"/>
        <v>Kernherstellverfahren</v>
      </c>
      <c r="J24" s="39"/>
      <c r="K24" s="104"/>
      <c r="L24" s="296" t="s">
        <v>766</v>
      </c>
      <c r="M24" s="104" t="str">
        <f>IFERROR(VLOOKUP(L$24,Auswahlfelder!$D$54:$D$57,1,FALSE),VLOOKUP(L$24,Auswahlfelder!$C$54:$D$57,2,FALSE))</f>
        <v>Cold Box</v>
      </c>
      <c r="N24" s="104"/>
      <c r="O24" s="47" t="s">
        <v>766</v>
      </c>
      <c r="P24" s="104" t="str">
        <f>IFERROR(VLOOKUP(O$24,Auswahlfelder!$D$54:$D$57,1,FALSE),VLOOKUP(O$24,Auswahlfelder!$C$54:$D$57,2,FALSE))</f>
        <v>Cold Box</v>
      </c>
      <c r="Q24" s="104"/>
      <c r="R24" s="47" t="s">
        <v>766</v>
      </c>
      <c r="S24" s="104" t="str">
        <f>IFERROR(VLOOKUP(R$24,Auswahlfelder!$D$54:$D$57,1,FALSE),VLOOKUP(R$24,Auswahlfelder!$C$54:$D$57,2,FALSE))</f>
        <v>Cold Box</v>
      </c>
      <c r="T24" s="104"/>
      <c r="U24" s="47" t="s">
        <v>766</v>
      </c>
      <c r="V24" s="104" t="str">
        <f>IFERROR(VLOOKUP(U$24,Auswahlfelder!$D$54:$D$57,1,FALSE),VLOOKUP(U$24,Auswahlfelder!$C$54:$D$57,2,FALSE))</f>
        <v>Cold Box</v>
      </c>
      <c r="W24" s="104"/>
      <c r="X24" s="47" t="s">
        <v>766</v>
      </c>
      <c r="Y24" s="104" t="str">
        <f>IFERROR(VLOOKUP(X$24,Auswahlfelder!$D$54:$D$57,1,FALSE),VLOOKUP(X$24,Auswahlfelder!$C$54:$D$57,2,FALSE))</f>
        <v>Cold Box</v>
      </c>
      <c r="Z24" s="104"/>
      <c r="AA24" s="47" t="s">
        <v>766</v>
      </c>
      <c r="AB24" s="245" t="str">
        <f>IFERROR(VLOOKUP(AA$24,Auswahlfelder!$D$54:$D$57,1,FALSE),VLOOKUP(AA$24,Auswahlfelder!$C$54:$D$57,2,FALSE))</f>
        <v>Cold Box</v>
      </c>
      <c r="AC24" s="3" t="s">
        <v>33</v>
      </c>
      <c r="AE24" s="526"/>
    </row>
    <row r="25" spans="1:31" ht="15" x14ac:dyDescent="0.25">
      <c r="A25" s="26"/>
      <c r="B25" s="326">
        <v>27</v>
      </c>
      <c r="C25" s="324" t="s">
        <v>773</v>
      </c>
      <c r="D25" s="324" t="s">
        <v>774</v>
      </c>
      <c r="E25" s="339"/>
      <c r="F25" s="340"/>
      <c r="G25" s="43" t="str">
        <f>INDEX(AW_JaNein,2)</f>
        <v>ja</v>
      </c>
      <c r="H25" s="17"/>
      <c r="I25" s="550" t="str">
        <f t="shared" si="0"/>
        <v>Oberfläche Sandstrahlen</v>
      </c>
      <c r="J25" s="39"/>
      <c r="K25" s="104" t="e">
        <f>VLOOKUP(L25,Auswahlfelder!$B$76:$C$78,2,FALSE)</f>
        <v>#N/A</v>
      </c>
      <c r="L25" s="296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104"/>
      <c r="U25" s="47" t="s">
        <v>43</v>
      </c>
      <c r="V25" s="104" t="str">
        <f>IFERROR(VLOOKUP(U$25,Auswahlfelder!$D$22:$D$23,1,FALSE),VLOOKUP(U$25,Auswahlfelder!$C$22:$D$23,2,FALSE))</f>
        <v>ja</v>
      </c>
      <c r="W25" s="104"/>
      <c r="X25" s="47" t="s">
        <v>43</v>
      </c>
      <c r="Y25" s="104" t="str">
        <f>IFERROR(VLOOKUP(X$25,Auswahlfelder!$D$22:$D$23,1,FALSE),VLOOKUP(X$25,Auswahlfelder!$C$22:$D$23,2,FALSE))</f>
        <v>ja</v>
      </c>
      <c r="Z25" s="104"/>
      <c r="AA25" s="47" t="s">
        <v>43</v>
      </c>
      <c r="AB25" s="245" t="str">
        <f>IFERROR(VLOOKUP(AA$25,Auswahlfelder!$D$22:$D$23,1,FALSE),VLOOKUP(AA$25,Auswahlfelder!$C$22:$D$23,2,FALSE))</f>
        <v>ja</v>
      </c>
      <c r="AC25" s="3" t="s">
        <v>33</v>
      </c>
      <c r="AE25" s="526"/>
    </row>
    <row r="26" spans="1:31" ht="15" x14ac:dyDescent="0.25">
      <c r="A26" s="26"/>
      <c r="B26" s="326">
        <v>27</v>
      </c>
      <c r="C26" s="324" t="s">
        <v>775</v>
      </c>
      <c r="D26" s="324" t="s">
        <v>776</v>
      </c>
      <c r="E26" s="339"/>
      <c r="F26" s="340"/>
      <c r="G26" s="43" t="str">
        <f>INDEX(AW_JaNein,1)</f>
        <v>nein</v>
      </c>
      <c r="H26" s="17"/>
      <c r="I26" s="550" t="str">
        <f t="shared" ref="I26" si="5">IF($G$2,C26,D26)</f>
        <v>Oberfläche Gleitschleifen</v>
      </c>
      <c r="J26" s="39"/>
      <c r="K26" s="104" t="e">
        <f>VLOOKUP(L26,Auswahlfelder!$B$76:$C$78,2,FALSE)</f>
        <v>#N/A</v>
      </c>
      <c r="L26" s="296" t="s">
        <v>44</v>
      </c>
      <c r="M26" s="104" t="str">
        <f>IFERROR(VLOOKUP(L$26,Auswahlfelder!$D$22:$D$23,1,FALSE),VLOOKUP(L$26,Auswahlfelder!$C$22:$D$23,2,FALSE))</f>
        <v>nein</v>
      </c>
      <c r="N26" s="104"/>
      <c r="O26" s="47" t="s">
        <v>44</v>
      </c>
      <c r="P26" s="104" t="str">
        <f>IFERROR(VLOOKUP(O$26,Auswahlfelder!$D$22:$D$23,1,FALSE),VLOOKUP(O$26,Auswahlfelder!$C$22:$D$23,2,FALSE))</f>
        <v>nein</v>
      </c>
      <c r="Q26" s="104"/>
      <c r="R26" s="47" t="s">
        <v>44</v>
      </c>
      <c r="S26" s="104" t="str">
        <f>IFERROR(VLOOKUP(R$26,Auswahlfelder!$D$22:$D$23,1,FALSE),VLOOKUP(R$26,Auswahlfelder!$C$22:$D$23,2,FALSE))</f>
        <v>nein</v>
      </c>
      <c r="T26" s="104"/>
      <c r="U26" s="47" t="s">
        <v>44</v>
      </c>
      <c r="V26" s="104" t="str">
        <f>IFERROR(VLOOKUP(U$26,Auswahlfelder!$D$22:$D$23,1,FALSE),VLOOKUP(U$26,Auswahlfelder!$C$22:$D$23,2,FALSE))</f>
        <v>nein</v>
      </c>
      <c r="W26" s="104"/>
      <c r="X26" s="47" t="s">
        <v>44</v>
      </c>
      <c r="Y26" s="104" t="str">
        <f>IFERROR(VLOOKUP(X$26,Auswahlfelder!$D$22:$D$23,1,FALSE),VLOOKUP(X$26,Auswahlfelder!$C$22:$D$23,2,FALSE))</f>
        <v>nein</v>
      </c>
      <c r="Z26" s="104"/>
      <c r="AA26" s="47" t="s">
        <v>44</v>
      </c>
      <c r="AB26" s="245" t="str">
        <f>IFERROR(VLOOKUP(AA$26,Auswahlfelder!$D$22:$D$23,1,FALSE),VLOOKUP(AA$26,Auswahlfelder!$C$22:$D$23,2,FALSE))</f>
        <v>nein</v>
      </c>
      <c r="AC26" s="3" t="s">
        <v>33</v>
      </c>
      <c r="AE26" s="526"/>
    </row>
    <row r="27" spans="1:31" ht="15" x14ac:dyDescent="0.25">
      <c r="A27" s="26"/>
      <c r="B27" s="326">
        <v>27</v>
      </c>
      <c r="C27" s="324" t="s">
        <v>777</v>
      </c>
      <c r="D27" s="324" t="s">
        <v>778</v>
      </c>
      <c r="E27" s="339"/>
      <c r="F27" s="340"/>
      <c r="G27" s="43" t="str">
        <f>INDEX(AW_JaNein,1)</f>
        <v>nein</v>
      </c>
      <c r="H27" s="17"/>
      <c r="I27" s="550" t="str">
        <f t="shared" ref="I27" si="6">IF($G$2,C27,D27)</f>
        <v>Oberfläche Feinputzen</v>
      </c>
      <c r="J27" s="39"/>
      <c r="K27" s="104" t="e">
        <f>VLOOKUP(L27,Auswahlfelder!$B$76:$C$78,2,FALSE)</f>
        <v>#N/A</v>
      </c>
      <c r="L27" s="296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104"/>
      <c r="U27" s="47" t="s">
        <v>44</v>
      </c>
      <c r="V27" s="104" t="str">
        <f>IFERROR(VLOOKUP(U$27,Auswahlfelder!$D$22:$D$23,1,FALSE),VLOOKUP(U$27,Auswahlfelder!$C$22:$D$23,2,FALSE))</f>
        <v>nein</v>
      </c>
      <c r="W27" s="104"/>
      <c r="X27" s="47" t="s">
        <v>44</v>
      </c>
      <c r="Y27" s="104" t="str">
        <f>IFERROR(VLOOKUP(X$27,Auswahlfelder!$D$22:$D$23,1,FALSE),VLOOKUP(X$27,Auswahlfelder!$C$22:$D$23,2,FALSE))</f>
        <v>nein</v>
      </c>
      <c r="Z27" s="104"/>
      <c r="AA27" s="47" t="s">
        <v>44</v>
      </c>
      <c r="AB27" s="245" t="str">
        <f>IFERROR(VLOOKUP(AA$27,Auswahlfelder!$D$22:$D$23,1,FALSE),VLOOKUP(AA$27,Auswahlfelder!$C$22:$D$23,2,FALSE))</f>
        <v>nein</v>
      </c>
      <c r="AC27" s="3" t="s">
        <v>33</v>
      </c>
      <c r="AE27" s="526"/>
    </row>
    <row r="28" spans="1:31" ht="15" x14ac:dyDescent="0.25">
      <c r="A28" s="26"/>
      <c r="B28" s="326">
        <v>39</v>
      </c>
      <c r="C28" s="324" t="s">
        <v>604</v>
      </c>
      <c r="D28" s="324" t="s">
        <v>605</v>
      </c>
      <c r="E28" s="339"/>
      <c r="F28" s="340"/>
      <c r="G28" s="43" t="str">
        <f>INDEX(AW_JaNein,1)</f>
        <v>nein</v>
      </c>
      <c r="H28" s="17"/>
      <c r="I28" s="550" t="str">
        <f t="shared" ref="I28:I34" si="7">IF($G$2,C28,D28)</f>
        <v>Ultraschall Prüfung</v>
      </c>
      <c r="J28" s="18"/>
      <c r="K28" s="104" t="e">
        <f>IF(K$31="nein",0,L28)</f>
        <v>#N/A</v>
      </c>
      <c r="L28" s="296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104"/>
      <c r="U28" s="47" t="s">
        <v>44</v>
      </c>
      <c r="V28" s="104" t="str">
        <f>IFERROR(VLOOKUP(U$28,Auswahlfelder!$D$22:$D$23,1,FALSE),VLOOKUP(U$28,Auswahlfelder!$C$22:$D$23,2,FALSE))</f>
        <v>nein</v>
      </c>
      <c r="W28" s="104"/>
      <c r="X28" s="47" t="s">
        <v>44</v>
      </c>
      <c r="Y28" s="104" t="str">
        <f>IFERROR(VLOOKUP(X$28,Auswahlfelder!$D$22:$D$23,1,FALSE),VLOOKUP(X$28,Auswahlfelder!$C$22:$D$23,2,FALSE))</f>
        <v>nein</v>
      </c>
      <c r="Z28" s="104"/>
      <c r="AA28" s="47" t="s">
        <v>44</v>
      </c>
      <c r="AB28" s="245" t="str">
        <f>IFERROR(VLOOKUP(AA$28,Auswahlfelder!$D$22:$D$23,1,FALSE),VLOOKUP(AA$28,Auswahlfelder!$C$22:$D$23,2,FALSE))</f>
        <v>nein</v>
      </c>
      <c r="AC28" s="3" t="s">
        <v>33</v>
      </c>
    </row>
    <row r="29" spans="1:31" ht="15" x14ac:dyDescent="0.25">
      <c r="A29" s="26"/>
      <c r="B29" s="326">
        <v>39</v>
      </c>
      <c r="C29" s="324" t="s">
        <v>606</v>
      </c>
      <c r="D29" s="324" t="s">
        <v>607</v>
      </c>
      <c r="E29" s="339"/>
      <c r="F29" s="340"/>
      <c r="G29" s="43" t="str">
        <f>INDEX(AW_JaNein,1)</f>
        <v>nein</v>
      </c>
      <c r="H29" s="17"/>
      <c r="I29" s="550" t="str">
        <f t="shared" si="7"/>
        <v>Farbeindring Prüfung</v>
      </c>
      <c r="J29" s="18"/>
      <c r="K29" s="104" t="e">
        <f>IF(K$31="nein",0,L29)</f>
        <v>#N/A</v>
      </c>
      <c r="L29" s="296" t="s">
        <v>44</v>
      </c>
      <c r="M29" s="104" t="str">
        <f>IFERROR(VLOOKUP(L$29,Auswahlfelder!$D$22:$D$23,1,FALSE),VLOOKUP(L$29,Auswahlfelder!$C$22:$D$23,2,FALSE))</f>
        <v>nein</v>
      </c>
      <c r="N29" s="104"/>
      <c r="O29" s="47" t="s">
        <v>44</v>
      </c>
      <c r="P29" s="104" t="str">
        <f>IFERROR(VLOOKUP(O$29,Auswahlfelder!$D$22:$D$23,1,FALSE),VLOOKUP(O$29,Auswahlfelder!$C$22:$D$23,2,FALSE))</f>
        <v>nein</v>
      </c>
      <c r="Q29" s="104"/>
      <c r="R29" s="47" t="s">
        <v>44</v>
      </c>
      <c r="S29" s="104" t="str">
        <f>IFERROR(VLOOKUP(R$29,Auswahlfelder!$D$22:$D$23,1,FALSE),VLOOKUP(R$29,Auswahlfelder!$C$22:$D$23,2,FALSE))</f>
        <v>nein</v>
      </c>
      <c r="T29" s="104"/>
      <c r="U29" s="47" t="s">
        <v>44</v>
      </c>
      <c r="V29" s="104" t="str">
        <f>IFERROR(VLOOKUP(U$29,Auswahlfelder!$D$22:$D$23,1,FALSE),VLOOKUP(U$29,Auswahlfelder!$C$22:$D$23,2,FALSE))</f>
        <v>nein</v>
      </c>
      <c r="W29" s="104"/>
      <c r="X29" s="47" t="s">
        <v>44</v>
      </c>
      <c r="Y29" s="104" t="str">
        <f>IFERROR(VLOOKUP(X$29,Auswahlfelder!$D$22:$D$23,1,FALSE),VLOOKUP(X$29,Auswahlfelder!$C$22:$D$23,2,FALSE))</f>
        <v>nein</v>
      </c>
      <c r="Z29" s="104"/>
      <c r="AA29" s="47" t="s">
        <v>44</v>
      </c>
      <c r="AB29" s="245" t="str">
        <f>IFERROR(VLOOKUP(AA$29,Auswahlfelder!$D$22:$D$23,1,FALSE),VLOOKUP(AA$29,Auswahlfelder!$C$22:$D$23,2,FALSE))</f>
        <v>nein</v>
      </c>
      <c r="AC29" s="3" t="s">
        <v>33</v>
      </c>
    </row>
    <row r="30" spans="1:31" ht="15" x14ac:dyDescent="0.25">
      <c r="A30" s="26"/>
      <c r="B30" s="326">
        <v>39</v>
      </c>
      <c r="C30" s="324" t="s">
        <v>608</v>
      </c>
      <c r="D30" s="324" t="s">
        <v>609</v>
      </c>
      <c r="E30" s="339"/>
      <c r="F30" s="340"/>
      <c r="G30" s="43" t="str">
        <f>INDEX(AW_JaNein,1)</f>
        <v>nein</v>
      </c>
      <c r="H30" s="17"/>
      <c r="I30" s="550" t="str">
        <f t="shared" si="7"/>
        <v>Röntgen Prüfung</v>
      </c>
      <c r="J30" s="18"/>
      <c r="K30" s="104" t="e">
        <f>IF(K$31="nein",0,L30)</f>
        <v>#N/A</v>
      </c>
      <c r="L30" s="296" t="s">
        <v>44</v>
      </c>
      <c r="M30" s="104" t="str">
        <f>IFERROR(VLOOKUP(L$30,Auswahlfelder!$D$22:$D$23,1,FALSE),VLOOKUP(L$30,Auswahlfelder!$C$22:$D$23,2,FALSE))</f>
        <v>nein</v>
      </c>
      <c r="N30" s="104"/>
      <c r="O30" s="47" t="s">
        <v>44</v>
      </c>
      <c r="P30" s="104" t="str">
        <f>IFERROR(VLOOKUP(O$30,Auswahlfelder!$D$22:$D$23,1,FALSE),VLOOKUP(O$30,Auswahlfelder!$C$22:$D$23,2,FALSE))</f>
        <v>nein</v>
      </c>
      <c r="Q30" s="104"/>
      <c r="R30" s="47" t="s">
        <v>44</v>
      </c>
      <c r="S30" s="104" t="str">
        <f>IFERROR(VLOOKUP(R$30,Auswahlfelder!$D$22:$D$23,1,FALSE),VLOOKUP(R$30,Auswahlfelder!$C$22:$D$23,2,FALSE))</f>
        <v>nein</v>
      </c>
      <c r="T30" s="104"/>
      <c r="U30" s="47" t="s">
        <v>44</v>
      </c>
      <c r="V30" s="104" t="str">
        <f>IFERROR(VLOOKUP(U$30,Auswahlfelder!$D$22:$D$23,1,FALSE),VLOOKUP(U$30,Auswahlfelder!$C$22:$D$23,2,FALSE))</f>
        <v>nein</v>
      </c>
      <c r="W30" s="104"/>
      <c r="X30" s="47" t="s">
        <v>44</v>
      </c>
      <c r="Y30" s="104" t="str">
        <f>IFERROR(VLOOKUP(X$30,Auswahlfelder!$D$22:$D$23,1,FALSE),VLOOKUP(X$30,Auswahlfelder!$C$22:$D$23,2,FALSE))</f>
        <v>nein</v>
      </c>
      <c r="Z30" s="104"/>
      <c r="AA30" s="47" t="s">
        <v>44</v>
      </c>
      <c r="AB30" s="245" t="str">
        <f>IFERROR(VLOOKUP(AA$30,Auswahlfelder!$D$22:$D$23,1,FALSE),VLOOKUP(AA$30,Auswahlfelder!$C$22:$D$23,2,FALSE))</f>
        <v>nein</v>
      </c>
      <c r="AC30" s="3" t="s">
        <v>33</v>
      </c>
    </row>
    <row r="31" spans="1:31" ht="15" x14ac:dyDescent="0.25">
      <c r="A31" s="26"/>
      <c r="B31" s="326">
        <v>38</v>
      </c>
      <c r="C31" s="324" t="s">
        <v>263</v>
      </c>
      <c r="D31" s="324" t="s">
        <v>266</v>
      </c>
      <c r="E31" s="339"/>
      <c r="F31" s="340"/>
      <c r="G31" s="42" t="str">
        <f>INDEX(AW_Prüfbescheinigung,Auswahlfelder!C30,1)</f>
        <v>ohne</v>
      </c>
      <c r="H31" s="17"/>
      <c r="I31" s="550" t="str">
        <f t="shared" si="7"/>
        <v>Materialprüfzertifikat</v>
      </c>
      <c r="J31" s="39"/>
      <c r="K31" s="104" t="e">
        <f>VLOOKUP(IF(L28=0,$G31,L31),Auswahlfelder!$B$22:$G$23,2,FALSE)</f>
        <v>#N/A</v>
      </c>
      <c r="L31" s="296" t="s">
        <v>265</v>
      </c>
      <c r="M31" s="104" t="str">
        <f>IFERROR(VLOOKUP(L$31,Auswahlfelder!$D$31:$D$33,1,FALSE),VLOOKUP(L$31,Auswahlfelder!$C$31:$D$33,2,FALSE))</f>
        <v>ohne</v>
      </c>
      <c r="N31" s="104"/>
      <c r="O31" s="47" t="s">
        <v>265</v>
      </c>
      <c r="P31" s="104" t="str">
        <f>IFERROR(VLOOKUP(O$31,Auswahlfelder!$D$31:$D$33,1,FALSE),VLOOKUP(O$31,Auswahlfelder!$C$31:$D$33,2,FALSE))</f>
        <v>ohne</v>
      </c>
      <c r="Q31" s="104"/>
      <c r="R31" s="47" t="s">
        <v>265</v>
      </c>
      <c r="S31" s="104" t="str">
        <f>IFERROR(VLOOKUP(R$31,Auswahlfelder!$D$31:$D$33,1,FALSE),VLOOKUP(R$31,Auswahlfelder!$C$31:$D$33,2,FALSE))</f>
        <v>ohne</v>
      </c>
      <c r="T31" s="104"/>
      <c r="U31" s="47" t="s">
        <v>265</v>
      </c>
      <c r="V31" s="104" t="str">
        <f>IFERROR(VLOOKUP(U$31,Auswahlfelder!$D$31:$D$33,1,FALSE),VLOOKUP(U$31,Auswahlfelder!$C$31:$D$33,2,FALSE))</f>
        <v>ohne</v>
      </c>
      <c r="W31" s="104"/>
      <c r="X31" s="47" t="s">
        <v>265</v>
      </c>
      <c r="Y31" s="104" t="str">
        <f>IFERROR(VLOOKUP(X$31,Auswahlfelder!$D$31:$D$33,1,FALSE),VLOOKUP(X$31,Auswahlfelder!$C$31:$D$33,2,FALSE))</f>
        <v>ohne</v>
      </c>
      <c r="Z31" s="104"/>
      <c r="AA31" s="47" t="s">
        <v>265</v>
      </c>
      <c r="AB31" s="245" t="str">
        <f>IFERROR(VLOOKUP(AA$31,Auswahlfelder!$D$31:$D$33,1,FALSE),VLOOKUP(AA$31,Auswahlfelder!$C$31:$D$33,2,FALSE))</f>
        <v>ohne</v>
      </c>
      <c r="AC31" s="3" t="s">
        <v>33</v>
      </c>
    </row>
    <row r="32" spans="1:31" ht="15" x14ac:dyDescent="0.25">
      <c r="A32" s="26"/>
      <c r="B32" s="326">
        <v>13</v>
      </c>
      <c r="C32" s="324" t="s">
        <v>296</v>
      </c>
      <c r="D32" s="324" t="s">
        <v>300</v>
      </c>
      <c r="E32" s="339"/>
      <c r="F32" s="340"/>
      <c r="G32" s="42" t="str">
        <f>INDEX(AW_Wärmebehandlung,Auswahlfelder!C40,1)</f>
        <v>ohne (F)</v>
      </c>
      <c r="H32" s="17"/>
      <c r="I32" s="550" t="str">
        <f t="shared" si="7"/>
        <v>Wärmebehandlung</v>
      </c>
      <c r="J32" s="39"/>
      <c r="K32" s="104"/>
      <c r="L32" s="296" t="s">
        <v>572</v>
      </c>
      <c r="M32" s="104" t="str">
        <f>IFERROR(VLOOKUP(L$32,Auswahlfelder!$D$41:$D$46,1,FALSE),VLOOKUP(L$32,Auswahlfelder!$C$41:$D$46,2,FALSE))</f>
        <v>ohne (F)</v>
      </c>
      <c r="N32" s="104"/>
      <c r="O32" s="47" t="s">
        <v>572</v>
      </c>
      <c r="P32" s="104" t="str">
        <f>IFERROR(VLOOKUP(O$32,Auswahlfelder!$D$41:$D$46,1,FALSE),VLOOKUP(O$32,Auswahlfelder!$C$41:$D$46,2,FALSE))</f>
        <v>ohne (F)</v>
      </c>
      <c r="Q32" s="104"/>
      <c r="R32" s="47" t="s">
        <v>572</v>
      </c>
      <c r="S32" s="104" t="str">
        <f>IFERROR(VLOOKUP(R$32,Auswahlfelder!$D$41:$D$46,1,FALSE),VLOOKUP(R$32,Auswahlfelder!$C$41:$D$46,2,FALSE))</f>
        <v>ohne (F)</v>
      </c>
      <c r="T32" s="104"/>
      <c r="U32" s="47" t="s">
        <v>572</v>
      </c>
      <c r="V32" s="104" t="str">
        <f>IFERROR(VLOOKUP(U$32,Auswahlfelder!$D$41:$D$46,1,FALSE),VLOOKUP(U$32,Auswahlfelder!$C$41:$D$46,2,FALSE))</f>
        <v>ohne (F)</v>
      </c>
      <c r="W32" s="104"/>
      <c r="X32" s="47" t="s">
        <v>572</v>
      </c>
      <c r="Y32" s="104" t="str">
        <f>IFERROR(VLOOKUP(X$32,Auswahlfelder!$D$41:$D$46,1,FALSE),VLOOKUP(X$32,Auswahlfelder!$C$41:$D$46,2,FALSE))</f>
        <v>ohne (F)</v>
      </c>
      <c r="Z32" s="104"/>
      <c r="AA32" s="47" t="s">
        <v>572</v>
      </c>
      <c r="AB32" s="245" t="str">
        <f>IFERROR(VLOOKUP(AA$32,Auswahlfelder!$D$41:$D$46,1,FALSE),VLOOKUP(AA$32,Auswahlfelder!$C$41:$D$46,2,FALSE))</f>
        <v>ohne (F)</v>
      </c>
      <c r="AC32" s="3" t="s">
        <v>33</v>
      </c>
    </row>
    <row r="33" spans="1:29" ht="15.75" thickBot="1" x14ac:dyDescent="0.3">
      <c r="A33" s="26"/>
      <c r="B33" s="326">
        <v>34</v>
      </c>
      <c r="C33" s="324" t="s">
        <v>459</v>
      </c>
      <c r="D33" s="324" t="s">
        <v>454</v>
      </c>
      <c r="E33" s="339"/>
      <c r="F33" s="340"/>
      <c r="G33" s="42" t="str">
        <f>INDEX(AW_Reparaturschweißen,Auswahlfelder!C59,1)</f>
        <v>ohne</v>
      </c>
      <c r="H33" s="291"/>
      <c r="I33" s="552" t="str">
        <f t="shared" si="7"/>
        <v>Reparaturschweißung</v>
      </c>
      <c r="J33" s="466"/>
      <c r="K33" s="104"/>
      <c r="L33" s="452" t="s">
        <v>265</v>
      </c>
      <c r="M33" s="104" t="str">
        <f>IFERROR(VLOOKUP(L$33,Auswahlfelder!$D$60:$D$62,1,FALSE),VLOOKUP(L$33,Auswahlfelder!$C$60:$D$62,2,FALSE))</f>
        <v>ohne</v>
      </c>
      <c r="N33" s="453"/>
      <c r="O33" s="452" t="s">
        <v>265</v>
      </c>
      <c r="P33" s="104" t="str">
        <f>IFERROR(VLOOKUP(O$33,Auswahlfelder!$D$60:$D$62,1,FALSE),VLOOKUP(O$33,Auswahlfelder!$C$60:$D$62,2,FALSE))</f>
        <v>ohne</v>
      </c>
      <c r="Q33" s="453"/>
      <c r="R33" s="452" t="s">
        <v>265</v>
      </c>
      <c r="S33" s="104" t="str">
        <f>IFERROR(VLOOKUP(R$33,Auswahlfelder!$D$60:$D$62,1,FALSE),VLOOKUP(R$33,Auswahlfelder!$C$60:$D$62,2,FALSE))</f>
        <v>ohne</v>
      </c>
      <c r="T33" s="453"/>
      <c r="U33" s="452" t="s">
        <v>265</v>
      </c>
      <c r="V33" s="104" t="str">
        <f>IFERROR(VLOOKUP(U$33,Auswahlfelder!$D$60:$D$62,1,FALSE),VLOOKUP(U$33,Auswahlfelder!$C$60:$D$62,2,FALSE))</f>
        <v>ohne</v>
      </c>
      <c r="W33" s="453"/>
      <c r="X33" s="452" t="s">
        <v>265</v>
      </c>
      <c r="Y33" s="104" t="str">
        <f>IFERROR(VLOOKUP(X$33,Auswahlfelder!$D$60:$D$62,1,FALSE),VLOOKUP(X$33,Auswahlfelder!$C$60:$D$62,2,FALSE))</f>
        <v>ohne</v>
      </c>
      <c r="Z33" s="453"/>
      <c r="AA33" s="452" t="s">
        <v>265</v>
      </c>
      <c r="AB33" s="245" t="str">
        <f>IFERROR(VLOOKUP(AA$33,Auswahlfelder!$D$60:$D$62,1,FALSE),VLOOKUP(AA$33,Auswahlfelder!$C$60:$D$62,2,FALSE))</f>
        <v>ohne</v>
      </c>
      <c r="AC33" s="3" t="s">
        <v>33</v>
      </c>
    </row>
    <row r="34" spans="1:29" ht="15" x14ac:dyDescent="0.25">
      <c r="A34" s="26"/>
      <c r="B34" s="325"/>
      <c r="C34" s="324" t="s">
        <v>72</v>
      </c>
      <c r="D34" s="324" t="s">
        <v>74</v>
      </c>
      <c r="E34" s="339"/>
      <c r="F34" s="340"/>
      <c r="G34" s="464">
        <f>$L$4</f>
        <v>43993</v>
      </c>
      <c r="H34" s="17"/>
      <c r="I34" s="550" t="str">
        <f t="shared" si="7"/>
        <v>Datum</v>
      </c>
      <c r="J34" s="18"/>
      <c r="K34" s="109">
        <f>L34</f>
        <v>43531</v>
      </c>
      <c r="L34" s="687">
        <v>43531</v>
      </c>
      <c r="M34" s="109">
        <f>L$34</f>
        <v>43531</v>
      </c>
      <c r="N34" s="109"/>
      <c r="O34" s="227">
        <v>43531</v>
      </c>
      <c r="P34" s="109">
        <f>O$34</f>
        <v>43531</v>
      </c>
      <c r="Q34" s="109"/>
      <c r="R34" s="227">
        <v>43531</v>
      </c>
      <c r="S34" s="109">
        <f>R$34</f>
        <v>43531</v>
      </c>
      <c r="T34" s="109"/>
      <c r="U34" s="227">
        <v>43531</v>
      </c>
      <c r="V34" s="109">
        <f>U$34</f>
        <v>43531</v>
      </c>
      <c r="W34" s="109"/>
      <c r="X34" s="227">
        <v>43531</v>
      </c>
      <c r="Y34" s="109">
        <f>X$34</f>
        <v>43531</v>
      </c>
      <c r="Z34" s="109"/>
      <c r="AA34" s="227">
        <v>43531</v>
      </c>
      <c r="AB34" s="689">
        <f>AA$34</f>
        <v>43531</v>
      </c>
      <c r="AC34" s="3" t="s">
        <v>33</v>
      </c>
    </row>
    <row r="35" spans="1:29" ht="15" x14ac:dyDescent="0.25">
      <c r="A35" s="26"/>
      <c r="B35" s="326">
        <v>41</v>
      </c>
      <c r="C35" s="324" t="s">
        <v>73</v>
      </c>
      <c r="D35" s="324" t="s">
        <v>87</v>
      </c>
      <c r="E35" s="339">
        <v>0</v>
      </c>
      <c r="F35" s="340">
        <v>12</v>
      </c>
      <c r="G35" s="239">
        <v>6</v>
      </c>
      <c r="H35" s="17"/>
      <c r="I35" s="550" t="str">
        <f t="shared" ref="I35:I43" si="8">IF($G$2,C35,D35)</f>
        <v>Laufzeit (Jahre)</v>
      </c>
      <c r="J35" s="29"/>
      <c r="K35" s="39">
        <f>L35</f>
        <v>6</v>
      </c>
      <c r="L35" s="302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39"/>
      <c r="U35" s="53">
        <v>6</v>
      </c>
      <c r="V35" s="110">
        <f>U$35</f>
        <v>6</v>
      </c>
      <c r="W35" s="39"/>
      <c r="X35" s="53">
        <v>6</v>
      </c>
      <c r="Y35" s="110">
        <f>X$35</f>
        <v>6</v>
      </c>
      <c r="Z35" s="39"/>
      <c r="AA35" s="53">
        <v>6</v>
      </c>
      <c r="AB35" s="679">
        <f>AA$35</f>
        <v>6</v>
      </c>
      <c r="AC35" s="3" t="s">
        <v>33</v>
      </c>
    </row>
    <row r="36" spans="1:29" ht="15" x14ac:dyDescent="0.25">
      <c r="A36" s="26"/>
      <c r="B36" s="326">
        <v>26</v>
      </c>
      <c r="C36" s="386" t="s">
        <v>42</v>
      </c>
      <c r="D36" s="386" t="s">
        <v>58</v>
      </c>
      <c r="E36" s="339">
        <v>40</v>
      </c>
      <c r="F36" s="347">
        <v>40000</v>
      </c>
      <c r="G36" s="505" t="s">
        <v>69</v>
      </c>
      <c r="H36" s="17"/>
      <c r="I36" s="550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39" t="e">
        <f>MAX(T37:T43)</f>
        <v>#VALUE!</v>
      </c>
      <c r="U36" s="53" t="s">
        <v>69</v>
      </c>
      <c r="V36" s="110" t="str">
        <f>U$36</f>
        <v>?</v>
      </c>
      <c r="W36" s="39" t="e">
        <f>MAX(W37:W43)</f>
        <v>#VALUE!</v>
      </c>
      <c r="X36" s="53" t="s">
        <v>69</v>
      </c>
      <c r="Y36" s="110" t="str">
        <f>X$36</f>
        <v>?</v>
      </c>
      <c r="Z36" s="39" t="e">
        <f>MAX(Z37:Z43)</f>
        <v>#VALUE!</v>
      </c>
      <c r="AA36" s="53" t="s">
        <v>69</v>
      </c>
      <c r="AB36" s="679" t="str">
        <f>AA$36</f>
        <v>?</v>
      </c>
      <c r="AC36" s="3" t="s">
        <v>33</v>
      </c>
    </row>
    <row r="37" spans="1:29" ht="15" x14ac:dyDescent="0.25">
      <c r="A37" s="26"/>
      <c r="B37" s="327">
        <v>26</v>
      </c>
      <c r="C37" s="324" t="str">
        <f ca="1">CONCATENATE("FY ",RIGHT(YEAR(G$4-110),2),"/",RIGHT(YEAR(G$4-110)+1,2))</f>
        <v>FY 21/22</v>
      </c>
      <c r="D37" s="324" t="str">
        <f t="shared" ref="D37:D43" ca="1" si="9">C37</f>
        <v>FY 21/22</v>
      </c>
      <c r="E37" s="339">
        <v>0</v>
      </c>
      <c r="F37" s="340">
        <v>1</v>
      </c>
      <c r="G37" s="239"/>
      <c r="H37" s="17"/>
      <c r="I37" s="551" t="str">
        <f t="shared" ca="1" si="8"/>
        <v>FY 21/22</v>
      </c>
      <c r="J37" s="130"/>
      <c r="K37" s="134" t="str">
        <f t="shared" ref="K37:K44" si="10">TEXT(M37,"0.0")</f>
        <v>2.500</v>
      </c>
      <c r="L37" s="133"/>
      <c r="M37" s="132">
        <f>IF(L$37&lt;&gt;"",L$37,0.5*M$36)</f>
        <v>2500</v>
      </c>
      <c r="N37" s="469" t="str">
        <f t="shared" ref="N37:N44" si="11">TEXT(P37,"0.0")</f>
        <v>2.500</v>
      </c>
      <c r="O37" s="133"/>
      <c r="P37" s="132">
        <f>IF(O$37&lt;&gt;"",O$37,0.5*O$36)</f>
        <v>2500</v>
      </c>
      <c r="Q37" s="469" t="str">
        <f t="shared" ref="Q37:Q44" si="12">TEXT(S37,"0.0")</f>
        <v>2.500</v>
      </c>
      <c r="R37" s="133"/>
      <c r="S37" s="132">
        <f>IF(R$37&lt;&gt;"",R$37,0.5*R$36)</f>
        <v>2500</v>
      </c>
      <c r="T37" s="469" t="e">
        <f t="shared" ref="T37:T44" si="13">TEXT(V37,"0.0")</f>
        <v>#VALUE!</v>
      </c>
      <c r="U37" s="133"/>
      <c r="V37" s="132" t="e">
        <f>IF(U$37&lt;&gt;"",U$37,0.5*U$36)</f>
        <v>#VALUE!</v>
      </c>
      <c r="W37" s="469" t="e">
        <f t="shared" ref="W37:W44" si="14">TEXT(Y37,"0.0")</f>
        <v>#VALUE!</v>
      </c>
      <c r="X37" s="133"/>
      <c r="Y37" s="132" t="e">
        <f>IF(X$37&lt;&gt;"",X$37,0.5*X$36)</f>
        <v>#VALUE!</v>
      </c>
      <c r="Z37" s="469" t="e">
        <f t="shared" ref="Z37:Z44" si="15">TEXT(AB37,"0.0")</f>
        <v>#VALUE!</v>
      </c>
      <c r="AA37" s="133"/>
      <c r="AB37" s="389" t="e">
        <f>IF(AA$37&lt;&gt;"",AA$37,0.5*AA$36)</f>
        <v>#VALUE!</v>
      </c>
      <c r="AC37" s="3" t="s">
        <v>33</v>
      </c>
    </row>
    <row r="38" spans="1:29" ht="15" x14ac:dyDescent="0.25">
      <c r="A38" s="26"/>
      <c r="B38" s="327">
        <v>26</v>
      </c>
      <c r="C38" s="324" t="str">
        <f ca="1">CONCATENATE("FY ",RIGHT(YEAR(G$4-110)+1,2),"/",RIGHT(YEAR(G$4-110)+2,2))</f>
        <v>FY 22/23</v>
      </c>
      <c r="D38" s="324" t="str">
        <f t="shared" ca="1" si="9"/>
        <v>FY 22/23</v>
      </c>
      <c r="E38" s="339">
        <v>0</v>
      </c>
      <c r="F38" s="340">
        <v>1</v>
      </c>
      <c r="G38" s="239"/>
      <c r="H38" s="17"/>
      <c r="I38" s="551" t="str">
        <f t="shared" ca="1" si="8"/>
        <v>FY 22/23</v>
      </c>
      <c r="J38" s="130"/>
      <c r="K38" s="134" t="str">
        <f t="shared" si="10"/>
        <v>5.000</v>
      </c>
      <c r="L38" s="133"/>
      <c r="M38" s="132">
        <f>IF(L38&lt;&gt;"",L38,IF(SUM(M$37:M37)+1.1*M$36&gt;L$36*L$35,MAX(0.75*(M$35*M$36-SUM(M$37:M37)),0.01*L$36),L$36))</f>
        <v>5000</v>
      </c>
      <c r="N38" s="469" t="str">
        <f t="shared" si="11"/>
        <v>5.000</v>
      </c>
      <c r="O38" s="133"/>
      <c r="P38" s="132">
        <f>IF(O38&lt;&gt;"",O38,IF(SUM(P$37:P37)+1.1*P$36&gt;O$36*O$35,MAX(0.75*(P$35*P$36-SUM(P$37:P37)),0.01*O$36),O$36))</f>
        <v>5000</v>
      </c>
      <c r="Q38" s="469" t="str">
        <f t="shared" si="12"/>
        <v>5.000</v>
      </c>
      <c r="R38" s="133"/>
      <c r="S38" s="132">
        <f>IF(R38&lt;&gt;"",R38,IF(SUM(S$37:S37)+1.1*S$36&gt;R$36*R$35,MAX(0.75*(S$35*S$36-SUM(S$37:S37)),0.01*R$36),R$36))</f>
        <v>5000</v>
      </c>
      <c r="T38" s="469" t="e">
        <f t="shared" si="13"/>
        <v>#VALUE!</v>
      </c>
      <c r="U38" s="133"/>
      <c r="V38" s="132" t="e">
        <f>IF(U38&lt;&gt;"",U38,IF(SUM(V$37:V37)+1.1*V$36&gt;U$36*U$35,MAX(0.75*(V$35*V$36-SUM(V$37:V37)),0.01*U$36),U$36))</f>
        <v>#VALUE!</v>
      </c>
      <c r="W38" s="469" t="e">
        <f t="shared" si="14"/>
        <v>#VALUE!</v>
      </c>
      <c r="X38" s="133"/>
      <c r="Y38" s="132" t="e">
        <f>IF(X38&lt;&gt;"",X38,IF(SUM(Y$37:Y37)+1.1*Y$36&gt;X$36*X$35,MAX(0.75*(Y$35*Y$36-SUM(Y$37:Y37)),0.01*X$36),X$36))</f>
        <v>#VALUE!</v>
      </c>
      <c r="Z38" s="469" t="e">
        <f t="shared" si="15"/>
        <v>#VALUE!</v>
      </c>
      <c r="AA38" s="133"/>
      <c r="AB38" s="389" t="e">
        <f>IF(AA38&lt;&gt;"",AA38,IF(SUM(AB$37:AB37)+1.1*AB$36&gt;AA$36*AA$35,MAX(0.75*(AB$35*AB$36-SUM(AB$37:AB37)),0.01*AA$36),AA$36))</f>
        <v>#VALUE!</v>
      </c>
      <c r="AC38" s="3" t="s">
        <v>33</v>
      </c>
    </row>
    <row r="39" spans="1:29" ht="15" x14ac:dyDescent="0.25">
      <c r="A39" s="26"/>
      <c r="B39" s="327">
        <v>26</v>
      </c>
      <c r="C39" s="324" t="str">
        <f ca="1">CONCATENATE("FY ",RIGHT(YEAR(G$4-110)+2,2),"/",RIGHT(YEAR(G$4-110)+3,2))</f>
        <v>FY 23/24</v>
      </c>
      <c r="D39" s="324" t="str">
        <f t="shared" ca="1" si="9"/>
        <v>FY 23/24</v>
      </c>
      <c r="E39" s="339">
        <v>0</v>
      </c>
      <c r="F39" s="340">
        <v>1</v>
      </c>
      <c r="G39" s="239"/>
      <c r="H39" s="17"/>
      <c r="I39" s="551" t="str">
        <f t="shared" ca="1" si="8"/>
        <v>FY 23/24</v>
      </c>
      <c r="J39" s="130"/>
      <c r="K39" s="134" t="str">
        <f t="shared" si="10"/>
        <v>5.000</v>
      </c>
      <c r="L39" s="133"/>
      <c r="M39" s="132">
        <f>IF(L39&lt;&gt;"",L39,IF(SUM(M$37:M38)+1.1*M$36&gt;L$36*L$35,MAX(0.75*(M$35*M$36-SUM(M$37:M38)),0.01*L$36),L$36))</f>
        <v>5000</v>
      </c>
      <c r="N39" s="469" t="str">
        <f t="shared" si="11"/>
        <v>5.000</v>
      </c>
      <c r="O39" s="133"/>
      <c r="P39" s="132">
        <f>IF(O39&lt;&gt;"",O39,IF(SUM(P$37:P38)+1.1*P$36&gt;O$36*O$35,MAX(0.75*(P$35*P$36-SUM(P$37:P38)),0.01*O$36),O$36))</f>
        <v>5000</v>
      </c>
      <c r="Q39" s="469" t="str">
        <f t="shared" si="12"/>
        <v>5.000</v>
      </c>
      <c r="R39" s="133"/>
      <c r="S39" s="132">
        <f>IF(R39&lt;&gt;"",R39,IF(SUM(S$37:S38)+1.1*S$36&gt;R$36*R$35,MAX(0.75*(S$35*S$36-SUM(S$37:S38)),0.01*R$36),R$36))</f>
        <v>5000</v>
      </c>
      <c r="T39" s="469" t="e">
        <f t="shared" si="13"/>
        <v>#VALUE!</v>
      </c>
      <c r="U39" s="133"/>
      <c r="V39" s="132" t="e">
        <f>IF(U39&lt;&gt;"",U39,IF(SUM(V$37:V38)+1.1*V$36&gt;U$36*U$35,MAX(0.75*(V$35*V$36-SUM(V$37:V38)),0.01*U$36),U$36))</f>
        <v>#VALUE!</v>
      </c>
      <c r="W39" s="469" t="e">
        <f t="shared" si="14"/>
        <v>#VALUE!</v>
      </c>
      <c r="X39" s="133"/>
      <c r="Y39" s="132" t="e">
        <f>IF(X39&lt;&gt;"",X39,IF(SUM(Y$37:Y38)+1.1*Y$36&gt;X$36*X$35,MAX(0.75*(Y$35*Y$36-SUM(Y$37:Y38)),0.01*X$36),X$36))</f>
        <v>#VALUE!</v>
      </c>
      <c r="Z39" s="469" t="e">
        <f t="shared" si="15"/>
        <v>#VALUE!</v>
      </c>
      <c r="AA39" s="133"/>
      <c r="AB39" s="389" t="e">
        <f>IF(AA39&lt;&gt;"",AA39,IF(SUM(AB$37:AB38)+1.1*AB$36&gt;AA$36*AA$35,MAX(0.75*(AB$35*AB$36-SUM(AB$37:AB38)),0.01*AA$36),AA$36))</f>
        <v>#VALUE!</v>
      </c>
      <c r="AC39" s="3" t="s">
        <v>33</v>
      </c>
    </row>
    <row r="40" spans="1:29" ht="15" x14ac:dyDescent="0.25">
      <c r="A40" s="26"/>
      <c r="B40" s="327">
        <v>26</v>
      </c>
      <c r="C40" s="324" t="str">
        <f ca="1">CONCATENATE("FY ",RIGHT(YEAR(G$4-110)+3,2),"/",RIGHT(YEAR(G$4-110)+4,2))</f>
        <v>FY 24/25</v>
      </c>
      <c r="D40" s="324" t="str">
        <f t="shared" ca="1" si="9"/>
        <v>FY 24/25</v>
      </c>
      <c r="E40" s="339">
        <v>0</v>
      </c>
      <c r="F40" s="340">
        <v>1</v>
      </c>
      <c r="G40" s="239"/>
      <c r="H40" s="17"/>
      <c r="I40" s="551" t="str">
        <f t="shared" ca="1" si="8"/>
        <v>FY 24/25</v>
      </c>
      <c r="J40" s="130"/>
      <c r="K40" s="134" t="str">
        <f t="shared" si="10"/>
        <v>5.000</v>
      </c>
      <c r="L40" s="133"/>
      <c r="M40" s="132">
        <f>IF(L40&lt;&gt;"",L40,IF(SUM(M$37:M39)+1.1*M$36&gt;L$36*L$35,MAX(0.75*(M$35*M$36-SUM(M$37:M39)),0.01*L$36),L$36))</f>
        <v>5000</v>
      </c>
      <c r="N40" s="469" t="str">
        <f t="shared" si="11"/>
        <v>5.000</v>
      </c>
      <c r="O40" s="133"/>
      <c r="P40" s="132">
        <f>IF(O40&lt;&gt;"",O40,IF(SUM(P$37:P39)+1.1*P$36&gt;O$36*O$35,MAX(0.75*(P$35*P$36-SUM(P$37:P39)),0.01*O$36),O$36))</f>
        <v>5000</v>
      </c>
      <c r="Q40" s="469" t="str">
        <f t="shared" si="12"/>
        <v>5.000</v>
      </c>
      <c r="R40" s="133"/>
      <c r="S40" s="132">
        <f>IF(R40&lt;&gt;"",R40,IF(SUM(S$37:S39)+1.1*S$36&gt;R$36*R$35,MAX(0.75*(S$35*S$36-SUM(S$37:S39)),0.01*R$36),R$36))</f>
        <v>5000</v>
      </c>
      <c r="T40" s="469" t="e">
        <f t="shared" si="13"/>
        <v>#VALUE!</v>
      </c>
      <c r="U40" s="133"/>
      <c r="V40" s="132" t="e">
        <f>IF(U40&lt;&gt;"",U40,IF(SUM(V$37:V39)+1.1*V$36&gt;U$36*U$35,MAX(0.75*(V$35*V$36-SUM(V$37:V39)),0.01*U$36),U$36))</f>
        <v>#VALUE!</v>
      </c>
      <c r="W40" s="469" t="e">
        <f t="shared" si="14"/>
        <v>#VALUE!</v>
      </c>
      <c r="X40" s="133"/>
      <c r="Y40" s="132" t="e">
        <f>IF(X40&lt;&gt;"",X40,IF(SUM(Y$37:Y39)+1.1*Y$36&gt;X$36*X$35,MAX(0.75*(Y$35*Y$36-SUM(Y$37:Y39)),0.01*X$36),X$36))</f>
        <v>#VALUE!</v>
      </c>
      <c r="Z40" s="469" t="e">
        <f t="shared" si="15"/>
        <v>#VALUE!</v>
      </c>
      <c r="AA40" s="133"/>
      <c r="AB40" s="389" t="e">
        <f>IF(AA40&lt;&gt;"",AA40,IF(SUM(AB$37:AB39)+1.1*AB$36&gt;AA$36*AA$35,MAX(0.75*(AB$35*AB$36-SUM(AB$37:AB39)),0.01*AA$36),AA$36))</f>
        <v>#VALUE!</v>
      </c>
      <c r="AC40" s="3" t="s">
        <v>33</v>
      </c>
    </row>
    <row r="41" spans="1:29" ht="15" x14ac:dyDescent="0.25">
      <c r="A41" s="26"/>
      <c r="B41" s="327">
        <v>26</v>
      </c>
      <c r="C41" s="324" t="str">
        <f ca="1">CONCATENATE("FY ",RIGHT(YEAR(G$4-110)+4,2),"/",RIGHT(YEAR(G$4-110)+5,2))</f>
        <v>FY 25/26</v>
      </c>
      <c r="D41" s="324" t="str">
        <f t="shared" ca="1" si="9"/>
        <v>FY 25/26</v>
      </c>
      <c r="E41" s="339">
        <v>0</v>
      </c>
      <c r="F41" s="340">
        <v>1</v>
      </c>
      <c r="G41" s="239"/>
      <c r="H41" s="17"/>
      <c r="I41" s="551" t="str">
        <f t="shared" ca="1" si="8"/>
        <v>FY 25/26</v>
      </c>
      <c r="J41" s="130"/>
      <c r="K41" s="134" t="str">
        <f t="shared" si="10"/>
        <v>5.000</v>
      </c>
      <c r="L41" s="133"/>
      <c r="M41" s="132">
        <f>IF(L41&lt;&gt;"",L41,IF(SUM(M$37:M40)+1.1*M$36&gt;L$36*L$35,MAX(0.75*(M$35*M$36-SUM(M$37:M40)),0.01*L$36),L$36))</f>
        <v>5000</v>
      </c>
      <c r="N41" s="469" t="str">
        <f t="shared" si="11"/>
        <v>5.000</v>
      </c>
      <c r="O41" s="133"/>
      <c r="P41" s="132">
        <f>IF(O41&lt;&gt;"",O41,IF(SUM(P$37:P40)+1.1*P$36&gt;O$36*O$35,MAX(0.75*(P$35*P$36-SUM(P$37:P40)),0.01*O$36),O$36))</f>
        <v>5000</v>
      </c>
      <c r="Q41" s="469" t="str">
        <f t="shared" si="12"/>
        <v>5.000</v>
      </c>
      <c r="R41" s="133"/>
      <c r="S41" s="132">
        <f>IF(R41&lt;&gt;"",R41,IF(SUM(S$37:S40)+1.1*S$36&gt;R$36*R$35,MAX(0.75*(S$35*S$36-SUM(S$37:S40)),0.01*R$36),R$36))</f>
        <v>5000</v>
      </c>
      <c r="T41" s="469" t="e">
        <f t="shared" si="13"/>
        <v>#VALUE!</v>
      </c>
      <c r="U41" s="133"/>
      <c r="V41" s="132" t="e">
        <f>IF(U41&lt;&gt;"",U41,IF(SUM(V$37:V40)+1.1*V$36&gt;U$36*U$35,MAX(0.75*(V$35*V$36-SUM(V$37:V40)),0.01*U$36),U$36))</f>
        <v>#VALUE!</v>
      </c>
      <c r="W41" s="469" t="e">
        <f t="shared" si="14"/>
        <v>#VALUE!</v>
      </c>
      <c r="X41" s="133"/>
      <c r="Y41" s="132" t="e">
        <f>IF(X41&lt;&gt;"",X41,IF(SUM(Y$37:Y40)+1.1*Y$36&gt;X$36*X$35,MAX(0.75*(Y$35*Y$36-SUM(Y$37:Y40)),0.01*X$36),X$36))</f>
        <v>#VALUE!</v>
      </c>
      <c r="Z41" s="469" t="e">
        <f t="shared" si="15"/>
        <v>#VALUE!</v>
      </c>
      <c r="AA41" s="133"/>
      <c r="AB41" s="389" t="e">
        <f>IF(AA41&lt;&gt;"",AA41,IF(SUM(AB$37:AB40)+1.1*AB$36&gt;AA$36*AA$35,MAX(0.75*(AB$35*AB$36-SUM(AB$37:AB40)),0.01*AA$36),AA$36))</f>
        <v>#VALUE!</v>
      </c>
      <c r="AC41" s="3" t="s">
        <v>33</v>
      </c>
    </row>
    <row r="42" spans="1:29" ht="15" x14ac:dyDescent="0.25">
      <c r="A42" s="26"/>
      <c r="B42" s="327">
        <v>26</v>
      </c>
      <c r="C42" s="324" t="str">
        <f ca="1">CONCATENATE("FY ",RIGHT(YEAR(G$4-110)+5,2),"/",RIGHT(YEAR(G$4-110)+6,2))</f>
        <v>FY 26/27</v>
      </c>
      <c r="D42" s="324" t="str">
        <f t="shared" ca="1" si="9"/>
        <v>FY 26/27</v>
      </c>
      <c r="E42" s="339">
        <v>0</v>
      </c>
      <c r="F42" s="340">
        <v>1</v>
      </c>
      <c r="G42" s="239"/>
      <c r="H42" s="17"/>
      <c r="I42" s="551" t="str">
        <f t="shared" ca="1" si="8"/>
        <v>FY 26/27</v>
      </c>
      <c r="J42" s="130"/>
      <c r="K42" s="134" t="str">
        <f t="shared" si="10"/>
        <v>5.000</v>
      </c>
      <c r="L42" s="133"/>
      <c r="M42" s="132">
        <f>IF(L42&lt;&gt;"",L42,IF(SUM(M$37:M41)+1.1*M$36&gt;L$36*L$35,MAX(0.75*(M$35*M$36-SUM(M$37:M41)),0.01*L$36),L$36))</f>
        <v>5000</v>
      </c>
      <c r="N42" s="469" t="str">
        <f t="shared" si="11"/>
        <v>5.000</v>
      </c>
      <c r="O42" s="133"/>
      <c r="P42" s="132">
        <f>IF(O42&lt;&gt;"",O42,IF(SUM(P$37:P41)+1.1*P$36&gt;O$36*O$35,MAX(0.75*(P$35*P$36-SUM(P$37:P41)),0.01*O$36),O$36))</f>
        <v>5000</v>
      </c>
      <c r="Q42" s="469" t="str">
        <f t="shared" si="12"/>
        <v>5.000</v>
      </c>
      <c r="R42" s="133"/>
      <c r="S42" s="132">
        <f>IF(R42&lt;&gt;"",R42,IF(SUM(S$37:S41)+1.1*S$36&gt;R$36*R$35,MAX(0.75*(S$35*S$36-SUM(S$37:S41)),0.01*R$36),R$36))</f>
        <v>5000</v>
      </c>
      <c r="T42" s="469" t="e">
        <f t="shared" si="13"/>
        <v>#VALUE!</v>
      </c>
      <c r="U42" s="133"/>
      <c r="V42" s="132" t="e">
        <f>IF(U42&lt;&gt;"",U42,IF(SUM(V$37:V41)+1.1*V$36&gt;U$36*U$35,MAX(0.75*(V$35*V$36-SUM(V$37:V41)),0.01*U$36),U$36))</f>
        <v>#VALUE!</v>
      </c>
      <c r="W42" s="469" t="e">
        <f t="shared" si="14"/>
        <v>#VALUE!</v>
      </c>
      <c r="X42" s="133"/>
      <c r="Y42" s="132" t="e">
        <f>IF(X42&lt;&gt;"",X42,IF(SUM(Y$37:Y41)+1.1*Y$36&gt;X$36*X$35,MAX(0.75*(Y$35*Y$36-SUM(Y$37:Y41)),0.01*X$36),X$36))</f>
        <v>#VALUE!</v>
      </c>
      <c r="Z42" s="469" t="e">
        <f t="shared" si="15"/>
        <v>#VALUE!</v>
      </c>
      <c r="AA42" s="133"/>
      <c r="AB42" s="389" t="e">
        <f>IF(AA42&lt;&gt;"",AA42,IF(SUM(AB$37:AB41)+1.1*AB$36&gt;AA$36*AA$35,MAX(0.75*(AB$35*AB$36-SUM(AB$37:AB41)),0.01*AA$36),AA$36))</f>
        <v>#VALUE!</v>
      </c>
      <c r="AC42" s="3" t="s">
        <v>33</v>
      </c>
    </row>
    <row r="43" spans="1:29" ht="15" x14ac:dyDescent="0.25">
      <c r="A43" s="26"/>
      <c r="B43" s="327">
        <v>26</v>
      </c>
      <c r="C43" s="324" t="str">
        <f ca="1">CONCATENATE("FY ",RIGHT(YEAR(G$4-110)+6,2),"/",RIGHT(YEAR(G$4-110)+7,2))</f>
        <v>FY 27/28</v>
      </c>
      <c r="D43" s="324" t="str">
        <f t="shared" ca="1" si="9"/>
        <v>FY 27/28</v>
      </c>
      <c r="E43" s="339">
        <v>0</v>
      </c>
      <c r="F43" s="340">
        <v>1</v>
      </c>
      <c r="G43" s="239"/>
      <c r="H43" s="17"/>
      <c r="I43" s="551" t="str">
        <f t="shared" ca="1" si="8"/>
        <v>FY 27/28</v>
      </c>
      <c r="J43" s="130"/>
      <c r="K43" s="134" t="str">
        <f t="shared" si="10"/>
        <v>1.875</v>
      </c>
      <c r="L43" s="133"/>
      <c r="M43" s="132">
        <f>IF(L43&lt;&gt;"",L43,IF(SUM(M$37:M42)+1.1*M$36&gt;L$36*L$35,MAX(0.75*(M$35*M$36-SUM(M$37:M42)),0.01*L$36),L$36))</f>
        <v>1875</v>
      </c>
      <c r="N43" s="469" t="str">
        <f t="shared" si="11"/>
        <v>1.875</v>
      </c>
      <c r="O43" s="133"/>
      <c r="P43" s="132">
        <f>IF(O43&lt;&gt;"",O43,IF(SUM(P$37:P42)+1.1*P$36&gt;O$36*O$35,MAX(0.75*(P$35*P$36-SUM(P$37:P42)),0.01*O$36),O$36))</f>
        <v>1875</v>
      </c>
      <c r="Q43" s="469" t="str">
        <f t="shared" si="12"/>
        <v>1.875</v>
      </c>
      <c r="R43" s="133"/>
      <c r="S43" s="132">
        <f>IF(R43&lt;&gt;"",R43,IF(SUM(S$37:S42)+1.1*S$36&gt;R$36*R$35,MAX(0.75*(S$35*S$36-SUM(S$37:S42)),0.01*R$36),R$36))</f>
        <v>1875</v>
      </c>
      <c r="T43" s="469" t="e">
        <f t="shared" si="13"/>
        <v>#VALUE!</v>
      </c>
      <c r="U43" s="133"/>
      <c r="V43" s="132" t="e">
        <f>IF(U43&lt;&gt;"",U43,IF(SUM(V$37:V42)+1.1*V$36&gt;U$36*U$35,MAX(0.75*(V$35*V$36-SUM(V$37:V42)),0.01*U$36),U$36))</f>
        <v>#VALUE!</v>
      </c>
      <c r="W43" s="469" t="e">
        <f t="shared" si="14"/>
        <v>#VALUE!</v>
      </c>
      <c r="X43" s="133"/>
      <c r="Y43" s="132" t="e">
        <f>IF(X43&lt;&gt;"",X43,IF(SUM(Y$37:Y42)+1.1*Y$36&gt;X$36*X$35,MAX(0.75*(Y$35*Y$36-SUM(Y$37:Y42)),0.01*X$36),X$36))</f>
        <v>#VALUE!</v>
      </c>
      <c r="Z43" s="469" t="e">
        <f t="shared" si="15"/>
        <v>#VALUE!</v>
      </c>
      <c r="AA43" s="133"/>
      <c r="AB43" s="389" t="e">
        <f>IF(AA43&lt;&gt;"",AA43,IF(SUM(AB$37:AB42)+1.1*AB$36&gt;AA$36*AA$35,MAX(0.75*(AB$35*AB$36-SUM(AB$37:AB42)),0.01*AA$36),AA$36))</f>
        <v>#VALUE!</v>
      </c>
      <c r="AC43" s="3" t="s">
        <v>33</v>
      </c>
    </row>
    <row r="44" spans="1:29" ht="15" x14ac:dyDescent="0.25">
      <c r="A44" s="26"/>
      <c r="B44" s="328">
        <v>26</v>
      </c>
      <c r="C44" s="324" t="s">
        <v>282</v>
      </c>
      <c r="D44" s="324" t="s">
        <v>54</v>
      </c>
      <c r="E44" s="339"/>
      <c r="F44" s="340"/>
      <c r="G44" s="239"/>
      <c r="H44" s="17"/>
      <c r="I44" s="550" t="str">
        <f>IF($G$2,C44,D44)</f>
        <v>Gesamt</v>
      </c>
      <c r="J44" s="18"/>
      <c r="K44" s="682" t="str">
        <f t="shared" si="10"/>
        <v>30.000</v>
      </c>
      <c r="L44" s="553"/>
      <c r="M44" s="232">
        <f>MAX(SUM(M$37:M$43),M$36*M$35,L$44,1)</f>
        <v>30000</v>
      </c>
      <c r="N44" s="685" t="str">
        <f t="shared" si="11"/>
        <v>30.000</v>
      </c>
      <c r="O44" s="686"/>
      <c r="P44" s="232">
        <f>MAX(SUM(P$37:P$43),P$36*P$35,O$44,1)</f>
        <v>30000</v>
      </c>
      <c r="Q44" s="685" t="str">
        <f t="shared" si="12"/>
        <v>30.000</v>
      </c>
      <c r="R44" s="686"/>
      <c r="S44" s="232">
        <f t="shared" ref="S44" si="16">MAX(SUM(S$37:S$43),S$36*S$35,R$44,1)</f>
        <v>30000</v>
      </c>
      <c r="T44" s="685" t="e">
        <f t="shared" si="13"/>
        <v>#VALUE!</v>
      </c>
      <c r="U44" s="686"/>
      <c r="V44" s="232" t="e">
        <f t="shared" ref="V44" si="17">MAX(SUM(V$37:V$43),V$36*V$35,U$44,1)</f>
        <v>#VALUE!</v>
      </c>
      <c r="W44" s="685" t="e">
        <f t="shared" si="14"/>
        <v>#VALUE!</v>
      </c>
      <c r="X44" s="686"/>
      <c r="Y44" s="232" t="e">
        <f t="shared" ref="Y44" si="18">MAX(SUM(Y$37:Y$43),Y$36*Y$35,X$44,1)</f>
        <v>#VALUE!</v>
      </c>
      <c r="Z44" s="685" t="e">
        <f t="shared" si="15"/>
        <v>#VALUE!</v>
      </c>
      <c r="AA44" s="686"/>
      <c r="AB44" s="939" t="e">
        <f t="shared" ref="AB44" si="19">MAX(SUM(AB$37:AB$43),AB$36*AB$35,AA$44,1)</f>
        <v>#VALUE!</v>
      </c>
      <c r="AC44" s="3" t="s">
        <v>33</v>
      </c>
    </row>
    <row r="45" spans="1:29" ht="15" x14ac:dyDescent="0.25">
      <c r="A45" s="26"/>
      <c r="B45" s="326">
        <v>17</v>
      </c>
      <c r="C45" s="324" t="s">
        <v>2</v>
      </c>
      <c r="D45" s="324" t="s">
        <v>57</v>
      </c>
      <c r="E45" s="339"/>
      <c r="F45" s="340"/>
      <c r="G45" s="239" t="str">
        <f>INDEX(AW_Produktionsregion,Auswahlfelder!H2,1)</f>
        <v>Deutschland</v>
      </c>
      <c r="H45" s="17"/>
      <c r="I45" s="550" t="str">
        <f t="shared" ref="I45:I51" si="20">IF($G$2,C45,D45)</f>
        <v>Produktionsregion</v>
      </c>
      <c r="J45" s="4"/>
      <c r="K45" s="39" t="str">
        <f>VLOOKUP(L$45,Auswahlfelder!$G$3:$K$9,2,FALSE)</f>
        <v>Germany</v>
      </c>
      <c r="L45" s="296" t="s">
        <v>14</v>
      </c>
      <c r="M45" s="104" t="str">
        <f>IFERROR(VLOOKUP(L$45,Auswahlfelder!$I$3:$I$15,1,FALSE),VLOOKUP(L$45,Auswahlfelder!$H$3:$I$15,2,FALSE))</f>
        <v>Deutschland</v>
      </c>
      <c r="N45" s="132"/>
      <c r="O45" s="296" t="s">
        <v>602</v>
      </c>
      <c r="P45" s="104" t="str">
        <f>IFERROR(VLOOKUP(O$45,Auswahlfelder!$I$3:$I$15,1,FALSE),VLOOKUP(O$45,Auswahlfelder!$H$3:$I$15,2,FALSE))</f>
        <v>Türkei</v>
      </c>
      <c r="Q45" s="132"/>
      <c r="R45" s="296" t="s">
        <v>17</v>
      </c>
      <c r="S45" s="104" t="str">
        <f>IFERROR(VLOOKUP(R$45,Auswahlfelder!$I$3:$I$15,1,FALSE),VLOOKUP(R$45,Auswahlfelder!$H$3:$I$15,2,FALSE))</f>
        <v>Polen</v>
      </c>
      <c r="T45" s="39"/>
      <c r="U45" s="47" t="s">
        <v>14</v>
      </c>
      <c r="V45" s="104" t="str">
        <f>IFERROR(VLOOKUP(U$45,Auswahlfelder!$I$3:$I$15,1,FALSE),VLOOKUP(U$45,Auswahlfelder!$H$3:$I$15,2,FALSE))</f>
        <v>Deutschland</v>
      </c>
      <c r="W45" s="39"/>
      <c r="X45" s="47" t="s">
        <v>14</v>
      </c>
      <c r="Y45" s="104" t="str">
        <f>IFERROR(VLOOKUP(X$45,Auswahlfelder!$I$3:$I$15,1,FALSE),VLOOKUP(X$45,Auswahlfelder!$H$3:$I$15,2,FALSE))</f>
        <v>Deutschland</v>
      </c>
      <c r="Z45" s="39"/>
      <c r="AA45" s="47" t="s">
        <v>14</v>
      </c>
      <c r="AB45" s="245" t="str">
        <f>IFERROR(VLOOKUP(AA$45,Auswahlfelder!$I$3:$I$15,1,FALSE),VLOOKUP(AA$45,Auswahlfelder!$H$3:$I$15,2,FALSE))</f>
        <v>Deutschland</v>
      </c>
      <c r="AC45" s="3" t="s">
        <v>33</v>
      </c>
    </row>
    <row r="46" spans="1:29" x14ac:dyDescent="0.2">
      <c r="A46" s="26"/>
      <c r="B46" s="325">
        <v>31</v>
      </c>
      <c r="C46" s="324" t="s">
        <v>4</v>
      </c>
      <c r="D46" s="324" t="s">
        <v>88</v>
      </c>
      <c r="E46" s="339"/>
      <c r="F46" s="340"/>
      <c r="G46" s="239" t="str">
        <f>INDEX(AW_Schichtmodel,Auswahlfelder!C6,1)</f>
        <v>2-Schicht</v>
      </c>
      <c r="H46" s="17"/>
      <c r="I46" s="18" t="str">
        <f t="shared" si="20"/>
        <v>Schichtmodel</v>
      </c>
      <c r="J46" s="4"/>
      <c r="K46" s="39" t="str">
        <f>VLOOKUP(L46,Auswahlfelder!$B$7:$C$9,2,FALSE)</f>
        <v>3 shifts</v>
      </c>
      <c r="L46" s="296" t="s">
        <v>21</v>
      </c>
      <c r="M46" s="104" t="str">
        <f>IFERROR(VLOOKUP(L$46,Auswahlfelder!$D$7:$D$9,1,FALSE),VLOOKUP(L$46,Auswahlfelder!$C$7:$D$9,2,FALSE))</f>
        <v>3-Schicht</v>
      </c>
      <c r="N46" s="132"/>
      <c r="O46" s="296" t="s">
        <v>20</v>
      </c>
      <c r="P46" s="104" t="str">
        <f>IFERROR(VLOOKUP(O$46,Auswahlfelder!$D$7:$D$9,1,FALSE),VLOOKUP(O$46,Auswahlfelder!$C$7:$D$9,2,FALSE))</f>
        <v>2-Schicht</v>
      </c>
      <c r="Q46" s="132"/>
      <c r="R46" s="296" t="s">
        <v>20</v>
      </c>
      <c r="S46" s="104" t="str">
        <f>IFERROR(VLOOKUP(R$46,Auswahlfelder!$D$7:$D$9,1,FALSE),VLOOKUP(R$46,Auswahlfelder!$C$7:$D$9,2,FALSE))</f>
        <v>2-Schicht</v>
      </c>
      <c r="T46" s="39"/>
      <c r="U46" s="47" t="s">
        <v>20</v>
      </c>
      <c r="V46" s="104" t="str">
        <f>IFERROR(VLOOKUP(U$46,Auswahlfelder!$D$7:$D$9,1,FALSE),VLOOKUP(U$46,Auswahlfelder!$C$7:$D$9,2,FALSE))</f>
        <v>2-Schicht</v>
      </c>
      <c r="W46" s="39"/>
      <c r="X46" s="47" t="s">
        <v>20</v>
      </c>
      <c r="Y46" s="104" t="str">
        <f>IFERROR(VLOOKUP(X$46,Auswahlfelder!$D$7:$D$9,1,FALSE),VLOOKUP(X$46,Auswahlfelder!$C$7:$D$9,2,FALSE))</f>
        <v>2-Schicht</v>
      </c>
      <c r="Z46" s="39"/>
      <c r="AA46" s="47" t="s">
        <v>20</v>
      </c>
      <c r="AB46" s="245" t="str">
        <f>IFERROR(VLOOKUP(AA$46,Auswahlfelder!$D$7:$D$9,1,FALSE),VLOOKUP(AA$46,Auswahlfelder!$C$7:$D$9,2,FALSE))</f>
        <v>2-Schicht</v>
      </c>
      <c r="AC46" s="3" t="s">
        <v>33</v>
      </c>
    </row>
    <row r="47" spans="1:29" x14ac:dyDescent="0.2">
      <c r="A47" s="26"/>
      <c r="B47" s="325"/>
      <c r="C47" s="324" t="s">
        <v>52</v>
      </c>
      <c r="D47" s="324" t="s">
        <v>85</v>
      </c>
      <c r="E47" s="339">
        <v>4</v>
      </c>
      <c r="F47" s="340">
        <v>7</v>
      </c>
      <c r="G47" s="239">
        <v>5</v>
      </c>
      <c r="H47" s="125"/>
      <c r="I47" s="18" t="str">
        <f t="shared" si="2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39"/>
      <c r="U47" s="33">
        <v>5</v>
      </c>
      <c r="V47" s="110">
        <f>U$47</f>
        <v>5</v>
      </c>
      <c r="W47" s="39"/>
      <c r="X47" s="33">
        <v>5</v>
      </c>
      <c r="Y47" s="110">
        <f>X$47</f>
        <v>5</v>
      </c>
      <c r="Z47" s="39"/>
      <c r="AA47" s="33">
        <v>5</v>
      </c>
      <c r="AB47" s="679">
        <f>AA$47</f>
        <v>5</v>
      </c>
      <c r="AC47" s="3" t="s">
        <v>33</v>
      </c>
    </row>
    <row r="48" spans="1:29" x14ac:dyDescent="0.2">
      <c r="A48" s="26"/>
      <c r="B48" s="325"/>
      <c r="C48" s="324" t="s">
        <v>53</v>
      </c>
      <c r="D48" s="324" t="s">
        <v>86</v>
      </c>
      <c r="E48" s="339">
        <v>40</v>
      </c>
      <c r="F48" s="340">
        <v>50</v>
      </c>
      <c r="G48" s="239">
        <v>48</v>
      </c>
      <c r="H48" s="125"/>
      <c r="I48" s="18" t="str">
        <f t="shared" si="2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39"/>
      <c r="U48" s="33">
        <v>48</v>
      </c>
      <c r="V48" s="110">
        <f>U$48</f>
        <v>48</v>
      </c>
      <c r="W48" s="39"/>
      <c r="X48" s="33">
        <v>48</v>
      </c>
      <c r="Y48" s="110">
        <f>X$48</f>
        <v>48</v>
      </c>
      <c r="Z48" s="39"/>
      <c r="AA48" s="33">
        <v>48</v>
      </c>
      <c r="AB48" s="679">
        <f>AA$48</f>
        <v>48</v>
      </c>
      <c r="AC48" s="3" t="s">
        <v>33</v>
      </c>
    </row>
    <row r="49" spans="1:31" x14ac:dyDescent="0.2">
      <c r="A49" s="26"/>
      <c r="B49" s="327">
        <v>16</v>
      </c>
      <c r="C49" s="324" t="s">
        <v>95</v>
      </c>
      <c r="D49" s="324" t="s">
        <v>117</v>
      </c>
      <c r="E49" s="339"/>
      <c r="F49" s="340"/>
      <c r="G49" s="239" t="str">
        <f>INDEX(AW_Größe,Auswahlfelder!C25,1)</f>
        <v>mittel</v>
      </c>
      <c r="H49" s="125"/>
      <c r="I49" s="18" t="str">
        <f t="shared" si="20"/>
        <v>Firmengröße</v>
      </c>
      <c r="J49" s="10"/>
      <c r="K49" s="39" t="str">
        <f>VLOOKUP(L49,Auswahlfelder!$B$26:$G$28,2,FALSE)</f>
        <v>mid size</v>
      </c>
      <c r="L49" s="296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39"/>
      <c r="U49" s="47" t="s">
        <v>27</v>
      </c>
      <c r="V49" s="104" t="str">
        <f>IFERROR(VLOOKUP(U$49,Auswahlfelder!$D$26:$D$28,1,FALSE),VLOOKUP(U$49,Auswahlfelder!$C$26:$D$28,2,FALSE))</f>
        <v>mittel</v>
      </c>
      <c r="W49" s="39"/>
      <c r="X49" s="47" t="s">
        <v>27</v>
      </c>
      <c r="Y49" s="104" t="str">
        <f>IFERROR(VLOOKUP(X$49,Auswahlfelder!$D$26:$D$28,1,FALSE),VLOOKUP(X$49,Auswahlfelder!$C$26:$D$28,2,FALSE))</f>
        <v>mittel</v>
      </c>
      <c r="Z49" s="39"/>
      <c r="AA49" s="47" t="s">
        <v>27</v>
      </c>
      <c r="AB49" s="245" t="str">
        <f>IFERROR(VLOOKUP(AA$49,Auswahlfelder!$D$26:$D$28,1,FALSE),VLOOKUP(AA$49,Auswahlfelder!$C$26:$D$28,2,FALSE))</f>
        <v>mittel</v>
      </c>
      <c r="AC49" s="3" t="s">
        <v>33</v>
      </c>
    </row>
    <row r="50" spans="1:31" x14ac:dyDescent="0.2">
      <c r="A50" s="26"/>
      <c r="B50" s="327">
        <v>30</v>
      </c>
      <c r="C50" s="324" t="s">
        <v>587</v>
      </c>
      <c r="D50" s="324" t="s">
        <v>188</v>
      </c>
      <c r="E50" s="339">
        <v>0.5</v>
      </c>
      <c r="F50" s="340">
        <v>1</v>
      </c>
      <c r="G50" s="241">
        <f>'Länder-DB'!I31</f>
        <v>0.8</v>
      </c>
      <c r="H50" s="125"/>
      <c r="I50" s="18" t="str">
        <f t="shared" si="20"/>
        <v>Mittl. Maschinennutzung (%)</v>
      </c>
      <c r="J50" s="10"/>
      <c r="K50" s="111">
        <f>L50</f>
        <v>0.8</v>
      </c>
      <c r="L50" s="303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111"/>
      <c r="U50" s="54">
        <v>0.8</v>
      </c>
      <c r="V50" s="111">
        <f>U$50</f>
        <v>0.8</v>
      </c>
      <c r="W50" s="111"/>
      <c r="X50" s="54">
        <v>0.8</v>
      </c>
      <c r="Y50" s="111">
        <f>X$50</f>
        <v>0.8</v>
      </c>
      <c r="Z50" s="111"/>
      <c r="AA50" s="54">
        <v>0.8</v>
      </c>
      <c r="AB50" s="246">
        <f>AA$50</f>
        <v>0.8</v>
      </c>
      <c r="AC50" s="3" t="s">
        <v>33</v>
      </c>
    </row>
    <row r="51" spans="1:31" ht="12.75" customHeight="1" x14ac:dyDescent="0.2">
      <c r="A51" s="26"/>
      <c r="B51" s="325"/>
      <c r="C51" s="324" t="s">
        <v>5</v>
      </c>
      <c r="D51" s="324" t="s">
        <v>91</v>
      </c>
      <c r="E51" s="339"/>
      <c r="F51" s="340"/>
      <c r="G51" s="239"/>
      <c r="H51" s="17"/>
      <c r="I51" s="263" t="str">
        <f t="shared" si="20"/>
        <v>Zielpreis Bauteil</v>
      </c>
      <c r="J51" s="670" t="str">
        <f>CONCATENATE("FY ",RIGHT(YEAR(L$34-110),2),"/",RIGHT(YEAR(L$34-110)+1,2))</f>
        <v>FY 18/19</v>
      </c>
      <c r="K51" s="112"/>
      <c r="L51" s="976"/>
      <c r="M51" s="233" t="str">
        <f ca="1">$C$37</f>
        <v>FY 21/22</v>
      </c>
      <c r="N51" s="234"/>
      <c r="O51" s="688"/>
      <c r="P51" s="233" t="str">
        <f ca="1">$C$37</f>
        <v>FY 21/22</v>
      </c>
      <c r="Q51" s="234"/>
      <c r="R51" s="688"/>
      <c r="S51" s="233" t="str">
        <f ca="1">$C$37</f>
        <v>FY 21/22</v>
      </c>
      <c r="T51" s="234"/>
      <c r="U51" s="688"/>
      <c r="V51" s="233" t="str">
        <f ca="1">$C$37</f>
        <v>FY 21/22</v>
      </c>
      <c r="W51" s="234"/>
      <c r="X51" s="688"/>
      <c r="Y51" s="233" t="str">
        <f ca="1">$C$37</f>
        <v>FY 21/22</v>
      </c>
      <c r="Z51" s="234"/>
      <c r="AA51" s="688"/>
      <c r="AB51" s="387" t="str">
        <f ca="1">$C$37</f>
        <v>FY 21/22</v>
      </c>
      <c r="AC51" s="3" t="s">
        <v>33</v>
      </c>
    </row>
    <row r="52" spans="1:31" ht="14.25" customHeight="1" x14ac:dyDescent="0.2">
      <c r="A52" s="26"/>
      <c r="B52" s="325"/>
      <c r="C52" s="324" t="str">
        <f t="shared" ref="C52:D56" ca="1" si="21">C37</f>
        <v>FY 21/22</v>
      </c>
      <c r="D52" s="324" t="str">
        <f t="shared" ca="1" si="21"/>
        <v>FY 21/22</v>
      </c>
      <c r="E52" s="339">
        <v>0.1</v>
      </c>
      <c r="F52" s="340"/>
      <c r="G52" s="239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39"/>
      <c r="U52" s="51" t="s">
        <v>69</v>
      </c>
      <c r="V52" s="39" t="str">
        <f>IF(U$52&lt;&gt;"",U$52,0)</f>
        <v>?</v>
      </c>
      <c r="W52" s="39"/>
      <c r="X52" s="51" t="s">
        <v>69</v>
      </c>
      <c r="Y52" s="39" t="str">
        <f>IF(X$52&lt;&gt;"",X$52,0)</f>
        <v>?</v>
      </c>
      <c r="Z52" s="39"/>
      <c r="AA52" s="51" t="s">
        <v>69</v>
      </c>
      <c r="AB52" s="244" t="str">
        <f>IF(AA$52&lt;&gt;"",AA$52,0)</f>
        <v>?</v>
      </c>
      <c r="AC52" s="3" t="s">
        <v>33</v>
      </c>
    </row>
    <row r="53" spans="1:31" x14ac:dyDescent="0.2">
      <c r="A53" s="26"/>
      <c r="B53" s="325"/>
      <c r="C53" s="324" t="str">
        <f t="shared" ca="1" si="21"/>
        <v>FY 22/23</v>
      </c>
      <c r="D53" s="324" t="str">
        <f t="shared" ca="1" si="21"/>
        <v>FY 22/23</v>
      </c>
      <c r="E53" s="339">
        <v>0.1</v>
      </c>
      <c r="F53" s="340"/>
      <c r="G53" s="239"/>
      <c r="H53" s="17"/>
      <c r="I53" s="20" t="str">
        <f ca="1">IF($G$2,C53,D53)</f>
        <v>FY 22/23</v>
      </c>
      <c r="J53" s="18"/>
      <c r="K53" s="493" t="str">
        <f>TEXT(M53,"0,00")</f>
        <v>55,00</v>
      </c>
      <c r="L53" s="299"/>
      <c r="M53" s="39">
        <f>IF(L$53&lt;&gt;"",L$53,M$52)</f>
        <v>55</v>
      </c>
      <c r="N53" s="493" t="str">
        <f>TEXT(P53,"0,00")</f>
        <v>55,00</v>
      </c>
      <c r="O53" s="299"/>
      <c r="P53" s="39">
        <f>IF(O$53&lt;&gt;"",O$53,P$52)</f>
        <v>55</v>
      </c>
      <c r="Q53" s="493" t="str">
        <f>TEXT(S53,"0,00")</f>
        <v>55,00</v>
      </c>
      <c r="R53" s="299"/>
      <c r="S53" s="39">
        <f>IF(R$53&lt;&gt;"",R$53,S$52)</f>
        <v>55</v>
      </c>
      <c r="T53" s="493" t="str">
        <f>TEXT(V53,"0,00")</f>
        <v>?</v>
      </c>
      <c r="U53" s="299"/>
      <c r="V53" s="39" t="str">
        <f>IF(U$53&lt;&gt;"",U$53,V$52)</f>
        <v>?</v>
      </c>
      <c r="W53" s="493" t="str">
        <f>TEXT(Y53,"0,00")</f>
        <v>?</v>
      </c>
      <c r="X53" s="299"/>
      <c r="Y53" s="39" t="str">
        <f>IF(X$53&lt;&gt;"",X$53,Y$52)</f>
        <v>?</v>
      </c>
      <c r="Z53" s="493" t="str">
        <f>TEXT(AB53,"0,00")</f>
        <v>?</v>
      </c>
      <c r="AA53" s="299"/>
      <c r="AB53" s="244" t="str">
        <f>IF(AA$53&lt;&gt;"",AA$53,AB$52)</f>
        <v>?</v>
      </c>
      <c r="AC53" s="3" t="s">
        <v>33</v>
      </c>
    </row>
    <row r="54" spans="1:31" x14ac:dyDescent="0.2">
      <c r="A54" s="26"/>
      <c r="B54" s="325"/>
      <c r="C54" s="324" t="str">
        <f t="shared" ca="1" si="21"/>
        <v>FY 23/24</v>
      </c>
      <c r="D54" s="324" t="str">
        <f t="shared" ca="1" si="21"/>
        <v>FY 23/24</v>
      </c>
      <c r="E54" s="339">
        <v>0.1</v>
      </c>
      <c r="F54" s="340"/>
      <c r="G54" s="239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9"/>
      <c r="M54" s="39">
        <f>IF(L$54&lt;&gt;"",L$54,M$53)</f>
        <v>55</v>
      </c>
      <c r="N54" s="134" t="str">
        <f>TEXT(P54,"0,00")</f>
        <v>55,00</v>
      </c>
      <c r="O54" s="299"/>
      <c r="P54" s="39">
        <f>IF(O$54&lt;&gt;"",O$54,P$53)</f>
        <v>55</v>
      </c>
      <c r="Q54" s="134" t="str">
        <f>TEXT(S54,"0,00")</f>
        <v>55,00</v>
      </c>
      <c r="R54" s="299"/>
      <c r="S54" s="39">
        <f>IF(R$54&lt;&gt;"",R$54,S$53)</f>
        <v>55</v>
      </c>
      <c r="T54" s="134" t="str">
        <f>TEXT(V54,"0,00")</f>
        <v>?</v>
      </c>
      <c r="U54" s="299"/>
      <c r="V54" s="39" t="str">
        <f>IF(U$54&lt;&gt;"",U$54,V$53)</f>
        <v>?</v>
      </c>
      <c r="W54" s="134" t="str">
        <f>TEXT(Y54,"0,00")</f>
        <v>?</v>
      </c>
      <c r="X54" s="299"/>
      <c r="Y54" s="39" t="str">
        <f>IF(X$54&lt;&gt;"",X$54,Y$53)</f>
        <v>?</v>
      </c>
      <c r="Z54" s="134" t="str">
        <f>TEXT(AB54,"0,00")</f>
        <v>?</v>
      </c>
      <c r="AA54" s="299"/>
      <c r="AB54" s="244" t="str">
        <f>IF(AA$54&lt;&gt;"",AA$54,AB$53)</f>
        <v>?</v>
      </c>
      <c r="AC54" s="3" t="s">
        <v>33</v>
      </c>
    </row>
    <row r="55" spans="1:31" x14ac:dyDescent="0.2">
      <c r="A55" s="26"/>
      <c r="B55" s="325"/>
      <c r="C55" s="324" t="str">
        <f t="shared" ca="1" si="21"/>
        <v>FY 24/25</v>
      </c>
      <c r="D55" s="324" t="str">
        <f t="shared" ca="1" si="21"/>
        <v>FY 24/25</v>
      </c>
      <c r="E55" s="339">
        <v>0.1</v>
      </c>
      <c r="F55" s="340"/>
      <c r="G55" s="239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9"/>
      <c r="M55" s="39">
        <f>IF(L$55&lt;&gt;"",L$55,M$54)</f>
        <v>55</v>
      </c>
      <c r="N55" s="134" t="str">
        <f>TEXT(P55,"0,00")</f>
        <v>55,00</v>
      </c>
      <c r="O55" s="299"/>
      <c r="P55" s="39">
        <f>IF(O$55&lt;&gt;"",O$55,P$54)</f>
        <v>55</v>
      </c>
      <c r="Q55" s="134" t="str">
        <f>TEXT(S55,"0,00")</f>
        <v>55,00</v>
      </c>
      <c r="R55" s="299"/>
      <c r="S55" s="39">
        <f>IF(R$55&lt;&gt;"",R$55,S$54)</f>
        <v>55</v>
      </c>
      <c r="T55" s="134" t="str">
        <f>TEXT(V55,"0,00")</f>
        <v>?</v>
      </c>
      <c r="U55" s="299"/>
      <c r="V55" s="39" t="str">
        <f>IF(U$55&lt;&gt;"",U$55,V$54)</f>
        <v>?</v>
      </c>
      <c r="W55" s="134" t="str">
        <f>TEXT(Y55,"0,00")</f>
        <v>?</v>
      </c>
      <c r="X55" s="299"/>
      <c r="Y55" s="39" t="str">
        <f>IF(X$55&lt;&gt;"",X$55,Y$54)</f>
        <v>?</v>
      </c>
      <c r="Z55" s="134" t="str">
        <f>TEXT(AB55,"0,00")</f>
        <v>?</v>
      </c>
      <c r="AA55" s="299"/>
      <c r="AB55" s="244" t="str">
        <f>IF(AA$55&lt;&gt;"",AA$55,AB$54)</f>
        <v>?</v>
      </c>
      <c r="AC55" s="3" t="s">
        <v>33</v>
      </c>
    </row>
    <row r="56" spans="1:31" x14ac:dyDescent="0.2">
      <c r="A56" s="26"/>
      <c r="B56" s="325"/>
      <c r="C56" s="324" t="str">
        <f t="shared" ca="1" si="21"/>
        <v>FY 25/26</v>
      </c>
      <c r="D56" s="324" t="str">
        <f t="shared" ca="1" si="21"/>
        <v>FY 25/26</v>
      </c>
      <c r="E56" s="339">
        <v>0.1</v>
      </c>
      <c r="F56" s="340"/>
      <c r="G56" s="239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9"/>
      <c r="M56" s="39">
        <f>IF(L$56&lt;&gt;"",L$56,M$55)</f>
        <v>55</v>
      </c>
      <c r="N56" s="134" t="str">
        <f>TEXT(P56,"0,00")</f>
        <v>55,00</v>
      </c>
      <c r="O56" s="299"/>
      <c r="P56" s="39">
        <f>IF(O$56&lt;&gt;"",O$56,P$55)</f>
        <v>55</v>
      </c>
      <c r="Q56" s="134" t="str">
        <f>TEXT(S56,"0,00")</f>
        <v>55,00</v>
      </c>
      <c r="R56" s="299"/>
      <c r="S56" s="39">
        <f>IF(R$56&lt;&gt;"",R$56,S$55)</f>
        <v>55</v>
      </c>
      <c r="T56" s="134" t="str">
        <f>TEXT(V56,"0,00")</f>
        <v>?</v>
      </c>
      <c r="U56" s="299"/>
      <c r="V56" s="39" t="str">
        <f>IF(U$56&lt;&gt;"",U$56,V$55)</f>
        <v>?</v>
      </c>
      <c r="W56" s="134" t="str">
        <f>TEXT(Y56,"0,00")</f>
        <v>?</v>
      </c>
      <c r="X56" s="299"/>
      <c r="Y56" s="39" t="str">
        <f>IF(X$56&lt;&gt;"",X$56,Y$55)</f>
        <v>?</v>
      </c>
      <c r="Z56" s="134" t="str">
        <f>TEXT(AB56,"0,00")</f>
        <v>?</v>
      </c>
      <c r="AA56" s="299"/>
      <c r="AB56" s="244" t="str">
        <f>IF(AA$56&lt;&gt;"",AA$56,AB$55)</f>
        <v>?</v>
      </c>
      <c r="AC56" s="3" t="s">
        <v>33</v>
      </c>
    </row>
    <row r="57" spans="1:31" x14ac:dyDescent="0.2">
      <c r="A57" s="26"/>
      <c r="B57" s="325"/>
      <c r="C57" s="324" t="s">
        <v>780</v>
      </c>
      <c r="D57" s="324" t="s">
        <v>238</v>
      </c>
      <c r="E57" s="339">
        <v>0</v>
      </c>
      <c r="F57" s="340"/>
      <c r="G57" s="43" t="s">
        <v>69</v>
      </c>
      <c r="H57" s="17"/>
      <c r="I57" s="21" t="str">
        <f t="shared" ref="I57:I84" si="22">IF($G$2,C57,D57)</f>
        <v>Modellkosten</v>
      </c>
      <c r="J57" s="18"/>
      <c r="K57" s="39">
        <f>L57</f>
        <v>10000</v>
      </c>
      <c r="L57" s="304">
        <v>10000</v>
      </c>
      <c r="M57" s="673">
        <f>L$57</f>
        <v>10000</v>
      </c>
      <c r="N57" s="39"/>
      <c r="O57" s="188">
        <v>5600</v>
      </c>
      <c r="P57" s="673">
        <f>O$57</f>
        <v>5600</v>
      </c>
      <c r="Q57" s="39"/>
      <c r="R57" s="188">
        <v>7500</v>
      </c>
      <c r="S57" s="673">
        <f t="shared" ref="S57" si="23">R$57</f>
        <v>7500</v>
      </c>
      <c r="T57" s="39"/>
      <c r="U57" s="188" t="s">
        <v>69</v>
      </c>
      <c r="V57" s="673" t="str">
        <f t="shared" ref="V57" si="24">U$57</f>
        <v>?</v>
      </c>
      <c r="W57" s="39"/>
      <c r="X57" s="188" t="s">
        <v>69</v>
      </c>
      <c r="Y57" s="673" t="str">
        <f t="shared" ref="Y57" si="25">X$57</f>
        <v>?</v>
      </c>
      <c r="Z57" s="39"/>
      <c r="AA57" s="188" t="s">
        <v>69</v>
      </c>
      <c r="AB57" s="680" t="str">
        <f t="shared" ref="AB57" si="26">AA$57</f>
        <v>?</v>
      </c>
      <c r="AC57" s="3" t="s">
        <v>33</v>
      </c>
    </row>
    <row r="58" spans="1:31" ht="15" thickBot="1" x14ac:dyDescent="0.25">
      <c r="A58" s="26"/>
      <c r="B58" s="329"/>
      <c r="C58" s="330" t="s">
        <v>781</v>
      </c>
      <c r="D58" s="330" t="s">
        <v>779</v>
      </c>
      <c r="E58" s="343">
        <v>0</v>
      </c>
      <c r="F58" s="344"/>
      <c r="G58" s="243" t="s">
        <v>69</v>
      </c>
      <c r="H58" s="17"/>
      <c r="I58" s="21" t="str">
        <f t="shared" ref="I58" si="27">IF($G$2,C58,D58)</f>
        <v>Kosten Kernkästen</v>
      </c>
      <c r="J58" s="18"/>
      <c r="K58" s="39">
        <f>L58</f>
        <v>500</v>
      </c>
      <c r="L58" s="304">
        <v>500</v>
      </c>
      <c r="M58" s="673">
        <f>IF(M23=Auswahlfelder!$D$49,0,L$58)</f>
        <v>0</v>
      </c>
      <c r="N58" s="39"/>
      <c r="O58" s="188">
        <v>400</v>
      </c>
      <c r="P58" s="673">
        <f>IF(P23=Auswahlfelder!$D$49,0,O$58)</f>
        <v>0</v>
      </c>
      <c r="Q58" s="39"/>
      <c r="R58" s="188">
        <v>550</v>
      </c>
      <c r="S58" s="673">
        <f>IF(S23=Auswahlfelder!$D$49,0,R$58)</f>
        <v>0</v>
      </c>
      <c r="T58" s="39"/>
      <c r="U58" s="188" t="s">
        <v>69</v>
      </c>
      <c r="V58" s="673">
        <f>IF(V23=Auswahlfelder!$D$49,0,U$58)</f>
        <v>0</v>
      </c>
      <c r="W58" s="39"/>
      <c r="X58" s="188" t="s">
        <v>69</v>
      </c>
      <c r="Y58" s="673">
        <f>IF(Y23=Auswahlfelder!$D$49,0,X$58)</f>
        <v>0</v>
      </c>
      <c r="Z58" s="39"/>
      <c r="AA58" s="188" t="s">
        <v>69</v>
      </c>
      <c r="AB58" s="680">
        <f>IF(AB23=Auswahlfelder!$D$49,0,AA$58)</f>
        <v>0</v>
      </c>
      <c r="AC58" s="3" t="s">
        <v>33</v>
      </c>
      <c r="AE58" s="526"/>
    </row>
    <row r="59" spans="1:31" hidden="1" x14ac:dyDescent="0.2">
      <c r="A59" s="26"/>
      <c r="B59" s="327">
        <v>15</v>
      </c>
      <c r="C59" s="331" t="s">
        <v>230</v>
      </c>
      <c r="D59" s="331" t="s">
        <v>168</v>
      </c>
      <c r="E59" s="345">
        <v>0.01</v>
      </c>
      <c r="F59" s="346">
        <v>0.09</v>
      </c>
      <c r="G59" s="240" t="s">
        <v>189</v>
      </c>
      <c r="H59" s="17"/>
      <c r="I59" s="21" t="str">
        <f t="shared" si="2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5">
        <f>Refkalkulation!H$16</f>
        <v>5.5500000000000001E-2</v>
      </c>
      <c r="N59" s="235"/>
      <c r="O59" s="135">
        <f>P$59</f>
        <v>5.5500000000000001E-2</v>
      </c>
      <c r="P59" s="235">
        <f>Refkalkulation!K$16</f>
        <v>5.5500000000000001E-2</v>
      </c>
      <c r="Q59" s="235"/>
      <c r="R59" s="135">
        <f>S$59</f>
        <v>5.5500000000000001E-2</v>
      </c>
      <c r="S59" s="235">
        <f>Refkalkulation!N$16</f>
        <v>5.5500000000000001E-2</v>
      </c>
      <c r="T59" s="235"/>
      <c r="U59" s="135">
        <f>V$59</f>
        <v>0</v>
      </c>
      <c r="V59" s="235">
        <f>Refkalkulation!Q$16</f>
        <v>0</v>
      </c>
      <c r="W59" s="235"/>
      <c r="X59" s="135">
        <f>Y$59</f>
        <v>0</v>
      </c>
      <c r="Y59" s="235">
        <f>Refkalkulation!T$16</f>
        <v>0</v>
      </c>
      <c r="Z59" s="235"/>
      <c r="AA59" s="135">
        <f>AB$59</f>
        <v>0</v>
      </c>
      <c r="AB59" s="277">
        <f>Refkalkulation!W$16</f>
        <v>0</v>
      </c>
      <c r="AC59" s="3"/>
    </row>
    <row r="60" spans="1:31" hidden="1" x14ac:dyDescent="0.2">
      <c r="A60" s="26"/>
      <c r="B60" s="327">
        <v>42</v>
      </c>
      <c r="C60" s="324" t="s">
        <v>98</v>
      </c>
      <c r="D60" s="324" t="s">
        <v>825</v>
      </c>
      <c r="E60" s="341">
        <v>0.05</v>
      </c>
      <c r="F60" s="342">
        <v>0.12</v>
      </c>
      <c r="G60" s="240" t="s">
        <v>189</v>
      </c>
      <c r="H60" s="17"/>
      <c r="I60" s="21" t="str">
        <f t="shared" si="2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5">
        <f>Refkalkulation!H$24</f>
        <v>7.0000000000000007E-2</v>
      </c>
      <c r="N60" s="235"/>
      <c r="O60" s="135">
        <f>P$60</f>
        <v>7.0000000000000007E-2</v>
      </c>
      <c r="P60" s="235">
        <f>Refkalkulation!K$24</f>
        <v>7.0000000000000007E-2</v>
      </c>
      <c r="Q60" s="235"/>
      <c r="R60" s="135">
        <f>S$60</f>
        <v>7.0000000000000007E-2</v>
      </c>
      <c r="S60" s="235">
        <f>Refkalkulation!N$24</f>
        <v>7.0000000000000007E-2</v>
      </c>
      <c r="T60" s="235"/>
      <c r="U60" s="135">
        <f>V$60</f>
        <v>7.0000000000000007E-2</v>
      </c>
      <c r="V60" s="235">
        <f>Refkalkulation!Q$24</f>
        <v>7.0000000000000007E-2</v>
      </c>
      <c r="W60" s="235"/>
      <c r="X60" s="135">
        <f>Y$60</f>
        <v>7.0000000000000007E-2</v>
      </c>
      <c r="Y60" s="235">
        <f>Refkalkulation!T$24</f>
        <v>7.0000000000000007E-2</v>
      </c>
      <c r="Z60" s="235"/>
      <c r="AA60" s="135">
        <f>AB$60</f>
        <v>7.0000000000000007E-2</v>
      </c>
      <c r="AB60" s="277">
        <f>Refkalkulation!W$24</f>
        <v>7.0000000000000007E-2</v>
      </c>
      <c r="AC60" s="3"/>
    </row>
    <row r="61" spans="1:31" hidden="1" x14ac:dyDescent="0.2">
      <c r="A61" s="26"/>
      <c r="B61" s="327" t="s">
        <v>69</v>
      </c>
      <c r="C61" s="324" t="s">
        <v>814</v>
      </c>
      <c r="D61" s="324" t="s">
        <v>813</v>
      </c>
      <c r="E61" s="341"/>
      <c r="F61" s="342"/>
      <c r="G61" s="792" t="str">
        <f>Auswahlfelder!$B$71</f>
        <v>Gas</v>
      </c>
      <c r="H61" s="17"/>
      <c r="I61" s="21" t="str">
        <f t="shared" si="2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5" t="str">
        <f>Refkalkulation!I32</f>
        <v>Gas</v>
      </c>
      <c r="N61" s="235"/>
      <c r="O61" s="135" t="str">
        <f>VLOOKUP(VLOOKUP(P$61,Auswahlfelder!$D$71:$E$73,2,FALSE),Auswahlfelder!$A$71:$B$73,2,FALSE)</f>
        <v>Gas</v>
      </c>
      <c r="P61" s="235" t="str">
        <f>Refkalkulation!L32</f>
        <v>Gas</v>
      </c>
      <c r="Q61" s="235"/>
      <c r="R61" s="135" t="str">
        <f>VLOOKUP(VLOOKUP(S$61,Auswahlfelder!$D$71:$E$73,2,FALSE),Auswahlfelder!$A$71:$B$73,2,FALSE)</f>
        <v>Gas</v>
      </c>
      <c r="S61" s="235" t="str">
        <f>Refkalkulation!O32</f>
        <v>Gas</v>
      </c>
      <c r="T61" s="235"/>
      <c r="U61" s="135" t="str">
        <f>VLOOKUP(VLOOKUP(V$61,Auswahlfelder!$D$71:$E$73,2,FALSE),Auswahlfelder!$A$71:$B$73,2,FALSE)</f>
        <v>Gas</v>
      </c>
      <c r="V61" s="235" t="str">
        <f>Refkalkulation!R32</f>
        <v>Gas</v>
      </c>
      <c r="W61" s="235"/>
      <c r="X61" s="135" t="str">
        <f>VLOOKUP(VLOOKUP(Y$61,Auswahlfelder!$D$71:$E$73,2,FALSE),Auswahlfelder!$A$71:$B$73,2,FALSE)</f>
        <v>Gas</v>
      </c>
      <c r="Y61" s="235" t="str">
        <f>Refkalkulation!U32</f>
        <v>Gas</v>
      </c>
      <c r="Z61" s="235"/>
      <c r="AA61" s="135" t="str">
        <f>VLOOKUP(VLOOKUP(AB$61,Auswahlfelder!$D$71:$E$73,2,FALSE),Auswahlfelder!$A$71:$B$73,2,FALSE)</f>
        <v>Gas</v>
      </c>
      <c r="AB61" s="277" t="str">
        <f>Refkalkulation!X32</f>
        <v>Gas</v>
      </c>
      <c r="AC61" s="879" t="s">
        <v>33</v>
      </c>
    </row>
    <row r="62" spans="1:31" hidden="1" x14ac:dyDescent="0.2">
      <c r="A62" s="26"/>
      <c r="B62" s="327">
        <v>20</v>
      </c>
      <c r="C62" s="324" t="s">
        <v>911</v>
      </c>
      <c r="D62" s="324" t="s">
        <v>912</v>
      </c>
      <c r="E62" s="341"/>
      <c r="F62" s="342"/>
      <c r="G62" s="1064">
        <v>0</v>
      </c>
      <c r="H62" s="17"/>
      <c r="I62" s="21" t="str">
        <f t="shared" ref="I62" si="28">IF($G$2,C62,D62)</f>
        <v>Ofenleistung</v>
      </c>
      <c r="J62" s="18"/>
      <c r="K62" s="111"/>
      <c r="L62" s="187">
        <f>M$62</f>
        <v>2000</v>
      </c>
      <c r="M62" s="235">
        <f>Refkalkulation!H$31</f>
        <v>2000</v>
      </c>
      <c r="N62" s="235"/>
      <c r="O62" s="187">
        <f>P$62</f>
        <v>2000</v>
      </c>
      <c r="P62" s="235">
        <f>Refkalkulation!K$31</f>
        <v>2000</v>
      </c>
      <c r="Q62" s="235"/>
      <c r="R62" s="187">
        <f t="shared" ref="R62" si="29">S$62</f>
        <v>2000</v>
      </c>
      <c r="S62" s="235">
        <f>Refkalkulation!N$31</f>
        <v>2000</v>
      </c>
      <c r="T62" s="235"/>
      <c r="U62" s="187">
        <f t="shared" ref="U62" si="30">V$62</f>
        <v>0</v>
      </c>
      <c r="V62" s="235">
        <f>Refkalkulation!Q$31</f>
        <v>0</v>
      </c>
      <c r="W62" s="235"/>
      <c r="X62" s="187">
        <f t="shared" ref="X62" si="31">Y$62</f>
        <v>0</v>
      </c>
      <c r="Y62" s="235">
        <f>Refkalkulation!T$31</f>
        <v>0</v>
      </c>
      <c r="Z62" s="235"/>
      <c r="AA62" s="187">
        <f t="shared" ref="AA62" si="32">AB$62</f>
        <v>0</v>
      </c>
      <c r="AB62" s="277">
        <f>Refkalkulation!W$31</f>
        <v>0</v>
      </c>
      <c r="AC62" s="879" t="s">
        <v>33</v>
      </c>
      <c r="AE62" s="526"/>
    </row>
    <row r="63" spans="1:31" hidden="1" x14ac:dyDescent="0.2">
      <c r="A63" s="26"/>
      <c r="B63" s="327">
        <v>4</v>
      </c>
      <c r="C63" s="324" t="s">
        <v>383</v>
      </c>
      <c r="D63" s="324" t="s">
        <v>384</v>
      </c>
      <c r="E63" s="339">
        <v>1</v>
      </c>
      <c r="F63" s="340">
        <v>12</v>
      </c>
      <c r="G63" s="240" t="s">
        <v>189</v>
      </c>
      <c r="H63" s="17"/>
      <c r="I63" s="21" t="str">
        <f t="shared" si="22"/>
        <v>Modelle/Platte</v>
      </c>
      <c r="J63" s="18"/>
      <c r="K63" s="120">
        <f>Refkalkulation!H$50</f>
        <v>1</v>
      </c>
      <c r="L63" s="187">
        <f>M$63</f>
        <v>1</v>
      </c>
      <c r="M63" s="278">
        <f>Refkalkulation!H$50</f>
        <v>1</v>
      </c>
      <c r="N63" s="279"/>
      <c r="O63" s="187">
        <f>P$63</f>
        <v>1</v>
      </c>
      <c r="P63" s="278">
        <f>Refkalkulation!K$50</f>
        <v>1</v>
      </c>
      <c r="Q63" s="279"/>
      <c r="R63" s="187">
        <f>S$63</f>
        <v>1</v>
      </c>
      <c r="S63" s="278">
        <f>Refkalkulation!N$50</f>
        <v>1</v>
      </c>
      <c r="T63" s="279"/>
      <c r="U63" s="187">
        <f>V$63</f>
        <v>1</v>
      </c>
      <c r="V63" s="278">
        <f>Refkalkulation!Q$50</f>
        <v>1</v>
      </c>
      <c r="W63" s="279"/>
      <c r="X63" s="187">
        <f>Y$63</f>
        <v>1</v>
      </c>
      <c r="Y63" s="278">
        <f>Refkalkulation!T$50</f>
        <v>1</v>
      </c>
      <c r="Z63" s="279"/>
      <c r="AA63" s="187">
        <f>AB$63</f>
        <v>1</v>
      </c>
      <c r="AB63" s="380">
        <f>Refkalkulation!W$50</f>
        <v>1</v>
      </c>
      <c r="AC63" s="3"/>
    </row>
    <row r="64" spans="1:31" hidden="1" x14ac:dyDescent="0.2">
      <c r="A64" s="26"/>
      <c r="B64" s="327">
        <v>25</v>
      </c>
      <c r="C64" s="324" t="s">
        <v>252</v>
      </c>
      <c r="D64" s="324" t="s">
        <v>253</v>
      </c>
      <c r="E64" s="339">
        <v>1</v>
      </c>
      <c r="F64" s="340"/>
      <c r="G64" s="240" t="s">
        <v>189</v>
      </c>
      <c r="H64" s="17"/>
      <c r="I64" s="21" t="str">
        <f t="shared" si="22"/>
        <v>Maschine Nr.</v>
      </c>
      <c r="J64" s="18"/>
      <c r="K64" s="120"/>
      <c r="L64" s="187">
        <f>M$64</f>
        <v>9</v>
      </c>
      <c r="M64" s="278">
        <f>Refkalkulation!H$52</f>
        <v>9</v>
      </c>
      <c r="N64" s="279"/>
      <c r="O64" s="187">
        <f>P$64</f>
        <v>3</v>
      </c>
      <c r="P64" s="278">
        <f>Refkalkulation!K$52</f>
        <v>3</v>
      </c>
      <c r="Q64" s="279"/>
      <c r="R64" s="187">
        <f>S$64</f>
        <v>3</v>
      </c>
      <c r="S64" s="278">
        <f>Refkalkulation!N$52</f>
        <v>3</v>
      </c>
      <c r="T64" s="279"/>
      <c r="U64" s="187">
        <f>V$64</f>
        <v>1</v>
      </c>
      <c r="V64" s="278">
        <f>Refkalkulation!Q$52</f>
        <v>1</v>
      </c>
      <c r="W64" s="279"/>
      <c r="X64" s="187">
        <f>Y$64</f>
        <v>1</v>
      </c>
      <c r="Y64" s="278">
        <f>Refkalkulation!T$52</f>
        <v>1</v>
      </c>
      <c r="Z64" s="279"/>
      <c r="AA64" s="187">
        <f>AB$64</f>
        <v>1</v>
      </c>
      <c r="AB64" s="380">
        <f>Refkalkulation!W$52</f>
        <v>1</v>
      </c>
      <c r="AC64" s="3"/>
    </row>
    <row r="65" spans="1:29" hidden="1" x14ac:dyDescent="0.2">
      <c r="A65" s="26"/>
      <c r="B65" s="327">
        <v>62</v>
      </c>
      <c r="C65" s="324" t="s">
        <v>568</v>
      </c>
      <c r="D65" s="324" t="s">
        <v>569</v>
      </c>
      <c r="E65" s="339"/>
      <c r="F65" s="347"/>
      <c r="G65" s="792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715" t="str">
        <f>VLOOKUP(VLOOKUP(M65,Auswahlfelder!$D$65:$E$68,2,FALSE),Auswahlfelder!$A$65:$B$68,2,FALSE)</f>
        <v>ohne</v>
      </c>
      <c r="M65" s="278" t="str">
        <f>Refkalkulation!I$59</f>
        <v>ohne</v>
      </c>
      <c r="N65" s="279"/>
      <c r="O65" s="715" t="str">
        <f>VLOOKUP(VLOOKUP(P65,Auswahlfelder!$D$65:$E$68,2,FALSE),Auswahlfelder!$A$65:$B$68,2,FALSE)</f>
        <v>ohne</v>
      </c>
      <c r="P65" s="278" t="str">
        <f>Refkalkulation!L$59</f>
        <v>ohne</v>
      </c>
      <c r="Q65" s="279"/>
      <c r="R65" s="715" t="str">
        <f>VLOOKUP(VLOOKUP(S65,Auswahlfelder!$D$65:$E$68,2,FALSE),Auswahlfelder!$A$65:$B$68,2,FALSE)</f>
        <v>ohne</v>
      </c>
      <c r="S65" s="278" t="str">
        <f>Refkalkulation!O$59</f>
        <v>ohne</v>
      </c>
      <c r="T65" s="279"/>
      <c r="U65" s="715" t="str">
        <f>VLOOKUP(VLOOKUP(V65,Auswahlfelder!$D$65:$E$68,2,FALSE),Auswahlfelder!$A$65:$B$68,2,FALSE)</f>
        <v>ohne</v>
      </c>
      <c r="V65" s="278" t="str">
        <f>Refkalkulation!R$59</f>
        <v>ohne</v>
      </c>
      <c r="W65" s="279"/>
      <c r="X65" s="715" t="str">
        <f>VLOOKUP(VLOOKUP(Y65,Auswahlfelder!$D$65:$E$68,2,FALSE),Auswahlfelder!$A$65:$B$68,2,FALSE)</f>
        <v>ohne</v>
      </c>
      <c r="Y65" s="278" t="str">
        <f>Refkalkulation!U$59</f>
        <v>ohne</v>
      </c>
      <c r="Z65" s="279"/>
      <c r="AA65" s="715" t="str">
        <f>VLOOKUP(VLOOKUP(AB65,Auswahlfelder!$D$65:$E$68,2,FALSE),Auswahlfelder!$A$65:$B$68,2,FALSE)</f>
        <v>ohne</v>
      </c>
      <c r="AB65" s="716" t="str">
        <f>Refkalkulation!X$59</f>
        <v>ohne</v>
      </c>
      <c r="AC65" s="3"/>
    </row>
    <row r="66" spans="1:29" hidden="1" x14ac:dyDescent="0.2">
      <c r="A66" s="26"/>
      <c r="B66" s="327">
        <v>10</v>
      </c>
      <c r="C66" s="324" t="s">
        <v>97</v>
      </c>
      <c r="D66" s="324" t="s">
        <v>193</v>
      </c>
      <c r="E66" s="339">
        <v>1</v>
      </c>
      <c r="F66" s="347">
        <v>10000</v>
      </c>
      <c r="G66" s="240" t="s">
        <v>189</v>
      </c>
      <c r="H66" s="17"/>
      <c r="I66" s="21" t="str">
        <f t="shared" si="22"/>
        <v>Fertigungslosgröße</v>
      </c>
      <c r="J66" s="18"/>
      <c r="K66" s="120"/>
      <c r="L66" s="187">
        <f>M$66</f>
        <v>100</v>
      </c>
      <c r="M66" s="278">
        <f>Refkalkulation!H$61</f>
        <v>100</v>
      </c>
      <c r="N66" s="279"/>
      <c r="O66" s="187">
        <f>P$66</f>
        <v>100</v>
      </c>
      <c r="P66" s="278">
        <f>Refkalkulation!K$61</f>
        <v>100</v>
      </c>
      <c r="Q66" s="279"/>
      <c r="R66" s="187">
        <f>S$66</f>
        <v>100</v>
      </c>
      <c r="S66" s="278">
        <f>Refkalkulation!N$61</f>
        <v>100</v>
      </c>
      <c r="T66" s="279"/>
      <c r="U66" s="187">
        <f>V$66</f>
        <v>0</v>
      </c>
      <c r="V66" s="278">
        <f>Refkalkulation!Q$61</f>
        <v>0</v>
      </c>
      <c r="W66" s="279"/>
      <c r="X66" s="187">
        <f>Y$66</f>
        <v>0</v>
      </c>
      <c r="Y66" s="278">
        <f>Refkalkulation!T$61</f>
        <v>0</v>
      </c>
      <c r="Z66" s="279"/>
      <c r="AA66" s="187">
        <f>AB$66</f>
        <v>0</v>
      </c>
      <c r="AB66" s="380">
        <f>Refkalkulation!W$61</f>
        <v>0</v>
      </c>
      <c r="AC66" s="3"/>
    </row>
    <row r="67" spans="1:29" hidden="1" x14ac:dyDescent="0.2">
      <c r="A67" s="26"/>
      <c r="B67" s="327">
        <v>52</v>
      </c>
      <c r="C67" s="324" t="s">
        <v>359</v>
      </c>
      <c r="D67" s="324" t="s">
        <v>360</v>
      </c>
      <c r="E67" s="339">
        <v>0</v>
      </c>
      <c r="F67" s="347">
        <v>60</v>
      </c>
      <c r="G67" s="240" t="s">
        <v>189</v>
      </c>
      <c r="H67" s="17"/>
      <c r="I67" s="21" t="str">
        <f t="shared" si="22"/>
        <v>Kernvolumen (l)</v>
      </c>
      <c r="J67" s="18"/>
      <c r="K67" s="120"/>
      <c r="L67" s="187">
        <f>M$67</f>
        <v>0</v>
      </c>
      <c r="M67" s="278">
        <f>Refkalkulation!H$67</f>
        <v>0</v>
      </c>
      <c r="N67" s="279"/>
      <c r="O67" s="187">
        <f>P$67</f>
        <v>0</v>
      </c>
      <c r="P67" s="278">
        <f>Refkalkulation!K$67</f>
        <v>0</v>
      </c>
      <c r="Q67" s="279"/>
      <c r="R67" s="187">
        <f>S$67</f>
        <v>0</v>
      </c>
      <c r="S67" s="278">
        <f>Refkalkulation!N$67</f>
        <v>0</v>
      </c>
      <c r="T67" s="279"/>
      <c r="U67" s="187">
        <f>V$67</f>
        <v>0</v>
      </c>
      <c r="V67" s="278">
        <f>Refkalkulation!Q$67</f>
        <v>0</v>
      </c>
      <c r="W67" s="279"/>
      <c r="X67" s="187">
        <f>Y$67</f>
        <v>0</v>
      </c>
      <c r="Y67" s="278">
        <f>Refkalkulation!T$67</f>
        <v>0</v>
      </c>
      <c r="Z67" s="279"/>
      <c r="AA67" s="187">
        <f>AB$67</f>
        <v>0</v>
      </c>
      <c r="AB67" s="714">
        <f>Refkalkulation!W$67</f>
        <v>0</v>
      </c>
      <c r="AC67" s="3"/>
    </row>
    <row r="68" spans="1:29" hidden="1" x14ac:dyDescent="0.2">
      <c r="A68" s="26"/>
      <c r="B68" s="327">
        <v>37</v>
      </c>
      <c r="C68" s="324" t="s">
        <v>838</v>
      </c>
      <c r="D68" s="324" t="s">
        <v>839</v>
      </c>
      <c r="E68" s="341">
        <v>0</v>
      </c>
      <c r="F68" s="342">
        <v>0.08</v>
      </c>
      <c r="G68" s="240" t="s">
        <v>189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5">
        <f>Refkalkulation!H$70</f>
        <v>0</v>
      </c>
      <c r="N68" s="279"/>
      <c r="O68" s="135">
        <f>P$68</f>
        <v>0</v>
      </c>
      <c r="P68" s="235">
        <f>Refkalkulation!K$70</f>
        <v>0</v>
      </c>
      <c r="Q68" s="279"/>
      <c r="R68" s="135">
        <f>S$68</f>
        <v>0</v>
      </c>
      <c r="S68" s="235">
        <f>Refkalkulation!N$70</f>
        <v>0</v>
      </c>
      <c r="T68" s="279"/>
      <c r="U68" s="135">
        <f>V$68</f>
        <v>0</v>
      </c>
      <c r="V68" s="235">
        <f>Refkalkulation!Q$70</f>
        <v>0</v>
      </c>
      <c r="W68" s="279"/>
      <c r="X68" s="135">
        <f>Y$68</f>
        <v>0</v>
      </c>
      <c r="Y68" s="235">
        <f>Refkalkulation!T$70</f>
        <v>0</v>
      </c>
      <c r="Z68" s="279"/>
      <c r="AA68" s="135">
        <f>AB$68</f>
        <v>0</v>
      </c>
      <c r="AB68" s="277">
        <f>Refkalkulation!W$70</f>
        <v>0</v>
      </c>
      <c r="AC68" s="3"/>
    </row>
    <row r="69" spans="1:29" hidden="1" x14ac:dyDescent="0.2">
      <c r="A69" s="26"/>
      <c r="B69" s="327"/>
      <c r="C69" s="324" t="s">
        <v>835</v>
      </c>
      <c r="D69" s="324" t="s">
        <v>834</v>
      </c>
      <c r="E69" s="339">
        <v>0</v>
      </c>
      <c r="F69" s="347">
        <v>60</v>
      </c>
      <c r="G69" s="240" t="s">
        <v>189</v>
      </c>
      <c r="H69" s="17"/>
      <c r="I69" s="21" t="str">
        <f t="shared" ref="I69" si="33">IF($G$2,C69,D69)</f>
        <v>Zeit Auspacken (min)</v>
      </c>
      <c r="J69" s="18"/>
      <c r="K69" s="120"/>
      <c r="L69" s="960">
        <f>M$69</f>
        <v>0</v>
      </c>
      <c r="M69" s="278">
        <f>Refkalkulation!H$74</f>
        <v>0</v>
      </c>
      <c r="N69" s="279"/>
      <c r="O69" s="960">
        <f>P$69</f>
        <v>0</v>
      </c>
      <c r="P69" s="278">
        <f>Refkalkulation!K$74</f>
        <v>0</v>
      </c>
      <c r="Q69" s="279"/>
      <c r="R69" s="960">
        <f t="shared" ref="R69" si="34">S$69</f>
        <v>0</v>
      </c>
      <c r="S69" s="278">
        <f>Refkalkulation!N$74</f>
        <v>0</v>
      </c>
      <c r="T69" s="279"/>
      <c r="U69" s="960">
        <f t="shared" ref="U69" si="35">V$69</f>
        <v>0</v>
      </c>
      <c r="V69" s="278">
        <f>Refkalkulation!Q$74</f>
        <v>0</v>
      </c>
      <c r="W69" s="279"/>
      <c r="X69" s="960">
        <f t="shared" ref="X69" si="36">Y$69</f>
        <v>0</v>
      </c>
      <c r="Y69" s="278">
        <f>Refkalkulation!T$74</f>
        <v>0</v>
      </c>
      <c r="Z69" s="279"/>
      <c r="AA69" s="960">
        <f t="shared" ref="AA69" si="37">AB$69</f>
        <v>0</v>
      </c>
      <c r="AB69" s="714">
        <f>Refkalkulation!W$74</f>
        <v>0</v>
      </c>
      <c r="AC69" s="3"/>
    </row>
    <row r="70" spans="1:29" hidden="1" x14ac:dyDescent="0.2">
      <c r="A70" s="26"/>
      <c r="B70" s="327"/>
      <c r="C70" s="324" t="s">
        <v>836</v>
      </c>
      <c r="D70" s="324" t="s">
        <v>837</v>
      </c>
      <c r="E70" s="339">
        <v>0</v>
      </c>
      <c r="F70" s="347">
        <v>60</v>
      </c>
      <c r="G70" s="240" t="s">
        <v>189</v>
      </c>
      <c r="H70" s="17"/>
      <c r="I70" s="21" t="str">
        <f t="shared" ref="I70" si="38">IF($G$2,C70,D70)</f>
        <v>Anschnitt trennen (min)</v>
      </c>
      <c r="J70" s="18"/>
      <c r="K70" s="120"/>
      <c r="L70" s="960">
        <f>M$70</f>
        <v>60</v>
      </c>
      <c r="M70" s="278">
        <f>Refkalkulation!H$75</f>
        <v>60</v>
      </c>
      <c r="N70" s="279"/>
      <c r="O70" s="960">
        <f>P$70</f>
        <v>5</v>
      </c>
      <c r="P70" s="278">
        <f>Refkalkulation!K$75</f>
        <v>5</v>
      </c>
      <c r="Q70" s="279"/>
      <c r="R70" s="960">
        <f>S$70</f>
        <v>5</v>
      </c>
      <c r="S70" s="278">
        <f>Refkalkulation!N$75</f>
        <v>5</v>
      </c>
      <c r="T70" s="279"/>
      <c r="U70" s="960">
        <f>V$70</f>
        <v>0</v>
      </c>
      <c r="V70" s="278">
        <f>Refkalkulation!Q$75</f>
        <v>0</v>
      </c>
      <c r="W70" s="279"/>
      <c r="X70" s="960">
        <f>Y$70</f>
        <v>0</v>
      </c>
      <c r="Y70" s="278">
        <f>Refkalkulation!T$75</f>
        <v>0</v>
      </c>
      <c r="Z70" s="279"/>
      <c r="AA70" s="960">
        <f>AB$70</f>
        <v>0</v>
      </c>
      <c r="AB70" s="714">
        <f>Refkalkulation!W$75</f>
        <v>0</v>
      </c>
      <c r="AC70" s="3"/>
    </row>
    <row r="71" spans="1:29" hidden="1" x14ac:dyDescent="0.2">
      <c r="A71" s="26"/>
      <c r="B71" s="666">
        <v>13</v>
      </c>
      <c r="C71" s="324" t="s">
        <v>296</v>
      </c>
      <c r="D71" s="324" t="s">
        <v>300</v>
      </c>
      <c r="E71" s="339">
        <v>0</v>
      </c>
      <c r="F71" s="340">
        <v>2</v>
      </c>
      <c r="G71" s="240" t="s">
        <v>189</v>
      </c>
      <c r="H71" s="17"/>
      <c r="I71" s="21" t="str">
        <f>IF($G$2,C71,D71)</f>
        <v>Wärmebehandlung</v>
      </c>
      <c r="J71" s="18"/>
      <c r="K71" s="112"/>
      <c r="L71" s="961">
        <f>M$71</f>
        <v>0</v>
      </c>
      <c r="M71" s="122">
        <f>Refkalkulation!H$84</f>
        <v>0</v>
      </c>
      <c r="N71" s="122"/>
      <c r="O71" s="961">
        <f>P$71</f>
        <v>0</v>
      </c>
      <c r="P71" s="122">
        <f>Refkalkulation!K$84</f>
        <v>0</v>
      </c>
      <c r="Q71" s="279"/>
      <c r="R71" s="961">
        <f>S$71</f>
        <v>0</v>
      </c>
      <c r="S71" s="122">
        <f>Refkalkulation!N$84</f>
        <v>0</v>
      </c>
      <c r="T71" s="279"/>
      <c r="U71" s="961">
        <f t="shared" ref="U71" si="39">V$71</f>
        <v>0</v>
      </c>
      <c r="V71" s="122">
        <f>Refkalkulation!Q$84</f>
        <v>0</v>
      </c>
      <c r="W71" s="279"/>
      <c r="X71" s="961">
        <f t="shared" ref="X71" si="40">Y$71</f>
        <v>0</v>
      </c>
      <c r="Y71" s="122">
        <f>Refkalkulation!T$84</f>
        <v>0</v>
      </c>
      <c r="Z71" s="279"/>
      <c r="AA71" s="961">
        <f t="shared" ref="AA71" si="41">AB$71</f>
        <v>0</v>
      </c>
      <c r="AB71" s="681">
        <f>Refkalkulation!W$84</f>
        <v>0</v>
      </c>
      <c r="AC71" s="3" t="s">
        <v>33</v>
      </c>
    </row>
    <row r="72" spans="1:29" hidden="1" x14ac:dyDescent="0.2">
      <c r="A72" s="26"/>
      <c r="B72" s="327">
        <v>37</v>
      </c>
      <c r="C72" s="324" t="s">
        <v>840</v>
      </c>
      <c r="D72" s="324" t="s">
        <v>841</v>
      </c>
      <c r="E72" s="341">
        <v>0</v>
      </c>
      <c r="F72" s="342">
        <v>0.04</v>
      </c>
      <c r="G72" s="240" t="s">
        <v>189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5">
        <f>Refkalkulation!H$86</f>
        <v>0.02</v>
      </c>
      <c r="N72" s="279"/>
      <c r="O72" s="135">
        <f>P$72</f>
        <v>0.02</v>
      </c>
      <c r="P72" s="235">
        <f>Refkalkulation!K$86</f>
        <v>0.02</v>
      </c>
      <c r="Q72" s="279"/>
      <c r="R72" s="135">
        <f t="shared" ref="R72" si="42">S$72</f>
        <v>0.02</v>
      </c>
      <c r="S72" s="235">
        <f>Refkalkulation!N$86</f>
        <v>0.02</v>
      </c>
      <c r="T72" s="279"/>
      <c r="U72" s="135">
        <f t="shared" ref="U72" si="43">V$72</f>
        <v>0</v>
      </c>
      <c r="V72" s="235">
        <f>Refkalkulation!Q$86</f>
        <v>0</v>
      </c>
      <c r="W72" s="279"/>
      <c r="X72" s="135">
        <f t="shared" ref="X72" si="44">Y$72</f>
        <v>0</v>
      </c>
      <c r="Y72" s="235">
        <f>Refkalkulation!T$86</f>
        <v>0</v>
      </c>
      <c r="Z72" s="279"/>
      <c r="AA72" s="135">
        <f t="shared" ref="AA72" si="45">AB$72</f>
        <v>0</v>
      </c>
      <c r="AB72" s="277">
        <f>Refkalkulation!W$86</f>
        <v>0</v>
      </c>
      <c r="AC72" s="3"/>
    </row>
    <row r="73" spans="1:29" hidden="1" x14ac:dyDescent="0.2">
      <c r="A73" s="26"/>
      <c r="B73" s="327">
        <v>60</v>
      </c>
      <c r="C73" s="324" t="s">
        <v>997</v>
      </c>
      <c r="D73" s="324" t="s">
        <v>998</v>
      </c>
      <c r="E73" s="339">
        <v>0</v>
      </c>
      <c r="F73" s="347">
        <v>20000</v>
      </c>
      <c r="G73" s="240" t="s">
        <v>189</v>
      </c>
      <c r="H73" s="17"/>
      <c r="I73" s="21" t="str">
        <f t="shared" si="22"/>
        <v>VT Prüfzeit/Teil (sec)</v>
      </c>
      <c r="J73" s="18"/>
      <c r="K73" s="120"/>
      <c r="L73" s="187">
        <f>M$73</f>
        <v>400</v>
      </c>
      <c r="M73" s="278">
        <f>Refkalkulation!H$89</f>
        <v>400</v>
      </c>
      <c r="N73" s="279"/>
      <c r="O73" s="187">
        <f>P$73</f>
        <v>300</v>
      </c>
      <c r="P73" s="278">
        <f>Refkalkulation!K$89</f>
        <v>300</v>
      </c>
      <c r="Q73" s="279"/>
      <c r="R73" s="187">
        <f t="shared" ref="R73" si="46">S$73</f>
        <v>300</v>
      </c>
      <c r="S73" s="278">
        <f>Refkalkulation!N$89</f>
        <v>300</v>
      </c>
      <c r="T73" s="279"/>
      <c r="U73" s="187">
        <f t="shared" ref="U73" si="47">V$73</f>
        <v>0</v>
      </c>
      <c r="V73" s="278">
        <f>Refkalkulation!Q$89</f>
        <v>0</v>
      </c>
      <c r="W73" s="279"/>
      <c r="X73" s="187">
        <f t="shared" ref="X73" si="48">Y$73</f>
        <v>0</v>
      </c>
      <c r="Y73" s="278">
        <f>Refkalkulation!T$89</f>
        <v>0</v>
      </c>
      <c r="Z73" s="279"/>
      <c r="AA73" s="187">
        <f t="shared" ref="AA73" si="49">AB$73</f>
        <v>0</v>
      </c>
      <c r="AB73" s="714">
        <f>Refkalkulation!W$89</f>
        <v>0</v>
      </c>
      <c r="AC73" s="3"/>
    </row>
    <row r="74" spans="1:29" hidden="1" x14ac:dyDescent="0.2">
      <c r="A74" s="26"/>
      <c r="B74" s="327">
        <v>39</v>
      </c>
      <c r="C74" s="324" t="s">
        <v>610</v>
      </c>
      <c r="D74" s="324" t="s">
        <v>611</v>
      </c>
      <c r="E74" s="339"/>
      <c r="F74" s="347"/>
      <c r="G74" s="792">
        <v>0</v>
      </c>
      <c r="H74" s="17"/>
      <c r="I74" s="21" t="str">
        <f>IF($G$2,C74,D74)</f>
        <v>Kosten US-Prüfung</v>
      </c>
      <c r="J74" s="18"/>
      <c r="K74" s="120"/>
      <c r="L74" s="961">
        <f>M$74</f>
        <v>0.27447916666666672</v>
      </c>
      <c r="M74" s="278">
        <f>Refkalkulation!H$91</f>
        <v>0.27447916666666672</v>
      </c>
      <c r="N74" s="279"/>
      <c r="O74" s="961">
        <f>P$74</f>
        <v>0.19507812499999996</v>
      </c>
      <c r="P74" s="278">
        <f>Refkalkulation!K$91</f>
        <v>0.19507812499999996</v>
      </c>
      <c r="Q74" s="279"/>
      <c r="R74" s="961">
        <f t="shared" ref="R74" si="50">S$74</f>
        <v>0</v>
      </c>
      <c r="S74" s="278">
        <f>Refkalkulation!N$91</f>
        <v>0</v>
      </c>
      <c r="T74" s="279"/>
      <c r="U74" s="961">
        <f t="shared" ref="U74" si="51">V$74</f>
        <v>0</v>
      </c>
      <c r="V74" s="278">
        <f>Refkalkulation!Q$91</f>
        <v>0</v>
      </c>
      <c r="W74" s="279"/>
      <c r="X74" s="961">
        <f t="shared" ref="X74" si="52">Y$74</f>
        <v>0</v>
      </c>
      <c r="Y74" s="278">
        <f>Refkalkulation!T$91</f>
        <v>0</v>
      </c>
      <c r="Z74" s="279"/>
      <c r="AA74" s="961">
        <f t="shared" ref="AA74" si="53">AB$74</f>
        <v>0</v>
      </c>
      <c r="AB74" s="380">
        <f>Refkalkulation!W$91</f>
        <v>0</v>
      </c>
      <c r="AC74" s="3"/>
    </row>
    <row r="75" spans="1:29" hidden="1" x14ac:dyDescent="0.2">
      <c r="A75" s="26"/>
      <c r="B75" s="327">
        <v>39</v>
      </c>
      <c r="C75" s="324" t="s">
        <v>612</v>
      </c>
      <c r="D75" s="324" t="s">
        <v>613</v>
      </c>
      <c r="E75" s="341">
        <v>0</v>
      </c>
      <c r="F75" s="342">
        <v>0.12</v>
      </c>
      <c r="G75" s="792">
        <v>0</v>
      </c>
      <c r="H75" s="17"/>
      <c r="I75" s="21" t="str">
        <f t="shared" ref="I75:I76" si="54">IF($G$2,C75,D75)</f>
        <v>Kosten FE-Prüfung</v>
      </c>
      <c r="J75" s="18"/>
      <c r="K75" s="120"/>
      <c r="L75" s="961">
        <f>M$75</f>
        <v>0</v>
      </c>
      <c r="M75" s="235">
        <f>Refkalkulation!H$92</f>
        <v>0</v>
      </c>
      <c r="N75" s="279"/>
      <c r="O75" s="961">
        <f>P$75</f>
        <v>0</v>
      </c>
      <c r="P75" s="235">
        <f>Refkalkulation!K$92</f>
        <v>0</v>
      </c>
      <c r="Q75" s="279"/>
      <c r="R75" s="961">
        <f t="shared" ref="R75" si="55">S$75</f>
        <v>0</v>
      </c>
      <c r="S75" s="235">
        <f>Refkalkulation!N$92</f>
        <v>0</v>
      </c>
      <c r="T75" s="279"/>
      <c r="U75" s="961">
        <f t="shared" ref="U75" si="56">V$75</f>
        <v>0</v>
      </c>
      <c r="V75" s="235">
        <f>Refkalkulation!Q$92</f>
        <v>0</v>
      </c>
      <c r="W75" s="279"/>
      <c r="X75" s="961">
        <f t="shared" ref="X75" si="57">Y$75</f>
        <v>0</v>
      </c>
      <c r="Y75" s="235">
        <f>Refkalkulation!T$92</f>
        <v>0</v>
      </c>
      <c r="Z75" s="279"/>
      <c r="AA75" s="961">
        <f t="shared" ref="AA75" si="58">AB$75</f>
        <v>0</v>
      </c>
      <c r="AB75" s="277">
        <f>Refkalkulation!W$92</f>
        <v>0</v>
      </c>
      <c r="AC75" s="3"/>
    </row>
    <row r="76" spans="1:29" hidden="1" x14ac:dyDescent="0.2">
      <c r="A76" s="26"/>
      <c r="B76" s="327">
        <v>39</v>
      </c>
      <c r="C76" s="324" t="s">
        <v>614</v>
      </c>
      <c r="D76" s="324" t="s">
        <v>615</v>
      </c>
      <c r="E76" s="341"/>
      <c r="F76" s="342"/>
      <c r="G76" s="792">
        <v>0</v>
      </c>
      <c r="H76" s="17"/>
      <c r="I76" s="21" t="str">
        <f t="shared" si="54"/>
        <v>Kosten X-Prüfung</v>
      </c>
      <c r="J76" s="18"/>
      <c r="K76" s="120"/>
      <c r="L76" s="961">
        <f>M$76</f>
        <v>0</v>
      </c>
      <c r="M76" s="235">
        <f>Refkalkulation!H$93</f>
        <v>0</v>
      </c>
      <c r="N76" s="279"/>
      <c r="O76" s="961">
        <f>P$76</f>
        <v>0</v>
      </c>
      <c r="P76" s="235">
        <f>Refkalkulation!K$93</f>
        <v>0</v>
      </c>
      <c r="Q76" s="279"/>
      <c r="R76" s="961">
        <f t="shared" ref="R76" si="59">S$76</f>
        <v>0</v>
      </c>
      <c r="S76" s="235">
        <f>Refkalkulation!N$93</f>
        <v>0</v>
      </c>
      <c r="T76" s="279"/>
      <c r="U76" s="961">
        <f t="shared" ref="U76" si="60">V$76</f>
        <v>0</v>
      </c>
      <c r="V76" s="235">
        <f>Refkalkulation!Q$93</f>
        <v>0</v>
      </c>
      <c r="W76" s="279"/>
      <c r="X76" s="961">
        <f t="shared" ref="X76" si="61">Y$76</f>
        <v>0</v>
      </c>
      <c r="Y76" s="235">
        <f>Refkalkulation!T$93</f>
        <v>0</v>
      </c>
      <c r="Z76" s="279"/>
      <c r="AA76" s="961">
        <f t="shared" ref="AA76" si="62">AB$76</f>
        <v>0</v>
      </c>
      <c r="AB76" s="277">
        <f>Refkalkulation!W$93</f>
        <v>0</v>
      </c>
      <c r="AC76" s="3"/>
    </row>
    <row r="77" spans="1:29" hidden="1" x14ac:dyDescent="0.2">
      <c r="A77" s="26"/>
      <c r="B77" s="327">
        <v>39</v>
      </c>
      <c r="C77" s="324" t="s">
        <v>628</v>
      </c>
      <c r="D77" s="324" t="s">
        <v>629</v>
      </c>
      <c r="E77" s="341">
        <v>0</v>
      </c>
      <c r="F77" s="342">
        <v>1</v>
      </c>
      <c r="G77" s="793">
        <v>0.5</v>
      </c>
      <c r="H77" s="17"/>
      <c r="I77" s="21" t="str">
        <f>IF($G$2,C77,D77)</f>
        <v>Anteil Nachprüfung</v>
      </c>
      <c r="J77" s="18"/>
      <c r="K77" s="120"/>
      <c r="L77" s="794">
        <f>M$77</f>
        <v>0.5</v>
      </c>
      <c r="M77" s="235">
        <f>Refkalkulation!H$96</f>
        <v>0.5</v>
      </c>
      <c r="N77" s="279"/>
      <c r="O77" s="794">
        <f>P$77</f>
        <v>0.5</v>
      </c>
      <c r="P77" s="235">
        <f>Refkalkulation!K$96</f>
        <v>0.5</v>
      </c>
      <c r="Q77" s="279"/>
      <c r="R77" s="794">
        <f>S$77</f>
        <v>0.5</v>
      </c>
      <c r="S77" s="235">
        <f>Refkalkulation!N$96</f>
        <v>0.5</v>
      </c>
      <c r="T77" s="279"/>
      <c r="U77" s="794">
        <f>V$77</f>
        <v>0.5</v>
      </c>
      <c r="V77" s="235">
        <f>Refkalkulation!Q$96</f>
        <v>0.5</v>
      </c>
      <c r="W77" s="279"/>
      <c r="X77" s="794">
        <f>Y$77</f>
        <v>0.5</v>
      </c>
      <c r="Y77" s="235">
        <f>Refkalkulation!T$96</f>
        <v>0.5</v>
      </c>
      <c r="Z77" s="279"/>
      <c r="AA77" s="794">
        <f>AB$77</f>
        <v>0.5</v>
      </c>
      <c r="AB77" s="277">
        <f>Refkalkulation!W$96</f>
        <v>0.5</v>
      </c>
      <c r="AC77" s="3"/>
    </row>
    <row r="78" spans="1:29" hidden="1" x14ac:dyDescent="0.2">
      <c r="A78" s="26"/>
      <c r="B78" s="666">
        <v>13</v>
      </c>
      <c r="C78" s="324" t="s">
        <v>555</v>
      </c>
      <c r="D78" s="324" t="s">
        <v>556</v>
      </c>
      <c r="E78" s="339">
        <v>0</v>
      </c>
      <c r="F78" s="674">
        <v>0.5</v>
      </c>
      <c r="G78" s="793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Refkalkulation!H$95</f>
        <v>0</v>
      </c>
      <c r="N78" s="122"/>
      <c r="O78" s="135">
        <f>P$78</f>
        <v>0</v>
      </c>
      <c r="P78" s="122">
        <f>Refkalkulation!K$95</f>
        <v>0</v>
      </c>
      <c r="Q78" s="279"/>
      <c r="R78" s="135">
        <f>S$78</f>
        <v>0</v>
      </c>
      <c r="S78" s="122">
        <f>Refkalkulation!N$95</f>
        <v>0</v>
      </c>
      <c r="T78" s="279"/>
      <c r="U78" s="135">
        <f>V$78</f>
        <v>0</v>
      </c>
      <c r="V78" s="122">
        <f>Refkalkulation!Q$95</f>
        <v>0</v>
      </c>
      <c r="W78" s="279"/>
      <c r="X78" s="135">
        <f>Y$78</f>
        <v>0</v>
      </c>
      <c r="Y78" s="122">
        <f>Refkalkulation!T$95</f>
        <v>0</v>
      </c>
      <c r="Z78" s="279"/>
      <c r="AA78" s="135">
        <f>AB$78</f>
        <v>0</v>
      </c>
      <c r="AB78" s="681">
        <f>Refkalkulation!W$95</f>
        <v>0</v>
      </c>
      <c r="AC78" s="3" t="s">
        <v>33</v>
      </c>
    </row>
    <row r="79" spans="1:29" hidden="1" x14ac:dyDescent="0.2">
      <c r="A79" s="26"/>
      <c r="B79" s="327">
        <v>43</v>
      </c>
      <c r="C79" s="324" t="s">
        <v>129</v>
      </c>
      <c r="D79" s="324" t="s">
        <v>249</v>
      </c>
      <c r="E79" s="341">
        <v>0.05</v>
      </c>
      <c r="F79" s="342">
        <v>0.3</v>
      </c>
      <c r="G79" s="240" t="s">
        <v>189</v>
      </c>
      <c r="H79" s="17"/>
      <c r="I79" s="21" t="str">
        <f t="shared" si="22"/>
        <v>Fertigungsgemeinkosten</v>
      </c>
      <c r="J79" s="18"/>
      <c r="K79" s="120"/>
      <c r="L79" s="135">
        <f>M$79</f>
        <v>0.1</v>
      </c>
      <c r="M79" s="235">
        <f>Refkalkulation!H$102</f>
        <v>0.1</v>
      </c>
      <c r="N79" s="279"/>
      <c r="O79" s="135">
        <f>P$79</f>
        <v>0.1</v>
      </c>
      <c r="P79" s="235">
        <f>Refkalkulation!K$102</f>
        <v>0.1</v>
      </c>
      <c r="Q79" s="279"/>
      <c r="R79" s="135">
        <f>S$79</f>
        <v>0.1</v>
      </c>
      <c r="S79" s="235">
        <f>Refkalkulation!N$102</f>
        <v>0.1</v>
      </c>
      <c r="T79" s="279"/>
      <c r="U79" s="135">
        <f>V$79</f>
        <v>0</v>
      </c>
      <c r="V79" s="235">
        <f>Refkalkulation!Q$102</f>
        <v>0</v>
      </c>
      <c r="W79" s="279"/>
      <c r="X79" s="135">
        <f>Y$79</f>
        <v>0</v>
      </c>
      <c r="Y79" s="235">
        <f>Refkalkulation!T$102</f>
        <v>0</v>
      </c>
      <c r="Z79" s="279"/>
      <c r="AA79" s="135">
        <f>AB$79</f>
        <v>0</v>
      </c>
      <c r="AB79" s="277">
        <f>Refkalkulation!W$102</f>
        <v>0</v>
      </c>
      <c r="AC79" s="3"/>
    </row>
    <row r="80" spans="1:29" hidden="1" x14ac:dyDescent="0.2">
      <c r="A80" s="26"/>
      <c r="B80" s="327"/>
      <c r="C80" s="324" t="s">
        <v>833</v>
      </c>
      <c r="D80" s="324" t="s">
        <v>832</v>
      </c>
      <c r="E80" s="341">
        <v>0</v>
      </c>
      <c r="F80" s="342">
        <v>0.2</v>
      </c>
      <c r="G80" s="793">
        <f>'Länder-DB'!$I$33</f>
        <v>0.12</v>
      </c>
      <c r="H80" s="17"/>
      <c r="I80" s="21" t="str">
        <f t="shared" ref="I80" si="63">IF($G$2,C80,D80)</f>
        <v>Vertriebs- und Verw. GK satz</v>
      </c>
      <c r="J80" s="18"/>
      <c r="K80" s="120"/>
      <c r="L80" s="135">
        <f>M$80</f>
        <v>0.12</v>
      </c>
      <c r="M80" s="235">
        <f>Refkalkulation!H$108</f>
        <v>0.12</v>
      </c>
      <c r="N80" s="279"/>
      <c r="O80" s="135">
        <f>P$80</f>
        <v>0.12</v>
      </c>
      <c r="P80" s="235">
        <f>Refkalkulation!K$108</f>
        <v>0.12</v>
      </c>
      <c r="Q80" s="279"/>
      <c r="R80" s="135">
        <f t="shared" ref="R80" si="64">S$80</f>
        <v>0.12</v>
      </c>
      <c r="S80" s="235">
        <f>Refkalkulation!N$108</f>
        <v>0.12</v>
      </c>
      <c r="T80" s="279"/>
      <c r="U80" s="135">
        <f t="shared" ref="U80" si="65">V$80</f>
        <v>0.12</v>
      </c>
      <c r="V80" s="235">
        <f>Refkalkulation!Q$108</f>
        <v>0.12</v>
      </c>
      <c r="W80" s="279"/>
      <c r="X80" s="135">
        <f t="shared" ref="X80" si="66">Y$80</f>
        <v>0.12</v>
      </c>
      <c r="Y80" s="235">
        <f>Refkalkulation!T$108</f>
        <v>0.12</v>
      </c>
      <c r="Z80" s="279"/>
      <c r="AA80" s="135">
        <f t="shared" ref="AA80" si="67">AB$80</f>
        <v>0.12</v>
      </c>
      <c r="AB80" s="277">
        <f>Refkalkulation!W$108</f>
        <v>0.12</v>
      </c>
      <c r="AC80" s="3"/>
    </row>
    <row r="81" spans="1:29" hidden="1" x14ac:dyDescent="0.2">
      <c r="A81" s="26"/>
      <c r="B81" s="327">
        <v>32</v>
      </c>
      <c r="C81" s="324" t="s">
        <v>239</v>
      </c>
      <c r="D81" s="324" t="s">
        <v>250</v>
      </c>
      <c r="E81" s="341">
        <v>0</v>
      </c>
      <c r="F81" s="342">
        <v>0.12</v>
      </c>
      <c r="G81" s="793">
        <f>'Länder-DB'!I25</f>
        <v>0</v>
      </c>
      <c r="H81" s="17"/>
      <c r="I81" s="21" t="str">
        <f t="shared" si="22"/>
        <v>Gewinn auf Material</v>
      </c>
      <c r="J81" s="18"/>
      <c r="K81" s="120"/>
      <c r="L81" s="135">
        <f>M$81</f>
        <v>0</v>
      </c>
      <c r="M81" s="235">
        <f>Refkalkulation!H$112</f>
        <v>0</v>
      </c>
      <c r="N81" s="279"/>
      <c r="O81" s="135">
        <f>P$81</f>
        <v>0</v>
      </c>
      <c r="P81" s="235">
        <f>Refkalkulation!K$112</f>
        <v>0</v>
      </c>
      <c r="Q81" s="279"/>
      <c r="R81" s="135">
        <f t="shared" ref="R81" si="68">S$81</f>
        <v>0</v>
      </c>
      <c r="S81" s="235">
        <f>Refkalkulation!N$112</f>
        <v>0</v>
      </c>
      <c r="T81" s="279"/>
      <c r="U81" s="135">
        <f t="shared" ref="U81" si="69">V$81</f>
        <v>0</v>
      </c>
      <c r="V81" s="235">
        <f>Refkalkulation!Q$112</f>
        <v>0</v>
      </c>
      <c r="W81" s="279"/>
      <c r="X81" s="135">
        <f t="shared" ref="X81" si="70">Y$81</f>
        <v>0</v>
      </c>
      <c r="Y81" s="235">
        <f>Refkalkulation!T$112</f>
        <v>0</v>
      </c>
      <c r="Z81" s="279"/>
      <c r="AA81" s="135">
        <f t="shared" ref="AA81" si="71">AB$81</f>
        <v>0</v>
      </c>
      <c r="AB81" s="235">
        <f>Refkalkulation!W$112</f>
        <v>0</v>
      </c>
      <c r="AC81" s="3"/>
    </row>
    <row r="82" spans="1:29" hidden="1" x14ac:dyDescent="0.2">
      <c r="A82" s="26"/>
      <c r="B82" s="327">
        <v>32</v>
      </c>
      <c r="C82" s="324" t="s">
        <v>235</v>
      </c>
      <c r="D82" s="324" t="s">
        <v>251</v>
      </c>
      <c r="E82" s="341">
        <v>0</v>
      </c>
      <c r="F82" s="342">
        <v>0.12</v>
      </c>
      <c r="G82" s="240" t="s">
        <v>189</v>
      </c>
      <c r="H82" s="17"/>
      <c r="I82" s="21" t="str">
        <f t="shared" si="22"/>
        <v>Gewinn auf Wertschöpfung</v>
      </c>
      <c r="J82" s="18"/>
      <c r="K82" s="120"/>
      <c r="L82" s="135">
        <f>M$82</f>
        <v>0</v>
      </c>
      <c r="M82" s="235">
        <f>Refkalkulation!H$113</f>
        <v>0</v>
      </c>
      <c r="N82" s="279"/>
      <c r="O82" s="135">
        <f>P$82</f>
        <v>0</v>
      </c>
      <c r="P82" s="235">
        <f>Refkalkulation!K$113</f>
        <v>0</v>
      </c>
      <c r="Q82" s="279"/>
      <c r="R82" s="135">
        <f>S$82</f>
        <v>0</v>
      </c>
      <c r="S82" s="235">
        <f>Refkalkulation!N$113</f>
        <v>0</v>
      </c>
      <c r="T82" s="279"/>
      <c r="U82" s="135">
        <f>V$82</f>
        <v>0</v>
      </c>
      <c r="V82" s="235">
        <f>Refkalkulation!Q$113</f>
        <v>0</v>
      </c>
      <c r="W82" s="279"/>
      <c r="X82" s="135">
        <f>Y$82</f>
        <v>0</v>
      </c>
      <c r="Y82" s="235">
        <f>Refkalkulation!T$113</f>
        <v>0</v>
      </c>
      <c r="Z82" s="279"/>
      <c r="AA82" s="135">
        <f>AB$82</f>
        <v>0</v>
      </c>
      <c r="AB82" s="277">
        <f>Refkalkulation!W$113</f>
        <v>0</v>
      </c>
      <c r="AC82" s="3"/>
    </row>
    <row r="83" spans="1:29" ht="15.75" hidden="1" customHeight="1" x14ac:dyDescent="0.2">
      <c r="A83" s="26"/>
      <c r="B83" s="325"/>
      <c r="C83" s="324" t="str">
        <f>C3</f>
        <v>Bearbeiter</v>
      </c>
      <c r="D83" s="324" t="str">
        <f>D3</f>
        <v>user</v>
      </c>
      <c r="E83" s="339"/>
      <c r="F83" s="340"/>
      <c r="G83" s="240" t="s">
        <v>189</v>
      </c>
      <c r="H83" s="17"/>
      <c r="I83" s="21" t="str">
        <f>IF($G$2,C83,D83)</f>
        <v>Bearbeiter</v>
      </c>
      <c r="J83" s="18"/>
      <c r="K83" s="1065" t="str">
        <f>L83</f>
        <v>P. Pawar</v>
      </c>
      <c r="L83" s="135" t="s">
        <v>884</v>
      </c>
      <c r="M83" s="1066" t="str">
        <f>$L$3</f>
        <v>Dr.P. Pawar</v>
      </c>
      <c r="N83" s="1066"/>
      <c r="O83" s="135" t="str">
        <f>P$83</f>
        <v>Dr.P. Pawar</v>
      </c>
      <c r="P83" s="1066" t="str">
        <f>$L$3</f>
        <v>Dr.P. Pawar</v>
      </c>
      <c r="Q83" s="1066"/>
      <c r="R83" s="135" t="str">
        <f>S$83</f>
        <v>Dr.P. Pawar</v>
      </c>
      <c r="S83" s="1066" t="str">
        <f>$L$3</f>
        <v>Dr.P. Pawar</v>
      </c>
      <c r="T83" s="1066"/>
      <c r="U83" s="135" t="str">
        <f>V$83</f>
        <v>Dr.P. Pawar</v>
      </c>
      <c r="V83" s="1066" t="str">
        <f>$L$3</f>
        <v>Dr.P. Pawar</v>
      </c>
      <c r="W83" s="1066"/>
      <c r="X83" s="135" t="str">
        <f>Y$83</f>
        <v>Dr.P. Pawar</v>
      </c>
      <c r="Y83" s="1066" t="str">
        <f>$L$3</f>
        <v>Dr.P. Pawar</v>
      </c>
      <c r="Z83" s="1066"/>
      <c r="AA83" s="135" t="str">
        <f>AB$83</f>
        <v>Dr.P. Pawar</v>
      </c>
      <c r="AB83" s="1067" t="str">
        <f>$L$3</f>
        <v>Dr.P. Pawar</v>
      </c>
      <c r="AC83" s="3" t="s">
        <v>33</v>
      </c>
    </row>
    <row r="84" spans="1:29" ht="6.75" customHeight="1" thickBot="1" x14ac:dyDescent="0.25">
      <c r="A84" s="26"/>
      <c r="B84" s="332"/>
      <c r="C84" s="333"/>
      <c r="D84" s="333"/>
      <c r="E84" s="27"/>
      <c r="F84" s="27"/>
      <c r="G84" s="32"/>
      <c r="H84" s="247"/>
      <c r="I84" s="358">
        <f t="shared" si="22"/>
        <v>0</v>
      </c>
      <c r="J84" s="27"/>
      <c r="K84" s="27"/>
      <c r="L84" s="280"/>
      <c r="M84" s="280"/>
      <c r="N84" s="280"/>
      <c r="O84" s="280"/>
      <c r="P84" s="87"/>
      <c r="Q84" s="87"/>
      <c r="R84" s="280"/>
      <c r="S84" s="87"/>
      <c r="T84" s="87"/>
      <c r="U84" s="280"/>
      <c r="V84" s="87"/>
      <c r="W84" s="87"/>
      <c r="X84" s="280"/>
      <c r="Y84" s="87"/>
      <c r="Z84" s="87"/>
      <c r="AA84" s="280"/>
      <c r="AB84" s="189"/>
      <c r="AC84" s="3"/>
    </row>
    <row r="85" spans="1:29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X10 U10 AA10 L10 O10">
    <cfRule type="expression" dxfId="236" priority="65" stopIfTrue="1">
      <formula>VALUE(L12="Materialdatenbank")</formula>
    </cfRule>
  </conditionalFormatting>
  <conditionalFormatting sqref="O36 R36 U36 AA36 L36 X36">
    <cfRule type="cellIs" dxfId="235" priority="66" stopIfTrue="1" operator="notBetween">
      <formula>$E$36</formula>
      <formula>$F$36</formula>
    </cfRule>
  </conditionalFormatting>
  <conditionalFormatting sqref="L11 L20 O20 X20 R20 U20 AA20 O11 R11 U11 X11 AA11">
    <cfRule type="expression" dxfId="234" priority="70" stopIfTrue="1">
      <formula>K$11=0</formula>
    </cfRule>
  </conditionalFormatting>
  <conditionalFormatting sqref="L44">
    <cfRule type="cellIs" dxfId="233" priority="71" stopIfTrue="1" operator="lessThan">
      <formula>$E44</formula>
    </cfRule>
  </conditionalFormatting>
  <conditionalFormatting sqref="AA37:AA43 R37:R43 U37:U43 X37:X43 O37:O43 L37:L43">
    <cfRule type="cellIs" dxfId="232" priority="72" stopIfTrue="1" operator="greaterThan">
      <formula>M$36</formula>
    </cfRule>
  </conditionalFormatting>
  <conditionalFormatting sqref="AA8:AA9 O8:O9 R8:R9 U8:U9 X8:X9 L9">
    <cfRule type="cellIs" dxfId="231" priority="73" operator="equal">
      <formula>"?"</formula>
    </cfRule>
  </conditionalFormatting>
  <conditionalFormatting sqref="X4:X5">
    <cfRule type="cellIs" dxfId="230" priority="74" operator="equal">
      <formula>FALSE</formula>
    </cfRule>
  </conditionalFormatting>
  <conditionalFormatting sqref="L13 O13 R13 U13 X13 AA13">
    <cfRule type="cellIs" dxfId="229" priority="431" operator="notBetween">
      <formula>$E13</formula>
      <formula>$F13</formula>
    </cfRule>
  </conditionalFormatting>
  <conditionalFormatting sqref="L28">
    <cfRule type="expression" dxfId="228" priority="60" stopIfTrue="1">
      <formula>VALUE(#REF!="Materialdatenbank")</formula>
    </cfRule>
  </conditionalFormatting>
  <conditionalFormatting sqref="L29">
    <cfRule type="expression" dxfId="227" priority="59" stopIfTrue="1">
      <formula>VALUE(#REF!="Materialdatenbank")</formula>
    </cfRule>
  </conditionalFormatting>
  <conditionalFormatting sqref="L30">
    <cfRule type="expression" dxfId="226" priority="58" stopIfTrue="1">
      <formula>VALUE(#REF!="Materialdatenbank")</formula>
    </cfRule>
  </conditionalFormatting>
  <conditionalFormatting sqref="O28">
    <cfRule type="expression" dxfId="225" priority="57" stopIfTrue="1">
      <formula>VALUE(#REF!="Materialdatenbank")</formula>
    </cfRule>
  </conditionalFormatting>
  <conditionalFormatting sqref="O29">
    <cfRule type="expression" dxfId="224" priority="56" stopIfTrue="1">
      <formula>VALUE(#REF!="Materialdatenbank")</formula>
    </cfRule>
  </conditionalFormatting>
  <conditionalFormatting sqref="O30">
    <cfRule type="expression" dxfId="223" priority="55" stopIfTrue="1">
      <formula>VALUE(#REF!="Materialdatenbank")</formula>
    </cfRule>
  </conditionalFormatting>
  <conditionalFormatting sqref="R28">
    <cfRule type="expression" dxfId="222" priority="42" stopIfTrue="1">
      <formula>VALUE(#REF!="Materialdatenbank")</formula>
    </cfRule>
  </conditionalFormatting>
  <conditionalFormatting sqref="R29">
    <cfRule type="expression" dxfId="221" priority="41" stopIfTrue="1">
      <formula>VALUE(#REF!="Materialdatenbank")</formula>
    </cfRule>
  </conditionalFormatting>
  <conditionalFormatting sqref="R30">
    <cfRule type="expression" dxfId="220" priority="40" stopIfTrue="1">
      <formula>VALUE(#REF!="Materialdatenbank")</formula>
    </cfRule>
  </conditionalFormatting>
  <conditionalFormatting sqref="U28">
    <cfRule type="expression" dxfId="219" priority="39" stopIfTrue="1">
      <formula>VALUE(#REF!="Materialdatenbank")</formula>
    </cfRule>
  </conditionalFormatting>
  <conditionalFormatting sqref="U29">
    <cfRule type="expression" dxfId="218" priority="38" stopIfTrue="1">
      <formula>VALUE(#REF!="Materialdatenbank")</formula>
    </cfRule>
  </conditionalFormatting>
  <conditionalFormatting sqref="U30">
    <cfRule type="expression" dxfId="217" priority="37" stopIfTrue="1">
      <formula>VALUE(#REF!="Materialdatenbank")</formula>
    </cfRule>
  </conditionalFormatting>
  <conditionalFormatting sqref="X28">
    <cfRule type="expression" dxfId="216" priority="36" stopIfTrue="1">
      <formula>VALUE(#REF!="Materialdatenbank")</formula>
    </cfRule>
  </conditionalFormatting>
  <conditionalFormatting sqref="X29">
    <cfRule type="expression" dxfId="215" priority="35" stopIfTrue="1">
      <formula>VALUE(#REF!="Materialdatenbank")</formula>
    </cfRule>
  </conditionalFormatting>
  <conditionalFormatting sqref="X30">
    <cfRule type="expression" dxfId="214" priority="34" stopIfTrue="1">
      <formula>VALUE(#REF!="Materialdatenbank")</formula>
    </cfRule>
  </conditionalFormatting>
  <conditionalFormatting sqref="AA28">
    <cfRule type="expression" dxfId="213" priority="33" stopIfTrue="1">
      <formula>VALUE(#REF!="Materialdatenbank")</formula>
    </cfRule>
  </conditionalFormatting>
  <conditionalFormatting sqref="AA29">
    <cfRule type="expression" dxfId="212" priority="32" stopIfTrue="1">
      <formula>VALUE(#REF!="Materialdatenbank")</formula>
    </cfRule>
  </conditionalFormatting>
  <conditionalFormatting sqref="AA30">
    <cfRule type="expression" dxfId="211" priority="31" stopIfTrue="1">
      <formula>VALUE(#REF!="Materialdatenbank")</formula>
    </cfRule>
  </conditionalFormatting>
  <conditionalFormatting sqref="L25">
    <cfRule type="expression" dxfId="210" priority="23" stopIfTrue="1">
      <formula>VALUE(#REF!="Materialdatenbank")</formula>
    </cfRule>
  </conditionalFormatting>
  <conditionalFormatting sqref="O25">
    <cfRule type="expression" dxfId="209" priority="22" stopIfTrue="1">
      <formula>VALUE(#REF!="Materialdatenbank")</formula>
    </cfRule>
  </conditionalFormatting>
  <conditionalFormatting sqref="R25">
    <cfRule type="expression" dxfId="208" priority="21" stopIfTrue="1">
      <formula>VALUE(#REF!="Materialdatenbank")</formula>
    </cfRule>
  </conditionalFormatting>
  <conditionalFormatting sqref="U25">
    <cfRule type="expression" dxfId="207" priority="20" stopIfTrue="1">
      <formula>VALUE(#REF!="Materialdatenbank")</formula>
    </cfRule>
  </conditionalFormatting>
  <conditionalFormatting sqref="X25">
    <cfRule type="expression" dxfId="206" priority="19" stopIfTrue="1">
      <formula>VALUE(#REF!="Materialdatenbank")</formula>
    </cfRule>
  </conditionalFormatting>
  <conditionalFormatting sqref="AA25">
    <cfRule type="expression" dxfId="205" priority="18" stopIfTrue="1">
      <formula>VALUE(#REF!="Materialdatenbank")</formula>
    </cfRule>
  </conditionalFormatting>
  <conditionalFormatting sqref="L26">
    <cfRule type="expression" dxfId="204" priority="17" stopIfTrue="1">
      <formula>VALUE(#REF!="Materialdatenbank")</formula>
    </cfRule>
  </conditionalFormatting>
  <conditionalFormatting sqref="O26">
    <cfRule type="expression" dxfId="203" priority="16" stopIfTrue="1">
      <formula>VALUE(#REF!="Materialdatenbank")</formula>
    </cfRule>
  </conditionalFormatting>
  <conditionalFormatting sqref="R26">
    <cfRule type="expression" dxfId="202" priority="15" stopIfTrue="1">
      <formula>VALUE(#REF!="Materialdatenbank")</formula>
    </cfRule>
  </conditionalFormatting>
  <conditionalFormatting sqref="U26">
    <cfRule type="expression" dxfId="201" priority="14" stopIfTrue="1">
      <formula>VALUE(#REF!="Materialdatenbank")</formula>
    </cfRule>
  </conditionalFormatting>
  <conditionalFormatting sqref="X26">
    <cfRule type="expression" dxfId="200" priority="13" stopIfTrue="1">
      <formula>VALUE(#REF!="Materialdatenbank")</formula>
    </cfRule>
  </conditionalFormatting>
  <conditionalFormatting sqref="AA26">
    <cfRule type="expression" dxfId="199" priority="12" stopIfTrue="1">
      <formula>VALUE(#REF!="Materialdatenbank")</formula>
    </cfRule>
  </conditionalFormatting>
  <conditionalFormatting sqref="L27">
    <cfRule type="expression" dxfId="198" priority="11" stopIfTrue="1">
      <formula>VALUE(#REF!="Materialdatenbank")</formula>
    </cfRule>
  </conditionalFormatting>
  <conditionalFormatting sqref="O27">
    <cfRule type="expression" dxfId="197" priority="10" stopIfTrue="1">
      <formula>VALUE(#REF!="Materialdatenbank")</formula>
    </cfRule>
  </conditionalFormatting>
  <conditionalFormatting sqref="R27">
    <cfRule type="expression" dxfId="196" priority="9" stopIfTrue="1">
      <formula>VALUE(#REF!="Materialdatenbank")</formula>
    </cfRule>
  </conditionalFormatting>
  <conditionalFormatting sqref="U27">
    <cfRule type="expression" dxfId="195" priority="8" stopIfTrue="1">
      <formula>VALUE(#REF!="Materialdatenbank")</formula>
    </cfRule>
  </conditionalFormatting>
  <conditionalFormatting sqref="X27">
    <cfRule type="expression" dxfId="194" priority="7" stopIfTrue="1">
      <formula>VALUE(#REF!="Materialdatenbank")</formula>
    </cfRule>
  </conditionalFormatting>
  <conditionalFormatting sqref="AA27">
    <cfRule type="expression" dxfId="193" priority="6" stopIfTrue="1">
      <formula>VALUE(#REF!="Materialdatenbank")</formula>
    </cfRule>
  </conditionalFormatting>
  <conditionalFormatting sqref="L8">
    <cfRule type="cellIs" dxfId="192" priority="1" operator="equal">
      <formula>"?"</formula>
    </cfRule>
  </conditionalFormatting>
  <dataValidations disablePrompts="1" count="27">
    <dataValidation type="whole" allowBlank="1" showInputMessage="1" showErrorMessage="1" sqref="U35 L35 O35 R35 AA35 X35" xr:uid="{00000000-0002-0000-0100-000000000000}">
      <formula1>2</formula1>
      <formula2>$F35</formula2>
    </dataValidation>
    <dataValidation type="list" allowBlank="1" showInputMessage="1" showErrorMessage="1" sqref="L46 U46 X46 AA46 R46 O46" xr:uid="{00000000-0002-0000-0100-000001000000}">
      <formula1>AW_Schichtmodel</formula1>
    </dataValidation>
    <dataValidation type="list" allowBlank="1" showInputMessage="1" showErrorMessage="1" sqref="L49 AA49 X49 U49 R49 O49" xr:uid="{00000000-0002-0000-0100-000002000000}">
      <formula1>AW_Größe</formula1>
    </dataValidation>
    <dataValidation type="list" allowBlank="1" showInputMessage="1" showErrorMessage="1" sqref="L45 O45 R45 U45 X45 AA45" xr:uid="{00000000-0002-0000-0100-000003000000}">
      <formula1>AW_Produktionsregion</formula1>
    </dataValidation>
    <dataValidation type="list" allowBlank="1" showInputMessage="1" showErrorMessage="1" sqref="L31 U31 X31 O31 AA31 R31" xr:uid="{00000000-0002-0000-0100-000004000000}">
      <formula1>AW_Prüfbescheinigung</formula1>
    </dataValidation>
    <dataValidation type="list" allowBlank="1" showInputMessage="1" showErrorMessage="1" sqref="AA25:AA30 X25:X30 U25:U30 R25:R30 O25:O30 L25:L30" xr:uid="{00000000-0002-0000-0100-000005000000}">
      <formula1>AW_JaNein</formula1>
    </dataValidation>
    <dataValidation type="list" operator="greaterThanOrEqual" allowBlank="1" showInputMessage="1" showErrorMessage="1" sqref="R22 AA22 X22 L22 O22 U22" xr:uid="{00000000-0002-0000-0100-000006000000}">
      <formula1>AW_Gusstechnik</formula1>
    </dataValidation>
    <dataValidation type="list" allowBlank="1" showInputMessage="1" showErrorMessage="1" promptTitle="Bitte Auswählen" sqref="R10 AA10 U10 X10 L10 O10" xr:uid="{00000000-0002-0000-0100-000007000000}">
      <formula1>AW_Materialtyp</formula1>
    </dataValidation>
    <dataValidation type="list" allowBlank="1" showInputMessage="1" showErrorMessage="1" sqref="R12 O12 L12 U12 X12 AA12" xr:uid="{00000000-0002-0000-0100-000008000000}">
      <formula1>AW_Preisquelle</formula1>
    </dataValidation>
    <dataValidation type="list" allowBlank="1" showInputMessage="1" showErrorMessage="1" sqref="L2" xr:uid="{00000000-0002-0000-0100-000009000000}">
      <formula1>AW_Sprachen</formula1>
    </dataValidation>
    <dataValidation type="list" allowBlank="1" showInputMessage="1" showErrorMessage="1" sqref="X32 L32 O32 R32 U32 AA32" xr:uid="{00000000-0002-0000-0100-00000A000000}">
      <formula1>AW_Wärmebehandlung</formula1>
    </dataValidation>
    <dataValidation type="decimal" allowBlank="1" showInputMessage="1" showErrorMessage="1" error="Wert außerhalb des zulässigen Bereichs_x000a_out of range" sqref="AA14 U14 X14 R14 O14 L14" xr:uid="{00000000-0002-0000-0100-00000B000000}">
      <formula1>$E14/1.2</formula1>
      <formula2>$F14*1.2</formula2>
    </dataValidation>
    <dataValidation type="decimal" allowBlank="1" showInputMessage="1" showErrorMessage="1" error="Wert außerhalb zulässiger Grenzen_x000a_out of range" sqref="AA15 R15 O15 X15 U15 L15" xr:uid="{00000000-0002-0000-0100-00000C000000}">
      <formula1>$E15/1.2</formula1>
      <formula2>$F15*1.2</formula2>
    </dataValidation>
    <dataValidation type="list" allowBlank="1" showInputMessage="1" showErrorMessage="1" sqref="O23 R23 U23 X23 AA23 L23" xr:uid="{00000000-0002-0000-0100-00000D000000}">
      <formula1>AW_Einlegekerne</formula1>
    </dataValidation>
    <dataValidation type="date" operator="lessThanOrEqual" allowBlank="1" showInputMessage="1" showErrorMessage="1" sqref="L4" xr:uid="{00000000-0002-0000-0100-00000E000000}">
      <formula1>G4</formula1>
    </dataValidation>
    <dataValidation type="list" allowBlank="1" showInputMessage="1" showErrorMessage="1" sqref="O21 R21 U21 X21 AA21 L21" xr:uid="{00000000-0002-0000-0100-00000F000000}">
      <formula1>AW_Bauteilkomplexität</formula1>
    </dataValidation>
    <dataValidation type="decimal" showErrorMessage="1" errorTitle="sehr große Abweichung" error="Untypischer  Materialwert_x000a_not allowed parameter range" sqref="L13 O13 R13 U13 X13 AA13" xr:uid="{00000000-0002-0000-01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AA17 O17 R17 U17 X17 L17" xr:uid="{00000000-0002-0000-0100-000011000000}">
      <formula1>$E$18</formula1>
      <formula2>1.2*$F$17</formula2>
    </dataValidation>
    <dataValidation type="decimal" allowBlank="1" showInputMessage="1" showErrorMessage="1" errorTitle="data not valid" error="Wert nicht sinnvoll_x000a_" sqref="AA18 O18 R18 U18 X18 L18" xr:uid="{00000000-0002-0000-0100-000012000000}">
      <formula1>0.8*$E$18</formula1>
      <formula2>MIN($F$18,L$17)</formula2>
    </dataValidation>
    <dataValidation type="list" allowBlank="1" showInputMessage="1" showErrorMessage="1" sqref="L33 O33 R33 U33 X33 AA33" xr:uid="{00000000-0002-0000-0100-000013000000}">
      <formula1>AW_Reparaturschweißen</formula1>
    </dataValidation>
    <dataValidation type="whole" allowBlank="1" showInputMessage="1" showErrorMessage="1" sqref="L47 O47 R47 U47 X47 AA47" xr:uid="{00000000-0002-0000-01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AA19 R19 U19 X19 O19" xr:uid="{00000000-0002-0000-0100-000015000000}">
      <formula1>$E$19</formula1>
      <formula2>MIN(K$19,$F$19)</formula2>
    </dataValidation>
    <dataValidation type="list" allowBlank="1" showInputMessage="1" sqref="X3" xr:uid="{00000000-0002-0000-0100-000016000000}">
      <formula1>$D$1:$IV$1</formula1>
    </dataValidation>
    <dataValidation type="decimal" allowBlank="1" showInputMessage="1" showErrorMessage="1" sqref="AA16 X16 U16 R16 O16" xr:uid="{00000000-0002-0000-01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1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100-000019000000}">
      <formula1>3</formula1>
      <formula2>28</formula2>
    </dataValidation>
    <dataValidation type="list" allowBlank="1" showInputMessage="1" showErrorMessage="1" sqref="L24 X24 O24 R24 U24 AA24" xr:uid="{00000000-0002-0000-01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4" id="{8C1930E9-D191-4B2D-B75D-6619E2021B03}">
            <xm:f>V$23&lt;&gt;Auswahlfelder!$D$50</xm:f>
            <x14:dxf>
              <font>
                <color theme="0" tint="-0.14996795556505021"/>
              </font>
            </x14:dxf>
          </x14:cfRule>
          <xm:sqref>U24</xm:sqref>
        </x14:conditionalFormatting>
        <x14:conditionalFormatting xmlns:xm="http://schemas.microsoft.com/office/excel/2006/main">
          <x14:cfRule type="expression" priority="3" id="{A6695696-9C46-4847-B6D8-C2B83736D10C}">
            <xm:f>Y$23&lt;&gt;Auswahlfelder!$D$50</xm:f>
            <x14:dxf>
              <font>
                <color theme="0" tint="-0.14996795556505021"/>
              </font>
            </x14:dxf>
          </x14:cfRule>
          <xm:sqref>X24</xm:sqref>
        </x14:conditionalFormatting>
        <x14:conditionalFormatting xmlns:xm="http://schemas.microsoft.com/office/excel/2006/main">
          <x14:cfRule type="expression" priority="2" id="{D48DA29C-EF60-47B6-BFEB-67AFE343D16E}">
            <xm:f>AB$23&lt;&gt;Auswahlfelder!$D$50</xm:f>
            <x14:dxf>
              <font>
                <color theme="0" tint="-0.14996795556505021"/>
              </font>
            </x14:dxf>
          </x14:cfRule>
          <xm:sqref>AA24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 U13 X13 AA13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00CCFF"/>
    <pageSetUpPr fitToPage="1"/>
  </sheetPr>
  <dimension ref="A1:Y239"/>
  <sheetViews>
    <sheetView zoomScaleNormal="100" workbookViewId="0">
      <pane xSplit="6" ySplit="8" topLeftCell="G77" activePane="bottomRight" state="frozenSplit"/>
      <selection activeCell="L30" sqref="L30"/>
      <selection pane="topRight" activeCell="L30" sqref="L30"/>
      <selection pane="bottomLeft" activeCell="L30" sqref="L30"/>
      <selection pane="bottomRight" activeCell="H92" sqref="H92"/>
    </sheetView>
  </sheetViews>
  <sheetFormatPr baseColWidth="10" defaultColWidth="3" defaultRowHeight="14.25" x14ac:dyDescent="0.2"/>
  <cols>
    <col min="1" max="1" width="0.625" style="55" customWidth="1"/>
    <col min="2" max="2" width="2.75" style="55" hidden="1" customWidth="1"/>
    <col min="3" max="3" width="3.3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6" width="1.12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803" t="b">
        <f ca="1">'Länder-DB'!$E$27</f>
        <v>1</v>
      </c>
      <c r="D1" s="213" t="b">
        <f>Deutsch</f>
        <v>1</v>
      </c>
      <c r="E1" s="692" t="s">
        <v>33</v>
      </c>
      <c r="F1" s="693"/>
      <c r="G1" s="66"/>
      <c r="H1" s="66"/>
      <c r="I1" s="66"/>
      <c r="J1" s="66"/>
      <c r="K1" s="271"/>
      <c r="L1" s="66"/>
      <c r="M1" s="287" t="str">
        <f>CONCATENATE(IF(Deutsch,"Parametrische Kalkulation ","Parametric Calculation "),'Quick Input'!$O$2)</f>
        <v>Parametrische Kalkulation AL - Sandguss</v>
      </c>
      <c r="N1" s="271"/>
      <c r="O1" s="66"/>
      <c r="P1" s="66"/>
      <c r="Q1" s="66"/>
      <c r="R1" s="66"/>
      <c r="S1" s="66"/>
      <c r="T1" s="66"/>
      <c r="U1" s="66"/>
      <c r="V1" s="66"/>
      <c r="W1" s="884" t="str">
        <f>CONCATENATE('Quick Input'!AA2,'Quick Input'!AA3," ",'Quick Input'!AA4)</f>
        <v>Version V3.1 16.07.2017</v>
      </c>
      <c r="X1" s="360"/>
      <c r="Y1" s="78"/>
    </row>
    <row r="2" spans="1:25" ht="6.75" customHeight="1" thickBot="1" x14ac:dyDescent="0.25">
      <c r="A2" s="55" t="e">
        <f>#REF!&lt;100</f>
        <v>#REF!</v>
      </c>
      <c r="D2" s="71"/>
      <c r="E2" s="694"/>
      <c r="F2" s="695"/>
      <c r="G2" s="67"/>
      <c r="H2" s="390" t="b">
        <f>OR(ISERROR(H116),H5="?",H5=0,H12=0,H16=0,H24=0)</f>
        <v>0</v>
      </c>
      <c r="I2" s="67"/>
      <c r="J2" s="67"/>
      <c r="K2" s="390" t="b">
        <f>OR(ISERROR(K116),K5="?",K5=0,K12=0,K16=0,K24=0)</f>
        <v>0</v>
      </c>
      <c r="L2" s="67"/>
      <c r="M2" s="67"/>
      <c r="N2" s="390" t="b">
        <f>OR(ISERROR(N116),N5="?",N5=0,N12=0,N16=0,N24=0)</f>
        <v>0</v>
      </c>
      <c r="O2" s="67"/>
      <c r="P2" s="67"/>
      <c r="Q2" s="390" t="b">
        <f>OR(ISERROR(Q116),Q5="?",Q5=0,Q12=0,Q16=0,Q24=0)</f>
        <v>1</v>
      </c>
      <c r="R2" s="67"/>
      <c r="S2" s="67"/>
      <c r="T2" s="390" t="b">
        <f>OR(ISERROR(T116),T5="?",T5=0,T12=0,T16=0,T24=0)</f>
        <v>1</v>
      </c>
      <c r="U2" s="67"/>
      <c r="V2" s="67"/>
      <c r="W2" s="390" t="b">
        <f>OR(ISERROR(W116),W5="?",W5=0,W12=0,W16=0,W24=0)</f>
        <v>1</v>
      </c>
      <c r="X2" s="69"/>
      <c r="Y2" s="78"/>
    </row>
    <row r="3" spans="1:25" ht="15.75" customHeight="1" x14ac:dyDescent="0.2">
      <c r="D3" s="71"/>
      <c r="E3" s="275" t="str">
        <f>'Quick Input'!I3</f>
        <v>Bearbeiter</v>
      </c>
      <c r="F3" s="276" t="str">
        <f>'Quick Input'!L3</f>
        <v>Dr.P. Pawar</v>
      </c>
      <c r="G3" s="67"/>
      <c r="H3" s="391" t="b">
        <f>H2</f>
        <v>0</v>
      </c>
      <c r="I3" s="67"/>
      <c r="J3" s="67"/>
      <c r="K3" s="954" t="b">
        <f>K2</f>
        <v>0</v>
      </c>
      <c r="L3" s="67"/>
      <c r="M3" s="67"/>
      <c r="N3" s="391" t="b">
        <f>N2</f>
        <v>0</v>
      </c>
      <c r="O3" s="67"/>
      <c r="P3" s="67"/>
      <c r="Q3" s="391" t="b">
        <f>Q2</f>
        <v>1</v>
      </c>
      <c r="R3" s="67"/>
      <c r="S3" s="67"/>
      <c r="T3" s="391" t="b">
        <f>T2</f>
        <v>1</v>
      </c>
      <c r="U3" s="67"/>
      <c r="V3" s="67"/>
      <c r="W3" s="391" t="b">
        <f>W2</f>
        <v>1</v>
      </c>
      <c r="X3" s="69"/>
      <c r="Y3" s="78"/>
    </row>
    <row r="4" spans="1:25" ht="6.75" customHeight="1" thickBot="1" x14ac:dyDescent="0.25">
      <c r="D4" s="388"/>
      <c r="E4" s="90"/>
      <c r="F4" s="90"/>
      <c r="G4" s="90"/>
      <c r="H4" s="392" t="b">
        <f>H3</f>
        <v>0</v>
      </c>
      <c r="I4" s="90"/>
      <c r="J4" s="90"/>
      <c r="K4" s="392" t="b">
        <f>K3</f>
        <v>0</v>
      </c>
      <c r="L4" s="90"/>
      <c r="M4" s="90"/>
      <c r="N4" s="392" t="b">
        <f>N3</f>
        <v>0</v>
      </c>
      <c r="O4" s="90"/>
      <c r="P4" s="90"/>
      <c r="Q4" s="392" t="b">
        <f>Q3</f>
        <v>1</v>
      </c>
      <c r="R4" s="90"/>
      <c r="S4" s="90"/>
      <c r="T4" s="392" t="b">
        <f>T3</f>
        <v>1</v>
      </c>
      <c r="U4" s="90"/>
      <c r="V4" s="90"/>
      <c r="W4" s="392" t="b">
        <f>W3</f>
        <v>1</v>
      </c>
      <c r="X4" s="362"/>
      <c r="Y4" s="78"/>
    </row>
    <row r="5" spans="1:25" ht="15.75" customHeight="1" x14ac:dyDescent="0.2">
      <c r="D5" s="1228" t="str">
        <f>IF(Deutsch,"Artikel (Nr.  /  Bezeichnung)","part (no. / name)")</f>
        <v>Artikel (Nr.  /  Bezeichnung)</v>
      </c>
      <c r="E5" s="1229"/>
      <c r="F5" s="1230"/>
      <c r="G5" s="625"/>
      <c r="H5" s="805">
        <f>'Quick Input'!M$8</f>
        <v>58622</v>
      </c>
      <c r="I5" s="633" t="s">
        <v>288</v>
      </c>
      <c r="J5" s="633"/>
      <c r="K5" s="805">
        <f>'Quick Input'!P$8</f>
        <v>58622</v>
      </c>
      <c r="L5" s="633" t="s">
        <v>288</v>
      </c>
      <c r="M5" s="633"/>
      <c r="N5" s="805">
        <f>'Quick Input'!S$8</f>
        <v>58622</v>
      </c>
      <c r="O5" s="633" t="s">
        <v>288</v>
      </c>
      <c r="P5" s="633"/>
      <c r="Q5" s="805" t="str">
        <f>'Quick Input'!V$8</f>
        <v>?</v>
      </c>
      <c r="R5" s="633" t="s">
        <v>288</v>
      </c>
      <c r="S5" s="633"/>
      <c r="T5" s="805" t="str">
        <f>'Quick Input'!Y$8</f>
        <v>?</v>
      </c>
      <c r="U5" s="633" t="s">
        <v>288</v>
      </c>
      <c r="V5" s="633"/>
      <c r="W5" s="805" t="str">
        <f>'Quick Input'!AB$8</f>
        <v>?</v>
      </c>
      <c r="X5" s="641"/>
      <c r="Y5" s="78"/>
    </row>
    <row r="6" spans="1:25" x14ac:dyDescent="0.2">
      <c r="D6" s="1231"/>
      <c r="E6" s="1232"/>
      <c r="F6" s="1233"/>
      <c r="G6" s="626"/>
      <c r="H6" s="68" t="str">
        <f>'Quick Input'!M$9</f>
        <v>Housing</v>
      </c>
      <c r="I6" s="634" t="s">
        <v>288</v>
      </c>
      <c r="J6" s="634"/>
      <c r="K6" s="70" t="str">
        <f>'Quick Input'!P9</f>
        <v>Housing</v>
      </c>
      <c r="L6" s="518" t="s">
        <v>753</v>
      </c>
      <c r="M6" s="78"/>
      <c r="N6" s="70" t="str">
        <f>'Quick Input'!S9</f>
        <v>Housing</v>
      </c>
      <c r="O6" s="518" t="s">
        <v>753</v>
      </c>
      <c r="P6" s="78"/>
      <c r="Q6" s="70" t="str">
        <f>'Quick Input'!V9</f>
        <v>?</v>
      </c>
      <c r="R6" s="518" t="s">
        <v>753</v>
      </c>
      <c r="S6" s="78"/>
      <c r="T6" s="70" t="str">
        <f>'Quick Input'!Y9</f>
        <v>?</v>
      </c>
      <c r="U6" s="518" t="s">
        <v>753</v>
      </c>
      <c r="V6" s="78"/>
      <c r="W6" s="70" t="str">
        <f>'Quick Input'!AB9</f>
        <v>?</v>
      </c>
      <c r="X6" s="642"/>
      <c r="Y6" s="78"/>
    </row>
    <row r="7" spans="1:25" ht="15.75" customHeight="1" x14ac:dyDescent="0.2">
      <c r="D7" s="1248" t="str">
        <f>'Quick Input'!$I$45</f>
        <v>Produktionsregion</v>
      </c>
      <c r="E7" s="1249"/>
      <c r="F7" s="1250"/>
      <c r="G7" s="626"/>
      <c r="H7" s="68" t="str">
        <f>VLOOKUP('Quick Input'!M$45,DB_Länder,IF(Deutsch,1,2),FALSE)</f>
        <v>Deutschland</v>
      </c>
      <c r="I7" s="634" t="s">
        <v>753</v>
      </c>
      <c r="J7" s="634"/>
      <c r="K7" s="68" t="str">
        <f>VLOOKUP('Quick Input'!P$45,DB_Länder,IF(Deutsch,1,2),FALSE)</f>
        <v>Türkei</v>
      </c>
      <c r="L7" s="78" t="s">
        <v>288</v>
      </c>
      <c r="M7" s="78"/>
      <c r="N7" s="68" t="str">
        <f>VLOOKUP('Quick Input'!S$45,DB_Länder,IF(Deutsch,1,2),FALSE)</f>
        <v>Polen</v>
      </c>
      <c r="O7" s="78" t="s">
        <v>288</v>
      </c>
      <c r="P7" s="78"/>
      <c r="Q7" s="68" t="str">
        <f>VLOOKUP('Quick Input'!V$45,DB_Länder,IF(Deutsch,1,2),FALSE)</f>
        <v>Deutschland</v>
      </c>
      <c r="R7" s="78" t="s">
        <v>288</v>
      </c>
      <c r="S7" s="78"/>
      <c r="T7" s="68" t="str">
        <f>VLOOKUP('Quick Input'!Y$45,DB_Länder,IF(Deutsch,1,2),FALSE)</f>
        <v>Deutschland</v>
      </c>
      <c r="U7" s="78" t="s">
        <v>288</v>
      </c>
      <c r="V7" s="78"/>
      <c r="W7" s="68" t="str">
        <f>VLOOKUP('Quick Input'!AB$45,DB_Länder,IF(Deutsch,1,2),FALSE)</f>
        <v>Deutschland</v>
      </c>
      <c r="X7" s="642"/>
      <c r="Y7" s="78"/>
    </row>
    <row r="8" spans="1:25" ht="16.5" customHeight="1" thickBot="1" x14ac:dyDescent="0.25">
      <c r="D8" s="1251" t="str">
        <f>'Quick Input'!$I$4</f>
        <v>Datum</v>
      </c>
      <c r="E8" s="1252"/>
      <c r="F8" s="1253"/>
      <c r="G8" s="630"/>
      <c r="H8" s="691">
        <f>'Quick Input'!M$34</f>
        <v>43531</v>
      </c>
      <c r="I8" s="640" t="s">
        <v>288</v>
      </c>
      <c r="J8" s="640"/>
      <c r="K8" s="691">
        <f>'Quick Input'!P$34</f>
        <v>43531</v>
      </c>
      <c r="L8" s="87" t="s">
        <v>288</v>
      </c>
      <c r="M8" s="87"/>
      <c r="N8" s="691">
        <f>'Quick Input'!S$34</f>
        <v>43531</v>
      </c>
      <c r="O8" s="87" t="s">
        <v>288</v>
      </c>
      <c r="P8" s="87"/>
      <c r="Q8" s="691">
        <f>'Quick Input'!V$34</f>
        <v>43531</v>
      </c>
      <c r="R8" s="87" t="s">
        <v>288</v>
      </c>
      <c r="S8" s="87"/>
      <c r="T8" s="691">
        <f>'Quick Input'!Y$34</f>
        <v>43531</v>
      </c>
      <c r="U8" s="87" t="s">
        <v>288</v>
      </c>
      <c r="V8" s="87"/>
      <c r="W8" s="691">
        <f>'Quick Input'!AB$34</f>
        <v>43531</v>
      </c>
      <c r="X8" s="644"/>
      <c r="Y8" s="78"/>
    </row>
    <row r="9" spans="1:25" ht="14.25" customHeight="1" x14ac:dyDescent="0.2">
      <c r="D9" s="1245" t="str">
        <f>IF(Deutsch,"Materialien","materials")</f>
        <v>Materialien</v>
      </c>
      <c r="E9" s="1246"/>
      <c r="F9" s="1247"/>
      <c r="G9" s="626"/>
      <c r="H9" s="690" t="str">
        <f>'Quick Input'!M$10</f>
        <v>EN AC-46100</v>
      </c>
      <c r="I9" s="634" t="s">
        <v>288</v>
      </c>
      <c r="J9" s="634"/>
      <c r="K9" s="690" t="str">
        <f>'Quick Input'!P$10</f>
        <v>EN AC-43100</v>
      </c>
      <c r="L9" s="518" t="s">
        <v>288</v>
      </c>
      <c r="M9" s="78"/>
      <c r="N9" s="690" t="str">
        <f>'Quick Input'!S$10</f>
        <v>EN AC-43100</v>
      </c>
      <c r="O9" s="78" t="s">
        <v>288</v>
      </c>
      <c r="P9" s="78"/>
      <c r="Q9" s="690" t="str">
        <f>'Quick Input'!V$10</f>
        <v>EN AC-43100</v>
      </c>
      <c r="R9" s="78" t="s">
        <v>288</v>
      </c>
      <c r="S9" s="78"/>
      <c r="T9" s="690" t="str">
        <f>'Quick Input'!Y$10</f>
        <v>EN AC-43100</v>
      </c>
      <c r="U9" s="78" t="s">
        <v>288</v>
      </c>
      <c r="V9" s="78"/>
      <c r="W9" s="690" t="str">
        <f>'Quick Input'!AB$10</f>
        <v>EN AC-43100</v>
      </c>
      <c r="X9" s="642"/>
      <c r="Y9" s="78" t="s">
        <v>33</v>
      </c>
    </row>
    <row r="10" spans="1:25" ht="13.5" customHeight="1" x14ac:dyDescent="0.2">
      <c r="D10" s="1245"/>
      <c r="E10" s="1246"/>
      <c r="F10" s="1247"/>
      <c r="G10" s="626"/>
      <c r="H10" s="690" t="str">
        <f>'Quick Input'!M$11</f>
        <v>Al Si10Cu2(Fe)</v>
      </c>
      <c r="I10" s="634" t="s">
        <v>753</v>
      </c>
      <c r="J10" s="634"/>
      <c r="K10" s="690" t="str">
        <f>'Quick Input'!P$11</f>
        <v>Al Si10Mg(b)</v>
      </c>
      <c r="L10" s="902" t="s">
        <v>753</v>
      </c>
      <c r="M10" s="78"/>
      <c r="N10" s="690" t="str">
        <f>'Quick Input'!S$11</f>
        <v>Al Si10Mg(b)</v>
      </c>
      <c r="O10" s="903" t="s">
        <v>753</v>
      </c>
      <c r="P10" s="78"/>
      <c r="Q10" s="690" t="str">
        <f>'Quick Input'!V$11</f>
        <v>Al Si10Mg(b)</v>
      </c>
      <c r="R10" s="903" t="s">
        <v>753</v>
      </c>
      <c r="S10" s="78"/>
      <c r="T10" s="690" t="str">
        <f>'Quick Input'!Y$11</f>
        <v>Al Si10Mg(b)</v>
      </c>
      <c r="U10" s="903" t="s">
        <v>753</v>
      </c>
      <c r="V10" s="78"/>
      <c r="W10" s="690" t="str">
        <f>'Quick Input'!AB$11</f>
        <v>Al Si10Mg(b)</v>
      </c>
      <c r="X10" s="642"/>
      <c r="Y10" s="78"/>
    </row>
    <row r="11" spans="1:25" ht="13.5" customHeight="1" x14ac:dyDescent="0.2">
      <c r="D11" s="1237"/>
      <c r="E11" s="1238"/>
      <c r="F11" s="1239"/>
      <c r="G11" s="626"/>
      <c r="H11" s="690" t="str">
        <f>IFERROR(VLOOKUP(H$9,DB_Material,4,FALSE),"")</f>
        <v>LM2, L-2640</v>
      </c>
      <c r="I11" s="634" t="s">
        <v>288</v>
      </c>
      <c r="J11" s="634"/>
      <c r="K11" s="690" t="str">
        <f>IFERROR(VLOOKUP(K$9,DB_Material,4,FALSE),"")</f>
        <v>L239 (b)</v>
      </c>
      <c r="L11" s="78" t="s">
        <v>288</v>
      </c>
      <c r="M11" s="78"/>
      <c r="N11" s="690" t="str">
        <f>IFERROR(VLOOKUP(N$9,DB_Material,4,FALSE),"")</f>
        <v>L239 (b)</v>
      </c>
      <c r="O11" s="78" t="s">
        <v>288</v>
      </c>
      <c r="P11" s="78"/>
      <c r="Q11" s="690" t="str">
        <f>IFERROR(VLOOKUP(Q$9,DB_Material,4,FALSE),"")</f>
        <v>L239 (b)</v>
      </c>
      <c r="R11" s="78" t="s">
        <v>288</v>
      </c>
      <c r="S11" s="78"/>
      <c r="T11" s="690" t="str">
        <f>IFERROR(VLOOKUP(T$9,DB_Material,4,FALSE),"")</f>
        <v>L239 (b)</v>
      </c>
      <c r="U11" s="78" t="s">
        <v>288</v>
      </c>
      <c r="V11" s="78"/>
      <c r="W11" s="690" t="str">
        <f>IFERROR(VLOOKUP(W$9,DB_Material,4,FALSE),"")</f>
        <v>L239 (b)</v>
      </c>
      <c r="X11" s="642"/>
      <c r="Y11" s="78" t="s">
        <v>33</v>
      </c>
    </row>
    <row r="12" spans="1:25" x14ac:dyDescent="0.2">
      <c r="D12" s="76" t="str">
        <f>'Quick Input'!I13</f>
        <v>Al-Materialpreis (€/kg)</v>
      </c>
      <c r="E12" s="596"/>
      <c r="F12" s="500"/>
      <c r="G12" s="626"/>
      <c r="H12" s="906">
        <f>'Quick Input'!M$13</f>
        <v>2.0002526724975707</v>
      </c>
      <c r="I12" s="634" t="s">
        <v>288</v>
      </c>
      <c r="J12" s="634"/>
      <c r="K12" s="906">
        <f>'Quick Input'!P$13</f>
        <v>1.9670528580208975</v>
      </c>
      <c r="L12" s="78" t="s">
        <v>288</v>
      </c>
      <c r="M12" s="78"/>
      <c r="N12" s="906">
        <f>'Quick Input'!S$13</f>
        <v>1.9670528580208975</v>
      </c>
      <c r="O12" s="78" t="s">
        <v>288</v>
      </c>
      <c r="P12" s="78"/>
      <c r="Q12" s="906">
        <f>'Quick Input'!V$13</f>
        <v>2.29</v>
      </c>
      <c r="R12" s="78" t="s">
        <v>288</v>
      </c>
      <c r="S12" s="78"/>
      <c r="T12" s="906">
        <f>'Quick Input'!Y$13</f>
        <v>2.29</v>
      </c>
      <c r="U12" s="78" t="s">
        <v>288</v>
      </c>
      <c r="V12" s="78"/>
      <c r="W12" s="906">
        <f>'Quick Input'!AB$13</f>
        <v>2.29</v>
      </c>
      <c r="X12" s="642"/>
      <c r="Y12" s="78" t="s">
        <v>33</v>
      </c>
    </row>
    <row r="13" spans="1:25" x14ac:dyDescent="0.2">
      <c r="D13" s="76" t="str">
        <f>'Quick Input'!I12</f>
        <v>Quelle Materialpreis</v>
      </c>
      <c r="E13" s="73"/>
      <c r="F13" s="75"/>
      <c r="G13" s="626"/>
      <c r="H13" s="285" t="str">
        <f>IF('Quick Input'!M$12=Auswahlfelder!$D$13,'Material-DB'!$G$1,VLOOKUP(VLOOKUP('Quick Input'!M$12,Auswahlfelder!$D$12:$E$13,2,FALSE),Auswahlfelder!$A$12:$B$13,2,FALSE))</f>
        <v>manuell</v>
      </c>
      <c r="I13" s="634" t="s">
        <v>288</v>
      </c>
      <c r="J13" s="634"/>
      <c r="K13" s="285" t="str">
        <f>IF('Quick Input'!P$12=Auswahlfelder!$D$13,'Material-DB'!$G$1,VLOOKUP(VLOOKUP('Quick Input'!P$12,Auswahlfelder!$D$12:$E$13,2,FALSE),Auswahlfelder!$A$12:$B$13,2,FALSE))</f>
        <v>manuell</v>
      </c>
      <c r="L13" s="634" t="s">
        <v>288</v>
      </c>
      <c r="M13" s="634"/>
      <c r="N13" s="285" t="str">
        <f>IF('Quick Input'!S$12=Auswahlfelder!$D$13,'Material-DB'!$G$1,VLOOKUP(VLOOKUP('Quick Input'!S$12,Auswahlfelder!$D$12:$E$13,2,FALSE),Auswahlfelder!$A$12:$B$13,2,FALSE))</f>
        <v>manuell</v>
      </c>
      <c r="O13" s="634" t="s">
        <v>288</v>
      </c>
      <c r="P13" s="634"/>
      <c r="Q13" s="285" t="str">
        <f>IF('Quick Input'!V$12=Auswahlfelder!$D$13,'Material-DB'!$G$1,VLOOKUP(VLOOKUP('Quick Input'!V$12,Auswahlfelder!$D$12:$E$13,2,FALSE),Auswahlfelder!$A$12:$B$13,2,FALSE))</f>
        <v>Daten aus 0.0</v>
      </c>
      <c r="R13" s="634" t="s">
        <v>288</v>
      </c>
      <c r="S13" s="634"/>
      <c r="T13" s="285" t="str">
        <f>IF('Quick Input'!Y$12=Auswahlfelder!$D$13,'Material-DB'!$G$1,VLOOKUP(VLOOKUP('Quick Input'!Y$12,Auswahlfelder!$D$12:$E$13,2,FALSE),Auswahlfelder!$A$12:$B$13,2,FALSE))</f>
        <v>Daten aus 0.0</v>
      </c>
      <c r="U13" s="634" t="s">
        <v>288</v>
      </c>
      <c r="V13" s="634"/>
      <c r="W13" s="285" t="str">
        <f>IF('Quick Input'!AB$12=Auswahlfelder!$D$13,'Material-DB'!$G$1,VLOOKUP(VLOOKUP('Quick Input'!AB$12,Auswahlfelder!$D$12:$E$13,2,FALSE),Auswahlfelder!$A$12:$B$13,2,FALSE))</f>
        <v>Daten aus 0.0</v>
      </c>
      <c r="X13" s="642"/>
      <c r="Y13" s="78" t="s">
        <v>33</v>
      </c>
    </row>
    <row r="14" spans="1:25" x14ac:dyDescent="0.2">
      <c r="D14" s="76" t="str">
        <f>'Quick Input'!I19</f>
        <v>Rohteilgewicht AL (kg)</v>
      </c>
      <c r="E14" s="73"/>
      <c r="F14" s="75"/>
      <c r="G14" s="626"/>
      <c r="H14" s="594">
        <f>'Quick Input'!M$19</f>
        <v>5</v>
      </c>
      <c r="I14" s="634" t="s">
        <v>288</v>
      </c>
      <c r="J14" s="634"/>
      <c r="K14" s="594">
        <f>'Quick Input'!P$19</f>
        <v>5</v>
      </c>
      <c r="L14" s="78" t="s">
        <v>288</v>
      </c>
      <c r="M14" s="78"/>
      <c r="N14" s="594">
        <f>'Quick Input'!S$19</f>
        <v>5</v>
      </c>
      <c r="O14" s="78" t="s">
        <v>288</v>
      </c>
      <c r="P14" s="78"/>
      <c r="Q14" s="594" t="str">
        <f>'Quick Input'!V$19</f>
        <v>?</v>
      </c>
      <c r="R14" s="78" t="s">
        <v>288</v>
      </c>
      <c r="S14" s="78"/>
      <c r="T14" s="594" t="str">
        <f>'Quick Input'!Y$19</f>
        <v>?</v>
      </c>
      <c r="U14" s="78" t="s">
        <v>288</v>
      </c>
      <c r="V14" s="78"/>
      <c r="W14" s="594" t="str">
        <f>'Quick Input'!AB$19</f>
        <v>?</v>
      </c>
      <c r="X14" s="642"/>
      <c r="Y14" s="78" t="s">
        <v>33</v>
      </c>
    </row>
    <row r="15" spans="1:25" x14ac:dyDescent="0.2">
      <c r="A15" s="721" t="s">
        <v>33</v>
      </c>
      <c r="D15" s="76" t="str">
        <f>IF(Deutsch,"Materialkosten Rohteil","material cost raw part")</f>
        <v>Materialkosten Rohteil</v>
      </c>
      <c r="E15" s="73"/>
      <c r="F15" s="75"/>
      <c r="G15" s="626"/>
      <c r="H15" s="74">
        <f>H$14*H$12</f>
        <v>10.001263362487853</v>
      </c>
      <c r="I15" s="634" t="s">
        <v>288</v>
      </c>
      <c r="J15" s="634"/>
      <c r="K15" s="74">
        <f>K$14*K$12</f>
        <v>9.8352642901044867</v>
      </c>
      <c r="L15" s="78" t="s">
        <v>288</v>
      </c>
      <c r="M15" s="78"/>
      <c r="N15" s="74">
        <f>N$14*N$12</f>
        <v>9.8352642901044867</v>
      </c>
      <c r="O15" s="78" t="s">
        <v>288</v>
      </c>
      <c r="P15" s="78"/>
      <c r="Q15" s="74" t="e">
        <f>Q$14*Q$12</f>
        <v>#VALUE!</v>
      </c>
      <c r="R15" s="78" t="s">
        <v>288</v>
      </c>
      <c r="S15" s="78"/>
      <c r="T15" s="74" t="e">
        <f>T$14*T$12</f>
        <v>#VALUE!</v>
      </c>
      <c r="U15" s="78" t="s">
        <v>288</v>
      </c>
      <c r="V15" s="78"/>
      <c r="W15" s="74" t="e">
        <f>W$14*W$12</f>
        <v>#VALUE!</v>
      </c>
      <c r="X15" s="642"/>
      <c r="Y15" s="78" t="s">
        <v>33</v>
      </c>
    </row>
    <row r="16" spans="1:25" x14ac:dyDescent="0.2">
      <c r="B16" s="55" t="s">
        <v>127</v>
      </c>
      <c r="D16" s="72" t="str">
        <f>'Quick Input'!I59</f>
        <v>Schmelzverlust in %</v>
      </c>
      <c r="E16" s="73"/>
      <c r="F16" s="75"/>
      <c r="G16" s="626"/>
      <c r="H16" s="119">
        <v>5.5500000000000001E-2</v>
      </c>
      <c r="I16" s="635"/>
      <c r="J16" s="635"/>
      <c r="K16" s="119">
        <v>5.5500000000000001E-2</v>
      </c>
      <c r="L16" s="904"/>
      <c r="M16" s="361"/>
      <c r="N16" s="119">
        <v>5.5500000000000001E-2</v>
      </c>
      <c r="O16" s="904"/>
      <c r="P16" s="361"/>
      <c r="Q16" s="119">
        <v>0</v>
      </c>
      <c r="R16" s="904"/>
      <c r="S16" s="361"/>
      <c r="T16" s="119">
        <v>0</v>
      </c>
      <c r="U16" s="904"/>
      <c r="V16" s="361"/>
      <c r="W16" s="119">
        <v>0</v>
      </c>
      <c r="X16" s="643"/>
      <c r="Y16" s="78" t="s">
        <v>33</v>
      </c>
    </row>
    <row r="17" spans="1:25" x14ac:dyDescent="0.2">
      <c r="D17" s="76" t="str">
        <f>IF(Deutsch,"Kosten Schmelzverlust","cost for melting loss")</f>
        <v>Kosten Schmelzverlust</v>
      </c>
      <c r="E17" s="73"/>
      <c r="F17" s="75"/>
      <c r="G17" s="626"/>
      <c r="H17" s="74">
        <f>H$15*(1+Parametrikber!F$42)*H$16</f>
        <v>0.81107480677288102</v>
      </c>
      <c r="I17" s="634" t="s">
        <v>288</v>
      </c>
      <c r="J17" s="634"/>
      <c r="K17" s="74">
        <f>K$15*(1+Parametrikber!I$42)*K$16</f>
        <v>0.79784922319733242</v>
      </c>
      <c r="L17" s="78" t="s">
        <v>288</v>
      </c>
      <c r="M17" s="78"/>
      <c r="N17" s="74">
        <f>N$15*(1+Parametrikber!L$42)*N$16</f>
        <v>0.79784922319733242</v>
      </c>
      <c r="O17" s="78" t="s">
        <v>288</v>
      </c>
      <c r="P17" s="78"/>
      <c r="Q17" s="74" t="e">
        <f>Q$15*(1+Parametrikber!O$42)*Q$16</f>
        <v>#VALUE!</v>
      </c>
      <c r="R17" s="78" t="s">
        <v>288</v>
      </c>
      <c r="S17" s="78"/>
      <c r="T17" s="74" t="e">
        <f>T$15*(1+Parametrikber!R$42)*T$16</f>
        <v>#VALUE!</v>
      </c>
      <c r="U17" s="78" t="s">
        <v>288</v>
      </c>
      <c r="V17" s="78"/>
      <c r="W17" s="74" t="e">
        <f>W$15*(1+Parametrikber!U$42)*W$16</f>
        <v>#VALUE!</v>
      </c>
      <c r="X17" s="642"/>
      <c r="Y17" s="78" t="s">
        <v>33</v>
      </c>
    </row>
    <row r="18" spans="1:25" x14ac:dyDescent="0.2">
      <c r="A18" s="721" t="s">
        <v>33</v>
      </c>
      <c r="D18" s="956" t="str">
        <f>IF(Deutsch,"Materialkosten Aluminium (€/Stk.)","material cost aluminium (€/pc.)")</f>
        <v>Materialkosten Aluminium (€/Stk.)</v>
      </c>
      <c r="E18" s="73"/>
      <c r="F18" s="75"/>
      <c r="G18" s="626"/>
      <c r="H18" s="85">
        <f>H15+H17</f>
        <v>10.812338169260734</v>
      </c>
      <c r="I18" s="634" t="s">
        <v>288</v>
      </c>
      <c r="J18" s="634"/>
      <c r="K18" s="85">
        <f>K15+K17</f>
        <v>10.633113513301819</v>
      </c>
      <c r="L18" s="634" t="s">
        <v>288</v>
      </c>
      <c r="M18" s="634"/>
      <c r="N18" s="85">
        <f t="shared" ref="N18" si="0">N15+N17</f>
        <v>10.633113513301819</v>
      </c>
      <c r="O18" s="634" t="s">
        <v>288</v>
      </c>
      <c r="P18" s="634"/>
      <c r="Q18" s="85" t="e">
        <f t="shared" ref="Q18" si="1">Q15+Q17</f>
        <v>#VALUE!</v>
      </c>
      <c r="R18" s="634" t="s">
        <v>288</v>
      </c>
      <c r="S18" s="634"/>
      <c r="T18" s="85" t="e">
        <f t="shared" ref="T18" si="2">T15+T17</f>
        <v>#VALUE!</v>
      </c>
      <c r="U18" s="634" t="s">
        <v>288</v>
      </c>
      <c r="V18" s="634"/>
      <c r="W18" s="85" t="e">
        <f t="shared" ref="W18" si="3">W15+W17</f>
        <v>#VALUE!</v>
      </c>
      <c r="X18" s="642"/>
      <c r="Y18" s="78" t="s">
        <v>33</v>
      </c>
    </row>
    <row r="19" spans="1:25" x14ac:dyDescent="0.2">
      <c r="D19" s="76" t="str">
        <f>IF(Deutsch,"Formsand (kg/Stk.)","moulding sand (kg/pc.)")</f>
        <v>Formsand (kg/Stk.)</v>
      </c>
      <c r="E19" s="73"/>
      <c r="F19" s="75"/>
      <c r="G19" s="626"/>
      <c r="H19" s="594">
        <f>Parametrikber!F$75</f>
        <v>616.64271517133375</v>
      </c>
      <c r="I19" s="634" t="s">
        <v>288</v>
      </c>
      <c r="J19" s="634"/>
      <c r="K19" s="594">
        <f>Parametrikber!I$75</f>
        <v>173.96295869697622</v>
      </c>
      <c r="L19" s="634" t="s">
        <v>288</v>
      </c>
      <c r="M19" s="634"/>
      <c r="N19" s="594">
        <f>Parametrikber!L$75</f>
        <v>173.96295869697622</v>
      </c>
      <c r="O19" s="634" t="s">
        <v>288</v>
      </c>
      <c r="P19" s="634"/>
      <c r="Q19" s="594" t="e">
        <f>Parametrikber!O$75</f>
        <v>#VALUE!</v>
      </c>
      <c r="R19" s="634" t="s">
        <v>288</v>
      </c>
      <c r="S19" s="634"/>
      <c r="T19" s="594" t="e">
        <f>Parametrikber!R$75</f>
        <v>#VALUE!</v>
      </c>
      <c r="U19" s="634" t="s">
        <v>288</v>
      </c>
      <c r="V19" s="634"/>
      <c r="W19" s="594" t="e">
        <f>Parametrikber!U$75</f>
        <v>#VALUE!</v>
      </c>
      <c r="X19" s="642"/>
      <c r="Y19" s="78" t="s">
        <v>33</v>
      </c>
    </row>
    <row r="20" spans="1:25" x14ac:dyDescent="0.2">
      <c r="D20" s="76" t="str">
        <f>CONCATENATE('Länder-DB'!$M$23*100,"% ",IF(Deutsch,"Neusand Kosten","new moulding sand cost"))</f>
        <v>10% Neusand Kosten</v>
      </c>
      <c r="E20" s="73"/>
      <c r="F20" s="75"/>
      <c r="G20" s="626"/>
      <c r="H20" s="74">
        <f>H$19*('Länder-DB'!$M$23*'Länder-DB'!$M$25/1000+Parametrikber!F$79)</f>
        <v>3.8755994648518328</v>
      </c>
      <c r="I20" s="634" t="s">
        <v>288</v>
      </c>
      <c r="J20" s="634"/>
      <c r="K20" s="74">
        <f>K$19*('Länder-DB'!$M$23*'Länder-DB'!$M$25/1000+Parametrikber!I$79)</f>
        <v>1.0933571954104957</v>
      </c>
      <c r="L20" s="634" t="s">
        <v>288</v>
      </c>
      <c r="M20" s="634"/>
      <c r="N20" s="74">
        <f>N$19*('Länder-DB'!$M$23*'Länder-DB'!$M$25/1000+Parametrikber!L$79)</f>
        <v>1.0933571954104957</v>
      </c>
      <c r="O20" s="634" t="s">
        <v>288</v>
      </c>
      <c r="P20" s="634"/>
      <c r="Q20" s="74" t="e">
        <f>Q$19*('Länder-DB'!$M$23*'Länder-DB'!$M$25/1000+Parametrikber!O$79)</f>
        <v>#VALUE!</v>
      </c>
      <c r="R20" s="634" t="s">
        <v>288</v>
      </c>
      <c r="S20" s="634"/>
      <c r="T20" s="74" t="e">
        <f>T$19*('Länder-DB'!$M$23*'Länder-DB'!$M$25/1000+Parametrikber!R$79)</f>
        <v>#VALUE!</v>
      </c>
      <c r="U20" s="634" t="s">
        <v>288</v>
      </c>
      <c r="V20" s="634"/>
      <c r="W20" s="74" t="e">
        <f>W$19*('Länder-DB'!$M$23*'Länder-DB'!$M$25/1000+Parametrikber!U$79)</f>
        <v>#VALUE!</v>
      </c>
      <c r="X20" s="642"/>
      <c r="Y20" s="78" t="s">
        <v>33</v>
      </c>
    </row>
    <row r="21" spans="1:25" x14ac:dyDescent="0.2">
      <c r="D21" s="76" t="str">
        <f>IF(Deutsch,"Material Schmelzebehandlung","cost for cleaning salt")</f>
        <v>Material Schmelzebehandlung</v>
      </c>
      <c r="E21" s="596"/>
      <c r="F21" s="75"/>
      <c r="G21" s="626"/>
      <c r="H21" s="74">
        <f>'Länder-DB'!$M$39*H$33/1000*(1+Parametrikber!F224)</f>
        <v>6.7693727300031592E-2</v>
      </c>
      <c r="I21" s="634" t="s">
        <v>288</v>
      </c>
      <c r="J21" s="634"/>
      <c r="K21" s="74">
        <f>'Länder-DB'!$M$39*K$33/1000*(1+Parametrikber!I224)</f>
        <v>0.11667090394258404</v>
      </c>
      <c r="L21" s="518" t="s">
        <v>288</v>
      </c>
      <c r="M21" s="518"/>
      <c r="N21" s="74">
        <f>'Länder-DB'!$M$39*N$33/1000*(1+Parametrikber!L224)</f>
        <v>0.11667090394258404</v>
      </c>
      <c r="O21" s="518" t="s">
        <v>288</v>
      </c>
      <c r="P21" s="518"/>
      <c r="Q21" s="74" t="e">
        <f>'Länder-DB'!$M$39*Q$33/1000*(1+Parametrikber!O224)</f>
        <v>#VALUE!</v>
      </c>
      <c r="R21" s="518" t="s">
        <v>288</v>
      </c>
      <c r="S21" s="518"/>
      <c r="T21" s="74" t="e">
        <f>'Länder-DB'!$M$39*T$33/1000*(1+Parametrikber!R224)</f>
        <v>#VALUE!</v>
      </c>
      <c r="U21" s="518" t="s">
        <v>288</v>
      </c>
      <c r="V21" s="518"/>
      <c r="W21" s="74" t="e">
        <f>'Länder-DB'!$M$39*W$33/1000*(1+Parametrikber!U224)</f>
        <v>#VALUE!</v>
      </c>
      <c r="X21" s="642"/>
      <c r="Y21" s="78" t="s">
        <v>33</v>
      </c>
    </row>
    <row r="22" spans="1:25" x14ac:dyDescent="0.2">
      <c r="C22" s="78"/>
      <c r="D22" s="72" t="str">
        <f>IF(Deutsch,"Kühleisenkosten (per Stk.)","cooling plates cost (ea. pc.)")</f>
        <v>Kühleisenkosten (per Stk.)</v>
      </c>
      <c r="E22" s="73"/>
      <c r="F22" s="75"/>
      <c r="G22" s="626"/>
      <c r="H22" s="74">
        <f>Parametrikber!F$205</f>
        <v>0</v>
      </c>
      <c r="I22" s="634" t="s">
        <v>288</v>
      </c>
      <c r="J22" s="622"/>
      <c r="K22" s="74">
        <f>Parametrikber!I$205</f>
        <v>0</v>
      </c>
      <c r="L22" s="518" t="s">
        <v>288</v>
      </c>
      <c r="M22" s="166"/>
      <c r="N22" s="74">
        <f>Parametrikber!L$205</f>
        <v>0</v>
      </c>
      <c r="O22" s="518" t="s">
        <v>288</v>
      </c>
      <c r="P22" s="166"/>
      <c r="Q22" s="74" t="e">
        <f>Parametrikber!O$205</f>
        <v>#DIV/0!</v>
      </c>
      <c r="R22" s="518" t="s">
        <v>288</v>
      </c>
      <c r="S22" s="166"/>
      <c r="T22" s="74" t="e">
        <f>Parametrikber!R$205</f>
        <v>#DIV/0!</v>
      </c>
      <c r="U22" s="518" t="s">
        <v>288</v>
      </c>
      <c r="V22" s="166"/>
      <c r="W22" s="74" t="e">
        <f>Parametrikber!U$205</f>
        <v>#DIV/0!</v>
      </c>
      <c r="X22" s="642"/>
      <c r="Y22" s="78" t="s">
        <v>33</v>
      </c>
    </row>
    <row r="23" spans="1:25" x14ac:dyDescent="0.2">
      <c r="D23" s="956" t="str">
        <f>IF(Deutsch,"Kosten Hilfsstoffe (€/Stk.)","cost sum auxiliaries (€/pc.)")</f>
        <v>Kosten Hilfsstoffe (€/Stk.)</v>
      </c>
      <c r="E23" s="73"/>
      <c r="F23" s="75"/>
      <c r="G23" s="626"/>
      <c r="H23" s="85">
        <f>H$20+H$21+H$22</f>
        <v>3.9432931921518644</v>
      </c>
      <c r="I23" s="634" t="s">
        <v>288</v>
      </c>
      <c r="J23" s="634"/>
      <c r="K23" s="85">
        <f>K$20+K$21+K$22</f>
        <v>1.2100280993530796</v>
      </c>
      <c r="L23" s="634" t="s">
        <v>288</v>
      </c>
      <c r="M23" s="634"/>
      <c r="N23" s="85">
        <f t="shared" ref="N23" si="4">N$20+N$21+N$22</f>
        <v>1.2100280993530796</v>
      </c>
      <c r="O23" s="634" t="s">
        <v>288</v>
      </c>
      <c r="P23" s="634"/>
      <c r="Q23" s="85" t="e">
        <f t="shared" ref="Q23" si="5">Q$20+Q$21+Q$22</f>
        <v>#VALUE!</v>
      </c>
      <c r="R23" s="634" t="s">
        <v>288</v>
      </c>
      <c r="S23" s="634"/>
      <c r="T23" s="85" t="e">
        <f t="shared" ref="T23" si="6">T$20+T$21+T$22</f>
        <v>#VALUE!</v>
      </c>
      <c r="U23" s="634" t="s">
        <v>288</v>
      </c>
      <c r="V23" s="634"/>
      <c r="W23" s="85" t="e">
        <f t="shared" ref="W23" si="7">W$20+W$21+W$22</f>
        <v>#VALUE!</v>
      </c>
      <c r="X23" s="642"/>
      <c r="Y23" s="78" t="s">
        <v>33</v>
      </c>
    </row>
    <row r="24" spans="1:25" x14ac:dyDescent="0.2">
      <c r="B24" s="55" t="s">
        <v>127</v>
      </c>
      <c r="D24" s="72" t="str">
        <f>'Quick Input'!I60</f>
        <v>Materialgemeinkostensatz</v>
      </c>
      <c r="E24" s="73"/>
      <c r="F24" s="75"/>
      <c r="G24" s="626"/>
      <c r="H24" s="119">
        <v>7.0000000000000007E-2</v>
      </c>
      <c r="I24" s="635"/>
      <c r="J24" s="635"/>
      <c r="K24" s="119">
        <v>7.0000000000000007E-2</v>
      </c>
      <c r="L24" s="361"/>
      <c r="M24" s="361"/>
      <c r="N24" s="119">
        <v>7.0000000000000007E-2</v>
      </c>
      <c r="O24" s="361"/>
      <c r="P24" s="361"/>
      <c r="Q24" s="119">
        <v>7.0000000000000007E-2</v>
      </c>
      <c r="R24" s="361"/>
      <c r="S24" s="361"/>
      <c r="T24" s="119">
        <v>7.0000000000000007E-2</v>
      </c>
      <c r="U24" s="361"/>
      <c r="V24" s="361"/>
      <c r="W24" s="119">
        <v>7.0000000000000007E-2</v>
      </c>
      <c r="X24" s="643">
        <f>Parametrikber!U4</f>
        <v>7.0000000000000007E-2</v>
      </c>
      <c r="Y24" s="78" t="s">
        <v>33</v>
      </c>
    </row>
    <row r="25" spans="1:25" x14ac:dyDescent="0.2">
      <c r="D25" s="76" t="str">
        <f>IF(Deutsch,"Materialgemeinkosten","material overhead")</f>
        <v>Materialgemeinkosten</v>
      </c>
      <c r="E25" s="73"/>
      <c r="F25" s="75"/>
      <c r="G25" s="626"/>
      <c r="H25" s="85">
        <f>(H$18+H$23)*H$24</f>
        <v>1.0328941952988819</v>
      </c>
      <c r="I25" s="634" t="s">
        <v>288</v>
      </c>
      <c r="J25" s="634"/>
      <c r="K25" s="85">
        <f>(K$18+K$23)*K$24</f>
        <v>0.82901991288584298</v>
      </c>
      <c r="L25" s="634" t="s">
        <v>288</v>
      </c>
      <c r="M25" s="634"/>
      <c r="N25" s="85">
        <f t="shared" ref="N25" si="8">(N$18+N$23)*N$24</f>
        <v>0.82901991288584298</v>
      </c>
      <c r="O25" s="634" t="s">
        <v>288</v>
      </c>
      <c r="P25" s="634"/>
      <c r="Q25" s="85" t="e">
        <f t="shared" ref="Q25" si="9">(Q$18+Q$23)*Q$24</f>
        <v>#VALUE!</v>
      </c>
      <c r="R25" s="634" t="s">
        <v>288</v>
      </c>
      <c r="S25" s="634"/>
      <c r="T25" s="85" t="e">
        <f t="shared" ref="T25" si="10">(T$18+T$23)*T$24</f>
        <v>#VALUE!</v>
      </c>
      <c r="U25" s="634" t="s">
        <v>288</v>
      </c>
      <c r="V25" s="634"/>
      <c r="W25" s="85" t="e">
        <f t="shared" ref="W25" si="11">(W$18+W$23)*W$24</f>
        <v>#VALUE!</v>
      </c>
      <c r="X25" s="642"/>
      <c r="Y25" s="78" t="s">
        <v>33</v>
      </c>
    </row>
    <row r="26" spans="1:25" x14ac:dyDescent="0.2">
      <c r="D26" s="116" t="str">
        <f>IF(Deutsch,"Materialkosten gesamt","material cost total")</f>
        <v>Materialkosten gesamt</v>
      </c>
      <c r="E26" s="73"/>
      <c r="F26" s="75"/>
      <c r="G26" s="889"/>
      <c r="H26" s="77">
        <f>H$18+H$23+H$25</f>
        <v>15.78852555671148</v>
      </c>
      <c r="I26" s="890" t="s">
        <v>288</v>
      </c>
      <c r="J26" s="891"/>
      <c r="K26" s="77">
        <f>K$18+K$23+K$25</f>
        <v>12.672161525540741</v>
      </c>
      <c r="L26" s="890" t="s">
        <v>288</v>
      </c>
      <c r="M26" s="891"/>
      <c r="N26" s="77">
        <f>N$18+N$23+N$25</f>
        <v>12.672161525540741</v>
      </c>
      <c r="O26" s="890" t="s">
        <v>288</v>
      </c>
      <c r="P26" s="891"/>
      <c r="Q26" s="77" t="e">
        <f>Q$18+Q$23+Q$25</f>
        <v>#VALUE!</v>
      </c>
      <c r="R26" s="890" t="s">
        <v>288</v>
      </c>
      <c r="S26" s="891"/>
      <c r="T26" s="77" t="e">
        <f>T$18+T$23+T$25</f>
        <v>#VALUE!</v>
      </c>
      <c r="U26" s="890" t="s">
        <v>288</v>
      </c>
      <c r="V26" s="891"/>
      <c r="W26" s="77" t="e">
        <f>W$18+W$23+W$25</f>
        <v>#VALUE!</v>
      </c>
      <c r="X26" s="642"/>
      <c r="Y26" s="78" t="s">
        <v>33</v>
      </c>
    </row>
    <row r="27" spans="1:25" ht="6" customHeight="1" thickBot="1" x14ac:dyDescent="0.25">
      <c r="C27" s="87"/>
      <c r="D27" s="88"/>
      <c r="E27" s="87"/>
      <c r="F27" s="89"/>
      <c r="G27" s="630"/>
      <c r="H27" s="885"/>
      <c r="I27" s="640" t="s">
        <v>288</v>
      </c>
      <c r="J27" s="640"/>
      <c r="K27" s="885"/>
      <c r="L27" s="87" t="s">
        <v>288</v>
      </c>
      <c r="M27" s="87"/>
      <c r="N27" s="885"/>
      <c r="O27" s="87" t="s">
        <v>288</v>
      </c>
      <c r="P27" s="87"/>
      <c r="Q27" s="885"/>
      <c r="R27" s="87" t="s">
        <v>288</v>
      </c>
      <c r="S27" s="87"/>
      <c r="T27" s="885"/>
      <c r="U27" s="87" t="s">
        <v>288</v>
      </c>
      <c r="V27" s="87"/>
      <c r="W27" s="885"/>
      <c r="X27" s="644"/>
      <c r="Y27" s="78" t="s">
        <v>33</v>
      </c>
    </row>
    <row r="28" spans="1:25" ht="14.25" customHeight="1" x14ac:dyDescent="0.2">
      <c r="D28" s="1234" t="str">
        <f>IF(Deutsch,"Prozess Schmelzen","melting process")</f>
        <v>Prozess Schmelzen</v>
      </c>
      <c r="E28" s="1240"/>
      <c r="F28" s="1241"/>
      <c r="G28" s="934"/>
      <c r="H28" s="935" t="str">
        <f>CONCATENATE(VLOOKUP(Parametrikber!F$98,DB_Ofen,11,FALSE),"-",IF(Deutsch,"Ofen","oven"))</f>
        <v>Schacht-Ofen</v>
      </c>
      <c r="I28" s="633" t="s">
        <v>288</v>
      </c>
      <c r="J28" s="633"/>
      <c r="K28" s="935" t="str">
        <f>CONCATENATE(VLOOKUP(Parametrikber!I$98,DB_Ofen,11,FALSE),"-",IF(Deutsch,"Ofen","oven"))</f>
        <v>Schacht-Ofen</v>
      </c>
      <c r="L28" s="271" t="s">
        <v>288</v>
      </c>
      <c r="M28" s="271"/>
      <c r="N28" s="935" t="str">
        <f>CONCATENATE(VLOOKUP(Parametrikber!L$98,DB_Ofen,11,FALSE),"-",IF(Deutsch,"Ofen","oven"))</f>
        <v>Schacht-Ofen</v>
      </c>
      <c r="O28" s="271" t="s">
        <v>288</v>
      </c>
      <c r="P28" s="271"/>
      <c r="Q28" s="935" t="e">
        <f>CONCATENATE(VLOOKUP(Parametrikber!O$98,DB_Ofen,11,FALSE),"-",IF(Deutsch,"Ofen","oven"))</f>
        <v>#VALUE!</v>
      </c>
      <c r="R28" s="271" t="s">
        <v>288</v>
      </c>
      <c r="S28" s="271"/>
      <c r="T28" s="935" t="e">
        <f>CONCATENATE(VLOOKUP(Parametrikber!R$98,DB_Ofen,11,FALSE),"-",IF(Deutsch,"Ofen","oven"))</f>
        <v>#VALUE!</v>
      </c>
      <c r="U28" s="271" t="s">
        <v>288</v>
      </c>
      <c r="V28" s="271"/>
      <c r="W28" s="935" t="e">
        <f>CONCATENATE(VLOOKUP(Parametrikber!U$98,DB_Ofen,11,FALSE),"-",IF(Deutsch,"Ofen","oven"))</f>
        <v>#VALUE!</v>
      </c>
      <c r="X28" s="641"/>
      <c r="Y28" s="78" t="s">
        <v>33</v>
      </c>
    </row>
    <row r="29" spans="1:25" ht="12.75" customHeight="1" x14ac:dyDescent="0.2">
      <c r="D29" s="1242"/>
      <c r="E29" s="1243"/>
      <c r="F29" s="1244"/>
      <c r="G29" s="892"/>
      <c r="H29" s="591" t="str">
        <f>CONCATENATE(VLOOKUP(Parametrikber!F98,DB_Ofen,5,FALSE)," kg / ",VLOOKUP(Parametrikber!F$98,DB_Ofen,2,FALSE))</f>
        <v>3000 kg / Gas</v>
      </c>
      <c r="I29" s="634" t="s">
        <v>288</v>
      </c>
      <c r="J29" s="634"/>
      <c r="K29" s="591" t="str">
        <f>CONCATENATE(VLOOKUP(Parametrikber!I98,DB_Ofen,5,FALSE)," kg / ",VLOOKUP(Parametrikber!I$98,DB_Ofen,2,FALSE))</f>
        <v>3000 kg / Gas</v>
      </c>
      <c r="L29" s="634" t="s">
        <v>288</v>
      </c>
      <c r="M29" s="634"/>
      <c r="N29" s="591" t="str">
        <f>CONCATENATE(VLOOKUP(Parametrikber!L98,DB_Ofen,5,FALSE)," kg / ",VLOOKUP(Parametrikber!L$98,DB_Ofen,2,FALSE))</f>
        <v>3000 kg / Gas</v>
      </c>
      <c r="O29" s="634" t="s">
        <v>288</v>
      </c>
      <c r="P29" s="634"/>
      <c r="Q29" s="591" t="e">
        <f>CONCATENATE(VLOOKUP(Parametrikber!O98,DB_Ofen,5,FALSE)," kg / ",VLOOKUP(Parametrikber!O$98,DB_Ofen,2,FALSE))</f>
        <v>#VALUE!</v>
      </c>
      <c r="R29" s="634" t="s">
        <v>288</v>
      </c>
      <c r="S29" s="634"/>
      <c r="T29" s="591" t="e">
        <f>CONCATENATE(VLOOKUP(Parametrikber!R98,DB_Ofen,5,FALSE)," kg / ",VLOOKUP(Parametrikber!R$98,DB_Ofen,2,FALSE))</f>
        <v>#VALUE!</v>
      </c>
      <c r="U29" s="634" t="s">
        <v>288</v>
      </c>
      <c r="V29" s="634"/>
      <c r="W29" s="591" t="e">
        <f>CONCATENATE(VLOOKUP(Parametrikber!U98,DB_Ofen,5,FALSE)," kg / ",VLOOKUP(Parametrikber!U$98,DB_Ofen,2,FALSE))</f>
        <v>#VALUE!</v>
      </c>
      <c r="X29" s="642"/>
      <c r="Y29" s="78" t="s">
        <v>33</v>
      </c>
    </row>
    <row r="30" spans="1:25" ht="14.25" customHeight="1" x14ac:dyDescent="0.2">
      <c r="C30" s="78"/>
      <c r="D30" s="72" t="str">
        <f>IF(Deutsch,"Schmelzenergie","melting energy")</f>
        <v>Schmelzenergie</v>
      </c>
      <c r="E30" s="73"/>
      <c r="F30" s="75"/>
      <c r="G30" s="936">
        <f>Parametrikber!F$114</f>
        <v>0</v>
      </c>
      <c r="H30" s="706" t="s">
        <v>110</v>
      </c>
      <c r="I30" s="361"/>
      <c r="J30" s="637"/>
      <c r="K30" s="706" t="s">
        <v>110</v>
      </c>
      <c r="L30" s="361"/>
      <c r="M30" s="637"/>
      <c r="N30" s="706" t="s">
        <v>110</v>
      </c>
      <c r="O30" s="361"/>
      <c r="P30" s="637"/>
      <c r="Q30" s="706" t="s">
        <v>110</v>
      </c>
      <c r="R30" s="361"/>
      <c r="S30" s="637"/>
      <c r="T30" s="706" t="s">
        <v>110</v>
      </c>
      <c r="U30" s="361"/>
      <c r="V30" s="637"/>
      <c r="W30" s="706" t="s">
        <v>110</v>
      </c>
      <c r="X30" s="646"/>
      <c r="Y30" s="78"/>
    </row>
    <row r="31" spans="1:25" ht="14.25" customHeight="1" x14ac:dyDescent="0.2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36"/>
      <c r="H31" s="121">
        <v>2000</v>
      </c>
      <c r="I31" s="78"/>
      <c r="J31" s="624"/>
      <c r="K31" s="121">
        <v>2000</v>
      </c>
      <c r="L31" s="78"/>
      <c r="M31" s="624"/>
      <c r="N31" s="121">
        <v>2000</v>
      </c>
      <c r="O31" s="78"/>
      <c r="P31" s="624"/>
      <c r="Q31" s="121">
        <v>0</v>
      </c>
      <c r="R31" s="78"/>
      <c r="S31" s="624"/>
      <c r="T31" s="121">
        <v>0</v>
      </c>
      <c r="U31" s="78"/>
      <c r="V31" s="624"/>
      <c r="W31" s="121">
        <v>0</v>
      </c>
      <c r="X31" s="973"/>
      <c r="Y31" s="78"/>
    </row>
    <row r="32" spans="1:25" ht="15" customHeight="1" x14ac:dyDescent="0.2">
      <c r="D32" s="72" t="str">
        <f>CONCATENATE(IF(Deutsch,"Schmelzleistung","melting rate")," (kg/h)")</f>
        <v>Schmelzleistung (kg/h)</v>
      </c>
      <c r="E32" s="73"/>
      <c r="F32" s="75"/>
      <c r="G32" s="892"/>
      <c r="H32" s="80">
        <f>VLOOKUP(Parametrikber!F$98,DB_Ofen,7,FALSE)</f>
        <v>2000</v>
      </c>
      <c r="I32" s="711" t="str">
        <f>IFERROR(VLOOKUP(H$30,Auswahlfelder!$D$71:$D$73,1,FALSE),VLOOKUP(H$30,Auswahlfelder!$C$71:$D$73,2,FALSE))</f>
        <v>Gas</v>
      </c>
      <c r="J32" s="634"/>
      <c r="K32" s="80">
        <f>VLOOKUP(Parametrikber!I$98,DB_Ofen,7,FALSE)</f>
        <v>2000</v>
      </c>
      <c r="L32" s="711" t="str">
        <f>IFERROR(VLOOKUP(K$30,Auswahlfelder!$D$71:$D$73,1,FALSE),VLOOKUP(K$30,Auswahlfelder!$C$71:$D$73,2,FALSE))</f>
        <v>Gas</v>
      </c>
      <c r="M32" s="634"/>
      <c r="N32" s="80">
        <f>VLOOKUP(Parametrikber!L$98,DB_Ofen,7,FALSE)</f>
        <v>2000</v>
      </c>
      <c r="O32" s="711" t="str">
        <f>IFERROR(VLOOKUP(N$30,Auswahlfelder!$D$71:$D$73,1,FALSE),VLOOKUP(N$30,Auswahlfelder!$C$71:$D$73,2,FALSE))</f>
        <v>Gas</v>
      </c>
      <c r="P32" s="634"/>
      <c r="Q32" s="80" t="e">
        <f>VLOOKUP(Parametrikber!O$98,DB_Ofen,7,FALSE)</f>
        <v>#VALUE!</v>
      </c>
      <c r="R32" s="711" t="str">
        <f>IFERROR(VLOOKUP(Q$30,Auswahlfelder!$D$71:$D$73,1,FALSE),VLOOKUP(Q$30,Auswahlfelder!$C$71:$D$73,2,FALSE))</f>
        <v>Gas</v>
      </c>
      <c r="S32" s="634"/>
      <c r="T32" s="80" t="e">
        <f>VLOOKUP(Parametrikber!R$98,DB_Ofen,7,FALSE)</f>
        <v>#VALUE!</v>
      </c>
      <c r="U32" s="711" t="str">
        <f>IFERROR(VLOOKUP(T$30,Auswahlfelder!$D$71:$D$73,1,FALSE),VLOOKUP(T$30,Auswahlfelder!$C$71:$D$73,2,FALSE))</f>
        <v>Gas</v>
      </c>
      <c r="V32" s="634"/>
      <c r="W32" s="80" t="e">
        <f>VLOOKUP(Parametrikber!U$98,DB_Ofen,7,FALSE)</f>
        <v>#VALUE!</v>
      </c>
      <c r="X32" s="937" t="str">
        <f>IFERROR(VLOOKUP(W$30,Auswahlfelder!$D$71:$D$73,1,FALSE),VLOOKUP(W$30,Auswahlfelder!$C$71:$D$73,2,FALSE))</f>
        <v>Gas</v>
      </c>
      <c r="Y32" s="78" t="s">
        <v>33</v>
      </c>
    </row>
    <row r="33" spans="2:25" x14ac:dyDescent="0.2">
      <c r="D33" s="72" t="str">
        <f>CONCATENATE('Quick Input'!I19,IF(Deutsch," (incl. Anguß)"," (with sprue)"))</f>
        <v>Rohteilgewicht AL (kg) (incl. Anguß)</v>
      </c>
      <c r="E33" s="73"/>
      <c r="F33" s="75"/>
      <c r="G33" s="892"/>
      <c r="H33" s="508">
        <f>Parametrikber!F$40/H$50*(1+H$16)</f>
        <v>7.7115433971184304</v>
      </c>
      <c r="I33" s="634" t="s">
        <v>288</v>
      </c>
      <c r="J33" s="634"/>
      <c r="K33" s="508">
        <f>Parametrikber!I$40/K$50*(1+K$16)</f>
        <v>7.7138297735908372</v>
      </c>
      <c r="L33" s="78" t="s">
        <v>288</v>
      </c>
      <c r="M33" s="78"/>
      <c r="N33" s="508">
        <f>Parametrikber!L$40/N$50*(1+N$16)</f>
        <v>7.7138297735908372</v>
      </c>
      <c r="O33" s="78" t="s">
        <v>288</v>
      </c>
      <c r="P33" s="78"/>
      <c r="Q33" s="508" t="e">
        <f>Parametrikber!O$40/Q$50*(1+Q$16)</f>
        <v>#VALUE!</v>
      </c>
      <c r="R33" s="78" t="s">
        <v>288</v>
      </c>
      <c r="S33" s="78"/>
      <c r="T33" s="508" t="e">
        <f>Parametrikber!R$40/T$50*(1+T$16)</f>
        <v>#VALUE!</v>
      </c>
      <c r="U33" s="78" t="s">
        <v>288</v>
      </c>
      <c r="V33" s="78"/>
      <c r="W33" s="508" t="e">
        <f>Parametrikber!U$40/W$50*(1+W$16)</f>
        <v>#VALUE!</v>
      </c>
      <c r="X33" s="642"/>
      <c r="Y33" s="78" t="s">
        <v>33</v>
      </c>
    </row>
    <row r="34" spans="2:25" x14ac:dyDescent="0.2">
      <c r="D34" s="72" t="str">
        <f>CONCATENATE(IF(Deutsch,"Zykluszeit Ofen","cycle time melting")," (min)")</f>
        <v>Zykluszeit Ofen (min)</v>
      </c>
      <c r="E34" s="73"/>
      <c r="F34" s="75"/>
      <c r="G34" s="892"/>
      <c r="H34" s="114">
        <f>Parametrikber!F$101/H32*60+VLOOKUP(Parametrikber!F$98,DB_Ofen,14,FALSE)</f>
        <v>117</v>
      </c>
      <c r="I34" s="634" t="s">
        <v>288</v>
      </c>
      <c r="J34" s="634"/>
      <c r="K34" s="114">
        <f>Parametrikber!I$101/K32*60+VLOOKUP(Parametrikber!I$98,DB_Ofen,14,FALSE)</f>
        <v>117</v>
      </c>
      <c r="L34" s="78" t="s">
        <v>288</v>
      </c>
      <c r="M34" s="78"/>
      <c r="N34" s="114">
        <f>Parametrikber!L$101/N32*60+VLOOKUP(Parametrikber!L$98,DB_Ofen,14,FALSE)</f>
        <v>117</v>
      </c>
      <c r="O34" s="78" t="s">
        <v>288</v>
      </c>
      <c r="P34" s="78"/>
      <c r="Q34" s="114" t="e">
        <f>Parametrikber!O$101/Q32*60+VLOOKUP(Parametrikber!O$98,DB_Ofen,14,FALSE)</f>
        <v>#VALUE!</v>
      </c>
      <c r="R34" s="78" t="s">
        <v>288</v>
      </c>
      <c r="S34" s="78"/>
      <c r="T34" s="114" t="e">
        <f>Parametrikber!R$101/T32*60+VLOOKUP(Parametrikber!R$98,DB_Ofen,14,FALSE)</f>
        <v>#VALUE!</v>
      </c>
      <c r="U34" s="78" t="s">
        <v>288</v>
      </c>
      <c r="V34" s="78"/>
      <c r="W34" s="114" t="e">
        <f>Parametrikber!U$101/W32*60+VLOOKUP(Parametrikber!U$98,DB_Ofen,14,FALSE)</f>
        <v>#VALUE!</v>
      </c>
      <c r="X34" s="642"/>
      <c r="Y34" s="78" t="s">
        <v>33</v>
      </c>
    </row>
    <row r="35" spans="2:25" x14ac:dyDescent="0.2">
      <c r="D35" s="72" t="str">
        <f>CONCATENATE(IF(Deutsch,"Stundensatz Ofen","rate oven")," (€/h)")</f>
        <v>Stundensatz Ofen (€/h)</v>
      </c>
      <c r="E35" s="73"/>
      <c r="F35" s="75"/>
      <c r="G35" s="892"/>
      <c r="H35" s="136">
        <f>Parametrikber!F$108</f>
        <v>8.7994672754946706</v>
      </c>
      <c r="I35" s="634" t="s">
        <v>288</v>
      </c>
      <c r="J35" s="634"/>
      <c r="K35" s="136">
        <f>Parametrikber!I$108</f>
        <v>15.821702244116038</v>
      </c>
      <c r="L35" s="78" t="s">
        <v>288</v>
      </c>
      <c r="M35" s="78"/>
      <c r="N35" s="136">
        <f>Parametrikber!L$108</f>
        <v>23.968698175787729</v>
      </c>
      <c r="O35" s="78" t="s">
        <v>288</v>
      </c>
      <c r="P35" s="78"/>
      <c r="Q35" s="136" t="e">
        <f>Parametrikber!O$108</f>
        <v>#VALUE!</v>
      </c>
      <c r="R35" s="78" t="s">
        <v>288</v>
      </c>
      <c r="S35" s="78"/>
      <c r="T35" s="136" t="e">
        <f>Parametrikber!R$108</f>
        <v>#VALUE!</v>
      </c>
      <c r="U35" s="78" t="s">
        <v>288</v>
      </c>
      <c r="V35" s="78"/>
      <c r="W35" s="136" t="e">
        <f>Parametrikber!U$108</f>
        <v>#VALUE!</v>
      </c>
      <c r="X35" s="642"/>
      <c r="Y35" s="78" t="s">
        <v>33</v>
      </c>
    </row>
    <row r="36" spans="2:25" x14ac:dyDescent="0.2">
      <c r="D36" s="82" t="str">
        <f>IF(Deutsch,"Prozesskosten Ofen (€/Stk.)","process cost ovfen (€/pc.)")</f>
        <v>Prozesskosten Ofen (€/Stk.)</v>
      </c>
      <c r="E36" s="73"/>
      <c r="F36" s="75"/>
      <c r="G36" s="892"/>
      <c r="H36" s="85">
        <f>H$34/60*H$33/Parametrikber!F$101*H$35</f>
        <v>4.5628301325750416E-2</v>
      </c>
      <c r="I36" s="634" t="s">
        <v>288</v>
      </c>
      <c r="J36" s="634"/>
      <c r="K36" s="85">
        <f>K$34/60*K$33/Parametrikber!I$101*K$35</f>
        <v>8.2065358547284459E-2</v>
      </c>
      <c r="L36" s="634" t="s">
        <v>288</v>
      </c>
      <c r="M36" s="634"/>
      <c r="N36" s="85">
        <f>N$34/60*N$33/Parametrikber!L$101*N$35</f>
        <v>0.12432289391864736</v>
      </c>
      <c r="O36" s="634" t="s">
        <v>288</v>
      </c>
      <c r="P36" s="634"/>
      <c r="Q36" s="85" t="e">
        <f>Q$34/60*Q$33/Parametrikber!O$101*Q$35</f>
        <v>#VALUE!</v>
      </c>
      <c r="R36" s="634" t="s">
        <v>288</v>
      </c>
      <c r="S36" s="634"/>
      <c r="T36" s="85" t="e">
        <f>T$34/60*T$33/Parametrikber!R$101*T$35</f>
        <v>#VALUE!</v>
      </c>
      <c r="U36" s="634" t="s">
        <v>288</v>
      </c>
      <c r="V36" s="634"/>
      <c r="W36" s="85" t="e">
        <f>W$34/60*W$33/Parametrikber!U$101*W$35</f>
        <v>#VALUE!</v>
      </c>
      <c r="X36" s="642"/>
      <c r="Y36" s="78"/>
    </row>
    <row r="37" spans="2:25" x14ac:dyDescent="0.2">
      <c r="D37" s="72" t="str">
        <f>IF(Deutsch,"Energieverbrauch (kWh/kg)","energy rate (kWh/kg)")</f>
        <v>Energieverbrauch (kWh/kg)</v>
      </c>
      <c r="E37" s="73"/>
      <c r="F37" s="75"/>
      <c r="G37" s="892"/>
      <c r="H37" s="80">
        <f>VLOOKUP(Parametrikber!F$98,DB_Ofen,12,FALSE)</f>
        <v>0.68700000000000006</v>
      </c>
      <c r="I37" s="634" t="s">
        <v>288</v>
      </c>
      <c r="J37" s="634"/>
      <c r="K37" s="80">
        <f>VLOOKUP(Parametrikber!I$98,DB_Ofen,12,FALSE)</f>
        <v>0.68700000000000006</v>
      </c>
      <c r="L37" s="634" t="s">
        <v>288</v>
      </c>
      <c r="M37" s="634"/>
      <c r="N37" s="80">
        <f>VLOOKUP(Parametrikber!L$98,DB_Ofen,12,FALSE)</f>
        <v>0.68700000000000006</v>
      </c>
      <c r="O37" s="634" t="s">
        <v>288</v>
      </c>
      <c r="P37" s="634"/>
      <c r="Q37" s="80" t="e">
        <f>VLOOKUP(Parametrikber!O$98,DB_Ofen,12,FALSE)</f>
        <v>#VALUE!</v>
      </c>
      <c r="R37" s="634" t="s">
        <v>288</v>
      </c>
      <c r="S37" s="634"/>
      <c r="T37" s="80" t="e">
        <f>VLOOKUP(Parametrikber!R$98,DB_Ofen,12,FALSE)</f>
        <v>#VALUE!</v>
      </c>
      <c r="U37" s="634" t="s">
        <v>288</v>
      </c>
      <c r="V37" s="634"/>
      <c r="W37" s="80" t="e">
        <f>VLOOKUP(Parametrikber!U$98,DB_Ofen,12,FALSE)</f>
        <v>#VALUE!</v>
      </c>
      <c r="X37" s="642"/>
      <c r="Y37" s="78"/>
    </row>
    <row r="38" spans="2:25" x14ac:dyDescent="0.2">
      <c r="D38" s="72" t="str">
        <f>IF(Deutsch,"Energiekosten (€/kWh ","energy price (€/kWh)")</f>
        <v xml:space="preserve">Energiekosten (€/kWh </v>
      </c>
      <c r="E38" s="73"/>
      <c r="F38" s="75"/>
      <c r="G38" s="892"/>
      <c r="H38" s="101">
        <f>Parametrikber!F$210</f>
        <v>5.2999999999999999E-2</v>
      </c>
      <c r="I38" s="634" t="s">
        <v>288</v>
      </c>
      <c r="J38" s="634"/>
      <c r="K38" s="101">
        <f>Parametrikber!I$210</f>
        <v>0.04</v>
      </c>
      <c r="L38" s="634" t="s">
        <v>288</v>
      </c>
      <c r="M38" s="634"/>
      <c r="N38" s="101">
        <f>Parametrikber!L$210</f>
        <v>0.1237</v>
      </c>
      <c r="O38" s="634" t="s">
        <v>288</v>
      </c>
      <c r="P38" s="634"/>
      <c r="Q38" s="101">
        <f>Parametrikber!O$210</f>
        <v>5.2999999999999999E-2</v>
      </c>
      <c r="R38" s="634" t="s">
        <v>288</v>
      </c>
      <c r="S38" s="634"/>
      <c r="T38" s="101">
        <f>Parametrikber!R$210</f>
        <v>5.2999999999999999E-2</v>
      </c>
      <c r="U38" s="634" t="s">
        <v>288</v>
      </c>
      <c r="V38" s="634"/>
      <c r="W38" s="101">
        <f>Parametrikber!U$210</f>
        <v>5.2999999999999999E-2</v>
      </c>
      <c r="X38" s="642"/>
      <c r="Y38" s="78" t="s">
        <v>33</v>
      </c>
    </row>
    <row r="39" spans="2:25" x14ac:dyDescent="0.2">
      <c r="D39" s="72" t="str">
        <f>IF(Deutsch,"Energiekosten (€/Stk.)","energy cost (€/pc.)")</f>
        <v>Energiekosten (€/Stk.)</v>
      </c>
      <c r="E39" s="73"/>
      <c r="F39" s="75"/>
      <c r="G39" s="892"/>
      <c r="H39" s="85">
        <f>H$33*H$37*H$38</f>
        <v>0.28078500663247918</v>
      </c>
      <c r="I39" s="634" t="s">
        <v>288</v>
      </c>
      <c r="J39" s="634"/>
      <c r="K39" s="85">
        <f>K$33*K$37*K$38</f>
        <v>0.2119760421782762</v>
      </c>
      <c r="L39" s="78" t="s">
        <v>288</v>
      </c>
      <c r="M39" s="78"/>
      <c r="N39" s="85">
        <f>N$33*N$37*N$38</f>
        <v>0.6555359104363192</v>
      </c>
      <c r="O39" s="78" t="s">
        <v>288</v>
      </c>
      <c r="P39" s="78"/>
      <c r="Q39" s="85" t="e">
        <f t="shared" ref="Q39" si="12">Q$33*Q$37*Q$38</f>
        <v>#VALUE!</v>
      </c>
      <c r="R39" s="78" t="s">
        <v>288</v>
      </c>
      <c r="S39" s="78"/>
      <c r="T39" s="85" t="e">
        <f t="shared" ref="T39" si="13">T$33*T$37*T$38</f>
        <v>#VALUE!</v>
      </c>
      <c r="U39" s="78" t="s">
        <v>288</v>
      </c>
      <c r="V39" s="78"/>
      <c r="W39" s="85" t="e">
        <f t="shared" ref="W39" si="14">W$33*W$37*W$38</f>
        <v>#VALUE!</v>
      </c>
      <c r="X39" s="642"/>
      <c r="Y39" s="78" t="s">
        <v>33</v>
      </c>
    </row>
    <row r="40" spans="2:25" x14ac:dyDescent="0.2">
      <c r="D40" s="72" t="str">
        <f>IF(Deutsch,"Bediener pro Ofen","operator per oven)")</f>
        <v>Bediener pro Ofen</v>
      </c>
      <c r="E40" s="73"/>
      <c r="F40" s="75"/>
      <c r="G40" s="892"/>
      <c r="H40" s="81">
        <f>Parametrikber!F$133</f>
        <v>0.7</v>
      </c>
      <c r="I40" s="634" t="s">
        <v>288</v>
      </c>
      <c r="J40" s="634"/>
      <c r="K40" s="81">
        <f>Parametrikber!I$133</f>
        <v>0.7</v>
      </c>
      <c r="L40" s="78" t="s">
        <v>288</v>
      </c>
      <c r="M40" s="78"/>
      <c r="N40" s="81">
        <f>Parametrikber!L$133</f>
        <v>0.7</v>
      </c>
      <c r="O40" s="78" t="s">
        <v>288</v>
      </c>
      <c r="P40" s="78"/>
      <c r="Q40" s="81">
        <f>Parametrikber!O$133</f>
        <v>0.7</v>
      </c>
      <c r="R40" s="78" t="s">
        <v>288</v>
      </c>
      <c r="S40" s="78"/>
      <c r="T40" s="81">
        <f>Parametrikber!R$133</f>
        <v>0.7</v>
      </c>
      <c r="U40" s="78" t="s">
        <v>288</v>
      </c>
      <c r="V40" s="363"/>
      <c r="W40" s="81">
        <f>Parametrikber!U$133</f>
        <v>0.7</v>
      </c>
      <c r="X40" s="642"/>
      <c r="Y40" s="78" t="s">
        <v>33</v>
      </c>
    </row>
    <row r="41" spans="2:25" x14ac:dyDescent="0.2">
      <c r="D41" s="72" t="str">
        <f>CONCATENATE(IF(Deutsch,"Personalkosten Ofenbediener","personal cost operator")," (€/h)")</f>
        <v>Personalkosten Ofenbediener (€/h)</v>
      </c>
      <c r="E41" s="73"/>
      <c r="F41" s="75"/>
      <c r="G41" s="892"/>
      <c r="H41" s="136">
        <f>Parametrikber!F$21</f>
        <v>32.477666666666664</v>
      </c>
      <c r="I41" s="634" t="s">
        <v>288</v>
      </c>
      <c r="J41" s="634"/>
      <c r="K41" s="136">
        <f>Parametrikber!I$21</f>
        <v>5.4197425000000008</v>
      </c>
      <c r="L41" s="78" t="s">
        <v>288</v>
      </c>
      <c r="M41" s="78"/>
      <c r="N41" s="136">
        <f>Parametrikber!L$21</f>
        <v>7.4557889999999984</v>
      </c>
      <c r="O41" s="78" t="s">
        <v>288</v>
      </c>
      <c r="P41" s="78"/>
      <c r="Q41" s="136">
        <f>Parametrikber!O$21</f>
        <v>29.420724999999997</v>
      </c>
      <c r="R41" s="78" t="s">
        <v>288</v>
      </c>
      <c r="S41" s="78"/>
      <c r="T41" s="136">
        <f>Parametrikber!R$21</f>
        <v>29.420724999999997</v>
      </c>
      <c r="U41" s="78" t="s">
        <v>288</v>
      </c>
      <c r="V41" s="363"/>
      <c r="W41" s="136">
        <f>Parametrikber!U$21</f>
        <v>29.420724999999997</v>
      </c>
      <c r="X41" s="642"/>
      <c r="Y41" s="78"/>
    </row>
    <row r="42" spans="2:25" x14ac:dyDescent="0.2">
      <c r="D42" s="82" t="str">
        <f>IF(Deutsch,"Personalkosten (€/Stk.)","stuff cost (€/pc.)")</f>
        <v>Personalkosten (€/Stk.)</v>
      </c>
      <c r="E42" s="73"/>
      <c r="F42" s="75"/>
      <c r="G42" s="892"/>
      <c r="H42" s="85">
        <f>H$33*(1+H$16)/Parametrikber!F$101*H$34/60*H$40*H$41</f>
        <v>0.12442825718912537</v>
      </c>
      <c r="I42" s="634" t="s">
        <v>288</v>
      </c>
      <c r="J42" s="634"/>
      <c r="K42" s="85">
        <f>K$33*(1+K$16)/Parametrikber!I$101*K$34/60*K$40*K$41</f>
        <v>2.0770243830834815E-2</v>
      </c>
      <c r="L42" s="78" t="s">
        <v>288</v>
      </c>
      <c r="M42" s="78"/>
      <c r="N42" s="85">
        <f>N$33*(1+N$16)/Parametrikber!L$101*N$34/60*N$40*N$41</f>
        <v>2.8573046686490366E-2</v>
      </c>
      <c r="O42" s="78" t="s">
        <v>288</v>
      </c>
      <c r="P42" s="78"/>
      <c r="Q42" s="85" t="e">
        <f>Q$33*(1+Q$16)/Parametrikber!O$101*Q$34/60*Q$40*Q$41</f>
        <v>#VALUE!</v>
      </c>
      <c r="R42" s="78" t="s">
        <v>288</v>
      </c>
      <c r="S42" s="78"/>
      <c r="T42" s="85" t="e">
        <f>T$33*(1+T$16)/Parametrikber!R$101*T$34/60*T$40*T$41</f>
        <v>#VALUE!</v>
      </c>
      <c r="U42" s="78" t="s">
        <v>288</v>
      </c>
      <c r="V42" s="363"/>
      <c r="W42" s="85" t="e">
        <f>W$33*(1+W$16)/Parametrikber!U$101*W$34/60*W$40*W$41</f>
        <v>#VALUE!</v>
      </c>
      <c r="X42" s="642"/>
      <c r="Y42" s="78"/>
    </row>
    <row r="43" spans="2:25" x14ac:dyDescent="0.2">
      <c r="D43" s="72" t="str">
        <f>IF(Deutsch,"Schmelze entgasen/reinigen (min)","cleaning time (min)")</f>
        <v>Schmelze entgasen/reinigen (min)</v>
      </c>
      <c r="E43" s="73"/>
      <c r="F43" s="75"/>
      <c r="G43" s="892"/>
      <c r="H43" s="81">
        <f>Parametrikber!F223</f>
        <v>14.8</v>
      </c>
      <c r="I43" s="634" t="s">
        <v>288</v>
      </c>
      <c r="J43" s="634"/>
      <c r="K43" s="81">
        <f>Parametrikber!I223</f>
        <v>25.4</v>
      </c>
      <c r="L43" s="78" t="s">
        <v>288</v>
      </c>
      <c r="M43" s="78"/>
      <c r="N43" s="81">
        <f>Parametrikber!L223</f>
        <v>25.4</v>
      </c>
      <c r="O43" s="78" t="s">
        <v>288</v>
      </c>
      <c r="P43" s="78"/>
      <c r="Q43" s="81">
        <f>Parametrikber!O223</f>
        <v>23.2</v>
      </c>
      <c r="R43" s="78" t="s">
        <v>288</v>
      </c>
      <c r="S43" s="78"/>
      <c r="T43" s="81">
        <f>Parametrikber!R223</f>
        <v>23.2</v>
      </c>
      <c r="U43" s="78" t="s">
        <v>288</v>
      </c>
      <c r="V43" s="363"/>
      <c r="W43" s="81">
        <f>Parametrikber!U223</f>
        <v>23.2</v>
      </c>
      <c r="X43" s="642"/>
      <c r="Y43" s="78" t="s">
        <v>33</v>
      </c>
    </row>
    <row r="44" spans="2:25" x14ac:dyDescent="0.2">
      <c r="D44" s="72" t="str">
        <f>CONCATENATE(IF(Deutsch,"Reinigungskosten","process cost cleaning")," (€/h)")</f>
        <v>Reinigungskosten (€/h)</v>
      </c>
      <c r="E44" s="73"/>
      <c r="F44" s="75"/>
      <c r="G44" s="892"/>
      <c r="H44" s="136">
        <f>Parametrikber!F220</f>
        <v>14.495533333333334</v>
      </c>
      <c r="I44" s="634" t="s">
        <v>288</v>
      </c>
      <c r="J44" s="634"/>
      <c r="K44" s="136">
        <f>Parametrikber!I220</f>
        <v>9.0839485</v>
      </c>
      <c r="L44" s="78" t="s">
        <v>288</v>
      </c>
      <c r="M44" s="78"/>
      <c r="N44" s="136">
        <f>Parametrikber!L220</f>
        <v>9.4911577999999999</v>
      </c>
      <c r="O44" s="78" t="s">
        <v>288</v>
      </c>
      <c r="P44" s="78"/>
      <c r="Q44" s="136">
        <f>Parametrikber!O220</f>
        <v>13.884145</v>
      </c>
      <c r="R44" s="78" t="s">
        <v>288</v>
      </c>
      <c r="S44" s="78"/>
      <c r="T44" s="136">
        <f>Parametrikber!R220</f>
        <v>13.884145</v>
      </c>
      <c r="U44" s="78" t="s">
        <v>288</v>
      </c>
      <c r="V44" s="363"/>
      <c r="W44" s="136">
        <f>Parametrikber!U220</f>
        <v>13.884145</v>
      </c>
      <c r="X44" s="642"/>
      <c r="Y44" s="78"/>
    </row>
    <row r="45" spans="2:25" x14ac:dyDescent="0.2">
      <c r="D45" s="82" t="str">
        <f>IF(Deutsch,"Schmelzebehandlung (€/Stk.)","molten metal treatment (€/pc.)")</f>
        <v>Schmelzebehandlung (€/Stk.)</v>
      </c>
      <c r="E45" s="596"/>
      <c r="F45" s="75"/>
      <c r="G45" s="892"/>
      <c r="H45" s="85">
        <f>H$43/60*H$44*H$33/Parametrikber!F$101</f>
        <v>9.5079737275446923E-3</v>
      </c>
      <c r="I45" s="634" t="s">
        <v>288</v>
      </c>
      <c r="J45" s="634"/>
      <c r="K45" s="85">
        <f>K$43/60*K$44*K$33/Parametrikber!I$101</f>
        <v>1.0228905879236045E-2</v>
      </c>
      <c r="L45" s="78" t="s">
        <v>288</v>
      </c>
      <c r="M45" s="78"/>
      <c r="N45" s="85">
        <f>N$43/60*N$44*N$33/Parametrikber!L$101</f>
        <v>1.0687440579520794E-2</v>
      </c>
      <c r="O45" s="78" t="s">
        <v>288</v>
      </c>
      <c r="P45" s="78"/>
      <c r="Q45" s="85" t="e">
        <f>Q$43/60*Q$44*Q$33/Parametrikber!O$101</f>
        <v>#VALUE!</v>
      </c>
      <c r="R45" s="78" t="s">
        <v>288</v>
      </c>
      <c r="S45" s="78"/>
      <c r="T45" s="85" t="e">
        <f>T$43/60*T$44*T$33/Parametrikber!R$101</f>
        <v>#VALUE!</v>
      </c>
      <c r="U45" s="78" t="s">
        <v>288</v>
      </c>
      <c r="V45" s="78"/>
      <c r="W45" s="85" t="e">
        <f>W$43/60*W$44*W$33/Parametrikber!U$101</f>
        <v>#VALUE!</v>
      </c>
      <c r="X45" s="642"/>
      <c r="Y45" s="78"/>
    </row>
    <row r="46" spans="2:25" x14ac:dyDescent="0.2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26"/>
      <c r="H46" s="955">
        <f>H$70+H$86</f>
        <v>0.02</v>
      </c>
      <c r="I46" s="635"/>
      <c r="J46" s="635"/>
      <c r="K46" s="955">
        <f>K$70+K$86</f>
        <v>0.02</v>
      </c>
      <c r="L46" s="635"/>
      <c r="M46" s="635"/>
      <c r="N46" s="955">
        <f>N$70+N$86</f>
        <v>0.02</v>
      </c>
      <c r="O46" s="635"/>
      <c r="P46" s="635"/>
      <c r="Q46" s="955">
        <f>Q$70+Q$86</f>
        <v>0</v>
      </c>
      <c r="R46" s="635"/>
      <c r="S46" s="635"/>
      <c r="T46" s="955">
        <f>T$70+T$86</f>
        <v>0</v>
      </c>
      <c r="U46" s="635"/>
      <c r="V46" s="635"/>
      <c r="W46" s="955">
        <f>W$70+W$86</f>
        <v>0</v>
      </c>
      <c r="X46" s="642"/>
      <c r="Y46" s="78" t="s">
        <v>33</v>
      </c>
    </row>
    <row r="47" spans="2:25" ht="16.5" customHeight="1" thickBot="1" x14ac:dyDescent="0.25">
      <c r="D47" s="1056" t="str">
        <f>IF(Deutsch,"Schmelzkosten pro Stück","melting cost per part")</f>
        <v>Schmelzkosten pro Stück</v>
      </c>
      <c r="E47" s="164"/>
      <c r="F47" s="165"/>
      <c r="G47" s="888"/>
      <c r="H47" s="1057">
        <f>(H42+H36+H39+H45)*(1+H46)</f>
        <v>0.46955652965239764</v>
      </c>
      <c r="I47" s="1058" t="s">
        <v>288</v>
      </c>
      <c r="J47" s="1058"/>
      <c r="K47" s="1057">
        <f>(K42+K36+K39+K45)*(1+K46)</f>
        <v>0.33154136144434415</v>
      </c>
      <c r="L47" s="1059" t="s">
        <v>288</v>
      </c>
      <c r="M47" s="1059"/>
      <c r="N47" s="1057">
        <f>(N42+N36+N39+N45)*(1+N46)</f>
        <v>0.83550167745339732</v>
      </c>
      <c r="O47" s="1059" t="s">
        <v>288</v>
      </c>
      <c r="P47" s="1059"/>
      <c r="Q47" s="1057" t="e">
        <f>(Q42+Q36+Q39+Q45)*(1+Q46)</f>
        <v>#VALUE!</v>
      </c>
      <c r="R47" s="1059" t="s">
        <v>288</v>
      </c>
      <c r="S47" s="1059"/>
      <c r="T47" s="1057" t="e">
        <f>(T42+T36+T39+T45)*(1+T46)</f>
        <v>#VALUE!</v>
      </c>
      <c r="U47" s="1059" t="s">
        <v>288</v>
      </c>
      <c r="V47" s="1059"/>
      <c r="W47" s="1057" t="e">
        <f>(W42+W36+W39+W45)*(1+W46)</f>
        <v>#VALUE!</v>
      </c>
      <c r="X47" s="644"/>
      <c r="Y47" s="78" t="s">
        <v>33</v>
      </c>
    </row>
    <row r="48" spans="2:25" ht="36" x14ac:dyDescent="0.2">
      <c r="D48" s="1242" t="str">
        <f>IF(Deutsch,"Prozess Formen","sand forming process")</f>
        <v>Prozess Formen</v>
      </c>
      <c r="E48" s="1243"/>
      <c r="F48" s="1244"/>
      <c r="G48" s="626"/>
      <c r="H48" s="951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50" t="s">
        <v>288</v>
      </c>
      <c r="J48" s="950"/>
      <c r="K48" s="951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50" t="s">
        <v>288</v>
      </c>
      <c r="M48" s="950"/>
      <c r="N48" s="951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950" t="s">
        <v>288</v>
      </c>
      <c r="P48" s="950"/>
      <c r="Q48" s="951" t="str">
        <f>CONCATENATE(INDEX(AW_Gusstechnik,VLOOKUP('Quick Input'!V$22,Auswahlfelder!$D$36:$E$38,2,FALSE))," / ",'Quick Input'!$I21," ",INDEX(AW_Komplexität,VLOOKUP('Quick Input'!V$21,Auswahlfelder!$D$16:$E$19,2,FALSE)))</f>
        <v>automatisch / Bauteilkomplexität mäßig</v>
      </c>
      <c r="R48" s="950" t="s">
        <v>288</v>
      </c>
      <c r="S48" s="950"/>
      <c r="T48" s="951" t="str">
        <f>CONCATENATE(INDEX(AW_Gusstechnik,VLOOKUP('Quick Input'!Y$22,Auswahlfelder!$D$36:$E$38,2,FALSE))," / ",'Quick Input'!$I21," ",INDEX(AW_Komplexität,VLOOKUP('Quick Input'!Y$21,Auswahlfelder!$D$16:$E$19,2,FALSE)))</f>
        <v>automatisch / Bauteilkomplexität mäßig</v>
      </c>
      <c r="U48" s="950" t="s">
        <v>288</v>
      </c>
      <c r="V48" s="950"/>
      <c r="W48" s="951" t="str">
        <f>CONCATENATE(INDEX(AW_Gusstechnik,VLOOKUP('Quick Input'!AB$22,Auswahlfelder!$D$36:$E$38,2,FALSE))," / ",'Quick Input'!$I21," ",INDEX(AW_Komplexität,VLOOKUP('Quick Input'!AB$21,Auswahlfelder!$D$16:$E$19,2,FALSE)))</f>
        <v>automatisch / Bauteilkomplexität mäßig</v>
      </c>
      <c r="X48" s="642"/>
      <c r="Y48" s="78" t="s">
        <v>33</v>
      </c>
    </row>
    <row r="49" spans="2:25" ht="13.5" customHeight="1" x14ac:dyDescent="0.2">
      <c r="C49" s="78"/>
      <c r="D49" s="72" t="str">
        <f>IF(Deutsch,"Modelle / Platte berechnet","caculated cavities")</f>
        <v>Modelle / Platte berechnet</v>
      </c>
      <c r="E49" s="73"/>
      <c r="F49" s="75"/>
      <c r="G49" s="626">
        <f>Parametrikber!F70</f>
        <v>9</v>
      </c>
      <c r="H49" s="114">
        <f>IFERROR(Parametrikber!F$131,1)</f>
        <v>3</v>
      </c>
      <c r="I49" s="634" t="s">
        <v>288</v>
      </c>
      <c r="J49" s="634"/>
      <c r="K49" s="114">
        <f>IFERROR(Parametrikber!I$131,1)</f>
        <v>1</v>
      </c>
      <c r="L49" s="78" t="s">
        <v>288</v>
      </c>
      <c r="M49" s="78"/>
      <c r="N49" s="114">
        <f>IFERROR(Parametrikber!L$131,1)</f>
        <v>1</v>
      </c>
      <c r="O49" s="78" t="s">
        <v>288</v>
      </c>
      <c r="P49" s="78"/>
      <c r="Q49" s="114">
        <f>IFERROR(Parametrikber!O$131,1)</f>
        <v>1</v>
      </c>
      <c r="R49" s="78" t="s">
        <v>288</v>
      </c>
      <c r="S49" s="78"/>
      <c r="T49" s="114">
        <f>IFERROR(Parametrikber!R$131,1)</f>
        <v>1</v>
      </c>
      <c r="U49" s="78" t="s">
        <v>288</v>
      </c>
      <c r="V49" s="78"/>
      <c r="W49" s="114">
        <f>IFERROR(Parametrikber!U$131,1)</f>
        <v>1</v>
      </c>
      <c r="X49" s="642"/>
      <c r="Y49" s="78" t="s">
        <v>33</v>
      </c>
    </row>
    <row r="50" spans="2:25" x14ac:dyDescent="0.2">
      <c r="B50" s="55" t="s">
        <v>127</v>
      </c>
      <c r="C50" s="78"/>
      <c r="D50" s="72" t="str">
        <f>'Quick Input'!I63</f>
        <v>Modelle/Platte</v>
      </c>
      <c r="E50" s="73"/>
      <c r="F50" s="75"/>
      <c r="G50" s="626"/>
      <c r="H50" s="121">
        <v>1</v>
      </c>
      <c r="I50" s="635"/>
      <c r="J50" s="635"/>
      <c r="K50" s="121">
        <v>1</v>
      </c>
      <c r="L50" s="361"/>
      <c r="M50" s="361"/>
      <c r="N50" s="121">
        <v>1</v>
      </c>
      <c r="O50" s="361"/>
      <c r="P50" s="361"/>
      <c r="Q50" s="121">
        <v>1</v>
      </c>
      <c r="R50" s="361"/>
      <c r="S50" s="361"/>
      <c r="T50" s="121">
        <v>1</v>
      </c>
      <c r="U50" s="361"/>
      <c r="V50" s="361"/>
      <c r="W50" s="121">
        <v>1</v>
      </c>
      <c r="X50" s="645"/>
      <c r="Y50" s="78" t="s">
        <v>33</v>
      </c>
    </row>
    <row r="51" spans="2:25" x14ac:dyDescent="0.2">
      <c r="C51" s="78"/>
      <c r="D51" s="72" t="str">
        <f>IF(Deutsch,"Vorgeschlagene Maschine","caculated maschine")</f>
        <v>Vorgeschlagene Maschine</v>
      </c>
      <c r="E51" s="73"/>
      <c r="F51" s="75"/>
      <c r="G51" s="626">
        <f>Parametrikber!F$61</f>
        <v>9</v>
      </c>
      <c r="H51" s="114">
        <f>Parametrikber!F$70</f>
        <v>9</v>
      </c>
      <c r="I51" s="634" t="s">
        <v>288</v>
      </c>
      <c r="J51" s="634"/>
      <c r="K51" s="114">
        <f>Parametrikber!I$70</f>
        <v>12</v>
      </c>
      <c r="L51" s="634" t="s">
        <v>288</v>
      </c>
      <c r="M51" s="634"/>
      <c r="N51" s="114">
        <f>Parametrikber!L$70</f>
        <v>12</v>
      </c>
      <c r="O51" s="634" t="s">
        <v>288</v>
      </c>
      <c r="P51" s="634"/>
      <c r="Q51" s="114" t="e">
        <f>Parametrikber!O$70</f>
        <v>#VALUE!</v>
      </c>
      <c r="R51" s="634" t="s">
        <v>288</v>
      </c>
      <c r="S51" s="634"/>
      <c r="T51" s="114" t="e">
        <f>Parametrikber!R$70</f>
        <v>#VALUE!</v>
      </c>
      <c r="U51" s="634" t="s">
        <v>288</v>
      </c>
      <c r="V51" s="634"/>
      <c r="W51" s="114" t="e">
        <f>Parametrikber!U$70</f>
        <v>#VALUE!</v>
      </c>
      <c r="X51" s="648">
        <f>Parametrikber!U$62</f>
        <v>8</v>
      </c>
      <c r="Y51" s="78" t="s">
        <v>33</v>
      </c>
    </row>
    <row r="52" spans="2:25" x14ac:dyDescent="0.2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27"/>
      <c r="H52" s="121">
        <v>9</v>
      </c>
      <c r="I52" s="636"/>
      <c r="J52" s="636"/>
      <c r="K52" s="121">
        <v>3</v>
      </c>
      <c r="L52" s="494"/>
      <c r="M52" s="494"/>
      <c r="N52" s="121">
        <v>3</v>
      </c>
      <c r="O52" s="494"/>
      <c r="P52" s="494"/>
      <c r="Q52" s="121">
        <v>1</v>
      </c>
      <c r="R52" s="494"/>
      <c r="S52" s="494"/>
      <c r="T52" s="121">
        <v>1</v>
      </c>
      <c r="U52" s="494"/>
      <c r="V52" s="494"/>
      <c r="W52" s="121">
        <v>1</v>
      </c>
      <c r="X52" s="642"/>
      <c r="Y52" s="78" t="s">
        <v>33</v>
      </c>
    </row>
    <row r="53" spans="2:25" x14ac:dyDescent="0.2">
      <c r="C53" s="78"/>
      <c r="D53" s="581" t="str">
        <f>IF(Deutsch,"Kastengröße","box size")</f>
        <v>Kastengröße</v>
      </c>
      <c r="E53" s="73"/>
      <c r="F53" s="75"/>
      <c r="G53" s="626"/>
      <c r="H53" s="285" t="str">
        <f>CONCATENATE(VLOOKUP(H$52,DB_Maschinen,5,FALSE)/10,"x",VLOOKUP(H$52,DB_Maschinen,6,FALSE)/10,"x",VLOOKUP(H$52,DB_Maschinen,7,FALSE)/10," cm")</f>
        <v>130x130x80 cm</v>
      </c>
      <c r="I53" s="634" t="s">
        <v>288</v>
      </c>
      <c r="J53" s="634"/>
      <c r="K53" s="285" t="str">
        <f>CONCATENATE(VLOOKUP(K$52,DB_Maschinen,5,FALSE)/10,"x",VLOOKUP(K$52,DB_Maschinen,6,FALSE)/10,"x",VLOOKUP(K$52,DB_Maschinen,7,FALSE)/10," cm")</f>
        <v>80x60x60 cm</v>
      </c>
      <c r="L53" s="634" t="s">
        <v>288</v>
      </c>
      <c r="M53" s="634"/>
      <c r="N53" s="285" t="str">
        <f>CONCATENATE(VLOOKUP(N$52,DB_Maschinen,5,FALSE)/10,"x",VLOOKUP(N$52,DB_Maschinen,6,FALSE)/10,"x",VLOOKUP(N$52,DB_Maschinen,7,FALSE)/10," cm")</f>
        <v>80x60x60 cm</v>
      </c>
      <c r="O53" s="634" t="s">
        <v>288</v>
      </c>
      <c r="P53" s="634"/>
      <c r="Q53" s="285" t="str">
        <f>CONCATENATE(VLOOKUP(Q$52,DB_Maschinen,5,FALSE)/10,"x",VLOOKUP(Q$52,DB_Maschinen,6,FALSE)/10,"x",VLOOKUP(Q$52,DB_Maschinen,7,FALSE)/10," cm")</f>
        <v>60x48x36 cm</v>
      </c>
      <c r="R53" s="634" t="s">
        <v>288</v>
      </c>
      <c r="S53" s="634"/>
      <c r="T53" s="285" t="str">
        <f>CONCATENATE(VLOOKUP(T$52,DB_Maschinen,5,FALSE)/10,"x",VLOOKUP(T$52,DB_Maschinen,6,FALSE)/10,"x",VLOOKUP(T$52,DB_Maschinen,7,FALSE)/10," cm")</f>
        <v>60x48x36 cm</v>
      </c>
      <c r="U53" s="634" t="s">
        <v>288</v>
      </c>
      <c r="V53" s="634"/>
      <c r="W53" s="285" t="str">
        <f>CONCATENATE(VLOOKUP(W$52,DB_Maschinen,5,FALSE)/10,"x",VLOOKUP(W$52,DB_Maschinen,6,FALSE)/10,"x",VLOOKUP(W$52,DB_Maschinen,7,FALSE)/10," cm")</f>
        <v>60x48x36 cm</v>
      </c>
      <c r="X53" s="642"/>
      <c r="Y53" s="78" t="s">
        <v>33</v>
      </c>
    </row>
    <row r="54" spans="2:25" x14ac:dyDescent="0.2">
      <c r="C54" s="78"/>
      <c r="D54" s="72" t="str">
        <f>IF(Deutsch,"Maschinenstundensatz","machine rate")</f>
        <v>Maschinenstundensatz</v>
      </c>
      <c r="E54" s="73"/>
      <c r="F54" s="75"/>
      <c r="G54" s="626"/>
      <c r="H54" s="74">
        <f>Parametrikber!F$137</f>
        <v>112.10742845117844</v>
      </c>
      <c r="I54" s="634" t="s">
        <v>288</v>
      </c>
      <c r="J54" s="634"/>
      <c r="K54" s="74">
        <f>Parametrikber!I$137</f>
        <v>441.76907713498633</v>
      </c>
      <c r="L54" s="78" t="s">
        <v>288</v>
      </c>
      <c r="M54" s="67"/>
      <c r="N54" s="74">
        <f>Parametrikber!L$137</f>
        <v>664.11376125384265</v>
      </c>
      <c r="O54" s="78" t="s">
        <v>288</v>
      </c>
      <c r="P54" s="67"/>
      <c r="Q54" s="74">
        <f>Parametrikber!O$137</f>
        <v>545.43805354267306</v>
      </c>
      <c r="R54" s="78" t="s">
        <v>288</v>
      </c>
      <c r="S54" s="67"/>
      <c r="T54" s="74">
        <f>Parametrikber!R$137</f>
        <v>545.43805354267306</v>
      </c>
      <c r="U54" s="78" t="s">
        <v>288</v>
      </c>
      <c r="V54" s="67"/>
      <c r="W54" s="74">
        <f>Parametrikber!U$137</f>
        <v>545.43805354267306</v>
      </c>
      <c r="X54" s="642"/>
      <c r="Y54" s="78" t="s">
        <v>33</v>
      </c>
    </row>
    <row r="55" spans="2:25" x14ac:dyDescent="0.2">
      <c r="C55" s="78"/>
      <c r="D55" s="72" t="str">
        <f>IF(Deutsch,"Bediener pro Maschine","stuff per machine")</f>
        <v>Bediener pro Maschine</v>
      </c>
      <c r="E55" s="73"/>
      <c r="F55" s="75"/>
      <c r="G55" s="626"/>
      <c r="H55" s="267">
        <f>Parametrikber!F$135</f>
        <v>4</v>
      </c>
      <c r="I55" s="634" t="s">
        <v>288</v>
      </c>
      <c r="J55" s="634"/>
      <c r="K55" s="267">
        <f>Parametrikber!I$135</f>
        <v>3</v>
      </c>
      <c r="L55" s="78" t="s">
        <v>288</v>
      </c>
      <c r="M55" s="67"/>
      <c r="N55" s="267">
        <f>Parametrikber!L$135</f>
        <v>3</v>
      </c>
      <c r="O55" s="78" t="s">
        <v>288</v>
      </c>
      <c r="P55" s="67"/>
      <c r="Q55" s="267">
        <f>Parametrikber!O$135</f>
        <v>6</v>
      </c>
      <c r="R55" s="78" t="s">
        <v>288</v>
      </c>
      <c r="S55" s="67"/>
      <c r="T55" s="267">
        <f>Parametrikber!R$135</f>
        <v>6</v>
      </c>
      <c r="U55" s="78" t="s">
        <v>288</v>
      </c>
      <c r="V55" s="67"/>
      <c r="W55" s="267">
        <f>Parametrikber!U$135</f>
        <v>6</v>
      </c>
      <c r="X55" s="642"/>
      <c r="Y55" s="78" t="s">
        <v>33</v>
      </c>
    </row>
    <row r="56" spans="2:25" x14ac:dyDescent="0.2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26"/>
      <c r="H56" s="74">
        <f>Parametrikber!F$21</f>
        <v>32.477666666666664</v>
      </c>
      <c r="I56" s="634" t="s">
        <v>288</v>
      </c>
      <c r="J56" s="634"/>
      <c r="K56" s="74">
        <f>Parametrikber!I21</f>
        <v>5.4197425000000008</v>
      </c>
      <c r="L56" s="78" t="s">
        <v>288</v>
      </c>
      <c r="M56" s="67"/>
      <c r="N56" s="74">
        <f>Parametrikber!L21</f>
        <v>7.4557889999999984</v>
      </c>
      <c r="O56" s="78" t="s">
        <v>288</v>
      </c>
      <c r="P56" s="67"/>
      <c r="Q56" s="74">
        <f>Parametrikber!O21</f>
        <v>29.420724999999997</v>
      </c>
      <c r="R56" s="78" t="s">
        <v>288</v>
      </c>
      <c r="S56" s="67"/>
      <c r="T56" s="74">
        <f>Parametrikber!R21</f>
        <v>29.420724999999997</v>
      </c>
      <c r="U56" s="78" t="s">
        <v>288</v>
      </c>
      <c r="V56" s="67"/>
      <c r="W56" s="74">
        <f>Parametrikber!U21</f>
        <v>29.420724999999997</v>
      </c>
      <c r="X56" s="642"/>
      <c r="Y56" s="78" t="s">
        <v>33</v>
      </c>
    </row>
    <row r="57" spans="2:25" x14ac:dyDescent="0.2">
      <c r="C57" s="78"/>
      <c r="D57" s="72" t="str">
        <f>IF(Deutsch,"Prozesskosten pro Stunde","process cost per h")</f>
        <v>Prozesskosten pro Stunde</v>
      </c>
      <c r="E57" s="73"/>
      <c r="F57" s="75"/>
      <c r="G57" s="626"/>
      <c r="H57" s="74">
        <f>H$54+H$55*H$56</f>
        <v>242.01809511784509</v>
      </c>
      <c r="I57" s="634" t="s">
        <v>288</v>
      </c>
      <c r="J57" s="634"/>
      <c r="K57" s="74">
        <f>K$54+K$55*K$56</f>
        <v>458.02830463498634</v>
      </c>
      <c r="L57" s="634" t="s">
        <v>288</v>
      </c>
      <c r="M57" s="622"/>
      <c r="N57" s="74">
        <f t="shared" ref="N57" si="15">N$54+N$55*N$56</f>
        <v>686.4811282538426</v>
      </c>
      <c r="O57" s="634" t="s">
        <v>288</v>
      </c>
      <c r="P57" s="622"/>
      <c r="Q57" s="74">
        <f t="shared" ref="Q57" si="16">Q$54+Q$55*Q$56</f>
        <v>721.96240354267297</v>
      </c>
      <c r="R57" s="634" t="s">
        <v>288</v>
      </c>
      <c r="S57" s="622"/>
      <c r="T57" s="74">
        <f t="shared" ref="T57" si="17">T$54+T$55*T$56</f>
        <v>721.96240354267297</v>
      </c>
      <c r="U57" s="634" t="s">
        <v>288</v>
      </c>
      <c r="V57" s="622"/>
      <c r="W57" s="74">
        <f t="shared" ref="W57" si="18">W$54+W$55*W$56</f>
        <v>721.96240354267297</v>
      </c>
      <c r="X57" s="642"/>
      <c r="Y57" s="78" t="s">
        <v>33</v>
      </c>
    </row>
    <row r="58" spans="2:25" ht="14.25" customHeight="1" x14ac:dyDescent="0.2">
      <c r="C58" s="78"/>
      <c r="D58" s="72" t="str">
        <f>'Quick Input'!$I$65</f>
        <v>Anteil Kühleisen Volumen</v>
      </c>
      <c r="E58" s="73"/>
      <c r="F58" s="75"/>
      <c r="G58" s="629">
        <f>Parametrikber!F$114</f>
        <v>0</v>
      </c>
      <c r="H58" s="706" t="s">
        <v>265</v>
      </c>
      <c r="I58" s="494"/>
      <c r="J58" s="637"/>
      <c r="K58" s="706" t="s">
        <v>265</v>
      </c>
      <c r="L58" s="491"/>
      <c r="M58" s="492"/>
      <c r="N58" s="706" t="s">
        <v>265</v>
      </c>
      <c r="O58" s="491"/>
      <c r="P58" s="492"/>
      <c r="Q58" s="706" t="s">
        <v>265</v>
      </c>
      <c r="R58" s="491"/>
      <c r="S58" s="492"/>
      <c r="T58" s="706" t="s">
        <v>265</v>
      </c>
      <c r="U58" s="491"/>
      <c r="V58" s="492"/>
      <c r="W58" s="706" t="s">
        <v>265</v>
      </c>
      <c r="X58" s="646"/>
      <c r="Y58" s="78"/>
    </row>
    <row r="59" spans="2:25" x14ac:dyDescent="0.2">
      <c r="C59" s="78"/>
      <c r="D59" s="72" t="str">
        <f>IF(Deutsch,"Zykluszeit in Sec","cycle time (s)")</f>
        <v>Zykluszeit in Sec</v>
      </c>
      <c r="E59" s="73"/>
      <c r="F59" s="75"/>
      <c r="G59" s="626"/>
      <c r="H59" s="140">
        <f>ROUND(Parametrikber!F$156,0)</f>
        <v>450</v>
      </c>
      <c r="I59" s="711" t="str">
        <f>IFERROR(VLOOKUP(H$58,Auswahlfelder!$D$65:$D$68,1),VLOOKUP(H$58,Auswahlfelder!$C$65:$D$68,2,FALSE))</f>
        <v>ohne</v>
      </c>
      <c r="J59" s="622"/>
      <c r="K59" s="140">
        <f>ROUND(Parametrikber!I$156,0)</f>
        <v>40</v>
      </c>
      <c r="L59" s="711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711" t="str">
        <f>IFERROR(VLOOKUP(N$58,Auswahlfelder!$D$65:$D$68,1),VLOOKUP(N$58,Auswahlfelder!$C$65:$D$68,2,FALSE))</f>
        <v>ohne</v>
      </c>
      <c r="P59" s="67"/>
      <c r="Q59" s="140">
        <f>ROUND(Parametrikber!O$156,0)</f>
        <v>11</v>
      </c>
      <c r="R59" s="711" t="str">
        <f>IFERROR(VLOOKUP(Q$58,Auswahlfelder!$D$65:$D$68,1),VLOOKUP(Q$58,Auswahlfelder!$C$65:$D$68,2,FALSE))</f>
        <v>ohne</v>
      </c>
      <c r="S59" s="67"/>
      <c r="T59" s="140">
        <f>ROUND(Parametrikber!R$156,0)</f>
        <v>11</v>
      </c>
      <c r="U59" s="711" t="str">
        <f>IFERROR(VLOOKUP(T$58,Auswahlfelder!$D$65:$D$68,1),VLOOKUP(T$58,Auswahlfelder!$C$65:$D$68,2,FALSE))</f>
        <v>ohne</v>
      </c>
      <c r="V59" s="67"/>
      <c r="W59" s="140">
        <f>ROUND(Parametrikber!U$156,0)</f>
        <v>11</v>
      </c>
      <c r="X59" s="712" t="str">
        <f>IFERROR(VLOOKUP(W$58,Auswahlfelder!$D$65:$D$68,1),VLOOKUP(W$58,Auswahlfelder!$C$65:$D$68,2,FALSE))</f>
        <v>ohne</v>
      </c>
      <c r="Y59" s="78" t="s">
        <v>33</v>
      </c>
    </row>
    <row r="60" spans="2:25" x14ac:dyDescent="0.2">
      <c r="C60" s="78"/>
      <c r="D60" s="82" t="str">
        <f>IF(Deutsch,"Formkosten pro Bauteil","forming cost per part")</f>
        <v>Formkosten pro Bauteil</v>
      </c>
      <c r="E60" s="83"/>
      <c r="F60" s="84"/>
      <c r="G60" s="628">
        <f>H$50</f>
        <v>1</v>
      </c>
      <c r="H60" s="85">
        <f>H$57/3600*H$59/H$50</f>
        <v>30.252261889730633</v>
      </c>
      <c r="I60" s="634" t="s">
        <v>288</v>
      </c>
      <c r="J60" s="623">
        <f>K$50</f>
        <v>1</v>
      </c>
      <c r="K60" s="85">
        <f>K$57/3600*K$59/K$50</f>
        <v>5.0892033848331817</v>
      </c>
      <c r="L60" s="78" t="s">
        <v>288</v>
      </c>
      <c r="M60" s="599">
        <f>N$50</f>
        <v>1</v>
      </c>
      <c r="N60" s="85">
        <f>N$57/3600*N$59/N$50</f>
        <v>7.627568091709362</v>
      </c>
      <c r="O60" s="78" t="s">
        <v>288</v>
      </c>
      <c r="P60" s="599">
        <f>Q$50</f>
        <v>1</v>
      </c>
      <c r="Q60" s="85">
        <f>Q$57/3600*Q$59/Q$50</f>
        <v>2.2059962330470562</v>
      </c>
      <c r="R60" s="78" t="s">
        <v>288</v>
      </c>
      <c r="S60" s="599">
        <f>T$50</f>
        <v>1</v>
      </c>
      <c r="T60" s="85">
        <f>T$57/3600*T$59/T$50</f>
        <v>2.2059962330470562</v>
      </c>
      <c r="U60" s="78" t="s">
        <v>288</v>
      </c>
      <c r="V60" s="599">
        <f>W$50</f>
        <v>1</v>
      </c>
      <c r="W60" s="85">
        <f>W$57/3600*W$59/W$50</f>
        <v>2.2059962330470562</v>
      </c>
      <c r="X60" s="642"/>
      <c r="Y60" s="78" t="s">
        <v>33</v>
      </c>
    </row>
    <row r="61" spans="2:25" x14ac:dyDescent="0.2">
      <c r="B61" s="55" t="s">
        <v>127</v>
      </c>
      <c r="C61" s="78"/>
      <c r="D61" s="72" t="str">
        <f>'Quick Input'!I66</f>
        <v>Fertigungslosgröße</v>
      </c>
      <c r="E61" s="73"/>
      <c r="F61" s="75"/>
      <c r="G61" s="626"/>
      <c r="H61" s="121">
        <v>100</v>
      </c>
      <c r="I61" s="635"/>
      <c r="J61" s="946"/>
      <c r="K61" s="121">
        <v>100</v>
      </c>
      <c r="L61" s="361"/>
      <c r="M61" s="294"/>
      <c r="N61" s="121">
        <v>100</v>
      </c>
      <c r="O61" s="361"/>
      <c r="P61" s="361"/>
      <c r="Q61" s="121">
        <v>0</v>
      </c>
      <c r="R61" s="361"/>
      <c r="S61" s="361"/>
      <c r="T61" s="121">
        <v>0</v>
      </c>
      <c r="U61" s="361"/>
      <c r="V61" s="361"/>
      <c r="W61" s="121">
        <v>0</v>
      </c>
      <c r="X61" s="642"/>
      <c r="Y61" s="78" t="s">
        <v>33</v>
      </c>
    </row>
    <row r="62" spans="2:25" x14ac:dyDescent="0.2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26"/>
      <c r="H62" s="114">
        <f>Parametrikber!F$109</f>
        <v>50</v>
      </c>
      <c r="J62" s="622"/>
      <c r="K62" s="114">
        <f>Parametrikber!I$109</f>
        <v>50.406745185862235</v>
      </c>
      <c r="M62" s="67"/>
      <c r="N62" s="114">
        <f>Parametrikber!L$109</f>
        <v>50.406745185862235</v>
      </c>
      <c r="P62" s="67"/>
      <c r="Q62" s="114">
        <f>Parametrikber!O$109</f>
        <v>45</v>
      </c>
      <c r="S62" s="67"/>
      <c r="T62" s="114">
        <f>Parametrikber!R$109</f>
        <v>45</v>
      </c>
      <c r="V62" s="67"/>
      <c r="W62" s="114">
        <f>Parametrikber!U$109</f>
        <v>45</v>
      </c>
      <c r="X62" s="642"/>
      <c r="Y62" s="518" t="s">
        <v>33</v>
      </c>
    </row>
    <row r="63" spans="2:25" x14ac:dyDescent="0.2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26"/>
      <c r="H63" s="114">
        <f>Parametrikber!F$136</f>
        <v>0</v>
      </c>
      <c r="I63" s="634" t="s">
        <v>288</v>
      </c>
      <c r="J63" s="622"/>
      <c r="K63" s="114">
        <f>Parametrikber!I$136</f>
        <v>0</v>
      </c>
      <c r="L63" s="78" t="s">
        <v>288</v>
      </c>
      <c r="M63" s="67"/>
      <c r="N63" s="114">
        <f>Parametrikber!L$136</f>
        <v>0</v>
      </c>
      <c r="O63" s="78" t="s">
        <v>288</v>
      </c>
      <c r="P63" s="67"/>
      <c r="Q63" s="114">
        <f>Parametrikber!O$136</f>
        <v>1</v>
      </c>
      <c r="R63" s="78" t="s">
        <v>288</v>
      </c>
      <c r="S63" s="67"/>
      <c r="T63" s="114">
        <f>Parametrikber!R$136</f>
        <v>1</v>
      </c>
      <c r="U63" s="78" t="s">
        <v>288</v>
      </c>
      <c r="V63" s="67"/>
      <c r="W63" s="114">
        <f>Parametrikber!U$136</f>
        <v>1</v>
      </c>
      <c r="X63" s="642"/>
      <c r="Y63" s="78" t="s">
        <v>33</v>
      </c>
    </row>
    <row r="64" spans="2:25" x14ac:dyDescent="0.2">
      <c r="C64" s="78"/>
      <c r="D64" s="72" t="str">
        <f>IF(Deutsch,"Personalkosten Einrichter","cost fitter (€(h)")</f>
        <v>Personalkosten Einrichter</v>
      </c>
      <c r="E64" s="73"/>
      <c r="F64" s="75"/>
      <c r="G64" s="626"/>
      <c r="H64" s="74">
        <f>Parametrikber!F$22</f>
        <v>37.020199999999996</v>
      </c>
      <c r="I64" s="634" t="s">
        <v>288</v>
      </c>
      <c r="J64" s="622"/>
      <c r="K64" s="74">
        <f>Parametrikber!I$22</f>
        <v>5.8795150000000005</v>
      </c>
      <c r="L64" s="78" t="s">
        <v>288</v>
      </c>
      <c r="M64" s="67"/>
      <c r="N64" s="74">
        <f>Parametrikber!L$22</f>
        <v>10.008107999999998</v>
      </c>
      <c r="O64" s="78" t="s">
        <v>288</v>
      </c>
      <c r="P64" s="67"/>
      <c r="Q64" s="74">
        <f>Parametrikber!O$22</f>
        <v>33.535694999999997</v>
      </c>
      <c r="R64" s="78" t="s">
        <v>288</v>
      </c>
      <c r="S64" s="67"/>
      <c r="T64" s="74">
        <f>Parametrikber!R$22</f>
        <v>33.535694999999997</v>
      </c>
      <c r="U64" s="78" t="s">
        <v>288</v>
      </c>
      <c r="V64" s="67"/>
      <c r="W64" s="74">
        <f>Parametrikber!U$22</f>
        <v>33.535694999999997</v>
      </c>
      <c r="X64" s="713"/>
      <c r="Y64" s="78" t="s">
        <v>33</v>
      </c>
    </row>
    <row r="65" spans="2:25" x14ac:dyDescent="0.2">
      <c r="C65" s="78"/>
      <c r="D65" s="72" t="str">
        <f>IF(Deutsch,"Rüstkosten pro Vorgang","set up cost")</f>
        <v>Rüstkosten pro Vorgang</v>
      </c>
      <c r="E65" s="73"/>
      <c r="F65" s="75"/>
      <c r="G65" s="626"/>
      <c r="H65" s="74">
        <f>H$62/60*(H$57+H$63*H$64)</f>
        <v>201.68174593153759</v>
      </c>
      <c r="I65" s="634" t="s">
        <v>288</v>
      </c>
      <c r="J65" s="622"/>
      <c r="K65" s="74">
        <f>K$62/60*(K$57+K$63*K$64)</f>
        <v>384.79526732747064</v>
      </c>
      <c r="L65" s="78" t="s">
        <v>288</v>
      </c>
      <c r="M65" s="67"/>
      <c r="N65" s="74">
        <f>N$62/60*(N$57+N$63*N$64)</f>
        <v>576.72132177991091</v>
      </c>
      <c r="O65" s="78" t="s">
        <v>288</v>
      </c>
      <c r="P65" s="67"/>
      <c r="Q65" s="74">
        <f>Q$62/60*(Q$57+Q$63*Q$64)</f>
        <v>566.62357390700481</v>
      </c>
      <c r="R65" s="78" t="s">
        <v>288</v>
      </c>
      <c r="S65" s="67"/>
      <c r="T65" s="74">
        <f>T$62/60*(T$57+T$63*T$64)</f>
        <v>566.62357390700481</v>
      </c>
      <c r="U65" s="78" t="s">
        <v>288</v>
      </c>
      <c r="V65" s="67"/>
      <c r="W65" s="74">
        <f>W$62/60*(W$57+W$63*W$64)</f>
        <v>566.62357390700481</v>
      </c>
      <c r="X65" s="642"/>
      <c r="Y65" s="78" t="s">
        <v>33</v>
      </c>
    </row>
    <row r="66" spans="2:25" x14ac:dyDescent="0.2">
      <c r="C66" s="78"/>
      <c r="D66" s="82" t="str">
        <f>IF(Deutsch,"Rüstkosten pro Bauteil","set up cost per part")</f>
        <v>Rüstkosten pro Bauteil</v>
      </c>
      <c r="E66" s="83"/>
      <c r="F66" s="84"/>
      <c r="G66" s="626"/>
      <c r="H66" s="85">
        <f>H$65/ROUNDUP(H$61,0)</f>
        <v>2.016817459315376</v>
      </c>
      <c r="I66" s="634" t="s">
        <v>288</v>
      </c>
      <c r="J66" s="622"/>
      <c r="K66" s="85">
        <f>K$65/ROUNDUP(K$61,0)</f>
        <v>3.8479526732747065</v>
      </c>
      <c r="L66" s="634" t="s">
        <v>288</v>
      </c>
      <c r="M66" s="622"/>
      <c r="N66" s="85">
        <f>N$65/ROUNDUP(N$61,0)</f>
        <v>5.7672132177991093</v>
      </c>
      <c r="O66" s="634" t="s">
        <v>288</v>
      </c>
      <c r="P66" s="622"/>
      <c r="Q66" s="85" t="e">
        <f>Q$65/ROUNDUP(Q$61,0)</f>
        <v>#DIV/0!</v>
      </c>
      <c r="R66" s="634" t="s">
        <v>288</v>
      </c>
      <c r="S66" s="622"/>
      <c r="T66" s="85" t="e">
        <f>T$65/ROUNDUP(T$61,0)</f>
        <v>#DIV/0!</v>
      </c>
      <c r="U66" s="634" t="s">
        <v>288</v>
      </c>
      <c r="V66" s="622"/>
      <c r="W66" s="85" t="e">
        <f>W$65/ROUNDUP(W$61,0)</f>
        <v>#DIV/0!</v>
      </c>
      <c r="X66" s="642"/>
      <c r="Y66" s="78" t="s">
        <v>33</v>
      </c>
    </row>
    <row r="67" spans="2:25" ht="14.25" customHeight="1" x14ac:dyDescent="0.2">
      <c r="C67" s="78"/>
      <c r="D67" s="72" t="str">
        <f>IF(Deutsch,"Kernvolumen (ltr)","core volume (ltr)")</f>
        <v>Kernvolumen (ltr)</v>
      </c>
      <c r="E67" s="73"/>
      <c r="F67" s="75"/>
      <c r="G67" s="627"/>
      <c r="H67" s="941">
        <v>0</v>
      </c>
      <c r="I67" s="947"/>
      <c r="J67" s="982"/>
      <c r="K67" s="941">
        <v>0</v>
      </c>
      <c r="L67" s="983"/>
      <c r="M67" s="984"/>
      <c r="N67" s="941">
        <v>0</v>
      </c>
      <c r="O67" s="983"/>
      <c r="P67" s="984"/>
      <c r="Q67" s="941">
        <v>0</v>
      </c>
      <c r="R67" s="983"/>
      <c r="S67" s="984"/>
      <c r="T67" s="941">
        <v>0</v>
      </c>
      <c r="U67" s="983"/>
      <c r="V67" s="984"/>
      <c r="W67" s="941">
        <v>0</v>
      </c>
      <c r="X67" s="646">
        <f>Parametrikber!U115</f>
        <v>0</v>
      </c>
      <c r="Y67" s="78" t="s">
        <v>33</v>
      </c>
    </row>
    <row r="68" spans="2:25" ht="15" customHeight="1" x14ac:dyDescent="0.2">
      <c r="D68" s="72" t="str">
        <f>IF(Deutsch,"Sandkerne (€/ltr)","cores €/ltr.")</f>
        <v>Sandkerne (€/ltr)</v>
      </c>
      <c r="E68" s="472"/>
      <c r="F68" s="75"/>
      <c r="G68" s="629">
        <f>Parametrikber!F$114</f>
        <v>0</v>
      </c>
      <c r="H68" s="74">
        <f>Parametrikber!F$117</f>
        <v>0</v>
      </c>
      <c r="I68" s="624">
        <f>Parametrikber!F$115</f>
        <v>0</v>
      </c>
      <c r="J68" s="624">
        <f>Parametrikber!I$114</f>
        <v>0</v>
      </c>
      <c r="K68" s="74">
        <f>Parametrikber!I$117</f>
        <v>0</v>
      </c>
      <c r="L68" s="485">
        <f>Parametrikber!I115</f>
        <v>0</v>
      </c>
      <c r="M68" s="485">
        <f>Parametrikber!L114</f>
        <v>0</v>
      </c>
      <c r="N68" s="74">
        <f>Parametrikber!L$117</f>
        <v>0</v>
      </c>
      <c r="O68" s="485">
        <f>Parametrikber!L115</f>
        <v>0</v>
      </c>
      <c r="P68" s="485">
        <f>Parametrikber!O114</f>
        <v>0</v>
      </c>
      <c r="Q68" s="74">
        <f>Parametrikber!O$117</f>
        <v>0</v>
      </c>
      <c r="R68" s="485">
        <f>Parametrikber!O115</f>
        <v>0</v>
      </c>
      <c r="S68" s="485">
        <f>Parametrikber!R114</f>
        <v>0</v>
      </c>
      <c r="T68" s="74">
        <f>Parametrikber!R$117</f>
        <v>0</v>
      </c>
      <c r="U68" s="485">
        <f>Parametrikber!R115</f>
        <v>0</v>
      </c>
      <c r="V68" s="485">
        <f>Parametrikber!U114</f>
        <v>0</v>
      </c>
      <c r="W68" s="74">
        <f>Parametrikber!U$117</f>
        <v>0</v>
      </c>
      <c r="X68" s="646">
        <f>Parametrikber!U115</f>
        <v>0</v>
      </c>
      <c r="Y68" s="78" t="s">
        <v>33</v>
      </c>
    </row>
    <row r="69" spans="2:25" ht="15" customHeight="1" x14ac:dyDescent="0.2">
      <c r="D69" s="82" t="str">
        <f>IF(Deutsch,"Kernkosten pro Bauteil","core cost per part")</f>
        <v>Kernkosten pro Bauteil</v>
      </c>
      <c r="E69" s="472"/>
      <c r="F69" s="75"/>
      <c r="G69" s="629"/>
      <c r="H69" s="85">
        <f>H$67*H$68</f>
        <v>0</v>
      </c>
      <c r="I69" s="624"/>
      <c r="J69" s="624"/>
      <c r="K69" s="85">
        <f>K$67*K$68</f>
        <v>0</v>
      </c>
      <c r="L69" s="624"/>
      <c r="M69" s="624"/>
      <c r="N69" s="85">
        <f t="shared" ref="N69" si="19">N$67*N$68</f>
        <v>0</v>
      </c>
      <c r="O69" s="624"/>
      <c r="P69" s="624"/>
      <c r="Q69" s="85">
        <f t="shared" ref="Q69" si="20">Q$67*Q$68</f>
        <v>0</v>
      </c>
      <c r="R69" s="624"/>
      <c r="S69" s="624"/>
      <c r="T69" s="85">
        <f t="shared" ref="T69" si="21">T$67*T$68</f>
        <v>0</v>
      </c>
      <c r="U69" s="624"/>
      <c r="V69" s="624"/>
      <c r="W69" s="85">
        <f t="shared" ref="W69" si="22">W$67*W$68</f>
        <v>0</v>
      </c>
      <c r="X69" s="973"/>
      <c r="Y69" s="78"/>
    </row>
    <row r="70" spans="2:25" x14ac:dyDescent="0.2">
      <c r="B70" s="55" t="s">
        <v>127</v>
      </c>
      <c r="C70" s="78"/>
      <c r="D70" s="238" t="str">
        <f>'Quick Input'!I68</f>
        <v>Fertigungsausschuss Formen</v>
      </c>
      <c r="E70" s="73"/>
      <c r="F70" s="75"/>
      <c r="G70" s="626"/>
      <c r="H70" s="119">
        <v>0</v>
      </c>
      <c r="I70" s="635"/>
      <c r="J70" s="635"/>
      <c r="K70" s="119">
        <v>0</v>
      </c>
      <c r="L70" s="361"/>
      <c r="M70" s="361"/>
      <c r="N70" s="119">
        <v>0</v>
      </c>
      <c r="O70" s="361"/>
      <c r="P70" s="361"/>
      <c r="Q70" s="119">
        <v>0</v>
      </c>
      <c r="R70" s="361"/>
      <c r="S70" s="361"/>
      <c r="T70" s="119">
        <v>0</v>
      </c>
      <c r="U70" s="361"/>
      <c r="V70" s="361"/>
      <c r="W70" s="119">
        <v>0</v>
      </c>
      <c r="X70" s="642"/>
      <c r="Y70" s="78" t="s">
        <v>33</v>
      </c>
    </row>
    <row r="71" spans="2:25" x14ac:dyDescent="0.2">
      <c r="C71" s="78"/>
      <c r="D71" s="238" t="str">
        <f>CONCATENATE(D70,IF(Deutsch," (€/Stk.)"," (€/pc.)"))</f>
        <v>Fertigungsausschuss Formen (€/Stk.)</v>
      </c>
      <c r="E71" s="73"/>
      <c r="F71" s="75"/>
      <c r="G71" s="626"/>
      <c r="H71" s="74">
        <f t="shared" ref="H71" si="23">H$70*H$60</f>
        <v>0</v>
      </c>
      <c r="I71" s="634" t="s">
        <v>288</v>
      </c>
      <c r="J71" s="634"/>
      <c r="K71" s="74">
        <f t="shared" ref="K71" si="24">K$70*K$60</f>
        <v>0</v>
      </c>
      <c r="L71" s="634" t="s">
        <v>288</v>
      </c>
      <c r="M71" s="634"/>
      <c r="N71" s="74">
        <f t="shared" ref="N71" si="25">N$70*N$60</f>
        <v>0</v>
      </c>
      <c r="O71" s="634" t="s">
        <v>288</v>
      </c>
      <c r="P71" s="634"/>
      <c r="Q71" s="74">
        <f t="shared" ref="Q71" si="26">Q$70*Q$60</f>
        <v>0</v>
      </c>
      <c r="R71" s="634" t="s">
        <v>288</v>
      </c>
      <c r="S71" s="634"/>
      <c r="T71" s="74">
        <f t="shared" ref="T71" si="27">T$70*T$60</f>
        <v>0</v>
      </c>
      <c r="U71" s="634" t="s">
        <v>288</v>
      </c>
      <c r="V71" s="634"/>
      <c r="W71" s="74">
        <f t="shared" ref="W71" si="28">W$70*W$60</f>
        <v>0</v>
      </c>
      <c r="X71" s="642"/>
      <c r="Y71" s="78" t="s">
        <v>33</v>
      </c>
    </row>
    <row r="72" spans="2:2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30"/>
      <c r="H72" s="886">
        <f>H$60+H$66+H$69+H$71</f>
        <v>32.269079349046009</v>
      </c>
      <c r="I72" s="640" t="s">
        <v>288</v>
      </c>
      <c r="J72" s="887"/>
      <c r="K72" s="886">
        <f>K$60+K$66+K$69+K$71</f>
        <v>8.9371560581078882</v>
      </c>
      <c r="L72" s="640" t="s">
        <v>288</v>
      </c>
      <c r="M72" s="887"/>
      <c r="N72" s="886">
        <f t="shared" ref="N72" si="29">N$60+N$66+N$69+N$71</f>
        <v>13.39478130950847</v>
      </c>
      <c r="O72" s="640" t="s">
        <v>288</v>
      </c>
      <c r="P72" s="887"/>
      <c r="Q72" s="886" t="e">
        <f t="shared" ref="Q72" si="30">Q$60+Q$66+Q$69+Q$71</f>
        <v>#DIV/0!</v>
      </c>
      <c r="R72" s="640" t="s">
        <v>288</v>
      </c>
      <c r="S72" s="887"/>
      <c r="T72" s="886" t="e">
        <f t="shared" ref="T72" si="31">T$60+T$66+T$69+T$71</f>
        <v>#DIV/0!</v>
      </c>
      <c r="U72" s="640" t="s">
        <v>288</v>
      </c>
      <c r="V72" s="887"/>
      <c r="W72" s="886" t="e">
        <f t="shared" ref="W72" si="32">W$60+W$66+W$69+W$71</f>
        <v>#DIV/0!</v>
      </c>
      <c r="X72" s="644"/>
      <c r="Y72" s="78" t="s">
        <v>33</v>
      </c>
    </row>
    <row r="73" spans="2:25" ht="33" customHeight="1" x14ac:dyDescent="0.2">
      <c r="D73" s="1254" t="str">
        <f>IF(Deutsch,"Nachbehandlung","after care")</f>
        <v>Nachbehandlung</v>
      </c>
      <c r="E73" s="1255"/>
      <c r="F73" s="1256"/>
      <c r="G73" s="626"/>
      <c r="H73" s="945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</v>
      </c>
      <c r="I73" s="634" t="s">
        <v>288</v>
      </c>
      <c r="J73" s="634"/>
      <c r="K73" s="945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</v>
      </c>
      <c r="L73" s="634" t="s">
        <v>288</v>
      </c>
      <c r="M73" s="634"/>
      <c r="N73" s="945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</v>
      </c>
      <c r="O73" s="634" t="s">
        <v>288</v>
      </c>
      <c r="P73" s="634"/>
      <c r="Q73" s="945" t="str">
        <f>CONCATENATE(IF('Quick Input'!V$25=Auswahlfelder!$D$23,Auswahlfelder!$B$76,""),IF('Quick Input'!V$26=Auswahlfelder!$D$23,CONCATENATE(" ",Auswahlfelder!$B$77),""),IF('Quick Input'!V$27=Auswahlfelder!$D$23,CONCATENATE(" ",Auswahlfelder!$B$78),""))</f>
        <v>Sandstrahlen</v>
      </c>
      <c r="R73" s="634" t="s">
        <v>288</v>
      </c>
      <c r="S73" s="634"/>
      <c r="T73" s="945" t="str">
        <f>CONCATENATE(IF('Quick Input'!Y$25=Auswahlfelder!$D$23,Auswahlfelder!$B$76,""),IF('Quick Input'!Y$26=Auswahlfelder!$D$23,CONCATENATE(" ",Auswahlfelder!$B$77),""),IF('Quick Input'!Y$27=Auswahlfelder!$D$23,CONCATENATE(" ",Auswahlfelder!$B$78),""))</f>
        <v>Sandstrahlen</v>
      </c>
      <c r="U73" s="634" t="s">
        <v>288</v>
      </c>
      <c r="V73" s="634"/>
      <c r="W73" s="945" t="str">
        <f>CONCATENATE(IF('Quick Input'!AB$25=Auswahlfelder!$D$23,Auswahlfelder!$B$76,""),IF('Quick Input'!AB$26=Auswahlfelder!$D$23,CONCATENATE(" ",Auswahlfelder!$B$77),""),IF('Quick Input'!AB$27=Auswahlfelder!$D$23,CONCATENATE(" ",Auswahlfelder!$B$78),""))</f>
        <v>Sandstrahlen</v>
      </c>
      <c r="X73" s="641"/>
      <c r="Y73" s="78" t="s">
        <v>33</v>
      </c>
    </row>
    <row r="74" spans="2:25" x14ac:dyDescent="0.2">
      <c r="C74" s="78"/>
      <c r="D74" s="72" t="str">
        <f>IF(Deutsch,"Auspacken/Entkernen (min/Stk.)","unpacking (min/pc.)")</f>
        <v>Auspacken/Entkernen (min/Stk.)</v>
      </c>
      <c r="E74" s="73"/>
      <c r="F74" s="75"/>
      <c r="G74" s="626"/>
      <c r="H74" s="941">
        <v>0</v>
      </c>
      <c r="I74" s="947"/>
      <c r="J74" s="947"/>
      <c r="K74" s="941">
        <v>0</v>
      </c>
      <c r="L74" s="948"/>
      <c r="M74" s="948"/>
      <c r="N74" s="941">
        <v>0</v>
      </c>
      <c r="O74" s="948"/>
      <c r="P74" s="948"/>
      <c r="Q74" s="941">
        <v>0</v>
      </c>
      <c r="R74" s="948"/>
      <c r="S74" s="948"/>
      <c r="T74" s="941">
        <v>0</v>
      </c>
      <c r="U74" s="948"/>
      <c r="V74" s="948"/>
      <c r="W74" s="941">
        <v>0</v>
      </c>
      <c r="X74" s="642"/>
      <c r="Y74" s="78"/>
    </row>
    <row r="75" spans="2:25" x14ac:dyDescent="0.2">
      <c r="C75" s="78"/>
      <c r="D75" s="72" t="str">
        <f>IF(Deutsch,"Anschnitt trennen (min/Stk.)","sprue cutting (min/pc.)")</f>
        <v>Anschnitt trennen (min/Stk.)</v>
      </c>
      <c r="E75" s="73"/>
      <c r="F75" s="75"/>
      <c r="G75" s="626"/>
      <c r="H75" s="941">
        <v>60</v>
      </c>
      <c r="I75" s="947"/>
      <c r="J75" s="947"/>
      <c r="K75" s="941">
        <v>5</v>
      </c>
      <c r="L75" s="948"/>
      <c r="M75" s="948"/>
      <c r="N75" s="941">
        <v>5</v>
      </c>
      <c r="O75" s="948"/>
      <c r="P75" s="948"/>
      <c r="Q75" s="941">
        <v>0</v>
      </c>
      <c r="R75" s="948"/>
      <c r="S75" s="948"/>
      <c r="T75" s="941">
        <v>0</v>
      </c>
      <c r="U75" s="948"/>
      <c r="V75" s="948"/>
      <c r="W75" s="941">
        <v>0</v>
      </c>
      <c r="X75" s="642"/>
      <c r="Y75" s="78"/>
    </row>
    <row r="76" spans="2:25" x14ac:dyDescent="0.2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26"/>
      <c r="H76" s="74">
        <f>Parametrikber!F$20</f>
        <v>27.399866666666668</v>
      </c>
      <c r="I76" s="634" t="s">
        <v>288</v>
      </c>
      <c r="J76" s="634"/>
      <c r="K76" s="74">
        <f>Parametrikber!I$20</f>
        <v>4.1240200000000007</v>
      </c>
      <c r="L76" s="78" t="s">
        <v>288</v>
      </c>
      <c r="M76" s="78"/>
      <c r="N76" s="74">
        <f>Parametrikber!L$20</f>
        <v>5.4818280000000001</v>
      </c>
      <c r="O76" s="78" t="s">
        <v>288</v>
      </c>
      <c r="P76" s="78"/>
      <c r="Q76" s="74">
        <f>Parametrikber!O$20</f>
        <v>24.820870000000003</v>
      </c>
      <c r="R76" s="78" t="s">
        <v>288</v>
      </c>
      <c r="S76" s="78"/>
      <c r="T76" s="74">
        <f>Parametrikber!R$20</f>
        <v>24.820870000000003</v>
      </c>
      <c r="U76" s="78" t="s">
        <v>288</v>
      </c>
      <c r="V76" s="78"/>
      <c r="W76" s="74">
        <f>Parametrikber!U$20</f>
        <v>24.820870000000003</v>
      </c>
      <c r="X76" s="642"/>
      <c r="Y76" s="78" t="s">
        <v>33</v>
      </c>
    </row>
    <row r="77" spans="2:25" x14ac:dyDescent="0.2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26"/>
      <c r="H77" s="85">
        <f>(H74+H75)/60*H76</f>
        <v>27.399866666666668</v>
      </c>
      <c r="I77" s="634" t="s">
        <v>288</v>
      </c>
      <c r="J77" s="634"/>
      <c r="K77" s="85">
        <f>(K74+K75)/60*K76</f>
        <v>0.34366833333333335</v>
      </c>
      <c r="L77" s="634" t="s">
        <v>288</v>
      </c>
      <c r="M77" s="634"/>
      <c r="N77" s="85">
        <f t="shared" ref="N77" si="33">(N74+N75)/60*N76</f>
        <v>0.45681899999999998</v>
      </c>
      <c r="O77" s="634" t="s">
        <v>288</v>
      </c>
      <c r="P77" s="634"/>
      <c r="Q77" s="85">
        <f t="shared" ref="Q77" si="34">(Q74+Q75)/60*Q76</f>
        <v>0</v>
      </c>
      <c r="R77" s="634" t="s">
        <v>288</v>
      </c>
      <c r="S77" s="634"/>
      <c r="T77" s="85">
        <f t="shared" ref="T77" si="35">(T74+T75)/60*T76</f>
        <v>0</v>
      </c>
      <c r="U77" s="634" t="s">
        <v>288</v>
      </c>
      <c r="V77" s="634"/>
      <c r="W77" s="85">
        <f t="shared" ref="W77" si="36">(W74+W75)/60*W76</f>
        <v>0</v>
      </c>
      <c r="X77" s="642"/>
      <c r="Y77" s="78"/>
    </row>
    <row r="78" spans="2:25" x14ac:dyDescent="0.2">
      <c r="C78" s="78"/>
      <c r="D78" s="72" t="str">
        <f>IF(Deutsch,"Prozesszeit Strahlen (sec)","process time sand blasting (sec)")</f>
        <v>Prozesszeit Strahlen (sec)</v>
      </c>
      <c r="E78" s="73"/>
      <c r="F78" s="75"/>
      <c r="G78" s="626"/>
      <c r="H78" s="140">
        <f>Parametrikber!F$234</f>
        <v>26.144585576580216</v>
      </c>
      <c r="I78" s="634" t="s">
        <v>288</v>
      </c>
      <c r="J78" s="634"/>
      <c r="K78" s="140">
        <f>Parametrikber!I$234</f>
        <v>26.139248634013285</v>
      </c>
      <c r="L78" s="634" t="s">
        <v>288</v>
      </c>
      <c r="M78" s="634"/>
      <c r="N78" s="140">
        <f>Parametrikber!L$234</f>
        <v>26.139248634013285</v>
      </c>
      <c r="O78" s="634" t="s">
        <v>288</v>
      </c>
      <c r="P78" s="634"/>
      <c r="Q78" s="140">
        <f>Parametrikber!O$234</f>
        <v>21.333333333333332</v>
      </c>
      <c r="R78" s="634" t="s">
        <v>288</v>
      </c>
      <c r="S78" s="634"/>
      <c r="T78" s="140">
        <f>Parametrikber!R$234</f>
        <v>21.333333333333332</v>
      </c>
      <c r="U78" s="634" t="s">
        <v>288</v>
      </c>
      <c r="V78" s="634"/>
      <c r="W78" s="140">
        <f>Parametrikber!U$234</f>
        <v>21.333333333333332</v>
      </c>
      <c r="X78" s="642"/>
      <c r="Y78" s="78"/>
    </row>
    <row r="79" spans="2:25" x14ac:dyDescent="0.2">
      <c r="C79" s="78"/>
      <c r="D79" s="72" t="str">
        <f>IF(Deutsch,"Prozesskosten Gleitschleifen (€/t)","process cost grinding (€/t)")</f>
        <v>Prozesskosten Gleitschleifen (€/t)</v>
      </c>
      <c r="E79" s="73"/>
      <c r="F79" s="75"/>
      <c r="G79" s="626"/>
      <c r="H79" s="136">
        <f>Parametrikber!F$238</f>
        <v>0</v>
      </c>
      <c r="I79" s="711" t="s">
        <v>288</v>
      </c>
      <c r="J79" s="711"/>
      <c r="K79" s="136">
        <f>Parametrikber!I$238</f>
        <v>0</v>
      </c>
      <c r="L79" s="711" t="s">
        <v>288</v>
      </c>
      <c r="M79" s="711"/>
      <c r="N79" s="136">
        <f>Parametrikber!L$238</f>
        <v>0</v>
      </c>
      <c r="O79" s="711" t="s">
        <v>288</v>
      </c>
      <c r="P79" s="711"/>
      <c r="Q79" s="136">
        <f>Parametrikber!O$238</f>
        <v>0</v>
      </c>
      <c r="R79" s="711" t="s">
        <v>288</v>
      </c>
      <c r="S79" s="711"/>
      <c r="T79" s="136">
        <f>Parametrikber!R$238</f>
        <v>0</v>
      </c>
      <c r="U79" s="711" t="s">
        <v>288</v>
      </c>
      <c r="V79" s="711"/>
      <c r="W79" s="136">
        <f>Parametrikber!U$238</f>
        <v>0</v>
      </c>
      <c r="X79" s="642"/>
      <c r="Y79" s="78"/>
    </row>
    <row r="80" spans="2:25" x14ac:dyDescent="0.2">
      <c r="C80" s="78"/>
      <c r="D80" s="72" t="str">
        <f>IF(Deutsch,"Prozesszeit Feinputzen (sec)","process time fine grinding (sec)")</f>
        <v>Prozesszeit Feinputzen (sec)</v>
      </c>
      <c r="E80" s="73"/>
      <c r="F80" s="75"/>
      <c r="G80" s="626"/>
      <c r="H80" s="140">
        <f>Parametrikber!F$242</f>
        <v>0</v>
      </c>
      <c r="I80" s="634" t="s">
        <v>288</v>
      </c>
      <c r="J80" s="634"/>
      <c r="K80" s="140">
        <f>Parametrikber!I$242</f>
        <v>0</v>
      </c>
      <c r="L80" s="634" t="s">
        <v>288</v>
      </c>
      <c r="M80" s="634"/>
      <c r="N80" s="140">
        <f>Parametrikber!L$242</f>
        <v>0</v>
      </c>
      <c r="O80" s="634" t="s">
        <v>288</v>
      </c>
      <c r="P80" s="634"/>
      <c r="Q80" s="140">
        <f>Parametrikber!O$242</f>
        <v>0</v>
      </c>
      <c r="R80" s="634" t="s">
        <v>288</v>
      </c>
      <c r="S80" s="634"/>
      <c r="T80" s="140">
        <f>Parametrikber!R$242</f>
        <v>0</v>
      </c>
      <c r="U80" s="634" t="s">
        <v>288</v>
      </c>
      <c r="V80" s="634"/>
      <c r="W80" s="140">
        <f>Parametrikber!U$242</f>
        <v>0</v>
      </c>
      <c r="X80" s="642"/>
      <c r="Y80" s="78"/>
    </row>
    <row r="81" spans="2:25" x14ac:dyDescent="0.2">
      <c r="C81" s="78"/>
      <c r="D81" s="82" t="str">
        <f>IF(Deutsch,"Oberflächenkosten (€/Stk.)","surfaces cost (€/pc.)")</f>
        <v>Oberflächenkosten (€/Stk.)</v>
      </c>
      <c r="E81" s="73"/>
      <c r="F81" s="75"/>
      <c r="G81" s="626"/>
      <c r="H81" s="85">
        <f>(H$78/3600*H$76)+(H$79/1000*H$14)+(H$80/3600*H$76)</f>
        <v>0.19898837745932066</v>
      </c>
      <c r="I81" s="634" t="s">
        <v>288</v>
      </c>
      <c r="J81" s="634"/>
      <c r="K81" s="85">
        <f>(K$78/3600*K$76)+(K$79/1000*K$14)+(K$80/3600*K$76)</f>
        <v>2.9944106708789858E-2</v>
      </c>
      <c r="L81" s="634" t="s">
        <v>288</v>
      </c>
      <c r="M81" s="634"/>
      <c r="N81" s="85">
        <f>(N$78/3600*N$76)+(N$79/1000*N$14)+(N$80/3600*N$76)</f>
        <v>3.9803018072471053E-2</v>
      </c>
      <c r="O81" s="634" t="s">
        <v>288</v>
      </c>
      <c r="P81" s="634"/>
      <c r="Q81" s="85" t="e">
        <f>(Q$78/3600*Q$76)+(Q$79/1000*Q$14)+(Q$80/3600*Q$76)</f>
        <v>#VALUE!</v>
      </c>
      <c r="R81" s="634" t="s">
        <v>288</v>
      </c>
      <c r="S81" s="634"/>
      <c r="T81" s="85" t="e">
        <f>(T$78/3600*T$76)+(T$79/1000*T$14)+(T$80/3600*T$76)</f>
        <v>#VALUE!</v>
      </c>
      <c r="U81" s="634" t="s">
        <v>288</v>
      </c>
      <c r="V81" s="634"/>
      <c r="W81" s="85" t="e">
        <f>(W$78/3600*W$76)+(W$79/1000*W$14)+(W$80/3600*W$76)</f>
        <v>#VALUE!</v>
      </c>
      <c r="X81" s="642"/>
      <c r="Y81" s="78"/>
    </row>
    <row r="82" spans="2:25" x14ac:dyDescent="0.2">
      <c r="C82" s="78"/>
      <c r="D82" s="72" t="str">
        <f>IF(Deutsch,"Sandaufbereitung (€/t)","sand regeneration (€/to)")</f>
        <v>Sandaufbereitung (€/t)</v>
      </c>
      <c r="E82" s="73"/>
      <c r="F82" s="75"/>
      <c r="G82" s="626"/>
      <c r="H82" s="74">
        <f>Parametrikber!F$122</f>
        <v>1.1547005383792517</v>
      </c>
      <c r="I82" s="634" t="s">
        <v>288</v>
      </c>
      <c r="J82" s="634"/>
      <c r="K82" s="74">
        <f>Parametrikber!I$122</f>
        <v>1.2271468098197256</v>
      </c>
      <c r="L82" s="78" t="s">
        <v>288</v>
      </c>
      <c r="M82" s="78"/>
      <c r="N82" s="74">
        <f>Parametrikber!L$122</f>
        <v>1.2477080261564104</v>
      </c>
      <c r="O82" s="78" t="s">
        <v>288</v>
      </c>
      <c r="P82" s="78"/>
      <c r="Q82" s="74">
        <f>Parametrikber!O$122</f>
        <v>1.4142135623730949</v>
      </c>
      <c r="R82" s="78" t="s">
        <v>288</v>
      </c>
      <c r="S82" s="78"/>
      <c r="T82" s="74">
        <f>Parametrikber!R$122</f>
        <v>1.4142135623730949</v>
      </c>
      <c r="U82" s="78" t="s">
        <v>288</v>
      </c>
      <c r="V82" s="78"/>
      <c r="W82" s="74">
        <f>Parametrikber!U$122</f>
        <v>1.4142135623730949</v>
      </c>
      <c r="X82" s="642"/>
      <c r="Y82" s="78"/>
    </row>
    <row r="83" spans="2:25" x14ac:dyDescent="0.2">
      <c r="C83" s="78"/>
      <c r="D83" s="82" t="str">
        <f>IF(Deutsch,"Sandaufbereitung (€/Stk.)","sand regeneration (€/pc.)")</f>
        <v>Sandaufbereitung (€/Stk.)</v>
      </c>
      <c r="E83" s="73"/>
      <c r="F83" s="75"/>
      <c r="G83" s="626"/>
      <c r="H83" s="85">
        <f>H$82*Parametrikber!F$75/1000</f>
        <v>0.7120376751959826</v>
      </c>
      <c r="I83" s="634" t="s">
        <v>288</v>
      </c>
      <c r="J83" s="634"/>
      <c r="K83" s="85">
        <f>K$82*Parametrikber!I$75/1000</f>
        <v>0.21347808979179506</v>
      </c>
      <c r="L83" s="78" t="s">
        <v>288</v>
      </c>
      <c r="M83" s="78"/>
      <c r="N83" s="85">
        <f>N$82*Parametrikber!L$75/1000</f>
        <v>0.21705497982013336</v>
      </c>
      <c r="O83" s="78" t="s">
        <v>288</v>
      </c>
      <c r="P83" s="78"/>
      <c r="Q83" s="85" t="e">
        <f>Q$82*Parametrikber!O$75/1000</f>
        <v>#VALUE!</v>
      </c>
      <c r="R83" s="78" t="s">
        <v>288</v>
      </c>
      <c r="S83" s="78"/>
      <c r="T83" s="85" t="e">
        <f>T$82*Parametrikber!R$75/1000</f>
        <v>#VALUE!</v>
      </c>
      <c r="U83" s="78" t="s">
        <v>288</v>
      </c>
      <c r="V83" s="78"/>
      <c r="W83" s="85" t="e">
        <f>W$82*Parametrikber!U$75/1000</f>
        <v>#VALUE!</v>
      </c>
      <c r="X83" s="642"/>
      <c r="Y83" s="78" t="s">
        <v>33</v>
      </c>
    </row>
    <row r="84" spans="2:25" x14ac:dyDescent="0.2">
      <c r="C84" s="78"/>
      <c r="D84" s="72" t="str">
        <f>CONCATENATE(IF(Deutsch,'Quick Input'!C71,'Quick Input'!D71)," (€/kg)")</f>
        <v>Wärmebehandlung (€/kg)</v>
      </c>
      <c r="E84" s="73"/>
      <c r="F84" s="75"/>
      <c r="G84" s="626"/>
      <c r="H84" s="348">
        <v>0</v>
      </c>
      <c r="I84" s="635"/>
      <c r="J84" s="635"/>
      <c r="K84" s="348">
        <v>0</v>
      </c>
      <c r="L84" s="361"/>
      <c r="M84" s="361"/>
      <c r="N84" s="348">
        <v>0</v>
      </c>
      <c r="O84" s="361"/>
      <c r="P84" s="361"/>
      <c r="Q84" s="348">
        <v>0</v>
      </c>
      <c r="R84" s="361"/>
      <c r="S84" s="361"/>
      <c r="T84" s="348">
        <v>0</v>
      </c>
      <c r="U84" s="361"/>
      <c r="V84" s="361"/>
      <c r="W84" s="348">
        <v>0</v>
      </c>
      <c r="X84" s="642"/>
      <c r="Y84" s="78"/>
    </row>
    <row r="85" spans="2:25" x14ac:dyDescent="0.2">
      <c r="C85" s="78"/>
      <c r="D85" s="82" t="str">
        <f>IF(Deutsch,"Wärmebehandlung (€/Stk.)","heat treatment (€/pc.")</f>
        <v>Wärmebehandlung (€/Stk.)</v>
      </c>
      <c r="E85" s="73"/>
      <c r="F85" s="75"/>
      <c r="G85" s="626"/>
      <c r="H85" s="85">
        <f>H$84*H$14</f>
        <v>0</v>
      </c>
      <c r="I85" s="634"/>
      <c r="J85" s="634"/>
      <c r="K85" s="85">
        <f>K$84*K$14</f>
        <v>0</v>
      </c>
      <c r="L85" s="78"/>
      <c r="M85" s="78"/>
      <c r="N85" s="85">
        <f>N$84*N$14</f>
        <v>0</v>
      </c>
      <c r="O85" s="78"/>
      <c r="P85" s="78"/>
      <c r="Q85" s="85" t="e">
        <f>Q$84*Q$14</f>
        <v>#VALUE!</v>
      </c>
      <c r="R85" s="78"/>
      <c r="S85" s="78"/>
      <c r="T85" s="85" t="e">
        <f>T$84*T$14</f>
        <v>#VALUE!</v>
      </c>
      <c r="U85" s="78"/>
      <c r="V85" s="78"/>
      <c r="W85" s="85" t="e">
        <f>W$84*W$14</f>
        <v>#VALUE!</v>
      </c>
      <c r="X85" s="642"/>
      <c r="Y85" s="78"/>
    </row>
    <row r="86" spans="2:25" x14ac:dyDescent="0.2">
      <c r="B86" s="55" t="s">
        <v>127</v>
      </c>
      <c r="C86" s="78"/>
      <c r="D86" s="238" t="str">
        <f>'Quick Input'!I72</f>
        <v>Fertigungsausschuss 2</v>
      </c>
      <c r="E86" s="73"/>
      <c r="F86" s="75"/>
      <c r="G86" s="626"/>
      <c r="H86" s="119">
        <v>0.02</v>
      </c>
      <c r="I86" s="635"/>
      <c r="J86" s="635"/>
      <c r="K86" s="119">
        <v>0.02</v>
      </c>
      <c r="L86" s="361"/>
      <c r="M86" s="361"/>
      <c r="N86" s="119">
        <v>0.02</v>
      </c>
      <c r="O86" s="361"/>
      <c r="P86" s="361"/>
      <c r="Q86" s="119">
        <v>0</v>
      </c>
      <c r="R86" s="361"/>
      <c r="S86" s="361"/>
      <c r="T86" s="119">
        <v>0</v>
      </c>
      <c r="U86" s="361"/>
      <c r="V86" s="361"/>
      <c r="W86" s="119">
        <v>0</v>
      </c>
      <c r="X86" s="642"/>
      <c r="Y86" s="78" t="s">
        <v>33</v>
      </c>
    </row>
    <row r="87" spans="2:25" ht="15" thickBot="1" x14ac:dyDescent="0.25">
      <c r="C87" s="78"/>
      <c r="D87" s="116" t="str">
        <f>IF(Deutsch,"Prozesskosten pro Stück","process cost per part")</f>
        <v>Prozesskosten pro Stück</v>
      </c>
      <c r="E87" s="73"/>
      <c r="F87" s="75"/>
      <c r="G87" s="888"/>
      <c r="H87" s="886">
        <f>(1+H86)*(H77+H81+H$83+H$85)</f>
        <v>28.877110573708414</v>
      </c>
      <c r="I87" s="640" t="s">
        <v>288</v>
      </c>
      <c r="J87" s="640"/>
      <c r="K87" s="886">
        <f>(1+K86)*(K77+K81+K$83+K$85)</f>
        <v>0.59883234043059663</v>
      </c>
      <c r="L87" s="640" t="s">
        <v>288</v>
      </c>
      <c r="M87" s="640"/>
      <c r="N87" s="886">
        <f>(1+N86)*(N77+N81+N$83+N$85)</f>
        <v>0.72795053785045649</v>
      </c>
      <c r="O87" s="640" t="s">
        <v>288</v>
      </c>
      <c r="P87" s="640"/>
      <c r="Q87" s="886" t="e">
        <f>(1+Q86)*(Q77+Q81+Q$83+Q$85)</f>
        <v>#VALUE!</v>
      </c>
      <c r="R87" s="640" t="s">
        <v>288</v>
      </c>
      <c r="S87" s="640"/>
      <c r="T87" s="886" t="e">
        <f>(1+T86)*(T77+T81+T$83+T$85)</f>
        <v>#VALUE!</v>
      </c>
      <c r="U87" s="640" t="s">
        <v>288</v>
      </c>
      <c r="V87" s="640"/>
      <c r="W87" s="886" t="e">
        <f>(1+W86)*(W77+W81+W$83+W$85)</f>
        <v>#VALUE!</v>
      </c>
      <c r="X87" s="644"/>
      <c r="Y87" s="78" t="s">
        <v>33</v>
      </c>
    </row>
    <row r="88" spans="2:25" ht="28.5" customHeight="1" x14ac:dyDescent="0.2">
      <c r="C88" s="78"/>
      <c r="D88" s="1254" t="str">
        <f>IF(Deutsch,"Prüfen","testing")</f>
        <v>Prüfen</v>
      </c>
      <c r="E88" s="1255"/>
      <c r="F88" s="1256"/>
      <c r="G88" s="626"/>
      <c r="H88" s="949" t="str">
        <f>Parametrikber!F$252</f>
        <v>US prüfen</v>
      </c>
      <c r="I88" s="950" t="s">
        <v>288</v>
      </c>
      <c r="J88" s="950"/>
      <c r="K88" s="949" t="str">
        <f>Parametrikber!I$252</f>
        <v>US prüfen</v>
      </c>
      <c r="L88" s="950" t="s">
        <v>288</v>
      </c>
      <c r="M88" s="950"/>
      <c r="N88" s="949" t="str">
        <f>Parametrikber!L$252</f>
        <v>ohne Prfg.</v>
      </c>
      <c r="O88" s="950" t="s">
        <v>288</v>
      </c>
      <c r="P88" s="950"/>
      <c r="Q88" s="949" t="str">
        <f>Parametrikber!O$252</f>
        <v>ohne Prfg.</v>
      </c>
      <c r="R88" s="950" t="s">
        <v>288</v>
      </c>
      <c r="S88" s="950"/>
      <c r="T88" s="949" t="str">
        <f>Parametrikber!R$252</f>
        <v>ohne Prfg.</v>
      </c>
      <c r="U88" s="950" t="s">
        <v>288</v>
      </c>
      <c r="V88" s="950"/>
      <c r="W88" s="949" t="str">
        <f>Parametrikber!U$252</f>
        <v>ohne Prfg.</v>
      </c>
      <c r="X88" s="642"/>
      <c r="Y88" s="78" t="s">
        <v>33</v>
      </c>
    </row>
    <row r="89" spans="2:25" x14ac:dyDescent="0.2">
      <c r="B89" s="55" t="s">
        <v>127</v>
      </c>
      <c r="C89" s="78"/>
      <c r="D89" s="72" t="str">
        <f>'Quick Input'!I73</f>
        <v>VT Prüfzeit/Teil (sec)</v>
      </c>
      <c r="E89" s="73"/>
      <c r="F89" s="75"/>
      <c r="G89" s="626"/>
      <c r="H89" s="121">
        <v>400</v>
      </c>
      <c r="I89" s="635"/>
      <c r="J89" s="635"/>
      <c r="K89" s="121">
        <v>300</v>
      </c>
      <c r="L89" s="361"/>
      <c r="M89" s="361"/>
      <c r="N89" s="121">
        <v>300</v>
      </c>
      <c r="O89" s="361"/>
      <c r="P89" s="361"/>
      <c r="Q89" s="121">
        <v>0</v>
      </c>
      <c r="R89" s="361"/>
      <c r="S89" s="361"/>
      <c r="T89" s="121">
        <v>0</v>
      </c>
      <c r="U89" s="361"/>
      <c r="V89" s="361"/>
      <c r="W89" s="121">
        <v>0</v>
      </c>
      <c r="X89" s="642"/>
      <c r="Y89" s="78" t="s">
        <v>33</v>
      </c>
    </row>
    <row r="90" spans="2:25" x14ac:dyDescent="0.2">
      <c r="C90" s="78"/>
      <c r="D90" s="72" t="str">
        <f>IF(Deutsch,"Personalkosten Prüfer","personal cost testing")</f>
        <v>Personalkosten Prüfer</v>
      </c>
      <c r="E90" s="73"/>
      <c r="F90" s="75"/>
      <c r="G90" s="626"/>
      <c r="H90" s="74">
        <f>Parametrikber!F$22</f>
        <v>37.020199999999996</v>
      </c>
      <c r="I90" s="634" t="s">
        <v>288</v>
      </c>
      <c r="J90" s="634"/>
      <c r="K90" s="74">
        <f>Parametrikber!I$22</f>
        <v>5.8795150000000005</v>
      </c>
      <c r="L90" s="78" t="s">
        <v>288</v>
      </c>
      <c r="M90" s="78"/>
      <c r="N90" s="74">
        <f>Parametrikber!L$22</f>
        <v>10.008107999999998</v>
      </c>
      <c r="O90" s="78" t="s">
        <v>288</v>
      </c>
      <c r="P90" s="78"/>
      <c r="Q90" s="74">
        <f>Parametrikber!O$22</f>
        <v>33.535694999999997</v>
      </c>
      <c r="R90" s="78" t="s">
        <v>288</v>
      </c>
      <c r="S90" s="78"/>
      <c r="T90" s="74">
        <f>Parametrikber!R$22</f>
        <v>33.535694999999997</v>
      </c>
      <c r="U90" s="78" t="s">
        <v>288</v>
      </c>
      <c r="V90" s="78"/>
      <c r="W90" s="74">
        <f>Parametrikber!U$22</f>
        <v>33.535694999999997</v>
      </c>
      <c r="X90" s="642"/>
      <c r="Y90" s="78" t="s">
        <v>33</v>
      </c>
    </row>
    <row r="91" spans="2:25" x14ac:dyDescent="0.2">
      <c r="C91" s="78"/>
      <c r="D91" s="72" t="str">
        <f>IF(Deutsch,'Quick Input'!C28,'Quick Input'!D28)</f>
        <v>Ultraschall Prüfung</v>
      </c>
      <c r="E91" s="73"/>
      <c r="F91" s="75"/>
      <c r="G91" s="626"/>
      <c r="H91" s="348">
        <f>IF('Quick Input'!L28="ja",'Maschinen-DB'!E66*(1+'Maschinen-DB'!F66)/'Länder-DB'!I27/Parametrikber!F146/3600*H89+'Maschinen-DB'!G66/3600*H89*VLOOKUP(H$7,DB_Länder,7,FALSE) + 'Maschinen-DB'!H66*VLOOKUP(H$7,DB_Länder,8,FALSE)*12/Parametrikber!F146/3600*H89,0)</f>
        <v>0.27447916666666672</v>
      </c>
      <c r="I91" s="635"/>
      <c r="J91" s="635"/>
      <c r="K91" s="348">
        <f>IF('Quick Input'!O28="ja",'Maschinen-DB'!E66*(1+'Maschinen-DB'!F66)/'Länder-DB'!I27/Parametrikber!I146/3600*K89+'Maschinen-DB'!G66/3600*K89*VLOOKUP(K$7,DB_Länder,7,FALSE) + 'Maschinen-DB'!H66*VLOOKUP(K$7,DB_Länder,8,FALSE)*12/Parametrikber!I146/3600*K89,0)</f>
        <v>0.19507812499999996</v>
      </c>
      <c r="L91" s="361"/>
      <c r="M91" s="361"/>
      <c r="N91" s="348">
        <v>0</v>
      </c>
      <c r="O91" s="361"/>
      <c r="P91" s="361"/>
      <c r="Q91" s="348">
        <v>0</v>
      </c>
      <c r="R91" s="361"/>
      <c r="S91" s="361"/>
      <c r="T91" s="348">
        <v>0</v>
      </c>
      <c r="U91" s="361"/>
      <c r="V91" s="361"/>
      <c r="W91" s="348">
        <v>0</v>
      </c>
      <c r="X91" s="642"/>
      <c r="Y91" s="78"/>
    </row>
    <row r="92" spans="2:25" x14ac:dyDescent="0.2">
      <c r="C92" s="78"/>
      <c r="D92" s="72" t="str">
        <f>IF(Deutsch,'Quick Input'!C29,'Quick Input'!D29)</f>
        <v>Farbeindring Prüfung</v>
      </c>
      <c r="E92" s="73"/>
      <c r="F92" s="75"/>
      <c r="G92" s="626"/>
      <c r="H92" s="348">
        <v>0</v>
      </c>
      <c r="I92" s="635"/>
      <c r="J92" s="635"/>
      <c r="K92" s="348">
        <v>0</v>
      </c>
      <c r="L92" s="361"/>
      <c r="M92" s="361"/>
      <c r="N92" s="348">
        <v>0</v>
      </c>
      <c r="O92" s="361"/>
      <c r="P92" s="361"/>
      <c r="Q92" s="348">
        <v>0</v>
      </c>
      <c r="R92" s="361"/>
      <c r="S92" s="361"/>
      <c r="T92" s="348">
        <v>0</v>
      </c>
      <c r="U92" s="361"/>
      <c r="V92" s="361"/>
      <c r="W92" s="348">
        <v>0</v>
      </c>
      <c r="X92" s="642"/>
      <c r="Y92" s="78"/>
    </row>
    <row r="93" spans="2:25" x14ac:dyDescent="0.2">
      <c r="C93" s="78"/>
      <c r="D93" s="72" t="str">
        <f>IF(Deutsch,'Quick Input'!C30,'Quick Input'!D30)</f>
        <v>Röntgen Prüfung</v>
      </c>
      <c r="E93" s="73"/>
      <c r="F93" s="75"/>
      <c r="G93" s="626"/>
      <c r="H93" s="348">
        <v>0</v>
      </c>
      <c r="I93" s="635"/>
      <c r="J93" s="635"/>
      <c r="K93" s="348">
        <v>0</v>
      </c>
      <c r="L93" s="361"/>
      <c r="M93" s="361"/>
      <c r="N93" s="348">
        <v>0</v>
      </c>
      <c r="O93" s="361"/>
      <c r="P93" s="361"/>
      <c r="Q93" s="348">
        <v>0</v>
      </c>
      <c r="R93" s="361"/>
      <c r="S93" s="361"/>
      <c r="T93" s="348">
        <v>0</v>
      </c>
      <c r="U93" s="361"/>
      <c r="V93" s="361"/>
      <c r="W93" s="348">
        <v>0</v>
      </c>
      <c r="X93" s="642"/>
      <c r="Y93" s="78"/>
    </row>
    <row r="94" spans="2:25" x14ac:dyDescent="0.2">
      <c r="C94" s="78"/>
      <c r="D94" s="72" t="str">
        <f>IF(Deutsch,Auswahlfelder!$B$59,Auswahlfelder!$D$59)</f>
        <v>Reparaturschweißen</v>
      </c>
      <c r="E94" s="73"/>
      <c r="F94" s="75"/>
      <c r="G94" s="626"/>
      <c r="H94" s="80" t="str">
        <f>'Quick Input'!L$33</f>
        <v>ohne</v>
      </c>
      <c r="I94" s="634"/>
      <c r="J94" s="634"/>
      <c r="K94" s="80" t="str">
        <f>'Quick Input'!O$33</f>
        <v>ohne</v>
      </c>
      <c r="L94" s="78"/>
      <c r="M94" s="78"/>
      <c r="N94" s="80" t="str">
        <f>'Quick Input'!R$33</f>
        <v>ohne</v>
      </c>
      <c r="O94" s="78"/>
      <c r="P94" s="78"/>
      <c r="Q94" s="80" t="str">
        <f>'Quick Input'!U$33</f>
        <v>ohne</v>
      </c>
      <c r="R94" s="78"/>
      <c r="S94" s="78"/>
      <c r="T94" s="80" t="str">
        <f>'Quick Input'!X$33</f>
        <v>ohne</v>
      </c>
      <c r="U94" s="78"/>
      <c r="V94" s="78"/>
      <c r="W94" s="80" t="str">
        <f>'Quick Input'!AA$33</f>
        <v>ohne</v>
      </c>
      <c r="X94" s="642"/>
      <c r="Y94" s="78"/>
    </row>
    <row r="95" spans="2:25" x14ac:dyDescent="0.2">
      <c r="C95" s="78"/>
      <c r="D95" s="72" t="str">
        <f>IF(Deutsch,"Reparaturanteil (%)","repair proportion (%)")</f>
        <v>Reparaturanteil (%)</v>
      </c>
      <c r="E95" s="73"/>
      <c r="F95" s="75"/>
      <c r="G95" s="626"/>
      <c r="H95" s="549">
        <v>0</v>
      </c>
      <c r="I95" s="635"/>
      <c r="J95" s="635"/>
      <c r="K95" s="549">
        <v>0</v>
      </c>
      <c r="L95" s="361"/>
      <c r="M95" s="361"/>
      <c r="N95" s="549">
        <v>0</v>
      </c>
      <c r="O95" s="361"/>
      <c r="P95" s="361"/>
      <c r="Q95" s="549">
        <v>0</v>
      </c>
      <c r="R95" s="361"/>
      <c r="S95" s="361"/>
      <c r="T95" s="549">
        <v>0</v>
      </c>
      <c r="U95" s="361"/>
      <c r="V95" s="361"/>
      <c r="W95" s="549">
        <v>0</v>
      </c>
      <c r="X95" s="642"/>
      <c r="Y95" s="78"/>
    </row>
    <row r="96" spans="2:25" x14ac:dyDescent="0.2">
      <c r="C96" s="78"/>
      <c r="D96" s="72" t="str">
        <f>'Quick Input'!$I$77</f>
        <v>Anteil Nachprüfung</v>
      </c>
      <c r="E96" s="73"/>
      <c r="F96" s="75"/>
      <c r="G96" s="626"/>
      <c r="H96" s="720">
        <v>0.5</v>
      </c>
      <c r="I96" s="635"/>
      <c r="J96" s="635"/>
      <c r="K96" s="720">
        <v>0.5</v>
      </c>
      <c r="L96" s="361"/>
      <c r="M96" s="361"/>
      <c r="N96" s="720">
        <v>0.5</v>
      </c>
      <c r="O96" s="361"/>
      <c r="P96" s="361"/>
      <c r="Q96" s="720">
        <v>0.5</v>
      </c>
      <c r="R96" s="361"/>
      <c r="S96" s="361"/>
      <c r="T96" s="720">
        <v>0.5</v>
      </c>
      <c r="U96" s="361"/>
      <c r="V96" s="361"/>
      <c r="W96" s="720">
        <v>0.5</v>
      </c>
      <c r="X96" s="642"/>
      <c r="Y96" s="78"/>
    </row>
    <row r="97" spans="2:25" x14ac:dyDescent="0.2">
      <c r="C97" s="78"/>
      <c r="D97" s="72" t="str">
        <f>IF(Deutsch,"Kosten je Reparatur (€)","cost per repair (€)")</f>
        <v>Kosten je Reparatur (€)</v>
      </c>
      <c r="E97" s="73"/>
      <c r="F97" s="75"/>
      <c r="G97" s="626"/>
      <c r="H97" s="85">
        <f>IF('Quick Input'!M$33=Auswahlfelder!$D$60,0,Parametrikber!F$187)</f>
        <v>0</v>
      </c>
      <c r="I97" s="634"/>
      <c r="J97" s="634"/>
      <c r="K97" s="85">
        <f>IF('Quick Input'!P$33=Auswahlfelder!$D$60,0,Parametrikber!I$187)</f>
        <v>0</v>
      </c>
      <c r="L97" s="78"/>
      <c r="M97" s="78"/>
      <c r="N97" s="85">
        <f>IF('Quick Input'!S$33=Auswahlfelder!$D$60,0,Parametrikber!L$187)</f>
        <v>0</v>
      </c>
      <c r="O97" s="78"/>
      <c r="P97" s="78"/>
      <c r="Q97" s="85">
        <f>IF('Quick Input'!V$33=Auswahlfelder!$D$60,0,Parametrikber!O$187)</f>
        <v>0</v>
      </c>
      <c r="R97" s="78"/>
      <c r="S97" s="78"/>
      <c r="T97" s="85">
        <f>IF('Quick Input'!Y$33=Auswahlfelder!$D$60,0,Parametrikber!R$187)</f>
        <v>0</v>
      </c>
      <c r="U97" s="78"/>
      <c r="V97" s="78"/>
      <c r="W97" s="85">
        <f>IF('Quick Input'!AB$33=Auswahlfelder!$D$60,0,Parametrikber!U$187)</f>
        <v>0</v>
      </c>
      <c r="X97" s="642"/>
      <c r="Y97" s="78"/>
    </row>
    <row r="98" spans="2:25" ht="15" thickBot="1" x14ac:dyDescent="0.25">
      <c r="C98" s="78"/>
      <c r="D98" s="116" t="str">
        <f>IF(Deutsch,"Prüfkosten pro Stück","testing cost per part")</f>
        <v>Prüfkosten pro Stück</v>
      </c>
      <c r="E98" s="73"/>
      <c r="F98" s="75"/>
      <c r="G98" s="888"/>
      <c r="H98" s="886">
        <f>H$89/3600*H$90+(H$91+H$92+H$93)*(1+H$96*H$95)+H$95*H$97</f>
        <v>4.3878347222222214</v>
      </c>
      <c r="I98" s="640" t="s">
        <v>288</v>
      </c>
      <c r="J98" s="640"/>
      <c r="K98" s="886">
        <f>K$89/3600*K$90+(K$91+K$92+K$93)*(1+K$96*K$95)+K$95*K$97</f>
        <v>0.68503770833333333</v>
      </c>
      <c r="L98" s="640" t="s">
        <v>288</v>
      </c>
      <c r="M98" s="640"/>
      <c r="N98" s="886">
        <f>N$89/3600*N$90+(N$91+N$92+N$93)*(1+N$96*N$95)+N$95*N$97</f>
        <v>0.83400899999999978</v>
      </c>
      <c r="O98" s="640" t="s">
        <v>288</v>
      </c>
      <c r="P98" s="640"/>
      <c r="Q98" s="886">
        <f>Q$89/3600*Q$90+(Q$91+Q$92+Q$93)*(1+Q$96*Q$95)+Q$95*Q$97</f>
        <v>0</v>
      </c>
      <c r="R98" s="640" t="s">
        <v>288</v>
      </c>
      <c r="S98" s="640"/>
      <c r="T98" s="886">
        <f>T$89/3600*T$90+(T$91+T$92+T$93)*(1+T$96*T$95)+T$95*T$97</f>
        <v>0</v>
      </c>
      <c r="U98" s="640" t="s">
        <v>288</v>
      </c>
      <c r="V98" s="640"/>
      <c r="W98" s="886">
        <f>W$89/3600*W$90+(W$91+W$92+W$93)*(1+W$96*W$95)+W$95*W$97</f>
        <v>0</v>
      </c>
      <c r="X98" s="644"/>
      <c r="Y98" s="78" t="s">
        <v>33</v>
      </c>
    </row>
    <row r="99" spans="2:25" ht="11.25" customHeight="1" x14ac:dyDescent="0.2">
      <c r="C99" s="78"/>
      <c r="D99" s="1234" t="str">
        <f>IF(Deutsch,"Fertigungsnebenkosten","production cost")</f>
        <v>Fertigungsnebenkosten</v>
      </c>
      <c r="E99" s="1235"/>
      <c r="F99" s="1236"/>
      <c r="G99" s="626"/>
      <c r="H99" s="79"/>
      <c r="I99" s="634" t="s">
        <v>288</v>
      </c>
      <c r="J99" s="634"/>
      <c r="K99" s="79"/>
      <c r="L99" s="78" t="s">
        <v>288</v>
      </c>
      <c r="M99" s="78"/>
      <c r="N99" s="79"/>
      <c r="O99" s="78" t="s">
        <v>288</v>
      </c>
      <c r="P99" s="78"/>
      <c r="Q99" s="79"/>
      <c r="R99" s="78" t="s">
        <v>288</v>
      </c>
      <c r="S99" s="78"/>
      <c r="T99" s="79"/>
      <c r="U99" s="78" t="s">
        <v>288</v>
      </c>
      <c r="V99" s="78"/>
      <c r="W99" s="79"/>
      <c r="X99" s="642"/>
      <c r="Y99" s="78" t="s">
        <v>33</v>
      </c>
    </row>
    <row r="100" spans="2:25" ht="14.25" customHeight="1" x14ac:dyDescent="0.2">
      <c r="C100" s="78"/>
      <c r="D100" s="1237"/>
      <c r="E100" s="1238"/>
      <c r="F100" s="1239"/>
      <c r="G100" s="626"/>
      <c r="H100" s="965">
        <f>H$47+H$72+H87+H$98</f>
        <v>66.003581174629048</v>
      </c>
      <c r="I100" s="634" t="s">
        <v>288</v>
      </c>
      <c r="J100" s="634"/>
      <c r="K100" s="965">
        <f>K$47+K$72+K87+K$98</f>
        <v>10.552567468316163</v>
      </c>
      <c r="L100" s="634" t="s">
        <v>288</v>
      </c>
      <c r="M100" s="634"/>
      <c r="N100" s="965">
        <f>N$47+N$72+N87+N$98</f>
        <v>15.792242524812325</v>
      </c>
      <c r="O100" s="634" t="s">
        <v>288</v>
      </c>
      <c r="P100" s="634"/>
      <c r="Q100" s="965" t="e">
        <f>Q$47+Q$72+Q87+Q$98</f>
        <v>#VALUE!</v>
      </c>
      <c r="R100" s="634" t="s">
        <v>288</v>
      </c>
      <c r="S100" s="634"/>
      <c r="T100" s="965" t="e">
        <f>T$47+T$72+T87+T$98</f>
        <v>#VALUE!</v>
      </c>
      <c r="U100" s="634" t="s">
        <v>288</v>
      </c>
      <c r="V100" s="634"/>
      <c r="W100" s="965" t="e">
        <f>W$47+W$72+W87+W$98</f>
        <v>#VALUE!</v>
      </c>
      <c r="X100" s="642"/>
      <c r="Y100" s="78" t="s">
        <v>33</v>
      </c>
    </row>
    <row r="101" spans="2:25" x14ac:dyDescent="0.2">
      <c r="C101" s="78"/>
      <c r="D101" s="72" t="str">
        <f>CONCATENATE(IF(Deutsch,'Quick Input'!C31,'Quick Input'!D31)," (per lot)")</f>
        <v>Materialprüfzertifikat (per lot)</v>
      </c>
      <c r="E101" s="73"/>
      <c r="F101" s="75"/>
      <c r="G101" s="626"/>
      <c r="H101" s="74">
        <f>Parametrikber!F$192</f>
        <v>0</v>
      </c>
      <c r="I101" s="634" t="s">
        <v>288</v>
      </c>
      <c r="J101" s="634"/>
      <c r="K101" s="74">
        <f>Parametrikber!I$192</f>
        <v>0</v>
      </c>
      <c r="L101" s="634" t="s">
        <v>288</v>
      </c>
      <c r="M101" s="634"/>
      <c r="N101" s="74">
        <f>Parametrikber!L$192</f>
        <v>0</v>
      </c>
      <c r="O101" s="634" t="s">
        <v>288</v>
      </c>
      <c r="P101" s="634"/>
      <c r="Q101" s="74">
        <f>Parametrikber!O$192</f>
        <v>0</v>
      </c>
      <c r="R101" s="634" t="s">
        <v>288</v>
      </c>
      <c r="S101" s="634"/>
      <c r="T101" s="74">
        <f>Parametrikber!R$192</f>
        <v>0</v>
      </c>
      <c r="U101" s="634" t="s">
        <v>288</v>
      </c>
      <c r="V101" s="634"/>
      <c r="W101" s="74">
        <f>Parametrikber!U$192</f>
        <v>0</v>
      </c>
      <c r="X101" s="642"/>
      <c r="Y101" s="78"/>
    </row>
    <row r="102" spans="2:25" ht="14.25" customHeight="1" x14ac:dyDescent="0.2">
      <c r="B102" s="55" t="s">
        <v>127</v>
      </c>
      <c r="C102" s="78"/>
      <c r="D102" s="238" t="str">
        <f>'Quick Input'!I79</f>
        <v>Fertigungsgemeinkosten</v>
      </c>
      <c r="E102" s="73"/>
      <c r="F102" s="75"/>
      <c r="G102" s="626"/>
      <c r="H102" s="119">
        <v>0.1</v>
      </c>
      <c r="I102" s="635"/>
      <c r="J102" s="635"/>
      <c r="K102" s="119">
        <v>0.1</v>
      </c>
      <c r="L102" s="361"/>
      <c r="M102" s="361"/>
      <c r="N102" s="119">
        <v>0.1</v>
      </c>
      <c r="O102" s="361"/>
      <c r="P102" s="361"/>
      <c r="Q102" s="119">
        <v>0</v>
      </c>
      <c r="R102" s="361"/>
      <c r="S102" s="361"/>
      <c r="T102" s="119">
        <v>0</v>
      </c>
      <c r="U102" s="361"/>
      <c r="V102" s="361"/>
      <c r="W102" s="119">
        <v>0</v>
      </c>
      <c r="X102" s="642"/>
      <c r="Y102" s="78" t="s">
        <v>33</v>
      </c>
    </row>
    <row r="103" spans="2:25" x14ac:dyDescent="0.2">
      <c r="C103" s="78"/>
      <c r="D103" s="238" t="str">
        <f>IF(Deutsch,'Quick Input'!C79,'Quick Input'!D79)</f>
        <v>Fertigungsgemeinkosten</v>
      </c>
      <c r="E103" s="73"/>
      <c r="F103" s="75"/>
      <c r="G103" s="626"/>
      <c r="H103" s="74">
        <f>H$102*H$100</f>
        <v>6.6003581174629051</v>
      </c>
      <c r="I103" s="634" t="s">
        <v>288</v>
      </c>
      <c r="J103" s="634"/>
      <c r="K103" s="74">
        <f>K$102*K$100</f>
        <v>1.0552567468316163</v>
      </c>
      <c r="L103" s="78" t="s">
        <v>288</v>
      </c>
      <c r="M103" s="78"/>
      <c r="N103" s="74">
        <f>N$102*N$100</f>
        <v>1.5792242524812325</v>
      </c>
      <c r="O103" s="78" t="s">
        <v>288</v>
      </c>
      <c r="P103" s="78"/>
      <c r="Q103" s="74" t="e">
        <f>Q$102*Q$100</f>
        <v>#VALUE!</v>
      </c>
      <c r="R103" s="78" t="s">
        <v>288</v>
      </c>
      <c r="S103" s="78"/>
      <c r="T103" s="74" t="e">
        <f>T$102*T$100</f>
        <v>#VALUE!</v>
      </c>
      <c r="U103" s="78" t="s">
        <v>288</v>
      </c>
      <c r="V103" s="78"/>
      <c r="W103" s="74" t="e">
        <f>W$102*W$100</f>
        <v>#VALUE!</v>
      </c>
      <c r="X103" s="642"/>
      <c r="Y103" s="78" t="s">
        <v>33</v>
      </c>
    </row>
    <row r="104" spans="2:25" ht="15" customHeight="1" x14ac:dyDescent="0.2">
      <c r="C104" s="78"/>
      <c r="D104" s="116" t="str">
        <f>IF(Deutsch,"Fertigungskosten gesamt","manufacturing cost total")</f>
        <v>Fertigungskosten gesamt</v>
      </c>
      <c r="E104" s="73"/>
      <c r="F104" s="75"/>
      <c r="G104" s="626"/>
      <c r="H104" s="113">
        <f>H$100+H$101/H$61+H$103</f>
        <v>72.603939292091951</v>
      </c>
      <c r="I104" s="634" t="s">
        <v>288</v>
      </c>
      <c r="J104" s="634"/>
      <c r="K104" s="113">
        <f>K$100+K$101/K$61+K$103</f>
        <v>11.60782421514778</v>
      </c>
      <c r="L104" s="634" t="s">
        <v>288</v>
      </c>
      <c r="M104" s="634"/>
      <c r="N104" s="113">
        <f>N$100+N$101/N$61+N$103</f>
        <v>17.371466777293559</v>
      </c>
      <c r="O104" s="634" t="s">
        <v>288</v>
      </c>
      <c r="P104" s="634"/>
      <c r="Q104" s="113" t="e">
        <f>Q$100+Q$101/Q$61+Q$103</f>
        <v>#VALUE!</v>
      </c>
      <c r="R104" s="634" t="s">
        <v>288</v>
      </c>
      <c r="S104" s="634"/>
      <c r="T104" s="113" t="e">
        <f>T$100+T$101/T$61+T$103</f>
        <v>#VALUE!</v>
      </c>
      <c r="U104" s="634" t="s">
        <v>288</v>
      </c>
      <c r="V104" s="634"/>
      <c r="W104" s="113" t="e">
        <f>W$100+W$101/W$61+W$103</f>
        <v>#VALUE!</v>
      </c>
      <c r="X104" s="642"/>
      <c r="Y104" s="78" t="s">
        <v>33</v>
      </c>
    </row>
    <row r="105" spans="2:25" ht="4.5" customHeight="1" thickBot="1" x14ac:dyDescent="0.25">
      <c r="C105" s="87"/>
      <c r="D105" s="88"/>
      <c r="E105" s="87"/>
      <c r="F105" s="89"/>
      <c r="G105" s="626"/>
      <c r="H105" s="91"/>
      <c r="I105" s="634" t="s">
        <v>288</v>
      </c>
      <c r="J105" s="634"/>
      <c r="K105" s="91"/>
      <c r="L105" s="78" t="s">
        <v>288</v>
      </c>
      <c r="M105" s="78"/>
      <c r="N105" s="91"/>
      <c r="O105" s="78" t="s">
        <v>288</v>
      </c>
      <c r="P105" s="78"/>
      <c r="Q105" s="91"/>
      <c r="R105" s="78" t="s">
        <v>288</v>
      </c>
      <c r="S105" s="78"/>
      <c r="T105" s="91"/>
      <c r="U105" s="78" t="s">
        <v>288</v>
      </c>
      <c r="V105" s="78"/>
      <c r="W105" s="91"/>
      <c r="X105" s="644"/>
      <c r="Y105" s="78" t="s">
        <v>33</v>
      </c>
    </row>
    <row r="106" spans="2:25" ht="7.5" customHeight="1" x14ac:dyDescent="0.2">
      <c r="D106" s="1234" t="str">
        <f>IF(Deutsch,"Gemeinkosten &amp; Gewinn","common cost &amp; profit")</f>
        <v>Gemeinkosten &amp; Gewinn</v>
      </c>
      <c r="E106" s="1235"/>
      <c r="F106" s="1236"/>
      <c r="G106" s="626"/>
      <c r="H106" s="79"/>
      <c r="I106" s="634" t="s">
        <v>288</v>
      </c>
      <c r="J106" s="634"/>
      <c r="K106" s="79"/>
      <c r="L106" s="78" t="s">
        <v>288</v>
      </c>
      <c r="M106" s="78"/>
      <c r="N106" s="79"/>
      <c r="O106" s="78" t="s">
        <v>288</v>
      </c>
      <c r="P106" s="78"/>
      <c r="Q106" s="79"/>
      <c r="R106" s="78" t="s">
        <v>288</v>
      </c>
      <c r="S106" s="78"/>
      <c r="T106" s="79"/>
      <c r="U106" s="78" t="s">
        <v>288</v>
      </c>
      <c r="V106" s="78"/>
      <c r="W106" s="79"/>
      <c r="X106" s="642"/>
      <c r="Y106" s="78" t="s">
        <v>33</v>
      </c>
    </row>
    <row r="107" spans="2:25" x14ac:dyDescent="0.2">
      <c r="D107" s="1237"/>
      <c r="E107" s="1238"/>
      <c r="F107" s="1239"/>
      <c r="G107" s="626"/>
      <c r="H107" s="74">
        <f>H$26+H$104</f>
        <v>88.392464848803428</v>
      </c>
      <c r="I107" s="634" t="s">
        <v>288</v>
      </c>
      <c r="J107" s="634"/>
      <c r="K107" s="85">
        <f>K$26+K$104</f>
        <v>24.27998574068852</v>
      </c>
      <c r="L107" s="634" t="s">
        <v>288</v>
      </c>
      <c r="M107" s="634"/>
      <c r="N107" s="85">
        <f>N$26+N$104</f>
        <v>30.0436283028343</v>
      </c>
      <c r="O107" s="634" t="s">
        <v>288</v>
      </c>
      <c r="P107" s="634"/>
      <c r="Q107" s="85" t="e">
        <f>Q$26+Q$104</f>
        <v>#VALUE!</v>
      </c>
      <c r="R107" s="634" t="s">
        <v>288</v>
      </c>
      <c r="S107" s="634"/>
      <c r="T107" s="85" t="e">
        <f>T$26+T$104</f>
        <v>#VALUE!</v>
      </c>
      <c r="U107" s="634" t="s">
        <v>288</v>
      </c>
      <c r="V107" s="634"/>
      <c r="W107" s="85" t="e">
        <f>W$26+W$104</f>
        <v>#VALUE!</v>
      </c>
      <c r="X107" s="642"/>
      <c r="Y107" s="78" t="s">
        <v>33</v>
      </c>
    </row>
    <row r="108" spans="2:25" x14ac:dyDescent="0.2">
      <c r="B108" s="55" t="s">
        <v>127</v>
      </c>
      <c r="D108" s="72" t="str">
        <f>IF(Deutsch,"Vertriebs- und Verw.-gemeinkostensatz","administration cost rate")</f>
        <v>Vertriebs- und Verw.-gemeinkostensatz</v>
      </c>
      <c r="E108" s="67"/>
      <c r="F108" s="75"/>
      <c r="G108" s="626"/>
      <c r="H108" s="119">
        <v>0.12</v>
      </c>
      <c r="I108" s="635"/>
      <c r="J108" s="635"/>
      <c r="K108" s="119">
        <v>0.12</v>
      </c>
      <c r="L108" s="361"/>
      <c r="M108" s="361"/>
      <c r="N108" s="119">
        <v>0.12</v>
      </c>
      <c r="O108" s="361"/>
      <c r="P108" s="361"/>
      <c r="Q108" s="119">
        <v>0.12</v>
      </c>
      <c r="R108" s="361"/>
      <c r="S108" s="361"/>
      <c r="T108" s="119">
        <v>0.12</v>
      </c>
      <c r="U108" s="361"/>
      <c r="V108" s="361"/>
      <c r="W108" s="119">
        <v>0.12</v>
      </c>
      <c r="X108" s="642"/>
      <c r="Y108" s="78" t="s">
        <v>33</v>
      </c>
    </row>
    <row r="109" spans="2:25" x14ac:dyDescent="0.2">
      <c r="D109" s="72" t="str">
        <f>IF(Deutsch,"Vertriebs- und Verw.-gemeinkosten","administration costs")</f>
        <v>Vertriebs- und Verw.-gemeinkosten</v>
      </c>
      <c r="E109" s="67"/>
      <c r="F109" s="75"/>
      <c r="G109" s="626"/>
      <c r="H109" s="74">
        <f>H$107*H108</f>
        <v>10.607095781856412</v>
      </c>
      <c r="I109" s="634" t="s">
        <v>288</v>
      </c>
      <c r="J109" s="634"/>
      <c r="K109" s="74">
        <f>K$107*K108</f>
        <v>2.9135982888826222</v>
      </c>
      <c r="L109" s="634" t="s">
        <v>288</v>
      </c>
      <c r="M109" s="634"/>
      <c r="N109" s="74">
        <f t="shared" ref="N109" si="37">N$107*N108</f>
        <v>3.6052353963401158</v>
      </c>
      <c r="O109" s="634" t="s">
        <v>288</v>
      </c>
      <c r="P109" s="634"/>
      <c r="Q109" s="74" t="e">
        <f t="shared" ref="Q109" si="38">Q$107*Q108</f>
        <v>#VALUE!</v>
      </c>
      <c r="R109" s="634" t="s">
        <v>288</v>
      </c>
      <c r="S109" s="634"/>
      <c r="T109" s="74" t="e">
        <f t="shared" ref="T109" si="39">T$107*T108</f>
        <v>#VALUE!</v>
      </c>
      <c r="U109" s="634" t="s">
        <v>288</v>
      </c>
      <c r="V109" s="634"/>
      <c r="W109" s="74" t="e">
        <f t="shared" ref="W109" si="40">W$107*W108</f>
        <v>#VALUE!</v>
      </c>
      <c r="X109" s="642"/>
      <c r="Y109" s="78" t="s">
        <v>33</v>
      </c>
    </row>
    <row r="110" spans="2:25" x14ac:dyDescent="0.2">
      <c r="D110" s="72" t="str">
        <f>CONCATENATE(IF(Deutsch,"F&amp;E- Kosten (","design and development cost ("),'Länder-DB'!I35*100,"%)")</f>
        <v>F&amp;E- Kosten (8%)</v>
      </c>
      <c r="E110" s="67"/>
      <c r="F110" s="75"/>
      <c r="G110" s="626"/>
      <c r="H110" s="74">
        <f>H$104*'Länder-DB'!$I$35</f>
        <v>5.8083151433673565</v>
      </c>
      <c r="I110" s="634" t="s">
        <v>288</v>
      </c>
      <c r="J110" s="634"/>
      <c r="K110" s="74">
        <f>K$104*'Länder-DB'!$I$35</f>
        <v>0.92862593721182241</v>
      </c>
      <c r="L110" s="78" t="s">
        <v>288</v>
      </c>
      <c r="M110" s="78"/>
      <c r="N110" s="74">
        <f>N$104*'Länder-DB'!$I$35</f>
        <v>1.3897173421834847</v>
      </c>
      <c r="O110" s="78" t="s">
        <v>288</v>
      </c>
      <c r="P110" s="78"/>
      <c r="Q110" s="74" t="e">
        <f>Q$104*'Länder-DB'!$I$35</f>
        <v>#VALUE!</v>
      </c>
      <c r="R110" s="78" t="s">
        <v>288</v>
      </c>
      <c r="S110" s="78"/>
      <c r="T110" s="74" t="e">
        <f>T$104*'Länder-DB'!$I$35</f>
        <v>#VALUE!</v>
      </c>
      <c r="U110" s="78" t="s">
        <v>288</v>
      </c>
      <c r="V110" s="78"/>
      <c r="W110" s="74" t="e">
        <f>W$104*'Länder-DB'!$I$35</f>
        <v>#VALUE!</v>
      </c>
      <c r="X110" s="642"/>
      <c r="Y110" s="78" t="s">
        <v>33</v>
      </c>
    </row>
    <row r="111" spans="2:25" x14ac:dyDescent="0.2">
      <c r="D111" s="82" t="str">
        <f>IF(Deutsch,"Gesamtgemeinkosten","administration cost total")</f>
        <v>Gesamtgemeinkosten</v>
      </c>
      <c r="E111" s="67"/>
      <c r="F111" s="75"/>
      <c r="G111" s="626"/>
      <c r="H111" s="1070">
        <f>H$109+H$110</f>
        <v>16.415410925223767</v>
      </c>
      <c r="I111" s="634" t="s">
        <v>288</v>
      </c>
      <c r="J111" s="634"/>
      <c r="K111" s="1070">
        <f>K$109+K$110</f>
        <v>3.8422242260944444</v>
      </c>
      <c r="L111" s="634" t="s">
        <v>288</v>
      </c>
      <c r="M111" s="634"/>
      <c r="N111" s="1070">
        <f t="shared" ref="N111" si="41">N$109+N$110</f>
        <v>4.994952738523601</v>
      </c>
      <c r="O111" s="634" t="s">
        <v>288</v>
      </c>
      <c r="P111" s="634"/>
      <c r="Q111" s="1070" t="e">
        <f t="shared" ref="Q111" si="42">Q$109+Q$110</f>
        <v>#VALUE!</v>
      </c>
      <c r="R111" s="634" t="s">
        <v>288</v>
      </c>
      <c r="S111" s="634"/>
      <c r="T111" s="1070" t="e">
        <f t="shared" ref="T111" si="43">T$109+T$110</f>
        <v>#VALUE!</v>
      </c>
      <c r="U111" s="634" t="s">
        <v>288</v>
      </c>
      <c r="V111" s="634"/>
      <c r="W111" s="1070" t="e">
        <f t="shared" ref="W111" si="44">W$109+W$110</f>
        <v>#VALUE!</v>
      </c>
      <c r="X111" s="642"/>
      <c r="Y111" s="78" t="s">
        <v>33</v>
      </c>
    </row>
    <row r="112" spans="2:25" x14ac:dyDescent="0.2">
      <c r="B112" s="55" t="s">
        <v>127</v>
      </c>
      <c r="D112" s="72" t="str">
        <f>'Quick Input'!I81</f>
        <v>Gewinn auf Material</v>
      </c>
      <c r="E112" s="67"/>
      <c r="F112" s="75"/>
      <c r="G112" s="626"/>
      <c r="H112" s="119">
        <v>0</v>
      </c>
      <c r="I112" s="635"/>
      <c r="J112" s="635"/>
      <c r="K112" s="119">
        <v>0</v>
      </c>
      <c r="L112" s="635"/>
      <c r="M112" s="635"/>
      <c r="N112" s="119">
        <v>0</v>
      </c>
      <c r="O112" s="635"/>
      <c r="P112" s="635"/>
      <c r="Q112" s="119">
        <v>0</v>
      </c>
      <c r="R112" s="635"/>
      <c r="S112" s="635"/>
      <c r="T112" s="119">
        <v>0</v>
      </c>
      <c r="U112" s="635"/>
      <c r="V112" s="635"/>
      <c r="W112" s="119">
        <v>0</v>
      </c>
      <c r="X112" s="642"/>
      <c r="Y112" s="78" t="s">
        <v>33</v>
      </c>
    </row>
    <row r="113" spans="2:25" x14ac:dyDescent="0.2">
      <c r="B113" s="55" t="s">
        <v>127</v>
      </c>
      <c r="D113" s="72" t="str">
        <f>'Quick Input'!I82</f>
        <v>Gewinn auf Wertschöpfung</v>
      </c>
      <c r="E113" s="67"/>
      <c r="F113" s="75"/>
      <c r="G113" s="626"/>
      <c r="H113" s="119">
        <v>0</v>
      </c>
      <c r="I113" s="635"/>
      <c r="J113" s="635"/>
      <c r="K113" s="119">
        <v>0</v>
      </c>
      <c r="L113" s="635"/>
      <c r="M113" s="635"/>
      <c r="N113" s="119">
        <v>0</v>
      </c>
      <c r="O113" s="635"/>
      <c r="P113" s="635"/>
      <c r="Q113" s="119">
        <v>0</v>
      </c>
      <c r="R113" s="635"/>
      <c r="S113" s="635"/>
      <c r="T113" s="119">
        <v>0</v>
      </c>
      <c r="U113" s="635"/>
      <c r="V113" s="635"/>
      <c r="W113" s="119">
        <v>0</v>
      </c>
      <c r="X113" s="642"/>
      <c r="Y113" s="78" t="s">
        <v>33</v>
      </c>
    </row>
    <row r="114" spans="2:25" x14ac:dyDescent="0.2">
      <c r="D114" s="82" t="str">
        <f>IF(Deutsch,"Gesamtgewinn","profit total")</f>
        <v>Gesamtgewinn</v>
      </c>
      <c r="E114" s="67"/>
      <c r="F114" s="75"/>
      <c r="G114" s="626"/>
      <c r="H114" s="1069">
        <f>H$112*H$26+H$113*H$100</f>
        <v>0</v>
      </c>
      <c r="I114" s="634" t="s">
        <v>288</v>
      </c>
      <c r="J114" s="634"/>
      <c r="K114" s="1069">
        <f>K$112*K$26+K$113*K$100</f>
        <v>0</v>
      </c>
      <c r="L114" s="634" t="s">
        <v>288</v>
      </c>
      <c r="M114" s="634"/>
      <c r="N114" s="1069">
        <f>N$112*N$26+N$113*N$100</f>
        <v>0</v>
      </c>
      <c r="O114" s="634" t="s">
        <v>288</v>
      </c>
      <c r="P114" s="634"/>
      <c r="Q114" s="1069" t="e">
        <f>Q$112*Q$26+Q$113*Q$100</f>
        <v>#VALUE!</v>
      </c>
      <c r="R114" s="634" t="s">
        <v>288</v>
      </c>
      <c r="S114" s="634"/>
      <c r="T114" s="1069" t="e">
        <f>T$112*T$26+T$113*T$100</f>
        <v>#VALUE!</v>
      </c>
      <c r="U114" s="634" t="s">
        <v>288</v>
      </c>
      <c r="V114" s="634"/>
      <c r="W114" s="1069" t="e">
        <f>W$112*W$26+W$113*W$100</f>
        <v>#VALUE!</v>
      </c>
      <c r="X114" s="642"/>
      <c r="Y114" s="78" t="s">
        <v>33</v>
      </c>
    </row>
    <row r="115" spans="2:25" ht="6" customHeight="1" x14ac:dyDescent="0.2">
      <c r="D115" s="72"/>
      <c r="E115" s="67"/>
      <c r="F115" s="75"/>
      <c r="G115" s="626"/>
      <c r="H115" s="86"/>
      <c r="I115" s="634" t="s">
        <v>288</v>
      </c>
      <c r="J115" s="634"/>
      <c r="K115" s="86"/>
      <c r="L115" s="78" t="s">
        <v>288</v>
      </c>
      <c r="M115" s="78"/>
      <c r="N115" s="86"/>
      <c r="O115" s="78" t="s">
        <v>288</v>
      </c>
      <c r="P115" s="78"/>
      <c r="Q115" s="86"/>
      <c r="R115" s="78" t="s">
        <v>288</v>
      </c>
      <c r="S115" s="78"/>
      <c r="T115" s="86"/>
      <c r="U115" s="78" t="s">
        <v>288</v>
      </c>
      <c r="V115" s="78"/>
      <c r="W115" s="86"/>
      <c r="X115" s="642"/>
      <c r="Y115" s="78" t="s">
        <v>33</v>
      </c>
    </row>
    <row r="116" spans="2:25" x14ac:dyDescent="0.2">
      <c r="D116" s="808" t="str">
        <f>IF(Deutsch,"Bauteilpreis gesamt","part cost total")</f>
        <v>Bauteilpreis gesamt</v>
      </c>
      <c r="E116" s="67"/>
      <c r="F116" s="75"/>
      <c r="G116" s="626"/>
      <c r="H116" s="1071">
        <f>H$107+H$111+H$114</f>
        <v>104.8078757740272</v>
      </c>
      <c r="I116" s="634" t="s">
        <v>288</v>
      </c>
      <c r="J116" s="634"/>
      <c r="K116" s="1071">
        <f>K$107+K$111+K$114</f>
        <v>28.122209966782965</v>
      </c>
      <c r="L116" s="634" t="s">
        <v>288</v>
      </c>
      <c r="M116" s="634"/>
      <c r="N116" s="1071">
        <f>N$107+N$111+N$114</f>
        <v>35.038581041357901</v>
      </c>
      <c r="O116" s="634" t="s">
        <v>288</v>
      </c>
      <c r="P116" s="634"/>
      <c r="Q116" s="1071" t="e">
        <f>Q$107+Q$111+Q$114</f>
        <v>#VALUE!</v>
      </c>
      <c r="R116" s="634" t="s">
        <v>288</v>
      </c>
      <c r="S116" s="634"/>
      <c r="T116" s="1071" t="e">
        <f>T$107+T$111+T$114</f>
        <v>#VALUE!</v>
      </c>
      <c r="U116" s="634" t="s">
        <v>288</v>
      </c>
      <c r="V116" s="634"/>
      <c r="W116" s="1071" t="e">
        <f>W$107+W$111+W$114</f>
        <v>#VALUE!</v>
      </c>
      <c r="X116" s="642"/>
      <c r="Y116" s="78" t="s">
        <v>33</v>
      </c>
    </row>
    <row r="117" spans="2:25" ht="6" customHeight="1" thickBot="1" x14ac:dyDescent="0.25">
      <c r="D117" s="82"/>
      <c r="E117" s="67"/>
      <c r="F117" s="75"/>
      <c r="G117" s="626"/>
      <c r="H117" s="92"/>
      <c r="I117" s="634" t="s">
        <v>288</v>
      </c>
      <c r="J117" s="634"/>
      <c r="K117" s="92"/>
      <c r="L117" s="78" t="s">
        <v>288</v>
      </c>
      <c r="M117" s="78"/>
      <c r="N117" s="92"/>
      <c r="O117" s="78" t="s">
        <v>288</v>
      </c>
      <c r="P117" s="78"/>
      <c r="Q117" s="92"/>
      <c r="R117" s="78" t="s">
        <v>288</v>
      </c>
      <c r="S117" s="78"/>
      <c r="T117" s="92"/>
      <c r="U117" s="78" t="s">
        <v>288</v>
      </c>
      <c r="V117" s="78"/>
      <c r="W117" s="92"/>
      <c r="X117" s="642"/>
      <c r="Y117" s="78" t="s">
        <v>33</v>
      </c>
    </row>
    <row r="118" spans="2:25" ht="14.25" customHeight="1" x14ac:dyDescent="0.2">
      <c r="D118" s="1234" t="str">
        <f>IF(Deutsch,"Potenziabschätzung","estimation potential")</f>
        <v>Potenziabschätzung</v>
      </c>
      <c r="E118" s="1235"/>
      <c r="F118" s="1236"/>
      <c r="G118" s="626"/>
      <c r="H118" s="286" t="e">
        <f>IF(H50=Parametrikber!F126,IF(H51=#REF!,TRUE,FALSE),FALSE)</f>
        <v>#REF!</v>
      </c>
      <c r="I118" s="634" t="s">
        <v>288</v>
      </c>
      <c r="J118" s="634"/>
      <c r="K118" s="286" t="e">
        <f>IF(K50=Parametrikber!I126,IF(K51=#REF!,TRUE,FALSE),FALSE)</f>
        <v>#REF!</v>
      </c>
      <c r="L118" s="78" t="s">
        <v>288</v>
      </c>
      <c r="M118" s="364"/>
      <c r="N118" s="286" t="e">
        <f>IF(N50=Parametrikber!L126,IF(N51=#REF!,TRUE,FALSE),FALSE)</f>
        <v>#REF!</v>
      </c>
      <c r="O118" s="78" t="s">
        <v>288</v>
      </c>
      <c r="P118" s="364"/>
      <c r="Q118" s="286" t="e">
        <f>IF(Q50=Parametrikber!O126,IF(Q51=#REF!,TRUE,FALSE),FALSE)</f>
        <v>#VALUE!</v>
      </c>
      <c r="R118" s="78" t="s">
        <v>288</v>
      </c>
      <c r="S118" s="364"/>
      <c r="T118" s="286" t="e">
        <f>IF(T50=Parametrikber!R126,IF(T51=#REF!,TRUE,FALSE),FALSE)</f>
        <v>#VALUE!</v>
      </c>
      <c r="U118" s="78" t="s">
        <v>288</v>
      </c>
      <c r="V118" s="364"/>
      <c r="W118" s="286" t="e">
        <f>IF(W50=Parametrikber!U126,IF(W51=#REF!,TRUE,FALSE),FALSE)</f>
        <v>#VALUE!</v>
      </c>
      <c r="X118" s="641"/>
      <c r="Y118" s="78" t="s">
        <v>33</v>
      </c>
    </row>
    <row r="119" spans="2:25" x14ac:dyDescent="0.2">
      <c r="D119" s="1237"/>
      <c r="E119" s="1238"/>
      <c r="F119" s="1239"/>
      <c r="G119" s="626"/>
      <c r="H119" s="143"/>
      <c r="I119" s="634" t="s">
        <v>288</v>
      </c>
      <c r="J119" s="638"/>
      <c r="K119" s="143"/>
      <c r="L119" s="78" t="s">
        <v>288</v>
      </c>
      <c r="M119" s="144"/>
      <c r="N119" s="143"/>
      <c r="O119" s="78" t="s">
        <v>288</v>
      </c>
      <c r="P119" s="144"/>
      <c r="Q119" s="143"/>
      <c r="R119" s="78" t="s">
        <v>288</v>
      </c>
      <c r="S119" s="144"/>
      <c r="T119" s="143"/>
      <c r="U119" s="78" t="s">
        <v>288</v>
      </c>
      <c r="V119" s="144"/>
      <c r="W119" s="143"/>
      <c r="X119" s="642"/>
      <c r="Y119" s="78" t="s">
        <v>33</v>
      </c>
    </row>
    <row r="120" spans="2:25" x14ac:dyDescent="0.2">
      <c r="B120" s="55" t="s">
        <v>127</v>
      </c>
      <c r="D120" s="72" t="str">
        <f>'Quick Input'!I51</f>
        <v>Zielpreis Bauteil</v>
      </c>
      <c r="E120" s="73"/>
      <c r="F120" s="75"/>
      <c r="G120" s="626"/>
      <c r="H120" s="85">
        <f>AVERAGE('Quick Input'!M$52:M$56)</f>
        <v>55</v>
      </c>
      <c r="I120" s="634" t="s">
        <v>288</v>
      </c>
      <c r="J120" s="638"/>
      <c r="K120" s="85">
        <f>AVERAGE('Quick Input'!P52:P56)</f>
        <v>55</v>
      </c>
      <c r="L120" s="78" t="s">
        <v>288</v>
      </c>
      <c r="M120" s="365"/>
      <c r="N120" s="85">
        <f>AVERAGE('Quick Input'!S52:S56)</f>
        <v>55</v>
      </c>
      <c r="O120" s="78" t="s">
        <v>288</v>
      </c>
      <c r="P120" s="365"/>
      <c r="Q120" s="85" t="e">
        <f>AVERAGE('Quick Input'!V52:V56)</f>
        <v>#DIV/0!</v>
      </c>
      <c r="R120" s="78" t="s">
        <v>288</v>
      </c>
      <c r="S120" s="365"/>
      <c r="T120" s="85" t="e">
        <f>AVERAGE('Quick Input'!Y52:Y56)</f>
        <v>#DIV/0!</v>
      </c>
      <c r="U120" s="78" t="s">
        <v>288</v>
      </c>
      <c r="V120" s="365"/>
      <c r="W120" s="85" t="e">
        <f>AVERAGE('Quick Input'!AB52:AB56)</f>
        <v>#DIV/0!</v>
      </c>
      <c r="X120" s="642"/>
      <c r="Y120" s="78" t="s">
        <v>33</v>
      </c>
    </row>
    <row r="121" spans="2:25" x14ac:dyDescent="0.2">
      <c r="D121" s="72" t="str">
        <f>IF(Deutsch,"Potenzial pro Bauteil","earning per part")</f>
        <v>Potenzial pro Bauteil</v>
      </c>
      <c r="E121" s="73"/>
      <c r="F121" s="75"/>
      <c r="G121" s="626"/>
      <c r="H121" s="85">
        <f>H$120-H$116</f>
        <v>-49.807875774027195</v>
      </c>
      <c r="I121" s="634" t="s">
        <v>288</v>
      </c>
      <c r="J121" s="634"/>
      <c r="K121" s="85">
        <f>K120-K116</f>
        <v>26.877790033217035</v>
      </c>
      <c r="L121" s="78" t="s">
        <v>288</v>
      </c>
      <c r="M121" s="78"/>
      <c r="N121" s="85">
        <f>N120-N116</f>
        <v>19.961418958642099</v>
      </c>
      <c r="O121" s="78" t="s">
        <v>288</v>
      </c>
      <c r="P121" s="78"/>
      <c r="Q121" s="85" t="e">
        <f>Q120-Q116</f>
        <v>#DIV/0!</v>
      </c>
      <c r="R121" s="78" t="s">
        <v>288</v>
      </c>
      <c r="S121" s="78"/>
      <c r="T121" s="85" t="e">
        <f>T120-T116</f>
        <v>#DIV/0!</v>
      </c>
      <c r="U121" s="78" t="s">
        <v>288</v>
      </c>
      <c r="V121" s="78"/>
      <c r="W121" s="85" t="e">
        <f>W120-W116</f>
        <v>#DIV/0!</v>
      </c>
      <c r="X121" s="642"/>
      <c r="Y121" s="78" t="s">
        <v>33</v>
      </c>
    </row>
    <row r="122" spans="2:25" x14ac:dyDescent="0.2">
      <c r="D122" s="72" t="str">
        <f>IF(Deutsch,"Potenzial über Lebenszyklus","earnig per live time")</f>
        <v>Potenzial über Lebenszyklus</v>
      </c>
      <c r="E122" s="73"/>
      <c r="F122" s="75"/>
      <c r="G122" s="626"/>
      <c r="H122" s="93">
        <f>IF(H$121&gt;0,H$121*'Quick Input'!M$44,0)</f>
        <v>0</v>
      </c>
      <c r="I122" s="634" t="s">
        <v>288</v>
      </c>
      <c r="J122" s="634"/>
      <c r="K122" s="93">
        <f>IF(K121&gt;0,K121*'Quick Input'!P44,0)</f>
        <v>806333.70099651103</v>
      </c>
      <c r="L122" s="78" t="s">
        <v>288</v>
      </c>
      <c r="M122" s="78"/>
      <c r="N122" s="93">
        <f>IF(N121&gt;0,N121*'Quick Input'!S44,0)</f>
        <v>598842.56875926303</v>
      </c>
      <c r="O122" s="78" t="s">
        <v>288</v>
      </c>
      <c r="P122" s="78"/>
      <c r="Q122" s="93" t="e">
        <f>IF(Q121&gt;0,Q121*'Quick Input'!V44,0)</f>
        <v>#DIV/0!</v>
      </c>
      <c r="R122" s="78" t="s">
        <v>288</v>
      </c>
      <c r="S122" s="78"/>
      <c r="T122" s="93" t="e">
        <f>IF(T121&gt;0,T121*'Quick Input'!Y44,0)</f>
        <v>#DIV/0!</v>
      </c>
      <c r="U122" s="78" t="s">
        <v>288</v>
      </c>
      <c r="V122" s="78"/>
      <c r="W122" s="93" t="e">
        <f>IF(W121&gt;0,W121*'Quick Input'!AB44,0)</f>
        <v>#DIV/0!</v>
      </c>
      <c r="X122" s="642"/>
      <c r="Y122" s="78" t="s">
        <v>33</v>
      </c>
    </row>
    <row r="123" spans="2:25" x14ac:dyDescent="0.2">
      <c r="D123" s="72" t="str">
        <f>IF(Deutsch,"Anzahl notwendiger Gieß-WKZ","tool sets")</f>
        <v>Anzahl notwendiger Gieß-WKZ</v>
      </c>
      <c r="E123" s="73"/>
      <c r="F123" s="75"/>
      <c r="G123" s="626"/>
      <c r="H123" s="140" t="str">
        <f>CONCATENATE(Parametrikber!F$259," x ",Parametrikber!F$258)</f>
        <v>2 x Alu</v>
      </c>
      <c r="I123" s="634" t="s">
        <v>288</v>
      </c>
      <c r="J123" s="634"/>
      <c r="K123" s="140" t="str">
        <f>CONCATENATE(Parametrikber!I$259," x ",Parametrikber!I$258)</f>
        <v>2 x Alu</v>
      </c>
      <c r="L123" s="78" t="s">
        <v>288</v>
      </c>
      <c r="M123" s="78"/>
      <c r="N123" s="140" t="str">
        <f>CONCATENATE(Parametrikber!L$259," x ",Parametrikber!L$258)</f>
        <v>2 x Alu</v>
      </c>
      <c r="O123" s="78" t="s">
        <v>288</v>
      </c>
      <c r="P123" s="78"/>
      <c r="Q123" s="140" t="e">
        <f>CONCATENATE(Parametrikber!O$259," x ",Parametrikber!O$258)</f>
        <v>#VALUE!</v>
      </c>
      <c r="R123" s="78" t="s">
        <v>288</v>
      </c>
      <c r="S123" s="78"/>
      <c r="T123" s="140" t="e">
        <f>CONCATENATE(Parametrikber!R$259," x ",Parametrikber!R$258)</f>
        <v>#VALUE!</v>
      </c>
      <c r="U123" s="78" t="s">
        <v>288</v>
      </c>
      <c r="V123" s="78"/>
      <c r="W123" s="140" t="e">
        <f>CONCATENATE(Parametrikber!U$259," x ",Parametrikber!U$258)</f>
        <v>#VALUE!</v>
      </c>
      <c r="X123" s="642"/>
      <c r="Y123" s="78"/>
    </row>
    <row r="124" spans="2:25" x14ac:dyDescent="0.2">
      <c r="D124" s="72" t="str">
        <f>IF(Deutsch,"Werkzeuginvest geschätzt","tool invest - calculated")</f>
        <v>Werkzeuginvest geschätzt</v>
      </c>
      <c r="E124" s="73"/>
      <c r="F124" s="75"/>
      <c r="G124" s="626"/>
      <c r="H124" s="93">
        <f>Parametrikber!F$263</f>
        <v>10100</v>
      </c>
      <c r="I124" s="634" t="s">
        <v>288</v>
      </c>
      <c r="J124" s="634"/>
      <c r="K124" s="93">
        <f>Parametrikber!I$263</f>
        <v>8500</v>
      </c>
      <c r="L124" s="634" t="s">
        <v>288</v>
      </c>
      <c r="M124" s="634"/>
      <c r="N124" s="93">
        <f>Parametrikber!L$263</f>
        <v>8800</v>
      </c>
      <c r="O124" s="634" t="s">
        <v>288</v>
      </c>
      <c r="P124" s="634"/>
      <c r="Q124" s="93" t="e">
        <f>Parametrikber!O$263</f>
        <v>#VALUE!</v>
      </c>
      <c r="R124" s="634" t="s">
        <v>288</v>
      </c>
      <c r="S124" s="634"/>
      <c r="T124" s="93" t="e">
        <f>Parametrikber!R$263</f>
        <v>#VALUE!</v>
      </c>
      <c r="U124" s="634" t="s">
        <v>288</v>
      </c>
      <c r="V124" s="634"/>
      <c r="W124" s="93" t="e">
        <f>Parametrikber!U$263</f>
        <v>#VALUE!</v>
      </c>
      <c r="X124" s="642"/>
      <c r="Y124" s="78"/>
    </row>
    <row r="125" spans="2:25" x14ac:dyDescent="0.2">
      <c r="D125" s="72" t="str">
        <f>IF(Deutsch,"Kernkasteninvest geschätzt","tool invest - calculated")</f>
        <v>Kernkasteninvest geschätzt</v>
      </c>
      <c r="E125" s="73"/>
      <c r="F125" s="75"/>
      <c r="G125" s="626"/>
      <c r="H125" s="93">
        <f>Parametrikber!F$268</f>
        <v>0</v>
      </c>
      <c r="I125" s="634" t="s">
        <v>288</v>
      </c>
      <c r="J125" s="634"/>
      <c r="K125" s="93">
        <f>Parametrikber!I$268</f>
        <v>0</v>
      </c>
      <c r="L125" s="634" t="s">
        <v>288</v>
      </c>
      <c r="M125" s="634"/>
      <c r="N125" s="93">
        <f>Parametrikber!L$268</f>
        <v>0</v>
      </c>
      <c r="O125" s="634" t="s">
        <v>288</v>
      </c>
      <c r="P125" s="634"/>
      <c r="Q125" s="93">
        <f>Parametrikber!O$268</f>
        <v>0</v>
      </c>
      <c r="R125" s="634" t="s">
        <v>288</v>
      </c>
      <c r="S125" s="634"/>
      <c r="T125" s="93">
        <f>Parametrikber!R$268</f>
        <v>0</v>
      </c>
      <c r="U125" s="634" t="s">
        <v>288</v>
      </c>
      <c r="V125" s="634"/>
      <c r="W125" s="93">
        <f>Parametrikber!U$268</f>
        <v>0</v>
      </c>
      <c r="X125" s="642"/>
      <c r="Y125" s="78"/>
    </row>
    <row r="126" spans="2:25" ht="15" thickBot="1" x14ac:dyDescent="0.25">
      <c r="D126" s="807" t="str">
        <f>IF(Deutsch,"Modellkosten Angebot","tool invest - supplier")</f>
        <v>Modellkosten Angebot</v>
      </c>
      <c r="E126" s="94"/>
      <c r="F126" s="89"/>
      <c r="G126" s="630"/>
      <c r="H126" s="366">
        <f>'Quick Input'!M57+'Quick Input'!M58</f>
        <v>10000</v>
      </c>
      <c r="I126" s="639" t="s">
        <v>288</v>
      </c>
      <c r="J126" s="640"/>
      <c r="K126" s="366">
        <f>'Quick Input'!P57+'Quick Input'!P58</f>
        <v>5600</v>
      </c>
      <c r="L126" s="639" t="s">
        <v>288</v>
      </c>
      <c r="M126" s="640"/>
      <c r="N126" s="366">
        <f>'Quick Input'!S57+'Quick Input'!S58</f>
        <v>7500</v>
      </c>
      <c r="O126" s="639" t="s">
        <v>288</v>
      </c>
      <c r="P126" s="640"/>
      <c r="Q126" s="366" t="e">
        <f>'Quick Input'!V57+'Quick Input'!V58</f>
        <v>#VALUE!</v>
      </c>
      <c r="R126" s="639" t="s">
        <v>288</v>
      </c>
      <c r="S126" s="640"/>
      <c r="T126" s="366" t="e">
        <f>'Quick Input'!Y57+'Quick Input'!Y58</f>
        <v>#VALUE!</v>
      </c>
      <c r="U126" s="639" t="s">
        <v>288</v>
      </c>
      <c r="V126" s="640"/>
      <c r="W126" s="366" t="e">
        <f>'Quick Input'!AB57+'Quick Input'!AB58</f>
        <v>#VALUE!</v>
      </c>
      <c r="X126" s="644"/>
      <c r="Y126" s="78" t="s">
        <v>33</v>
      </c>
    </row>
    <row r="127" spans="2:25" ht="9" customHeight="1" thickBot="1" x14ac:dyDescent="0.25">
      <c r="G127" s="276"/>
      <c r="Y127" s="55" t="s">
        <v>33</v>
      </c>
    </row>
    <row r="128" spans="2:25" ht="11.25" customHeight="1" x14ac:dyDescent="0.2">
      <c r="D128" s="1222" t="str">
        <f>IF(Deutsch,"Empfehlungen / Info"," suggestion, infos")</f>
        <v>Empfehlungen / Info</v>
      </c>
      <c r="E128" s="1223"/>
      <c r="F128" s="1224"/>
      <c r="G128" s="191"/>
    </row>
    <row r="129" spans="2:25" ht="9.75" customHeight="1" thickBot="1" x14ac:dyDescent="0.25">
      <c r="D129" s="1225"/>
      <c r="E129" s="1226"/>
      <c r="F129" s="1227"/>
      <c r="G129" s="191"/>
    </row>
    <row r="130" spans="2:25" ht="26.25" customHeight="1" x14ac:dyDescent="0.2">
      <c r="B130" s="55" t="s">
        <v>127</v>
      </c>
      <c r="D130" s="603" t="str">
        <f>IF(Deutsch,"Parameter","parameter")</f>
        <v>Parameter</v>
      </c>
      <c r="E130" s="600"/>
      <c r="F130" s="601"/>
      <c r="G130" s="631"/>
      <c r="H130" s="703" t="str">
        <f>VLOOKUP(1,Parametrikber!E$275:$X$291,IF(Deutsch,19,20),FALSE)</f>
        <v>Empfehlung Formverfahren</v>
      </c>
      <c r="I130" s="271" t="s">
        <v>288</v>
      </c>
      <c r="J130" s="602"/>
      <c r="K130" s="703" t="str">
        <f>VLOOKUP(1,Parametrikber!H$275:$X$291,IF(Deutsch,16,17),FALSE)</f>
        <v>Empfehlung Formverfahren</v>
      </c>
      <c r="L130" s="271" t="s">
        <v>288</v>
      </c>
      <c r="M130" s="602"/>
      <c r="N130" s="703" t="str">
        <f>VLOOKUP(1,Parametrikber!K$275:$X$291,IF(Deutsch,13,14),FALSE)</f>
        <v>Empfehlung Formverfahren</v>
      </c>
      <c r="O130" s="271" t="s">
        <v>288</v>
      </c>
      <c r="P130" s="602"/>
      <c r="Q130" s="703" t="str">
        <f>VLOOKUP(1,Parametrikber!N$275:$X$291,IF(Deutsch,10,11),FALSE)</f>
        <v xml:space="preserve"> </v>
      </c>
      <c r="R130" s="271" t="s">
        <v>288</v>
      </c>
      <c r="S130" s="602"/>
      <c r="T130" s="703" t="str">
        <f>VLOOKUP(1,Parametrikber!Q$275:$X$291,IF(Deutsch,7,8),FALSE)</f>
        <v xml:space="preserve"> </v>
      </c>
      <c r="U130" s="271" t="s">
        <v>288</v>
      </c>
      <c r="V130" s="602"/>
      <c r="W130" s="703" t="str">
        <f>VLOOKUP(1,Parametrikber!T$275:$X$291,IF(Deutsch,4,5),FALSE)</f>
        <v xml:space="preserve"> </v>
      </c>
      <c r="X130" s="360"/>
      <c r="Y130" s="78" t="s">
        <v>33</v>
      </c>
    </row>
    <row r="131" spans="2:25" ht="15" thickBot="1" x14ac:dyDescent="0.25">
      <c r="D131" s="142"/>
      <c r="E131" s="94"/>
      <c r="F131" s="89"/>
      <c r="G131" s="632"/>
      <c r="H131" s="724" t="str">
        <f>VLOOKUP(2,Parametrikber!E$275:$X$292,2,FALSE)</f>
        <v>automatisch</v>
      </c>
      <c r="I131" s="87" t="s">
        <v>288</v>
      </c>
      <c r="J131" s="87"/>
      <c r="K131" s="704" t="str">
        <f>VLOOKUP(2,Parametrikber!H$275:$X$292,2,FALSE)</f>
        <v>automatisch</v>
      </c>
      <c r="L131" s="87" t="s">
        <v>288</v>
      </c>
      <c r="M131" s="87"/>
      <c r="N131" s="704" t="str">
        <f>VLOOKUP(2,Parametrikber!K$275:$X$292,2,FALSE)</f>
        <v>automatisch</v>
      </c>
      <c r="O131" s="87" t="s">
        <v>288</v>
      </c>
      <c r="P131" s="87"/>
      <c r="Q131" s="704" t="str">
        <f>VLOOKUP(2,Parametrikber!N$275:$X$292,2,FALSE)</f>
        <v xml:space="preserve"> </v>
      </c>
      <c r="R131" s="87" t="s">
        <v>288</v>
      </c>
      <c r="S131" s="87"/>
      <c r="T131" s="704" t="str">
        <f>VLOOKUP(2,Parametrikber!Q$275:$X$292,2,FALSE)</f>
        <v xml:space="preserve"> </v>
      </c>
      <c r="U131" s="87" t="s">
        <v>288</v>
      </c>
      <c r="V131" s="87"/>
      <c r="W131" s="704" t="str">
        <f>VLOOKUP(2,Parametrikber!T$275:$X$292,2,FALSE)</f>
        <v xml:space="preserve"> </v>
      </c>
      <c r="X131" s="362"/>
      <c r="Y131" s="78" t="s">
        <v>33</v>
      </c>
    </row>
    <row r="132" spans="2:25" ht="25.5" customHeight="1" x14ac:dyDescent="0.2">
      <c r="D132" s="603" t="str">
        <f>IF(Deutsch,"Parameter","parameter")</f>
        <v>Parameter</v>
      </c>
      <c r="E132" s="600"/>
      <c r="F132" s="601"/>
      <c r="G132" s="631"/>
      <c r="H132" s="703" t="str">
        <f>VLOOKUP(3,Parametrikber!E$275:$X$291,IF(Deutsch,19,20),FALSE)</f>
        <v>Kastenausnutzung (Volumen)</v>
      </c>
      <c r="I132" s="271" t="s">
        <v>288</v>
      </c>
      <c r="J132" s="602"/>
      <c r="K132" s="703" t="str">
        <f>VLOOKUP(3,Parametrikber!H$275:$X$291,IF(Deutsch,16,17),FALSE)</f>
        <v>Kastenausnutzung (Volumen)</v>
      </c>
      <c r="L132" s="271" t="s">
        <v>288</v>
      </c>
      <c r="M132" s="602"/>
      <c r="N132" s="703" t="str">
        <f>VLOOKUP(3,Parametrikber!K$275:$X$291,IF(Deutsch,13,14),FALSE)</f>
        <v>Kastenausnutzung (Volumen)</v>
      </c>
      <c r="O132" s="271" t="s">
        <v>288</v>
      </c>
      <c r="P132" s="602"/>
      <c r="Q132" s="703" t="str">
        <f>VLOOKUP(3,Parametrikber!N$275:$X$291,IF(Deutsch,10,11),FALSE)</f>
        <v xml:space="preserve"> </v>
      </c>
      <c r="R132" s="271" t="s">
        <v>288</v>
      </c>
      <c r="S132" s="602"/>
      <c r="T132" s="703" t="str">
        <f>VLOOKUP(3,Parametrikber!Q$275:$X$291,IF(Deutsch,7,8),FALSE)</f>
        <v xml:space="preserve"> </v>
      </c>
      <c r="U132" s="271" t="s">
        <v>288</v>
      </c>
      <c r="V132" s="602"/>
      <c r="W132" s="703" t="str">
        <f>VLOOKUP(3,Parametrikber!T$275:$X$291,IF(Deutsch,4,5),FALSE)</f>
        <v xml:space="preserve"> </v>
      </c>
      <c r="X132" s="360"/>
      <c r="Y132" s="55" t="s">
        <v>33</v>
      </c>
    </row>
    <row r="133" spans="2:25" ht="15" thickBot="1" x14ac:dyDescent="0.25">
      <c r="D133" s="142"/>
      <c r="E133" s="94"/>
      <c r="F133" s="89"/>
      <c r="G133" s="632"/>
      <c r="H133" s="723" t="str">
        <f>VLOOKUP(4,Parametrikber!E$275:$X$292,2,FALSE)</f>
        <v>0%</v>
      </c>
      <c r="I133" s="87" t="s">
        <v>288</v>
      </c>
      <c r="J133" s="87"/>
      <c r="K133" s="723" t="str">
        <f>VLOOKUP(4,Parametrikber!H$275:$X$292,2,FALSE)</f>
        <v>1%</v>
      </c>
      <c r="L133" s="87" t="s">
        <v>288</v>
      </c>
      <c r="M133" s="87"/>
      <c r="N133" s="723" t="str">
        <f>VLOOKUP(4,Parametrikber!K$275:$X$292,2,FALSE)</f>
        <v>1%</v>
      </c>
      <c r="O133" s="87" t="s">
        <v>288</v>
      </c>
      <c r="P133" s="87"/>
      <c r="Q133" s="723" t="str">
        <f>VLOOKUP(4,Parametrikber!N$275:$X$292,2,FALSE)</f>
        <v xml:space="preserve"> </v>
      </c>
      <c r="R133" s="87" t="s">
        <v>288</v>
      </c>
      <c r="S133" s="87"/>
      <c r="T133" s="723" t="str">
        <f>VLOOKUP(4,Parametrikber!Q$275:$X$292,2,FALSE)</f>
        <v xml:space="preserve"> </v>
      </c>
      <c r="U133" s="87" t="s">
        <v>288</v>
      </c>
      <c r="V133" s="87"/>
      <c r="W133" s="723" t="str">
        <f>VLOOKUP(4,Parametrikber!T$275:$X$292,2,FALSE)</f>
        <v xml:space="preserve"> </v>
      </c>
      <c r="X133" s="362"/>
      <c r="Y133" s="55" t="s">
        <v>33</v>
      </c>
    </row>
    <row r="134" spans="2:25" ht="26.25" customHeight="1" x14ac:dyDescent="0.2">
      <c r="D134" s="603" t="str">
        <f>IF(Deutsch,"Parameter","parameter")</f>
        <v>Parameter</v>
      </c>
      <c r="E134" s="600"/>
      <c r="F134" s="601"/>
      <c r="G134" s="631"/>
      <c r="H134" s="703" t="str">
        <f>VLOOKUP(5,Parametrikber!E$275:$X$291,IF(Deutsch,19,20),FALSE)</f>
        <v>Anzahl Modelle &gt;1</v>
      </c>
      <c r="I134" s="271" t="s">
        <v>288</v>
      </c>
      <c r="J134" s="602"/>
      <c r="K134" s="703" t="str">
        <f>VLOOKUP(5,Parametrikber!H$275:$X$291,IF(Deutsch,16,17),FALSE)</f>
        <v>Anteil Rüstzeit zu Prod.-Zeit</v>
      </c>
      <c r="L134" s="271" t="s">
        <v>288</v>
      </c>
      <c r="M134" s="602"/>
      <c r="N134" s="703" t="str">
        <f>VLOOKUP(5,Parametrikber!K$275:$X$291,IF(Deutsch,13,14),FALSE)</f>
        <v>Anteil Rüstzeit zu Prod.-Zeit</v>
      </c>
      <c r="O134" s="271" t="s">
        <v>288</v>
      </c>
      <c r="P134" s="602"/>
      <c r="Q134" s="703" t="str">
        <f>VLOOKUP(5,Parametrikber!N$275:$X$291,IF(Deutsch,10,11),FALSE)</f>
        <v xml:space="preserve"> </v>
      </c>
      <c r="R134" s="271" t="s">
        <v>288</v>
      </c>
      <c r="S134" s="602"/>
      <c r="T134" s="703" t="str">
        <f>VLOOKUP(5,Parametrikber!Q$275:$X$291,IF(Deutsch,7,8),FALSE)</f>
        <v xml:space="preserve"> </v>
      </c>
      <c r="U134" s="271" t="s">
        <v>288</v>
      </c>
      <c r="V134" s="602"/>
      <c r="W134" s="703" t="str">
        <f>VLOOKUP(5,Parametrikber!T$275:$X$291,IF(Deutsch,4,5),FALSE)</f>
        <v xml:space="preserve"> </v>
      </c>
      <c r="X134" s="360"/>
      <c r="Y134" s="55" t="s">
        <v>33</v>
      </c>
    </row>
    <row r="135" spans="2:25" ht="15" thickBot="1" x14ac:dyDescent="0.25">
      <c r="D135" s="142"/>
      <c r="E135" s="94"/>
      <c r="F135" s="89"/>
      <c r="G135" s="632"/>
      <c r="H135" s="704" t="str">
        <f>VLOOKUP(6,Parametrikber!E$275:$X$292,2,FALSE)</f>
        <v>2 WKZ aus Alu</v>
      </c>
      <c r="I135" s="87" t="s">
        <v>288</v>
      </c>
      <c r="J135" s="87"/>
      <c r="K135" s="704" t="str">
        <f>VLOOKUP(6,Parametrikber!H$275:$X$292,2,FALSE)</f>
        <v>43,1 %</v>
      </c>
      <c r="L135" s="87" t="s">
        <v>288</v>
      </c>
      <c r="M135" s="87"/>
      <c r="N135" s="704" t="str">
        <f>VLOOKUP(6,Parametrikber!K$275:$X$292,2,FALSE)</f>
        <v>43,1 %</v>
      </c>
      <c r="O135" s="87" t="s">
        <v>288</v>
      </c>
      <c r="P135" s="87"/>
      <c r="Q135" s="704" t="str">
        <f>VLOOKUP(6,Parametrikber!N$275:$X$292,2,FALSE)</f>
        <v xml:space="preserve"> </v>
      </c>
      <c r="R135" s="87" t="s">
        <v>288</v>
      </c>
      <c r="S135" s="87"/>
      <c r="T135" s="704" t="str">
        <f>VLOOKUP(6,Parametrikber!Q$275:$X$292,2,FALSE)</f>
        <v xml:space="preserve"> </v>
      </c>
      <c r="U135" s="87" t="s">
        <v>288</v>
      </c>
      <c r="V135" s="87"/>
      <c r="W135" s="704" t="str">
        <f>VLOOKUP(6,Parametrikber!T$275:$X$292,2,FALSE)</f>
        <v xml:space="preserve"> </v>
      </c>
      <c r="X135" s="362"/>
      <c r="Y135" s="55" t="s">
        <v>33</v>
      </c>
    </row>
    <row r="136" spans="2:25" x14ac:dyDescent="0.2">
      <c r="G136" s="67"/>
      <c r="Y136" s="55" t="s">
        <v>33</v>
      </c>
    </row>
    <row r="137" spans="2:25" x14ac:dyDescent="0.2">
      <c r="G137" s="67"/>
      <c r="Y137" s="55" t="s">
        <v>33</v>
      </c>
    </row>
    <row r="138" spans="2:25" x14ac:dyDescent="0.2">
      <c r="G138" s="67"/>
      <c r="Y138" s="55" t="s">
        <v>33</v>
      </c>
    </row>
    <row r="139" spans="2:25" x14ac:dyDescent="0.2">
      <c r="G139" s="67"/>
      <c r="Y139" s="55" t="s">
        <v>33</v>
      </c>
    </row>
    <row r="140" spans="2:25" x14ac:dyDescent="0.2">
      <c r="G140" s="67"/>
      <c r="Y140" s="55" t="s">
        <v>33</v>
      </c>
    </row>
    <row r="141" spans="2:25" x14ac:dyDescent="0.2">
      <c r="G141" s="67"/>
      <c r="Y141" s="55" t="s">
        <v>33</v>
      </c>
    </row>
    <row r="142" spans="2:25" x14ac:dyDescent="0.2">
      <c r="G142" s="67"/>
      <c r="Y142" s="55" t="s">
        <v>33</v>
      </c>
    </row>
    <row r="143" spans="2:25" x14ac:dyDescent="0.2">
      <c r="G143" s="67"/>
      <c r="Y143" s="55" t="s">
        <v>33</v>
      </c>
    </row>
    <row r="144" spans="2:25" x14ac:dyDescent="0.2">
      <c r="G144" s="67"/>
      <c r="Y144" s="55" t="s">
        <v>33</v>
      </c>
    </row>
    <row r="145" spans="7:25" x14ac:dyDescent="0.2">
      <c r="G145" s="67"/>
      <c r="Y145" s="55" t="s">
        <v>33</v>
      </c>
    </row>
    <row r="146" spans="7:25" x14ac:dyDescent="0.2">
      <c r="G146" s="67"/>
      <c r="Y146" s="55" t="s">
        <v>33</v>
      </c>
    </row>
    <row r="147" spans="7:25" x14ac:dyDescent="0.2">
      <c r="G147" s="67"/>
      <c r="Y147" s="55" t="s">
        <v>33</v>
      </c>
    </row>
    <row r="148" spans="7:25" x14ac:dyDescent="0.2">
      <c r="G148" s="67"/>
      <c r="Y148" s="55" t="s">
        <v>33</v>
      </c>
    </row>
    <row r="149" spans="7:25" x14ac:dyDescent="0.2">
      <c r="G149" s="67"/>
      <c r="Y149" s="55" t="s">
        <v>33</v>
      </c>
    </row>
    <row r="150" spans="7:25" x14ac:dyDescent="0.2">
      <c r="G150" s="67"/>
      <c r="Y150" s="55" t="s">
        <v>33</v>
      </c>
    </row>
    <row r="151" spans="7:25" x14ac:dyDescent="0.2">
      <c r="G151" s="67"/>
      <c r="Y151" s="55" t="s">
        <v>33</v>
      </c>
    </row>
    <row r="152" spans="7:25" x14ac:dyDescent="0.2">
      <c r="G152" s="67"/>
      <c r="Y152" s="55" t="s">
        <v>33</v>
      </c>
    </row>
    <row r="153" spans="7:25" x14ac:dyDescent="0.2">
      <c r="G153" s="67"/>
      <c r="Y153" s="55" t="s">
        <v>33</v>
      </c>
    </row>
    <row r="154" spans="7:25" x14ac:dyDescent="0.2">
      <c r="G154" s="67"/>
      <c r="Y154" s="55" t="s">
        <v>33</v>
      </c>
    </row>
    <row r="155" spans="7:25" x14ac:dyDescent="0.2">
      <c r="G155" s="67"/>
      <c r="Y155" s="55" t="s">
        <v>33</v>
      </c>
    </row>
    <row r="156" spans="7:25" x14ac:dyDescent="0.2">
      <c r="G156" s="67"/>
      <c r="Y156" s="55" t="s">
        <v>33</v>
      </c>
    </row>
    <row r="157" spans="7:25" x14ac:dyDescent="0.2">
      <c r="G157" s="67"/>
      <c r="Y157" s="55" t="s">
        <v>33</v>
      </c>
    </row>
    <row r="158" spans="7:25" x14ac:dyDescent="0.2">
      <c r="G158" s="67"/>
      <c r="Y158" s="55" t="s">
        <v>33</v>
      </c>
    </row>
    <row r="159" spans="7:25" x14ac:dyDescent="0.2">
      <c r="G159" s="67"/>
      <c r="Y159" s="55" t="s">
        <v>33</v>
      </c>
    </row>
    <row r="160" spans="7:25" x14ac:dyDescent="0.2">
      <c r="G160" s="67"/>
      <c r="Y160" s="55" t="s">
        <v>33</v>
      </c>
    </row>
    <row r="161" spans="7:25" x14ac:dyDescent="0.2">
      <c r="G161" s="67"/>
      <c r="Y161" s="55" t="s">
        <v>33</v>
      </c>
    </row>
    <row r="162" spans="7:25" x14ac:dyDescent="0.2">
      <c r="G162" s="67"/>
      <c r="Y162" s="55" t="s">
        <v>33</v>
      </c>
    </row>
    <row r="163" spans="7:25" x14ac:dyDescent="0.2">
      <c r="G163" s="67"/>
      <c r="Y163" s="55" t="s">
        <v>33</v>
      </c>
    </row>
    <row r="164" spans="7:25" x14ac:dyDescent="0.2">
      <c r="G164" s="67"/>
      <c r="Y164" s="55" t="s">
        <v>33</v>
      </c>
    </row>
    <row r="165" spans="7:25" x14ac:dyDescent="0.2">
      <c r="G165" s="67"/>
      <c r="Y165" s="55" t="s">
        <v>33</v>
      </c>
    </row>
    <row r="166" spans="7:25" x14ac:dyDescent="0.2">
      <c r="G166" s="67"/>
      <c r="Y166" s="55" t="s">
        <v>33</v>
      </c>
    </row>
    <row r="167" spans="7:25" x14ac:dyDescent="0.2">
      <c r="G167" s="67"/>
      <c r="Y167" s="55" t="s">
        <v>33</v>
      </c>
    </row>
    <row r="168" spans="7:25" x14ac:dyDescent="0.2">
      <c r="G168" s="67"/>
      <c r="Y168" s="55" t="s">
        <v>33</v>
      </c>
    </row>
    <row r="169" spans="7:25" x14ac:dyDescent="0.2">
      <c r="G169" s="67"/>
      <c r="Y169" s="55" t="s">
        <v>33</v>
      </c>
    </row>
    <row r="170" spans="7:25" x14ac:dyDescent="0.2">
      <c r="G170" s="67"/>
      <c r="Y170" s="55" t="s">
        <v>33</v>
      </c>
    </row>
    <row r="171" spans="7:25" x14ac:dyDescent="0.2">
      <c r="G171" s="67"/>
      <c r="Y171" s="55" t="s">
        <v>33</v>
      </c>
    </row>
    <row r="172" spans="7:25" x14ac:dyDescent="0.2">
      <c r="G172" s="67"/>
      <c r="Y172" s="55" t="s">
        <v>33</v>
      </c>
    </row>
    <row r="173" spans="7:25" x14ac:dyDescent="0.2">
      <c r="G173" s="67"/>
      <c r="Y173" s="55" t="s">
        <v>33</v>
      </c>
    </row>
    <row r="174" spans="7:25" x14ac:dyDescent="0.2">
      <c r="G174" s="67"/>
      <c r="Y174" s="55" t="s">
        <v>33</v>
      </c>
    </row>
    <row r="175" spans="7:25" x14ac:dyDescent="0.2">
      <c r="G175" s="67"/>
      <c r="Y175" s="55" t="s">
        <v>33</v>
      </c>
    </row>
    <row r="176" spans="7:25" x14ac:dyDescent="0.2">
      <c r="G176" s="67"/>
      <c r="Y176" s="55" t="s">
        <v>33</v>
      </c>
    </row>
    <row r="177" spans="7:25" x14ac:dyDescent="0.2">
      <c r="G177" s="67"/>
      <c r="Y177" s="55" t="s">
        <v>33</v>
      </c>
    </row>
    <row r="178" spans="7:25" x14ac:dyDescent="0.2">
      <c r="G178" s="67"/>
      <c r="Y178" s="55" t="s">
        <v>33</v>
      </c>
    </row>
    <row r="179" spans="7:25" x14ac:dyDescent="0.2">
      <c r="G179" s="67"/>
      <c r="Y179" s="55" t="s">
        <v>33</v>
      </c>
    </row>
    <row r="180" spans="7:25" x14ac:dyDescent="0.2">
      <c r="G180" s="67"/>
      <c r="Y180" s="55" t="s">
        <v>33</v>
      </c>
    </row>
    <row r="181" spans="7:25" x14ac:dyDescent="0.2">
      <c r="G181" s="67"/>
    </row>
    <row r="182" spans="7:25" x14ac:dyDescent="0.2">
      <c r="G182" s="67"/>
    </row>
    <row r="183" spans="7:25" x14ac:dyDescent="0.2">
      <c r="G183" s="67"/>
    </row>
    <row r="184" spans="7:25" x14ac:dyDescent="0.2">
      <c r="G184" s="67"/>
    </row>
    <row r="185" spans="7:25" x14ac:dyDescent="0.2">
      <c r="G185" s="67"/>
    </row>
    <row r="186" spans="7:25" x14ac:dyDescent="0.2">
      <c r="G186" s="67"/>
    </row>
    <row r="187" spans="7:25" x14ac:dyDescent="0.2">
      <c r="G187" s="67"/>
    </row>
    <row r="188" spans="7:25" x14ac:dyDescent="0.2">
      <c r="G188" s="67"/>
    </row>
    <row r="189" spans="7:25" x14ac:dyDescent="0.2">
      <c r="G189" s="67"/>
    </row>
    <row r="190" spans="7:25" x14ac:dyDescent="0.2">
      <c r="G190" s="67"/>
    </row>
    <row r="191" spans="7:25" x14ac:dyDescent="0.2">
      <c r="G191" s="67"/>
    </row>
    <row r="192" spans="7:25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</sheetData>
  <sheetProtection password="E456" sheet="1" objects="1" scenarios="1"/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28:F129"/>
    <mergeCell ref="D5:F6"/>
    <mergeCell ref="D118:F119"/>
    <mergeCell ref="D28:F29"/>
    <mergeCell ref="D106:F107"/>
    <mergeCell ref="D9:F11"/>
    <mergeCell ref="D7:F7"/>
    <mergeCell ref="D8:F8"/>
    <mergeCell ref="D48:F48"/>
    <mergeCell ref="D99:F100"/>
    <mergeCell ref="D73:F73"/>
    <mergeCell ref="D88:F88"/>
  </mergeCells>
  <phoneticPr fontId="4" type="noConversion"/>
  <conditionalFormatting sqref="N117 Q117 T117 W117 K117 H15 H65 H117 K15 N15 Q15 W15 T15 H109 K109 N109 Q109 T109 W109 H47">
    <cfRule type="expression" dxfId="184" priority="452" stopIfTrue="1">
      <formula>VALUE(H16="Materialdatenbank")</formula>
    </cfRule>
  </conditionalFormatting>
  <conditionalFormatting sqref="H115 K115 N115 Q115 T115 W115 W54 K54 N54 Q54 T54 H54">
    <cfRule type="expression" dxfId="183" priority="453" stopIfTrue="1">
      <formula>VALUE(H56="Materialdatenbank")</formula>
    </cfRule>
  </conditionalFormatting>
  <conditionalFormatting sqref="N60 Q60 T60 W60 K60">
    <cfRule type="expression" dxfId="182" priority="455" stopIfTrue="1">
      <formula>VALUE(K113="Materialdatenbank")</formula>
    </cfRule>
  </conditionalFormatting>
  <conditionalFormatting sqref="H34">
    <cfRule type="expression" dxfId="181" priority="457" stopIfTrue="1">
      <formula>VALUE(H33="Materialdatenbank")</formula>
    </cfRule>
  </conditionalFormatting>
  <conditionalFormatting sqref="H56 K56 N56 Q56 W56 T56">
    <cfRule type="expression" dxfId="180" priority="458" stopIfTrue="1">
      <formula>VALUE(#REF!="Materialdatenbank")</formula>
    </cfRule>
  </conditionalFormatting>
  <conditionalFormatting sqref="H60">
    <cfRule type="expression" dxfId="179" priority="459" stopIfTrue="1">
      <formula>VALUE(H113="Materialdatenbank")</formula>
    </cfRule>
  </conditionalFormatting>
  <conditionalFormatting sqref="K76 N76 Q76 W76 H76">
    <cfRule type="expression" dxfId="178" priority="460" stopIfTrue="1">
      <formula>VALUE(H66="Materialdatenbank")</formula>
    </cfRule>
  </conditionalFormatting>
  <conditionalFormatting sqref="H116 H90:H91 H33 N90:N91 Q90:Q91 T90:T91 W90:W91 K116 N116 Q116 T116 W116 H84:H85 H101 K84:K85 K101 N84:N85 Q84:Q85 T84:T85 W84:W85 N101 Q101 T101 W101 K90:K91">
    <cfRule type="expression" dxfId="177" priority="461" stopIfTrue="1">
      <formula>VALUE(#REF!="Materialdatenbank")</formula>
    </cfRule>
  </conditionalFormatting>
  <conditionalFormatting sqref="H119:H122 K119:K122 N119:N122 Q119:Q122 T119:T122 H124 H57 H25 H14 H68 K14 N14 Q14 T14 W14 W119:W122 K68 N68 Q68 T68 W68 H9:H12 K9:K12 N9:N12 Q9:Q12 T9:T12 W9:W12 K25 N25 Q25 T25 W25 K57 N57 Q57 T57 W57 K126 H126 K124 N124 Q124 T124 W124 N126 Q126 T126 W126">
    <cfRule type="expression" dxfId="176" priority="462" stopIfTrue="1">
      <formula>VALUE(#REF!="Materialdatenbank")</formula>
    </cfRule>
  </conditionalFormatting>
  <conditionalFormatting sqref="H107 K107 N107 Q107 W107 T107">
    <cfRule type="expression" dxfId="175" priority="464" stopIfTrue="1">
      <formula>VALUE(#REF!="Materialdatenbank")</formula>
    </cfRule>
  </conditionalFormatting>
  <conditionalFormatting sqref="H42">
    <cfRule type="expression" dxfId="174" priority="465" stopIfTrue="1">
      <formula>VALUE(#REF!="Materialdatenbank")</formula>
    </cfRule>
  </conditionalFormatting>
  <conditionalFormatting sqref="H37">
    <cfRule type="expression" dxfId="173" priority="466" stopIfTrue="1">
      <formula>VALUE(#REF!="Materialdatenbank")</formula>
    </cfRule>
  </conditionalFormatting>
  <conditionalFormatting sqref="K2:K4 T2:T4 N2:N4 W2:W4 Q2:Q4 H2:H4">
    <cfRule type="cellIs" dxfId="172" priority="467" operator="equal">
      <formula>FALSE</formula>
    </cfRule>
  </conditionalFormatting>
  <conditionalFormatting sqref="H17">
    <cfRule type="expression" dxfId="171" priority="468" stopIfTrue="1">
      <formula>VALUE(H24="Materialdatenbank")</formula>
    </cfRule>
  </conditionalFormatting>
  <conditionalFormatting sqref="H20">
    <cfRule type="expression" dxfId="170" priority="448" stopIfTrue="1">
      <formula>VALUE(H26="Materialdatenbank")</formula>
    </cfRule>
  </conditionalFormatting>
  <conditionalFormatting sqref="H21">
    <cfRule type="expression" dxfId="169" priority="447" stopIfTrue="1">
      <formula>VALUE(H25="Materialdatenbank")</formula>
    </cfRule>
  </conditionalFormatting>
  <conditionalFormatting sqref="K17">
    <cfRule type="expression" dxfId="168" priority="420" stopIfTrue="1">
      <formula>VALUE(K24="Materialdatenbank")</formula>
    </cfRule>
  </conditionalFormatting>
  <conditionalFormatting sqref="H97 H95 K97 K95 N97 N95 Q97 Q95 W97 W95 T97 T95">
    <cfRule type="expression" dxfId="167" priority="431" stopIfTrue="1">
      <formula>VALUE(#REF!="Materialdatenbank")</formula>
    </cfRule>
  </conditionalFormatting>
  <conditionalFormatting sqref="H36">
    <cfRule type="expression" dxfId="166" priority="469" stopIfTrue="1">
      <formula>VALUE(#REF!="Materialdatenbank")</formula>
    </cfRule>
  </conditionalFormatting>
  <conditionalFormatting sqref="H40">
    <cfRule type="expression" dxfId="165" priority="475" stopIfTrue="1">
      <formula>VALUE(H34="Materialdatenbank")</formula>
    </cfRule>
  </conditionalFormatting>
  <conditionalFormatting sqref="N17">
    <cfRule type="expression" dxfId="164" priority="419" stopIfTrue="1">
      <formula>VALUE(N24="Materialdatenbank")</formula>
    </cfRule>
  </conditionalFormatting>
  <conditionalFormatting sqref="Q17">
    <cfRule type="expression" dxfId="163" priority="418" stopIfTrue="1">
      <formula>VALUE(Q24="Materialdatenbank")</formula>
    </cfRule>
  </conditionalFormatting>
  <conditionalFormatting sqref="T17">
    <cfRule type="expression" dxfId="162" priority="417" stopIfTrue="1">
      <formula>VALUE(T24="Materialdatenbank")</formula>
    </cfRule>
  </conditionalFormatting>
  <conditionalFormatting sqref="W17">
    <cfRule type="expression" dxfId="161" priority="416" stopIfTrue="1">
      <formula>VALUE(W24="Materialdatenbank")</formula>
    </cfRule>
  </conditionalFormatting>
  <conditionalFormatting sqref="H39 K39 Q39 T39 W39">
    <cfRule type="expression" dxfId="160" priority="404" stopIfTrue="1">
      <formula>VALUE(H47="Materialdatenbank")</formula>
    </cfRule>
  </conditionalFormatting>
  <conditionalFormatting sqref="K40">
    <cfRule type="expression" dxfId="159" priority="410" stopIfTrue="1">
      <formula>VALUE(K34="Materialdatenbank")</formula>
    </cfRule>
  </conditionalFormatting>
  <conditionalFormatting sqref="N40">
    <cfRule type="expression" dxfId="158" priority="402" stopIfTrue="1">
      <formula>VALUE(N34="Materialdatenbank")</formula>
    </cfRule>
  </conditionalFormatting>
  <conditionalFormatting sqref="Q40">
    <cfRule type="expression" dxfId="157" priority="394" stopIfTrue="1">
      <formula>VALUE(Q34="Materialdatenbank")</formula>
    </cfRule>
  </conditionalFormatting>
  <conditionalFormatting sqref="T40">
    <cfRule type="expression" dxfId="156" priority="386" stopIfTrue="1">
      <formula>VALUE(T34="Materialdatenbank")</formula>
    </cfRule>
  </conditionalFormatting>
  <conditionalFormatting sqref="W40">
    <cfRule type="expression" dxfId="155" priority="378" stopIfTrue="1">
      <formula>VALUE(W34="Materialdatenbank")</formula>
    </cfRule>
  </conditionalFormatting>
  <conditionalFormatting sqref="K42">
    <cfRule type="expression" dxfId="154" priority="360" stopIfTrue="1">
      <formula>VALUE(#REF!="Materialdatenbank")</formula>
    </cfRule>
  </conditionalFormatting>
  <conditionalFormatting sqref="N42">
    <cfRule type="expression" dxfId="153" priority="359" stopIfTrue="1">
      <formula>VALUE(#REF!="Materialdatenbank")</formula>
    </cfRule>
  </conditionalFormatting>
  <conditionalFormatting sqref="Q42">
    <cfRule type="expression" dxfId="152" priority="358" stopIfTrue="1">
      <formula>VALUE(#REF!="Materialdatenbank")</formula>
    </cfRule>
  </conditionalFormatting>
  <conditionalFormatting sqref="T42">
    <cfRule type="expression" dxfId="151" priority="357" stopIfTrue="1">
      <formula>VALUE(#REF!="Materialdatenbank")</formula>
    </cfRule>
  </conditionalFormatting>
  <conditionalFormatting sqref="W42">
    <cfRule type="expression" dxfId="150" priority="356" stopIfTrue="1">
      <formula>VALUE(#REF!="Materialdatenbank")</formula>
    </cfRule>
  </conditionalFormatting>
  <conditionalFormatting sqref="K65">
    <cfRule type="expression" dxfId="149" priority="352" stopIfTrue="1">
      <formula>VALUE(K66="Materialdatenbank")</formula>
    </cfRule>
  </conditionalFormatting>
  <conditionalFormatting sqref="N65">
    <cfRule type="expression" dxfId="148" priority="350" stopIfTrue="1">
      <formula>VALUE(N66="Materialdatenbank")</formula>
    </cfRule>
  </conditionalFormatting>
  <conditionalFormatting sqref="Q65">
    <cfRule type="expression" dxfId="147" priority="348" stopIfTrue="1">
      <formula>VALUE(Q66="Materialdatenbank")</formula>
    </cfRule>
  </conditionalFormatting>
  <conditionalFormatting sqref="T65">
    <cfRule type="expression" dxfId="146" priority="346" stopIfTrue="1">
      <formula>VALUE(T66="Materialdatenbank")</formula>
    </cfRule>
  </conditionalFormatting>
  <conditionalFormatting sqref="W65">
    <cfRule type="expression" dxfId="145" priority="344" stopIfTrue="1">
      <formula>VALUE(W66="Materialdatenbank")</formula>
    </cfRule>
  </conditionalFormatting>
  <conditionalFormatting sqref="K131">
    <cfRule type="expression" dxfId="144" priority="234" stopIfTrue="1">
      <formula>K131=" "</formula>
    </cfRule>
  </conditionalFormatting>
  <conditionalFormatting sqref="K130">
    <cfRule type="expression" dxfId="143" priority="233" stopIfTrue="1">
      <formula>K130=" "</formula>
    </cfRule>
  </conditionalFormatting>
  <conditionalFormatting sqref="Q130">
    <cfRule type="expression" dxfId="142" priority="214" stopIfTrue="1">
      <formula>Q130=" "</formula>
    </cfRule>
  </conditionalFormatting>
  <conditionalFormatting sqref="N130">
    <cfRule type="expression" dxfId="141" priority="220" stopIfTrue="1">
      <formula>N130=" "</formula>
    </cfRule>
  </conditionalFormatting>
  <conditionalFormatting sqref="K135">
    <cfRule type="expression" dxfId="140" priority="229" stopIfTrue="1">
      <formula>K135=" "</formula>
    </cfRule>
  </conditionalFormatting>
  <conditionalFormatting sqref="N133">
    <cfRule type="expression" dxfId="139" priority="219" stopIfTrue="1">
      <formula>N133=" "</formula>
    </cfRule>
  </conditionalFormatting>
  <conditionalFormatting sqref="H131">
    <cfRule type="expression" dxfId="138" priority="227" stopIfTrue="1">
      <formula>H131=" "</formula>
    </cfRule>
  </conditionalFormatting>
  <conditionalFormatting sqref="H130">
    <cfRule type="expression" dxfId="137" priority="226" stopIfTrue="1">
      <formula>H130=" "</formula>
    </cfRule>
  </conditionalFormatting>
  <conditionalFormatting sqref="H135">
    <cfRule type="expression" dxfId="136" priority="223" stopIfTrue="1">
      <formula>H135=" "</formula>
    </cfRule>
  </conditionalFormatting>
  <conditionalFormatting sqref="Q135">
    <cfRule type="expression" dxfId="135" priority="211" stopIfTrue="1">
      <formula>Q135=" "</formula>
    </cfRule>
  </conditionalFormatting>
  <conditionalFormatting sqref="N131">
    <cfRule type="expression" dxfId="134" priority="221" stopIfTrue="1">
      <formula>N131=" "</formula>
    </cfRule>
  </conditionalFormatting>
  <conditionalFormatting sqref="N135">
    <cfRule type="expression" dxfId="133" priority="217" stopIfTrue="1">
      <formula>N135=" "</formula>
    </cfRule>
  </conditionalFormatting>
  <conditionalFormatting sqref="T131">
    <cfRule type="expression" dxfId="132" priority="209" stopIfTrue="1">
      <formula>T131=" "</formula>
    </cfRule>
  </conditionalFormatting>
  <conditionalFormatting sqref="Q131">
    <cfRule type="expression" dxfId="131" priority="215" stopIfTrue="1">
      <formula>Q131=" "</formula>
    </cfRule>
  </conditionalFormatting>
  <conditionalFormatting sqref="Q133">
    <cfRule type="expression" dxfId="130" priority="213" stopIfTrue="1">
      <formula>Q133=" "</formula>
    </cfRule>
  </conditionalFormatting>
  <conditionalFormatting sqref="T135">
    <cfRule type="expression" dxfId="129" priority="205" stopIfTrue="1">
      <formula>T135=" "</formula>
    </cfRule>
  </conditionalFormatting>
  <conditionalFormatting sqref="T130">
    <cfRule type="expression" dxfId="128" priority="208" stopIfTrue="1">
      <formula>T130=" "</formula>
    </cfRule>
  </conditionalFormatting>
  <conditionalFormatting sqref="T133">
    <cfRule type="expression" dxfId="127" priority="207" stopIfTrue="1">
      <formula>T133=" "</formula>
    </cfRule>
  </conditionalFormatting>
  <conditionalFormatting sqref="W130">
    <cfRule type="expression" dxfId="126" priority="202" stopIfTrue="1">
      <formula>W130=" "</formula>
    </cfRule>
  </conditionalFormatting>
  <conditionalFormatting sqref="W133">
    <cfRule type="expression" dxfId="125" priority="201" stopIfTrue="1">
      <formula>W133=" "</formula>
    </cfRule>
  </conditionalFormatting>
  <conditionalFormatting sqref="W131">
    <cfRule type="expression" dxfId="124" priority="203" stopIfTrue="1">
      <formula>W131=" "</formula>
    </cfRule>
  </conditionalFormatting>
  <conditionalFormatting sqref="W135">
    <cfRule type="expression" dxfId="123" priority="199" stopIfTrue="1">
      <formula>W135=" "</formula>
    </cfRule>
  </conditionalFormatting>
  <conditionalFormatting sqref="H22">
    <cfRule type="expression" dxfId="122" priority="197" stopIfTrue="1">
      <formula>VALUE(H116="Materialdatenbank")</formula>
    </cfRule>
  </conditionalFormatting>
  <conditionalFormatting sqref="K22">
    <cfRule type="expression" dxfId="121" priority="186" stopIfTrue="1">
      <formula>VALUE(K116="Materialdatenbank")</formula>
    </cfRule>
  </conditionalFormatting>
  <conditionalFormatting sqref="N22">
    <cfRule type="expression" dxfId="120" priority="185" stopIfTrue="1">
      <formula>VALUE(N116="Materialdatenbank")</formula>
    </cfRule>
  </conditionalFormatting>
  <conditionalFormatting sqref="Q22">
    <cfRule type="expression" dxfId="119" priority="184" stopIfTrue="1">
      <formula>VALUE(Q116="Materialdatenbank")</formula>
    </cfRule>
  </conditionalFormatting>
  <conditionalFormatting sqref="T22">
    <cfRule type="expression" dxfId="118" priority="183" stopIfTrue="1">
      <formula>VALUE(T116="Materialdatenbank")</formula>
    </cfRule>
  </conditionalFormatting>
  <conditionalFormatting sqref="W22">
    <cfRule type="expression" dxfId="117" priority="182" stopIfTrue="1">
      <formula>VALUE(W116="Materialdatenbank")</formula>
    </cfRule>
  </conditionalFormatting>
  <conditionalFormatting sqref="H132">
    <cfRule type="expression" dxfId="116" priority="180" stopIfTrue="1">
      <formula>H132=" "</formula>
    </cfRule>
  </conditionalFormatting>
  <conditionalFormatting sqref="H134">
    <cfRule type="expression" dxfId="115" priority="179" stopIfTrue="1">
      <formula>H134=" "</formula>
    </cfRule>
  </conditionalFormatting>
  <conditionalFormatting sqref="K132">
    <cfRule type="expression" dxfId="114" priority="178" stopIfTrue="1">
      <formula>K132=" "</formula>
    </cfRule>
  </conditionalFormatting>
  <conditionalFormatting sqref="K134">
    <cfRule type="expression" dxfId="113" priority="177" stopIfTrue="1">
      <formula>K134=" "</formula>
    </cfRule>
  </conditionalFormatting>
  <conditionalFormatting sqref="N132">
    <cfRule type="expression" dxfId="112" priority="176" stopIfTrue="1">
      <formula>N132=" "</formula>
    </cfRule>
  </conditionalFormatting>
  <conditionalFormatting sqref="N134">
    <cfRule type="expression" dxfId="111" priority="175" stopIfTrue="1">
      <formula>N134=" "</formula>
    </cfRule>
  </conditionalFormatting>
  <conditionalFormatting sqref="Q132">
    <cfRule type="expression" dxfId="110" priority="174" stopIfTrue="1">
      <formula>Q132=" "</formula>
    </cfRule>
  </conditionalFormatting>
  <conditionalFormatting sqref="Q134">
    <cfRule type="expression" dxfId="109" priority="173" stopIfTrue="1">
      <formula>Q134=" "</formula>
    </cfRule>
  </conditionalFormatting>
  <conditionalFormatting sqref="T132">
    <cfRule type="expression" dxfId="108" priority="172" stopIfTrue="1">
      <formula>T132=" "</formula>
    </cfRule>
  </conditionalFormatting>
  <conditionalFormatting sqref="T134">
    <cfRule type="expression" dxfId="107" priority="171" stopIfTrue="1">
      <formula>T134=" "</formula>
    </cfRule>
  </conditionalFormatting>
  <conditionalFormatting sqref="W132">
    <cfRule type="expression" dxfId="106" priority="170" stopIfTrue="1">
      <formula>W132=" "</formula>
    </cfRule>
  </conditionalFormatting>
  <conditionalFormatting sqref="W134">
    <cfRule type="expression" dxfId="105" priority="169" stopIfTrue="1">
      <formula>W134=" "</formula>
    </cfRule>
  </conditionalFormatting>
  <conditionalFormatting sqref="H96 K96 N96 Q96 W96 T96">
    <cfRule type="expression" dxfId="104" priority="168" stopIfTrue="1">
      <formula>VALUE(#REF!="Materialdatenbank")</formula>
    </cfRule>
  </conditionalFormatting>
  <conditionalFormatting sqref="H133">
    <cfRule type="expression" dxfId="103" priority="160" stopIfTrue="1">
      <formula>H133=" "</formula>
    </cfRule>
  </conditionalFormatting>
  <conditionalFormatting sqref="K133">
    <cfRule type="expression" dxfId="102" priority="158" stopIfTrue="1">
      <formula>K133=" "</formula>
    </cfRule>
  </conditionalFormatting>
  <conditionalFormatting sqref="H92 K92 N92 Q92 T92 W92">
    <cfRule type="expression" dxfId="101" priority="152" stopIfTrue="1">
      <formula>VALUE(#REF!="Materialdatenbank")</formula>
    </cfRule>
  </conditionalFormatting>
  <conditionalFormatting sqref="H93 K93 N93 Q93 T93 W93">
    <cfRule type="expression" dxfId="100" priority="151" stopIfTrue="1">
      <formula>VALUE(#REF!="Materialdatenbank")</formula>
    </cfRule>
  </conditionalFormatting>
  <conditionalFormatting sqref="K33">
    <cfRule type="expression" dxfId="99" priority="146" stopIfTrue="1">
      <formula>VALUE(#REF!="Materialdatenbank")</formula>
    </cfRule>
  </conditionalFormatting>
  <conditionalFormatting sqref="N33">
    <cfRule type="expression" dxfId="98" priority="144" stopIfTrue="1">
      <formula>VALUE(#REF!="Materialdatenbank")</formula>
    </cfRule>
  </conditionalFormatting>
  <conditionalFormatting sqref="Q33">
    <cfRule type="expression" dxfId="97" priority="142" stopIfTrue="1">
      <formula>VALUE(#REF!="Materialdatenbank")</formula>
    </cfRule>
  </conditionalFormatting>
  <conditionalFormatting sqref="T33">
    <cfRule type="expression" dxfId="96" priority="140" stopIfTrue="1">
      <formula>VALUE(#REF!="Materialdatenbank")</formula>
    </cfRule>
  </conditionalFormatting>
  <conditionalFormatting sqref="W33">
    <cfRule type="expression" dxfId="95" priority="138" stopIfTrue="1">
      <formula>VALUE(#REF!="Materialdatenbank")</formula>
    </cfRule>
  </conditionalFormatting>
  <conditionalFormatting sqref="K37 N37 Q37 T37 W37">
    <cfRule type="expression" dxfId="94" priority="136" stopIfTrue="1">
      <formula>VALUE(#REF!="Materialdatenbank")</formula>
    </cfRule>
  </conditionalFormatting>
  <conditionalFormatting sqref="K34">
    <cfRule type="expression" dxfId="93" priority="133" stopIfTrue="1">
      <formula>VALUE(K33="Materialdatenbank")</formula>
    </cfRule>
  </conditionalFormatting>
  <conditionalFormatting sqref="N34">
    <cfRule type="expression" dxfId="92" priority="132" stopIfTrue="1">
      <formula>VALUE(N33="Materialdatenbank")</formula>
    </cfRule>
  </conditionalFormatting>
  <conditionalFormatting sqref="Q34">
    <cfRule type="expression" dxfId="91" priority="131" stopIfTrue="1">
      <formula>VALUE(Q33="Materialdatenbank")</formula>
    </cfRule>
  </conditionalFormatting>
  <conditionalFormatting sqref="T34">
    <cfRule type="expression" dxfId="90" priority="130" stopIfTrue="1">
      <formula>VALUE(T33="Materialdatenbank")</formula>
    </cfRule>
  </conditionalFormatting>
  <conditionalFormatting sqref="W34">
    <cfRule type="expression" dxfId="89" priority="129" stopIfTrue="1">
      <formula>VALUE(W33="Materialdatenbank")</formula>
    </cfRule>
  </conditionalFormatting>
  <conditionalFormatting sqref="H45">
    <cfRule type="expression" dxfId="88" priority="127" stopIfTrue="1">
      <formula>VALUE(#REF!="Materialdatenbank")</formula>
    </cfRule>
  </conditionalFormatting>
  <conditionalFormatting sqref="H43">
    <cfRule type="expression" dxfId="87" priority="128" stopIfTrue="1">
      <formula>VALUE(H37="Materialdatenbank")</formula>
    </cfRule>
  </conditionalFormatting>
  <conditionalFormatting sqref="K43">
    <cfRule type="expression" dxfId="86" priority="106" stopIfTrue="1">
      <formula>VALUE(K37="Materialdatenbank")</formula>
    </cfRule>
  </conditionalFormatting>
  <conditionalFormatting sqref="N43">
    <cfRule type="expression" dxfId="85" priority="105" stopIfTrue="1">
      <formula>VALUE(N37="Materialdatenbank")</formula>
    </cfRule>
  </conditionalFormatting>
  <conditionalFormatting sqref="Q43">
    <cfRule type="expression" dxfId="84" priority="104" stopIfTrue="1">
      <formula>VALUE(Q37="Materialdatenbank")</formula>
    </cfRule>
  </conditionalFormatting>
  <conditionalFormatting sqref="T43">
    <cfRule type="expression" dxfId="83" priority="103" stopIfTrue="1">
      <formula>VALUE(T37="Materialdatenbank")</formula>
    </cfRule>
  </conditionalFormatting>
  <conditionalFormatting sqref="W43">
    <cfRule type="expression" dxfId="82" priority="102" stopIfTrue="1">
      <formula>VALUE(W37="Materialdatenbank")</formula>
    </cfRule>
  </conditionalFormatting>
  <conditionalFormatting sqref="K21">
    <cfRule type="expression" dxfId="81" priority="91" stopIfTrue="1">
      <formula>VALUE(K25="Materialdatenbank")</formula>
    </cfRule>
  </conditionalFormatting>
  <conditionalFormatting sqref="N21">
    <cfRule type="expression" dxfId="80" priority="90" stopIfTrue="1">
      <formula>VALUE(N25="Materialdatenbank")</formula>
    </cfRule>
  </conditionalFormatting>
  <conditionalFormatting sqref="Q21">
    <cfRule type="expression" dxfId="79" priority="89" stopIfTrue="1">
      <formula>VALUE(Q25="Materialdatenbank")</formula>
    </cfRule>
  </conditionalFormatting>
  <conditionalFormatting sqref="W21">
    <cfRule type="expression" dxfId="78" priority="87" stopIfTrue="1">
      <formula>VALUE(W25="Materialdatenbank")</formula>
    </cfRule>
  </conditionalFormatting>
  <conditionalFormatting sqref="K100 H100 N100 Q100 T100 W100">
    <cfRule type="expression" dxfId="77" priority="78" stopIfTrue="1">
      <formula>VALUE(H103="Materialdatenbank")</formula>
    </cfRule>
  </conditionalFormatting>
  <conditionalFormatting sqref="H26 K26 N26 Q26 T26 W26">
    <cfRule type="expression" dxfId="76" priority="477" stopIfTrue="1">
      <formula>VALUE(#REF!="Materialdatenbank")</formula>
    </cfRule>
  </conditionalFormatting>
  <conditionalFormatting sqref="H18 N18 Q18 T18 W18 K18">
    <cfRule type="expression" dxfId="75" priority="75" stopIfTrue="1">
      <formula>VALUE(H21="Materialdatenbank")</formula>
    </cfRule>
  </conditionalFormatting>
  <conditionalFormatting sqref="H23">
    <cfRule type="expression" dxfId="74" priority="74" stopIfTrue="1">
      <formula>VALUE(H27="Materialdatenbank")</formula>
    </cfRule>
  </conditionalFormatting>
  <conditionalFormatting sqref="H19">
    <cfRule type="expression" dxfId="73" priority="61" stopIfTrue="1">
      <formula>VALUE(#REF!="Materialdatenbank")</formula>
    </cfRule>
  </conditionalFormatting>
  <conditionalFormatting sqref="K19 N19 Q19 T19 W19">
    <cfRule type="expression" dxfId="72" priority="60" stopIfTrue="1">
      <formula>VALUE(#REF!="Materialdatenbank")</formula>
    </cfRule>
  </conditionalFormatting>
  <conditionalFormatting sqref="K20 N20 Q20 W20 T20">
    <cfRule type="expression" dxfId="71" priority="59" stopIfTrue="1">
      <formula>VALUE(K26="Materialdatenbank")</formula>
    </cfRule>
  </conditionalFormatting>
  <conditionalFormatting sqref="K23 N23 Q23 T23 W23">
    <cfRule type="expression" dxfId="70" priority="58" stopIfTrue="1">
      <formula>VALUE(K27="Materialdatenbank")</formula>
    </cfRule>
  </conditionalFormatting>
  <conditionalFormatting sqref="K45">
    <cfRule type="expression" dxfId="69" priority="57" stopIfTrue="1">
      <formula>VALUE(#REF!="Materialdatenbank")</formula>
    </cfRule>
  </conditionalFormatting>
  <conditionalFormatting sqref="N45">
    <cfRule type="expression" dxfId="68" priority="56" stopIfTrue="1">
      <formula>VALUE(#REF!="Materialdatenbank")</formula>
    </cfRule>
  </conditionalFormatting>
  <conditionalFormatting sqref="Q45">
    <cfRule type="expression" dxfId="67" priority="55" stopIfTrue="1">
      <formula>VALUE(#REF!="Materialdatenbank")</formula>
    </cfRule>
  </conditionalFormatting>
  <conditionalFormatting sqref="W45">
    <cfRule type="expression" dxfId="66" priority="54" stopIfTrue="1">
      <formula>VALUE(#REF!="Materialdatenbank")</formula>
    </cfRule>
  </conditionalFormatting>
  <conditionalFormatting sqref="K36 N36 Q36 T36 W36">
    <cfRule type="expression" dxfId="65" priority="53" stopIfTrue="1">
      <formula>VALUE(#REF!="Materialdatenbank")</formula>
    </cfRule>
  </conditionalFormatting>
  <conditionalFormatting sqref="N39">
    <cfRule type="expression" dxfId="64" priority="52" stopIfTrue="1">
      <formula>VALUE(N47="Materialdatenbank")</formula>
    </cfRule>
  </conditionalFormatting>
  <conditionalFormatting sqref="T21">
    <cfRule type="expression" dxfId="63" priority="51" stopIfTrue="1">
      <formula>VALUE(T25="Materialdatenbank")</formula>
    </cfRule>
  </conditionalFormatting>
  <conditionalFormatting sqref="T45">
    <cfRule type="expression" dxfId="62" priority="50" stopIfTrue="1">
      <formula>VALUE(#REF!="Materialdatenbank")</formula>
    </cfRule>
  </conditionalFormatting>
  <conditionalFormatting sqref="K87 N87 Q87 T87 W87 H87">
    <cfRule type="expression" dxfId="61" priority="484" stopIfTrue="1">
      <formula>VALUE(H65="Materialdatenbank")</formula>
    </cfRule>
  </conditionalFormatting>
  <conditionalFormatting sqref="T76">
    <cfRule type="expression" dxfId="60" priority="490" stopIfTrue="1">
      <formula>VALUE(T66="Materialdatenbank")</formula>
    </cfRule>
  </conditionalFormatting>
  <conditionalFormatting sqref="T64 W64 H64 K64 N64 Q64">
    <cfRule type="expression" dxfId="59" priority="496" stopIfTrue="1">
      <formula>VALUE(H53="Materialdatenbank")</formula>
    </cfRule>
  </conditionalFormatting>
  <conditionalFormatting sqref="H83 K83 N83 Q83 T83 W83">
    <cfRule type="expression" dxfId="58" priority="498" stopIfTrue="1">
      <formula>VALUE(H63="Materialdatenbank")</formula>
    </cfRule>
  </conditionalFormatting>
  <conditionalFormatting sqref="K66 N66 Q66 T66 W66 H66">
    <cfRule type="expression" dxfId="57" priority="46" stopIfTrue="1">
      <formula>VALUE(H117="Materialdatenbank")</formula>
    </cfRule>
  </conditionalFormatting>
  <conditionalFormatting sqref="H110 K110 N110 Q110 T110 W110">
    <cfRule type="expression" dxfId="56" priority="500" stopIfTrue="1">
      <formula>VALUE(#REF!="Materialdatenbank")</formula>
    </cfRule>
  </conditionalFormatting>
  <conditionalFormatting sqref="N111 Q111 T111 W111">
    <cfRule type="expression" dxfId="55" priority="523" stopIfTrue="1">
      <formula>VALUE(N98="Materialdatenbank")</formula>
    </cfRule>
  </conditionalFormatting>
  <conditionalFormatting sqref="K103 N103 Q103 T103 W103 H103">
    <cfRule type="expression" dxfId="54" priority="524" stopIfTrue="1">
      <formula>VALUE(H70="Materialdatenbank")</formula>
    </cfRule>
  </conditionalFormatting>
  <conditionalFormatting sqref="K47">
    <cfRule type="expression" dxfId="53" priority="38" stopIfTrue="1">
      <formula>VALUE(K48="Materialdatenbank")</formula>
    </cfRule>
  </conditionalFormatting>
  <conditionalFormatting sqref="N47">
    <cfRule type="expression" dxfId="52" priority="37" stopIfTrue="1">
      <formula>VALUE(N48="Materialdatenbank")</formula>
    </cfRule>
  </conditionalFormatting>
  <conditionalFormatting sqref="Q47">
    <cfRule type="expression" dxfId="51" priority="36" stopIfTrue="1">
      <formula>VALUE(Q48="Materialdatenbank")</formula>
    </cfRule>
  </conditionalFormatting>
  <conditionalFormatting sqref="T47">
    <cfRule type="expression" dxfId="50" priority="35" stopIfTrue="1">
      <formula>VALUE(T48="Materialdatenbank")</formula>
    </cfRule>
  </conditionalFormatting>
  <conditionalFormatting sqref="W47">
    <cfRule type="expression" dxfId="49" priority="34" stopIfTrue="1">
      <formula>VALUE(W48="Materialdatenbank")</formula>
    </cfRule>
  </conditionalFormatting>
  <conditionalFormatting sqref="H72">
    <cfRule type="expression" dxfId="48" priority="29" stopIfTrue="1">
      <formula>VALUE(H68="Materialdatenbank")</formula>
    </cfRule>
  </conditionalFormatting>
  <conditionalFormatting sqref="H111">
    <cfRule type="expression" dxfId="47" priority="26" stopIfTrue="1">
      <formula>VALUE(H98="Materialdatenbank")</formula>
    </cfRule>
  </conditionalFormatting>
  <conditionalFormatting sqref="H114">
    <cfRule type="expression" dxfId="46" priority="25" stopIfTrue="1">
      <formula>VALUE(H101="Materialdatenbank")</formula>
    </cfRule>
  </conditionalFormatting>
  <conditionalFormatting sqref="K111">
    <cfRule type="expression" dxfId="45" priority="23" stopIfTrue="1">
      <formula>VALUE(K98="Materialdatenbank")</formula>
    </cfRule>
  </conditionalFormatting>
  <conditionalFormatting sqref="N71 Q71 T71 W71 K71 H71">
    <cfRule type="expression" dxfId="44" priority="529" stopIfTrue="1">
      <formula>VALUE(#REF!="Materialdatenbank")</formula>
    </cfRule>
  </conditionalFormatting>
  <conditionalFormatting sqref="H104">
    <cfRule type="expression" dxfId="43" priority="21" stopIfTrue="1">
      <formula>VALUE(H107="Materialdatenbank")</formula>
    </cfRule>
  </conditionalFormatting>
  <conditionalFormatting sqref="K104 N104 Q104 T104 W104">
    <cfRule type="expression" dxfId="42" priority="20" stopIfTrue="1">
      <formula>VALUE(K107="Materialdatenbank")</formula>
    </cfRule>
  </conditionalFormatting>
  <conditionalFormatting sqref="H82 K82 N82 Q82 T82 W82">
    <cfRule type="expression" dxfId="41" priority="553" stopIfTrue="1">
      <formula>VALUE(H64="Materialdatenbank")</formula>
    </cfRule>
  </conditionalFormatting>
  <conditionalFormatting sqref="H98 K98 N98 Q98 T98 W98">
    <cfRule type="expression" dxfId="40" priority="558" stopIfTrue="1">
      <formula>VALUE(H76="Materialdatenbank")</formula>
    </cfRule>
  </conditionalFormatting>
  <conditionalFormatting sqref="H77 N77 Q77 T77 W77 N81 Q81 T81 W81">
    <cfRule type="expression" dxfId="39" priority="19" stopIfTrue="1">
      <formula>VALUE(H60="Materialdatenbank")</formula>
    </cfRule>
  </conditionalFormatting>
  <conditionalFormatting sqref="K77">
    <cfRule type="expression" dxfId="38" priority="18" stopIfTrue="1">
      <formula>VALUE(K60="Materialdatenbank")</formula>
    </cfRule>
  </conditionalFormatting>
  <conditionalFormatting sqref="H81">
    <cfRule type="expression" dxfId="37" priority="15" stopIfTrue="1">
      <formula>VALUE(H64="Materialdatenbank")</formula>
    </cfRule>
  </conditionalFormatting>
  <conditionalFormatting sqref="K81">
    <cfRule type="expression" dxfId="36" priority="7" stopIfTrue="1">
      <formula>VALUE(K64="Materialdatenbank")</formula>
    </cfRule>
  </conditionalFormatting>
  <conditionalFormatting sqref="H69">
    <cfRule type="expression" dxfId="35" priority="5" stopIfTrue="1">
      <formula>VALUE(H120="Materialdatenbank")</formula>
    </cfRule>
  </conditionalFormatting>
  <conditionalFormatting sqref="K69 N69 Q69 T69 W69">
    <cfRule type="expression" dxfId="34" priority="4" stopIfTrue="1">
      <formula>VALUE(K120="Materialdatenbank")</formula>
    </cfRule>
  </conditionalFormatting>
  <conditionalFormatting sqref="K72 N72 Q72 T72 W72">
    <cfRule type="expression" dxfId="33" priority="3" stopIfTrue="1">
      <formula>VALUE(K68="Materialdatenbank")</formula>
    </cfRule>
  </conditionalFormatting>
  <conditionalFormatting sqref="K114 N114 Q114 T114 W114">
    <cfRule type="expression" dxfId="32" priority="2" stopIfTrue="1">
      <formula>VALUE(K101="Materialdatenbank")</formula>
    </cfRule>
  </conditionalFormatting>
  <conditionalFormatting sqref="H125 K125 N125 Q125 T125 W125">
    <cfRule type="expression" dxfId="31" priority="1" stopIfTrue="1">
      <formula>VALUE(#REF!="Materialdatenbank")</formula>
    </cfRule>
  </conditionalFormatting>
  <dataValidations disablePrompts="1" count="9">
    <dataValidation type="whole" allowBlank="1" showInputMessage="1" showErrorMessage="1" sqref="T50 W50 K50 H50 N50 Q50" xr:uid="{00000000-0002-0000-02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 Q67 T67 W67" xr:uid="{00000000-0002-0000-02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W52 K52 H52 N52 Q52 T52" xr:uid="{00000000-0002-0000-02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T16 K16 N16 Q16 W16" xr:uid="{00000000-0002-0000-02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T58 K58 N58 Q58 W58" xr:uid="{00000000-0002-0000-0200-000004000000}">
      <formula1>AW_Kühleisen</formula1>
    </dataValidation>
    <dataValidation type="decimal" allowBlank="1" showInputMessage="1" showErrorMessage="1" sqref="T95 K95 N95 Q95 W95 H95" xr:uid="{00000000-0002-0000-0200-000005000000}">
      <formula1>0</formula1>
      <formula2>1</formula2>
    </dataValidation>
    <dataValidation type="decimal" allowBlank="1" showInputMessage="1" showErrorMessage="1" sqref="H96 K96 N96 Q96 W96 T96" xr:uid="{00000000-0002-0000-0200-000006000000}">
      <formula1>0</formula1>
      <formula2>2</formula2>
    </dataValidation>
    <dataValidation type="whole" allowBlank="1" showInputMessage="1" showErrorMessage="1" sqref="W61 H61" xr:uid="{00000000-0002-0000-02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Q30 H30 K30 T30 N30 W30" xr:uid="{00000000-0002-0000-02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REFKALK_Sichern_Satz4">
                <anchor moveWithCells="1" sizeWithCells="1">
                  <from>
                    <xdr:col>16</xdr:col>
                    <xdr:colOff>95250</xdr:colOff>
                    <xdr:row>1</xdr:row>
                    <xdr:rowOff>76200</xdr:rowOff>
                  </from>
                  <to>
                    <xdr:col>16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EFKALK_Sichern_Satz6">
                <anchor moveWithCells="1" sizeWithCells="1">
                  <from>
                    <xdr:col>22</xdr:col>
                    <xdr:colOff>104775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2" name="Button 74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Button 75">
              <controlPr defaultSize="0" print="0" autoFill="0" autoPict="0" macro="[0]!REFKALK_Sichern_Satz6">
                <anchor moveWithCells="1" sizeWithCells="1">
                  <from>
                    <xdr:col>22</xdr:col>
                    <xdr:colOff>95250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6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errorTitle="unmöglich / impossible" error="Auswahl nicht möglich_x000a_rate not possible" xr:uid="{00000000-0002-0000-0200-000009000000}">
          <x14:formula1>
            <xm:f>Parametrikber!F$216:F$219</xm:f>
          </x14:formula1>
          <xm:sqref>H31 W31 T31 Q31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6"/>
      <c r="C2" s="217"/>
      <c r="D2" s="217"/>
      <c r="E2" s="217"/>
      <c r="F2" s="217"/>
      <c r="G2" s="217"/>
      <c r="H2" s="217"/>
      <c r="I2" s="218"/>
      <c r="K2" s="399" t="b">
        <f>OR(D21="?",D21="",D7="")</f>
        <v>0</v>
      </c>
    </row>
    <row r="3" spans="1:11" ht="18.75" thickBot="1" x14ac:dyDescent="0.3">
      <c r="B3" s="219"/>
      <c r="C3" s="220" t="s">
        <v>434</v>
      </c>
      <c r="D3" s="221"/>
      <c r="E3" s="221"/>
      <c r="F3" s="221"/>
      <c r="G3" s="221"/>
      <c r="H3" s="221"/>
      <c r="I3" s="222"/>
      <c r="K3" s="400" t="b">
        <f>K2</f>
        <v>0</v>
      </c>
    </row>
    <row r="4" spans="1:11" ht="15" thickBot="1" x14ac:dyDescent="0.25">
      <c r="A4" s="223"/>
      <c r="B4" s="224"/>
      <c r="C4" s="225"/>
      <c r="D4" s="225"/>
      <c r="E4" s="225"/>
      <c r="F4" s="225"/>
      <c r="G4" s="225"/>
      <c r="H4" s="225"/>
      <c r="I4" s="226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94"/>
      <c r="D6" s="294"/>
      <c r="E6" s="403"/>
      <c r="F6" s="404"/>
      <c r="G6" s="294"/>
      <c r="H6" s="294"/>
      <c r="I6" s="11"/>
    </row>
    <row r="7" spans="1:11" ht="15" x14ac:dyDescent="0.25">
      <c r="B7" s="9"/>
      <c r="C7" s="429" t="s">
        <v>194</v>
      </c>
      <c r="D7" s="430" t="str">
        <f>CONCATENATE('Quick Input'!U3,"_",'Quick Input'!U4)</f>
        <v>MGG_DI MC</v>
      </c>
      <c r="E7" s="403"/>
      <c r="F7" s="404"/>
      <c r="G7" s="407" t="s">
        <v>195</v>
      </c>
      <c r="H7" s="408">
        <f>'Quick Input'!L4</f>
        <v>43993</v>
      </c>
      <c r="I7" s="11"/>
    </row>
    <row r="8" spans="1:11" ht="15" x14ac:dyDescent="0.25">
      <c r="B8" s="9"/>
      <c r="C8" s="405" t="s">
        <v>196</v>
      </c>
      <c r="D8" s="409"/>
      <c r="E8" s="403"/>
      <c r="F8" s="404"/>
      <c r="G8" s="294"/>
      <c r="H8" s="294"/>
      <c r="I8" s="11"/>
    </row>
    <row r="9" spans="1:11" ht="15" x14ac:dyDescent="0.25">
      <c r="B9" s="9"/>
      <c r="C9" s="405"/>
      <c r="D9" s="410"/>
      <c r="E9" s="403"/>
      <c r="F9" s="404"/>
      <c r="G9" s="294"/>
      <c r="H9" s="294"/>
      <c r="I9" s="11"/>
    </row>
    <row r="10" spans="1:11" ht="15" x14ac:dyDescent="0.25">
      <c r="B10" s="9"/>
      <c r="C10" s="405" t="s">
        <v>197</v>
      </c>
      <c r="D10" s="406"/>
      <c r="E10" s="403"/>
      <c r="F10" s="404"/>
      <c r="G10" s="294"/>
      <c r="H10" s="294"/>
      <c r="I10" s="11"/>
    </row>
    <row r="11" spans="1:11" ht="15" x14ac:dyDescent="0.25">
      <c r="B11" s="9"/>
      <c r="C11" s="411"/>
      <c r="D11" s="412"/>
      <c r="E11" s="403"/>
      <c r="F11" s="404"/>
      <c r="G11" s="294"/>
      <c r="H11" s="294"/>
      <c r="I11" s="11"/>
    </row>
    <row r="12" spans="1:11" ht="15" x14ac:dyDescent="0.25">
      <c r="B12" s="9"/>
      <c r="C12" s="405" t="s">
        <v>198</v>
      </c>
      <c r="D12" s="898" t="str">
        <f>'Quick Input'!U5</f>
        <v>JM_PUC AL</v>
      </c>
      <c r="E12" s="403"/>
      <c r="F12" s="404"/>
      <c r="G12" s="294"/>
      <c r="H12" s="294"/>
      <c r="I12" s="11"/>
    </row>
    <row r="13" spans="1:11" ht="15" x14ac:dyDescent="0.25">
      <c r="B13" s="9"/>
      <c r="C13" s="405" t="s">
        <v>199</v>
      </c>
      <c r="D13" s="406"/>
      <c r="E13" s="403"/>
      <c r="F13" s="404"/>
      <c r="G13" s="294"/>
      <c r="H13" s="294"/>
      <c r="I13" s="11"/>
    </row>
    <row r="14" spans="1:11" ht="15" x14ac:dyDescent="0.25">
      <c r="B14" s="9"/>
      <c r="C14" s="405" t="s">
        <v>200</v>
      </c>
      <c r="D14" s="406"/>
      <c r="E14" s="403"/>
      <c r="F14" s="404"/>
      <c r="G14" s="294"/>
      <c r="H14" s="294"/>
      <c r="I14" s="11"/>
    </row>
    <row r="15" spans="1:11" ht="15" thickBot="1" x14ac:dyDescent="0.25">
      <c r="B15" s="12"/>
      <c r="C15" s="413"/>
      <c r="D15" s="414"/>
      <c r="E15" s="415"/>
      <c r="F15" s="416"/>
      <c r="G15" s="414"/>
      <c r="H15" s="414"/>
      <c r="I15" s="126"/>
      <c r="K15" s="223"/>
    </row>
    <row r="16" spans="1:11" x14ac:dyDescent="0.2">
      <c r="B16" s="6"/>
      <c r="C16" s="417"/>
      <c r="D16" s="417"/>
      <c r="E16" s="418"/>
      <c r="F16" s="417"/>
      <c r="G16" s="417"/>
      <c r="H16" s="417"/>
      <c r="I16" s="8"/>
    </row>
    <row r="17" spans="2:9" ht="15" x14ac:dyDescent="0.25">
      <c r="B17" s="9"/>
      <c r="C17" s="419" t="s">
        <v>201</v>
      </c>
      <c r="D17" s="361"/>
      <c r="E17" s="403"/>
      <c r="F17" s="294"/>
      <c r="G17" s="405" t="s">
        <v>202</v>
      </c>
      <c r="H17" s="361"/>
      <c r="I17" s="11"/>
    </row>
    <row r="18" spans="2:9" x14ac:dyDescent="0.2">
      <c r="B18" s="9"/>
      <c r="C18" s="294"/>
      <c r="D18" s="294"/>
      <c r="E18" s="403"/>
      <c r="F18" s="294"/>
      <c r="G18" s="294"/>
      <c r="H18" s="294"/>
      <c r="I18" s="11"/>
    </row>
    <row r="19" spans="2:9" x14ac:dyDescent="0.2">
      <c r="B19" s="9"/>
      <c r="C19" s="420" t="s">
        <v>203</v>
      </c>
      <c r="D19" s="406" t="str">
        <f>CONCATENATE("Siemens ",'Quick Input'!U2)</f>
        <v>Siemens Erlangen</v>
      </c>
      <c r="E19" s="403"/>
      <c r="F19" s="294"/>
      <c r="G19" s="420" t="s">
        <v>204</v>
      </c>
      <c r="H19" s="421"/>
      <c r="I19" s="11"/>
    </row>
    <row r="20" spans="2:9" x14ac:dyDescent="0.2">
      <c r="B20" s="9"/>
      <c r="C20" s="420" t="s">
        <v>205</v>
      </c>
      <c r="D20" s="406" t="str">
        <f>Refkalkulation!H6</f>
        <v>Housing</v>
      </c>
      <c r="E20" s="403"/>
      <c r="F20" s="294"/>
      <c r="G20" s="420" t="s">
        <v>206</v>
      </c>
      <c r="H20" s="421"/>
      <c r="I20" s="11"/>
    </row>
    <row r="21" spans="2:9" x14ac:dyDescent="0.2">
      <c r="B21" s="9"/>
      <c r="C21" s="73" t="s">
        <v>207</v>
      </c>
      <c r="D21" s="542">
        <f>Refkalkulation!H5</f>
        <v>58622</v>
      </c>
      <c r="E21" s="403"/>
      <c r="F21" s="294"/>
      <c r="G21" s="420" t="s">
        <v>277</v>
      </c>
      <c r="H21" s="421"/>
      <c r="I21" s="11"/>
    </row>
    <row r="22" spans="2:9" x14ac:dyDescent="0.2">
      <c r="B22" s="9"/>
      <c r="C22" s="73" t="s">
        <v>348</v>
      </c>
      <c r="D22" s="459" t="str">
        <f>Refkalkulation!H11</f>
        <v>LM2, L-2640</v>
      </c>
      <c r="E22" s="403"/>
      <c r="F22" s="294"/>
      <c r="G22" s="420" t="s">
        <v>208</v>
      </c>
      <c r="H22" s="421"/>
      <c r="I22" s="11"/>
    </row>
    <row r="23" spans="2:9" x14ac:dyDescent="0.2">
      <c r="B23" s="9"/>
      <c r="C23" s="73" t="s">
        <v>349</v>
      </c>
      <c r="D23" s="459"/>
      <c r="E23" s="403"/>
      <c r="F23" s="294"/>
      <c r="G23" s="294"/>
      <c r="H23" s="294"/>
      <c r="I23" s="11"/>
    </row>
    <row r="24" spans="2:9" x14ac:dyDescent="0.2">
      <c r="B24" s="9"/>
      <c r="C24" s="73" t="s">
        <v>358</v>
      </c>
      <c r="D24" s="484">
        <f>'Quick Input'!M36</f>
        <v>5000</v>
      </c>
      <c r="E24" s="403"/>
      <c r="F24" s="404"/>
      <c r="G24" s="294"/>
      <c r="H24" s="294"/>
      <c r="I24" s="11"/>
    </row>
    <row r="25" spans="2:9" ht="15" thickBot="1" x14ac:dyDescent="0.25">
      <c r="B25" s="12"/>
      <c r="C25" s="414"/>
      <c r="D25" s="414"/>
      <c r="E25" s="415"/>
      <c r="F25" s="414"/>
      <c r="G25" s="414"/>
      <c r="H25" s="414"/>
      <c r="I25" s="126"/>
    </row>
    <row r="26" spans="2:9" x14ac:dyDescent="0.2">
      <c r="B26" s="6"/>
      <c r="C26" s="417"/>
      <c r="D26" s="417"/>
      <c r="E26" s="418"/>
      <c r="F26" s="422"/>
      <c r="G26" s="417"/>
      <c r="H26" s="417"/>
      <c r="I26" s="8"/>
    </row>
    <row r="27" spans="2:9" ht="15" x14ac:dyDescent="0.25">
      <c r="B27" s="9"/>
      <c r="C27" s="419" t="s">
        <v>209</v>
      </c>
      <c r="D27" s="361"/>
      <c r="E27" s="403"/>
      <c r="F27" s="404"/>
      <c r="G27" s="419" t="s">
        <v>210</v>
      </c>
      <c r="H27" s="361"/>
      <c r="I27" s="11"/>
    </row>
    <row r="28" spans="2:9" x14ac:dyDescent="0.2">
      <c r="B28" s="9"/>
      <c r="D28" s="294"/>
      <c r="E28" s="403"/>
      <c r="F28" s="404"/>
      <c r="G28" s="294"/>
      <c r="H28" s="294"/>
      <c r="I28" s="11"/>
    </row>
    <row r="29" spans="2:9" x14ac:dyDescent="0.2">
      <c r="B29" s="9"/>
      <c r="C29" s="420" t="s">
        <v>549</v>
      </c>
      <c r="D29" s="421"/>
      <c r="E29" s="403"/>
      <c r="F29" s="404"/>
      <c r="G29" s="420" t="s">
        <v>278</v>
      </c>
      <c r="H29" s="421">
        <f>'Quick Input'!J22</f>
        <v>0</v>
      </c>
      <c r="I29" s="11"/>
    </row>
    <row r="30" spans="2:9" x14ac:dyDescent="0.2">
      <c r="B30" s="9"/>
      <c r="C30" s="420" t="s">
        <v>212</v>
      </c>
      <c r="D30" s="423"/>
      <c r="E30" s="403"/>
      <c r="F30" s="404"/>
      <c r="G30" s="420" t="s">
        <v>550</v>
      </c>
      <c r="H30" s="421"/>
      <c r="I30" s="11"/>
    </row>
    <row r="31" spans="2:9" x14ac:dyDescent="0.2">
      <c r="B31" s="9"/>
      <c r="C31" s="420" t="s">
        <v>661</v>
      </c>
      <c r="D31" s="423"/>
      <c r="E31" s="403"/>
      <c r="F31" s="404"/>
      <c r="G31" s="420" t="s">
        <v>550</v>
      </c>
      <c r="H31" s="421"/>
      <c r="I31" s="11"/>
    </row>
    <row r="32" spans="2:9" x14ac:dyDescent="0.2">
      <c r="B32" s="9"/>
      <c r="C32" s="420" t="s">
        <v>435</v>
      </c>
      <c r="D32" s="424"/>
      <c r="E32" s="403"/>
      <c r="F32" s="404"/>
      <c r="G32" s="420" t="s">
        <v>357</v>
      </c>
      <c r="H32" s="421"/>
      <c r="I32" s="11"/>
    </row>
    <row r="33" spans="2:9" x14ac:dyDescent="0.2">
      <c r="B33" s="9"/>
      <c r="C33" s="420" t="s">
        <v>662</v>
      </c>
      <c r="D33" s="421"/>
      <c r="E33" s="403"/>
      <c r="F33" s="404"/>
      <c r="G33" s="420" t="s">
        <v>357</v>
      </c>
      <c r="H33" s="421"/>
      <c r="I33" s="11"/>
    </row>
    <row r="34" spans="2:9" ht="15" thickBot="1" x14ac:dyDescent="0.25">
      <c r="B34" s="12"/>
      <c r="C34" s="414"/>
      <c r="D34" s="414"/>
      <c r="E34" s="415"/>
      <c r="F34" s="416"/>
      <c r="G34" s="414"/>
      <c r="H34" s="414"/>
      <c r="I34" s="126"/>
    </row>
    <row r="35" spans="2:9" x14ac:dyDescent="0.2">
      <c r="B35" s="6"/>
      <c r="C35" s="417"/>
      <c r="D35" s="417"/>
      <c r="E35" s="417"/>
      <c r="F35" s="422"/>
      <c r="G35" s="417"/>
      <c r="H35" s="417"/>
      <c r="I35" s="8"/>
    </row>
    <row r="36" spans="2:9" ht="15" x14ac:dyDescent="0.25">
      <c r="B36" s="9"/>
      <c r="C36" s="419" t="s">
        <v>276</v>
      </c>
      <c r="D36" s="361"/>
      <c r="E36" s="294"/>
      <c r="F36" s="404"/>
      <c r="G36" s="419" t="s">
        <v>213</v>
      </c>
      <c r="H36" s="361"/>
      <c r="I36" s="11"/>
    </row>
    <row r="37" spans="2:9" x14ac:dyDescent="0.2">
      <c r="B37" s="9"/>
      <c r="C37" s="294"/>
      <c r="D37" s="294"/>
      <c r="E37" s="294"/>
      <c r="F37" s="404"/>
      <c r="G37" s="294"/>
      <c r="H37" s="294"/>
      <c r="I37" s="11"/>
    </row>
    <row r="38" spans="2:9" x14ac:dyDescent="0.2">
      <c r="B38" s="9"/>
      <c r="C38" s="420" t="s">
        <v>552</v>
      </c>
      <c r="D38" s="406"/>
      <c r="E38" s="294"/>
      <c r="F38" s="404"/>
      <c r="G38" s="425" t="s">
        <v>663</v>
      </c>
      <c r="H38" s="426"/>
      <c r="I38" s="11"/>
    </row>
    <row r="39" spans="2:9" x14ac:dyDescent="0.2">
      <c r="B39" s="9"/>
      <c r="C39" s="420" t="s">
        <v>551</v>
      </c>
      <c r="D39" s="406"/>
      <c r="E39" s="294"/>
      <c r="F39" s="404"/>
      <c r="G39" s="425" t="s">
        <v>664</v>
      </c>
      <c r="H39" s="426"/>
      <c r="I39" s="11"/>
    </row>
    <row r="40" spans="2:9" x14ac:dyDescent="0.2">
      <c r="B40" s="9"/>
      <c r="C40" s="420" t="s">
        <v>553</v>
      </c>
      <c r="D40" s="406"/>
      <c r="E40" s="294"/>
      <c r="F40" s="404"/>
      <c r="G40" s="425" t="s">
        <v>665</v>
      </c>
      <c r="H40" s="426"/>
      <c r="I40" s="11"/>
    </row>
    <row r="41" spans="2:9" x14ac:dyDescent="0.2">
      <c r="B41" s="9"/>
      <c r="C41" s="420" t="s">
        <v>214</v>
      </c>
      <c r="D41" s="406"/>
      <c r="E41" s="294"/>
      <c r="F41" s="404"/>
      <c r="G41" s="425" t="s">
        <v>666</v>
      </c>
      <c r="H41" s="426"/>
      <c r="I41" s="11"/>
    </row>
    <row r="42" spans="2:9" x14ac:dyDescent="0.2">
      <c r="B42" s="9"/>
      <c r="C42" s="420"/>
      <c r="D42" s="294"/>
      <c r="E42" s="294"/>
      <c r="F42" s="404"/>
      <c r="G42" s="425"/>
      <c r="H42" s="426"/>
      <c r="I42" s="11"/>
    </row>
    <row r="43" spans="2:9" ht="15" thickBot="1" x14ac:dyDescent="0.25">
      <c r="B43" s="12"/>
      <c r="C43" s="414"/>
      <c r="D43" s="414"/>
      <c r="E43" s="414"/>
      <c r="F43" s="404"/>
      <c r="G43" s="425"/>
      <c r="H43" s="426"/>
      <c r="I43" s="11"/>
    </row>
    <row r="44" spans="2:9" x14ac:dyDescent="0.2">
      <c r="B44" s="6"/>
      <c r="C44" s="417"/>
      <c r="D44" s="417"/>
      <c r="E44" s="418"/>
      <c r="F44" s="404"/>
      <c r="G44" s="425"/>
      <c r="H44" s="426"/>
      <c r="I44" s="11"/>
    </row>
    <row r="45" spans="2:9" ht="15" x14ac:dyDescent="0.25">
      <c r="B45" s="9"/>
      <c r="C45" s="419" t="s">
        <v>215</v>
      </c>
      <c r="D45" s="361"/>
      <c r="E45" s="403"/>
      <c r="F45" s="404"/>
      <c r="G45" s="425"/>
      <c r="H45" s="426"/>
      <c r="I45" s="11"/>
    </row>
    <row r="46" spans="2:9" x14ac:dyDescent="0.2">
      <c r="B46" s="9"/>
      <c r="C46" s="294"/>
      <c r="D46" s="294"/>
      <c r="E46" s="403"/>
      <c r="F46" s="404"/>
      <c r="G46" s="425"/>
      <c r="H46" s="426"/>
      <c r="I46" s="11"/>
    </row>
    <row r="47" spans="2:9" x14ac:dyDescent="0.2">
      <c r="B47" s="9"/>
      <c r="C47" s="420" t="s">
        <v>280</v>
      </c>
      <c r="D47" s="421"/>
      <c r="E47" s="403"/>
      <c r="F47" s="404"/>
      <c r="G47" s="294"/>
      <c r="H47" s="427"/>
      <c r="I47" s="11"/>
    </row>
    <row r="48" spans="2:9" x14ac:dyDescent="0.2">
      <c r="B48" s="9"/>
      <c r="C48" s="420" t="s">
        <v>279</v>
      </c>
      <c r="D48" s="421"/>
      <c r="E48" s="403"/>
      <c r="F48" s="404"/>
      <c r="G48" s="425" t="s">
        <v>667</v>
      </c>
      <c r="H48" s="428">
        <f>SUM(H38:H46)</f>
        <v>0</v>
      </c>
      <c r="I48" s="11"/>
    </row>
    <row r="49" spans="1:11" x14ac:dyDescent="0.2">
      <c r="B49" s="9"/>
      <c r="C49" s="420" t="s">
        <v>281</v>
      </c>
      <c r="D49" s="421"/>
      <c r="E49" s="403"/>
      <c r="F49" s="404"/>
      <c r="G49" s="294"/>
      <c r="H49" s="294"/>
      <c r="I49" s="11"/>
    </row>
    <row r="50" spans="1:11" x14ac:dyDescent="0.2">
      <c r="B50" s="9"/>
      <c r="C50" s="294"/>
      <c r="D50" s="294"/>
      <c r="E50" s="403"/>
      <c r="F50" s="404"/>
      <c r="G50" s="294"/>
      <c r="H50" s="294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9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216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217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218</v>
      </c>
      <c r="H101" s="26"/>
      <c r="I101" s="26"/>
      <c r="J101" s="26"/>
    </row>
    <row r="102" spans="1:10" x14ac:dyDescent="0.2">
      <c r="A102" t="s">
        <v>211</v>
      </c>
      <c r="C102" t="s">
        <v>211</v>
      </c>
      <c r="D102" t="s">
        <v>211</v>
      </c>
      <c r="H102" s="26"/>
      <c r="I102" s="26"/>
      <c r="J102" s="26"/>
    </row>
    <row r="103" spans="1:10" x14ac:dyDescent="0.2">
      <c r="A103" t="s">
        <v>219</v>
      </c>
      <c r="C103" t="s">
        <v>220</v>
      </c>
      <c r="D103" s="26" t="s">
        <v>221</v>
      </c>
      <c r="H103" s="26"/>
      <c r="I103" s="26"/>
      <c r="J103" s="26"/>
    </row>
    <row r="104" spans="1:10" x14ac:dyDescent="0.2">
      <c r="A104" t="s">
        <v>222</v>
      </c>
      <c r="B104" s="1"/>
      <c r="C104" t="s">
        <v>223</v>
      </c>
      <c r="D104" s="26" t="s">
        <v>224</v>
      </c>
      <c r="H104" s="26"/>
      <c r="I104" s="26"/>
      <c r="J104" s="26"/>
    </row>
    <row r="105" spans="1:10" x14ac:dyDescent="0.2">
      <c r="A105" t="s">
        <v>225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226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227</v>
      </c>
      <c r="B107" s="1"/>
      <c r="C107" t="s">
        <v>228</v>
      </c>
    </row>
    <row r="108" spans="1:10" x14ac:dyDescent="0.2">
      <c r="C108" t="s">
        <v>229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56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51">
        <v>1</v>
      </c>
      <c r="G3" s="749" t="str">
        <f>IF(C$2,'Länder-DB'!A2,'Länder-DB'!B2)</f>
        <v>Deutschland</v>
      </c>
      <c r="H3" s="767" t="str">
        <f>'Länder-DB'!B2</f>
        <v>Germany</v>
      </c>
      <c r="I3" s="767" t="str">
        <f>'Länder-DB'!A2</f>
        <v>Deutschland</v>
      </c>
      <c r="J3" s="61">
        <f t="shared" ref="J3:J15" si="0">F3</f>
        <v>1</v>
      </c>
      <c r="L3" s="526"/>
    </row>
    <row r="4" spans="1:12" ht="15" thickBot="1" x14ac:dyDescent="0.25">
      <c r="B4" s="46"/>
      <c r="C4" s="32"/>
      <c r="D4" s="32"/>
      <c r="F4" s="752">
        <v>2</v>
      </c>
      <c r="G4" s="749" t="str">
        <f>IF(C$2,'Länder-DB'!A3,'Länder-DB'!B3)</f>
        <v>Frankreich</v>
      </c>
      <c r="H4" s="767" t="str">
        <f>'Länder-DB'!B3</f>
        <v>France</v>
      </c>
      <c r="I4" s="767" t="str">
        <f>'Länder-DB'!A3</f>
        <v>Frankreich</v>
      </c>
      <c r="J4" s="61">
        <f t="shared" si="0"/>
        <v>2</v>
      </c>
    </row>
    <row r="5" spans="1:12" ht="15" thickBot="1" x14ac:dyDescent="0.25">
      <c r="F5" s="752">
        <v>3</v>
      </c>
      <c r="G5" s="749" t="str">
        <f>IF(C$2,'Länder-DB'!A4,'Länder-DB'!B4)</f>
        <v>Italien</v>
      </c>
      <c r="H5" s="767" t="str">
        <f>'Länder-DB'!B4</f>
        <v>Italy</v>
      </c>
      <c r="I5" s="767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56">
        <v>2</v>
      </c>
      <c r="D6" s="37" t="str">
        <f>'Quick Input'!D46</f>
        <v>shift model</v>
      </c>
      <c r="E6" s="28"/>
      <c r="F6" s="752">
        <v>4</v>
      </c>
      <c r="G6" s="749" t="str">
        <f>IF(C$2,'Länder-DB'!A5,'Länder-DB'!B5)</f>
        <v>Tschechien</v>
      </c>
      <c r="H6" s="767" t="str">
        <f>'Länder-DB'!B5</f>
        <v>Czech Republic</v>
      </c>
      <c r="I6" s="767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47">
        <f>A7</f>
        <v>1</v>
      </c>
      <c r="F7" s="752">
        <v>5</v>
      </c>
      <c r="G7" s="749" t="str">
        <f>IF(C$2,'Länder-DB'!A6,'Länder-DB'!B6)</f>
        <v>Polen</v>
      </c>
      <c r="H7" s="767" t="str">
        <f>'Länder-DB'!B6</f>
        <v>Poland</v>
      </c>
      <c r="I7" s="767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47">
        <f>A8</f>
        <v>2</v>
      </c>
      <c r="F8" s="752">
        <v>6</v>
      </c>
      <c r="G8" s="749" t="str">
        <f>IF(C$2,'Länder-DB'!A7,'Länder-DB'!B7)</f>
        <v>Bulgarien</v>
      </c>
      <c r="H8" s="767" t="str">
        <f>'Länder-DB'!B7</f>
        <v>Bulgaria</v>
      </c>
      <c r="I8" s="767" t="str">
        <f>'Länder-DB'!A7</f>
        <v>Bulgarien</v>
      </c>
      <c r="J8" s="61">
        <f t="shared" si="0"/>
        <v>6</v>
      </c>
    </row>
    <row r="9" spans="1:12" ht="15" thickBot="1" x14ac:dyDescent="0.25">
      <c r="A9" s="746">
        <v>3</v>
      </c>
      <c r="B9" s="431" t="str">
        <f>IF(C$2,D9,C9)</f>
        <v>3-Schicht</v>
      </c>
      <c r="C9" s="32" t="s">
        <v>63</v>
      </c>
      <c r="D9" s="32" t="s">
        <v>21</v>
      </c>
      <c r="E9" s="748">
        <v>3</v>
      </c>
      <c r="F9" s="752">
        <v>7</v>
      </c>
      <c r="G9" s="749" t="str">
        <f>IF(C$2,'Länder-DB'!A8,'Länder-DB'!B8)</f>
        <v>Rumänien</v>
      </c>
      <c r="H9" s="767" t="str">
        <f>'Länder-DB'!B8</f>
        <v>Romania</v>
      </c>
      <c r="I9" s="767" t="str">
        <f>'Länder-DB'!A8</f>
        <v>Rumänien</v>
      </c>
      <c r="J9" s="61">
        <f t="shared" si="0"/>
        <v>7</v>
      </c>
    </row>
    <row r="10" spans="1:12" ht="15" thickBot="1" x14ac:dyDescent="0.25">
      <c r="F10" s="752">
        <v>8</v>
      </c>
      <c r="G10" s="749" t="str">
        <f>IF(C$2,'Länder-DB'!A9,'Länder-DB'!B9)</f>
        <v>Türkei</v>
      </c>
      <c r="H10" s="767" t="str">
        <f>'Länder-DB'!B9</f>
        <v>Turkey</v>
      </c>
      <c r="I10" s="767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585</v>
      </c>
      <c r="C11" s="37"/>
      <c r="D11" s="37" t="str">
        <f>'Quick Input'!D12</f>
        <v>pricing source</v>
      </c>
      <c r="E11" s="141"/>
      <c r="F11" s="752">
        <v>9</v>
      </c>
      <c r="G11" s="749" t="str">
        <f>IF(C$2,'Länder-DB'!A10,'Länder-DB'!B10)</f>
        <v>Indien</v>
      </c>
      <c r="H11" s="767" t="str">
        <f>'Länder-DB'!B10</f>
        <v>India</v>
      </c>
      <c r="I11" s="767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45" t="str">
        <f>IF(C$2,D12,C12)</f>
        <v>manuell</v>
      </c>
      <c r="C12" s="5" t="s">
        <v>180</v>
      </c>
      <c r="D12" s="5" t="s">
        <v>77</v>
      </c>
      <c r="E12" s="61">
        <f t="shared" ref="E12:E68" si="1">A12</f>
        <v>1</v>
      </c>
      <c r="F12" s="752">
        <v>10</v>
      </c>
      <c r="G12" s="749" t="str">
        <f>IF(C$2,'Länder-DB'!A11,'Länder-DB'!B11)</f>
        <v>China</v>
      </c>
      <c r="H12" s="767" t="str">
        <f>'Länder-DB'!B11</f>
        <v>China</v>
      </c>
      <c r="I12" s="767" t="str">
        <f>'Länder-DB'!A11</f>
        <v>China</v>
      </c>
      <c r="J12" s="61">
        <f t="shared" si="0"/>
        <v>10</v>
      </c>
    </row>
    <row r="13" spans="1:12" ht="15.75" thickBot="1" x14ac:dyDescent="0.3">
      <c r="A13" s="746">
        <v>2</v>
      </c>
      <c r="B13" s="590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52">
        <v>11</v>
      </c>
      <c r="G13" s="749" t="str">
        <f>IF(C$2,'Länder-DB'!A12,'Länder-DB'!B12)</f>
        <v>USA - Illinois</v>
      </c>
      <c r="H13" s="767" t="str">
        <f>'Länder-DB'!B12</f>
        <v>USA - Illinois</v>
      </c>
      <c r="I13" s="767" t="str">
        <f>'Länder-DB'!A12</f>
        <v>USA - Illinois</v>
      </c>
      <c r="J13" s="61">
        <f t="shared" si="0"/>
        <v>11</v>
      </c>
    </row>
    <row r="14" spans="1:12" ht="15" thickBot="1" x14ac:dyDescent="0.25">
      <c r="F14" s="752">
        <v>12</v>
      </c>
      <c r="G14" s="749" t="str">
        <f>IF(C$2,'Länder-DB'!A13,'Länder-DB'!B13)</f>
        <v>Spanien</v>
      </c>
      <c r="H14" s="767" t="str">
        <f>'Länder-DB'!B13</f>
        <v>Spain</v>
      </c>
      <c r="I14" s="767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56">
        <v>2</v>
      </c>
      <c r="D15" s="37" t="str">
        <f>'Quick Input'!D21</f>
        <v>part complexity</v>
      </c>
      <c r="E15" s="37"/>
      <c r="F15" s="753">
        <v>13</v>
      </c>
      <c r="G15" s="750" t="str">
        <f>IF(C$2,'Länder-DB'!A14,'Länder-DB'!B14)</f>
        <v>Mexiko</v>
      </c>
      <c r="H15" s="768" t="str">
        <f>'Länder-DB'!B14</f>
        <v>Mexico</v>
      </c>
      <c r="I15" s="768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501" t="s">
        <v>438</v>
      </c>
      <c r="D16" s="501" t="s">
        <v>436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501" t="s">
        <v>441</v>
      </c>
      <c r="D17" s="501" t="s">
        <v>437</v>
      </c>
      <c r="E17" s="31">
        <f t="shared" si="1"/>
        <v>2</v>
      </c>
      <c r="G17" s="526"/>
    </row>
    <row r="18" spans="1:7" x14ac:dyDescent="0.2">
      <c r="A18" s="146">
        <v>3</v>
      </c>
      <c r="B18" s="45" t="str">
        <f>IF(C$2,D18,C18)</f>
        <v>schwierig</v>
      </c>
      <c r="C18" s="501" t="s">
        <v>443</v>
      </c>
      <c r="D18" s="501" t="s">
        <v>440</v>
      </c>
      <c r="E18" s="31">
        <f t="shared" si="1"/>
        <v>3</v>
      </c>
    </row>
    <row r="19" spans="1:7" ht="15" thickBot="1" x14ac:dyDescent="0.25">
      <c r="A19" s="746">
        <v>4</v>
      </c>
      <c r="B19" s="46" t="str">
        <f>IF(C$2,D19,C19)</f>
        <v>komplex</v>
      </c>
      <c r="C19" s="502" t="s">
        <v>442</v>
      </c>
      <c r="D19" s="502" t="s">
        <v>439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26"/>
    </row>
    <row r="23" spans="1:7" ht="15" thickBot="1" x14ac:dyDescent="0.25">
      <c r="A23" s="746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232</v>
      </c>
      <c r="C25" s="456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501" t="s">
        <v>824</v>
      </c>
      <c r="D26" s="5" t="s">
        <v>118</v>
      </c>
      <c r="E26" s="31">
        <f t="shared" si="1"/>
        <v>1</v>
      </c>
      <c r="G26" s="526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46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458</v>
      </c>
      <c r="C30" s="456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264</v>
      </c>
      <c r="D31" s="5" t="s">
        <v>265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501" t="s">
        <v>445</v>
      </c>
      <c r="D32" s="501" t="s">
        <v>447</v>
      </c>
      <c r="E32" s="31">
        <f t="shared" si="1"/>
        <v>2</v>
      </c>
    </row>
    <row r="33" spans="1:7" ht="15" thickBot="1" x14ac:dyDescent="0.25">
      <c r="A33" s="746">
        <v>3</v>
      </c>
      <c r="B33" s="46" t="str">
        <f>IF(C$2,D33,C33)</f>
        <v>Abnahmeprüfzeugnis 3.1</v>
      </c>
      <c r="C33" s="503" t="s">
        <v>446</v>
      </c>
      <c r="D33" s="502" t="s">
        <v>444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270</v>
      </c>
      <c r="C35" s="456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45" t="str">
        <f>IF(C$2,D36,C36)</f>
        <v>Handformen</v>
      </c>
      <c r="C36" s="501" t="s">
        <v>373</v>
      </c>
      <c r="D36" s="501" t="s">
        <v>372</v>
      </c>
      <c r="E36" s="61">
        <f t="shared" si="1"/>
        <v>1</v>
      </c>
      <c r="G36" s="526"/>
    </row>
    <row r="37" spans="1:7" x14ac:dyDescent="0.2">
      <c r="A37" s="146">
        <v>2</v>
      </c>
      <c r="B37" s="60" t="str">
        <f>IF(C$2,D37,C37)</f>
        <v>halbautomatisch</v>
      </c>
      <c r="C37" s="501" t="s">
        <v>472</v>
      </c>
      <c r="D37" s="501" t="s">
        <v>471</v>
      </c>
      <c r="E37" s="31">
        <f t="shared" si="1"/>
        <v>2</v>
      </c>
    </row>
    <row r="38" spans="1:7" ht="15.75" thickBot="1" x14ac:dyDescent="0.3">
      <c r="A38" s="746">
        <v>3</v>
      </c>
      <c r="B38" s="590" t="str">
        <f>IF(C$2,D38,C38)</f>
        <v>automatisch</v>
      </c>
      <c r="C38" s="503" t="s">
        <v>474</v>
      </c>
      <c r="D38" s="502" t="s">
        <v>473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296</v>
      </c>
      <c r="C40" s="456">
        <v>1</v>
      </c>
      <c r="D40" s="37" t="s">
        <v>300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501" t="s">
        <v>573</v>
      </c>
      <c r="D41" s="501" t="s">
        <v>572</v>
      </c>
      <c r="E41" s="61">
        <f t="shared" si="1"/>
        <v>1</v>
      </c>
      <c r="G41" s="526"/>
    </row>
    <row r="42" spans="1:7" x14ac:dyDescent="0.2">
      <c r="A42" s="146">
        <v>2</v>
      </c>
      <c r="B42" s="45" t="str">
        <f t="shared" si="2"/>
        <v>T5</v>
      </c>
      <c r="C42" s="501" t="s">
        <v>571</v>
      </c>
      <c r="D42" s="501" t="s">
        <v>571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501" t="s">
        <v>297</v>
      </c>
      <c r="D43" s="501" t="s">
        <v>297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90" t="s">
        <v>299</v>
      </c>
      <c r="D44" s="5" t="s">
        <v>299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298</v>
      </c>
      <c r="D45" s="5" t="s">
        <v>298</v>
      </c>
      <c r="E45" s="31">
        <f t="shared" si="1"/>
        <v>5</v>
      </c>
    </row>
    <row r="46" spans="1:7" ht="15" thickBot="1" x14ac:dyDescent="0.25">
      <c r="A46" s="746">
        <v>6</v>
      </c>
      <c r="B46" s="46" t="str">
        <f t="shared" si="2"/>
        <v>T7</v>
      </c>
      <c r="C46" s="502" t="s">
        <v>570</v>
      </c>
      <c r="D46" s="502" t="s">
        <v>570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351</v>
      </c>
      <c r="C48" s="456">
        <v>1</v>
      </c>
      <c r="D48" s="504" t="s">
        <v>376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264</v>
      </c>
      <c r="D49" s="5" t="s">
        <v>265</v>
      </c>
      <c r="E49" s="61">
        <f t="shared" si="1"/>
        <v>1</v>
      </c>
      <c r="G49" s="526"/>
    </row>
    <row r="50" spans="1:7" x14ac:dyDescent="0.2">
      <c r="A50" s="146">
        <v>2</v>
      </c>
      <c r="B50" s="45" t="str">
        <f>IF(C$2,D50,C50)</f>
        <v>Kernschießen</v>
      </c>
      <c r="C50" s="501" t="s">
        <v>378</v>
      </c>
      <c r="D50" s="501" t="s">
        <v>375</v>
      </c>
      <c r="E50" s="31">
        <f t="shared" si="1"/>
        <v>2</v>
      </c>
    </row>
    <row r="51" spans="1:7" ht="15" thickBot="1" x14ac:dyDescent="0.25">
      <c r="A51" s="746">
        <v>3</v>
      </c>
      <c r="B51" s="46" t="str">
        <f>IF(C$2,D51,C51)</f>
        <v>Handformkern</v>
      </c>
      <c r="C51" s="502" t="s">
        <v>373</v>
      </c>
      <c r="D51" s="502" t="s">
        <v>374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762</v>
      </c>
      <c r="C53" s="456">
        <v>1</v>
      </c>
      <c r="D53" s="504" t="s">
        <v>763</v>
      </c>
      <c r="E53" s="141"/>
      <c r="G53" s="526"/>
    </row>
    <row r="54" spans="1:7" ht="15" x14ac:dyDescent="0.25">
      <c r="A54" s="141">
        <v>1</v>
      </c>
      <c r="B54" s="59" t="str">
        <f>IF(C$2,D54,C54)</f>
        <v>Cold Box</v>
      </c>
      <c r="C54" s="501" t="s">
        <v>767</v>
      </c>
      <c r="D54" s="501" t="s">
        <v>766</v>
      </c>
      <c r="E54" s="61">
        <f t="shared" ref="E54:E57" si="3">A54</f>
        <v>1</v>
      </c>
      <c r="G54" s="526"/>
    </row>
    <row r="55" spans="1:7" x14ac:dyDescent="0.2">
      <c r="A55" s="146">
        <v>2</v>
      </c>
      <c r="B55" s="709" t="str">
        <f>IF(C$2,D55,C55)</f>
        <v>Hot Box</v>
      </c>
      <c r="C55" s="707" t="s">
        <v>765</v>
      </c>
      <c r="D55" s="707" t="s">
        <v>764</v>
      </c>
      <c r="E55" s="31">
        <f t="shared" si="3"/>
        <v>2</v>
      </c>
    </row>
    <row r="56" spans="1:7" x14ac:dyDescent="0.2">
      <c r="A56" s="146">
        <v>3</v>
      </c>
      <c r="B56" s="709" t="str">
        <f>IF(C$2,D56,C56)</f>
        <v>Co2-Kerne</v>
      </c>
      <c r="C56" s="707" t="s">
        <v>772</v>
      </c>
      <c r="D56" s="707" t="s">
        <v>771</v>
      </c>
      <c r="E56" s="31">
        <f t="shared" si="3"/>
        <v>3</v>
      </c>
    </row>
    <row r="57" spans="1:7" ht="15" thickBot="1" x14ac:dyDescent="0.25">
      <c r="A57" s="746">
        <v>4</v>
      </c>
      <c r="B57" s="710" t="str">
        <f>IF(C$2,D57,C57)</f>
        <v>BeachBox</v>
      </c>
      <c r="C57" s="708" t="s">
        <v>768</v>
      </c>
      <c r="D57" s="708" t="s">
        <v>768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453</v>
      </c>
      <c r="C59" s="456">
        <v>1</v>
      </c>
      <c r="D59" s="504" t="s">
        <v>454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501" t="s">
        <v>264</v>
      </c>
      <c r="D60" s="501" t="s">
        <v>265</v>
      </c>
      <c r="E60" s="31">
        <f t="shared" si="1"/>
        <v>1</v>
      </c>
      <c r="G60" s="526"/>
    </row>
    <row r="61" spans="1:7" x14ac:dyDescent="0.2">
      <c r="A61" s="146">
        <v>2</v>
      </c>
      <c r="B61" s="545" t="str">
        <f>IF(C$2,D61,C61)</f>
        <v>MIG/WIG</v>
      </c>
      <c r="C61" s="501" t="str">
        <f>D61</f>
        <v>MIG/WIG</v>
      </c>
      <c r="D61" s="501" t="s">
        <v>455</v>
      </c>
      <c r="E61" s="31">
        <f t="shared" si="1"/>
        <v>2</v>
      </c>
    </row>
    <row r="62" spans="1:7" ht="15" thickBot="1" x14ac:dyDescent="0.25">
      <c r="A62" s="746">
        <v>3</v>
      </c>
      <c r="B62" s="46" t="str">
        <f>IF(C$2,D62,C62)</f>
        <v>AGL</v>
      </c>
      <c r="C62" s="502" t="str">
        <f>D62</f>
        <v>AGL</v>
      </c>
      <c r="D62" s="502" t="s">
        <v>456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564</v>
      </c>
      <c r="C64" s="456">
        <v>1</v>
      </c>
      <c r="D64" s="504" t="s">
        <v>565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264</v>
      </c>
      <c r="D65" s="5" t="s">
        <v>265</v>
      </c>
      <c r="E65" s="61">
        <f t="shared" si="1"/>
        <v>1</v>
      </c>
      <c r="G65" s="526"/>
    </row>
    <row r="66" spans="1:7" x14ac:dyDescent="0.2">
      <c r="A66" s="146">
        <v>2</v>
      </c>
      <c r="B66" s="709">
        <f>IF(C$2,D66,C66)</f>
        <v>0.05</v>
      </c>
      <c r="C66" s="707">
        <v>0.05</v>
      </c>
      <c r="D66" s="707">
        <v>0.05</v>
      </c>
      <c r="E66" s="31">
        <f t="shared" si="1"/>
        <v>2</v>
      </c>
    </row>
    <row r="67" spans="1:7" x14ac:dyDescent="0.2">
      <c r="A67" s="146">
        <v>3</v>
      </c>
      <c r="B67" s="709">
        <f>IF(C$2,D67,C67)</f>
        <v>0.1</v>
      </c>
      <c r="C67" s="707">
        <v>0.1</v>
      </c>
      <c r="D67" s="707">
        <v>0.1</v>
      </c>
      <c r="E67" s="31">
        <f t="shared" si="1"/>
        <v>3</v>
      </c>
    </row>
    <row r="68" spans="1:7" ht="15" thickBot="1" x14ac:dyDescent="0.25">
      <c r="A68" s="746">
        <v>4</v>
      </c>
      <c r="B68" s="710">
        <f>IF(C$2,D68,C68)</f>
        <v>0.15</v>
      </c>
      <c r="C68" s="708">
        <v>0.15</v>
      </c>
      <c r="D68" s="708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814</v>
      </c>
      <c r="C70" s="456">
        <v>2</v>
      </c>
      <c r="D70" s="504" t="s">
        <v>813</v>
      </c>
      <c r="E70" s="37"/>
      <c r="G70" s="526"/>
    </row>
    <row r="71" spans="1:7" x14ac:dyDescent="0.2">
      <c r="A71" s="141">
        <v>1</v>
      </c>
      <c r="B71" s="60" t="str">
        <f>IF(C$2,D71,C71)</f>
        <v>Gas</v>
      </c>
      <c r="C71" s="501" t="s">
        <v>809</v>
      </c>
      <c r="D71" s="501" t="s">
        <v>110</v>
      </c>
      <c r="E71" s="31">
        <f>A71</f>
        <v>1</v>
      </c>
      <c r="G71" s="526"/>
    </row>
    <row r="72" spans="1:7" ht="15" x14ac:dyDescent="0.25">
      <c r="A72" s="146">
        <v>2</v>
      </c>
      <c r="B72" s="59" t="str">
        <f>IF(C$2,D72,C72)</f>
        <v>Strom</v>
      </c>
      <c r="C72" s="501" t="s">
        <v>810</v>
      </c>
      <c r="D72" s="501" t="s">
        <v>107</v>
      </c>
      <c r="E72" s="31">
        <f>A72</f>
        <v>2</v>
      </c>
    </row>
    <row r="73" spans="1:7" ht="15" thickBot="1" x14ac:dyDescent="0.25">
      <c r="A73" s="746">
        <v>3</v>
      </c>
      <c r="B73" s="46" t="str">
        <f>IF(C$2,D73,C73)</f>
        <v>Heizöl</v>
      </c>
      <c r="C73" s="502" t="s">
        <v>812</v>
      </c>
      <c r="D73" s="502" t="s">
        <v>811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26"/>
    </row>
    <row r="76" spans="1:7" x14ac:dyDescent="0.2">
      <c r="B76" s="60" t="str">
        <f>IF(C$2,C76,D76)</f>
        <v>Sandstrahlen</v>
      </c>
      <c r="C76" s="501" t="s">
        <v>377</v>
      </c>
      <c r="D76" s="501" t="s">
        <v>827</v>
      </c>
      <c r="E76" s="41"/>
    </row>
    <row r="77" spans="1:7" ht="15" x14ac:dyDescent="0.25">
      <c r="B77" s="59" t="str">
        <f>IF(C$2,C77,D77)</f>
        <v>Gleitschleifen</v>
      </c>
      <c r="C77" s="501" t="s">
        <v>717</v>
      </c>
      <c r="D77" s="501" t="s">
        <v>718</v>
      </c>
      <c r="E77" s="41"/>
    </row>
    <row r="78" spans="1:7" ht="15" thickBot="1" x14ac:dyDescent="0.25">
      <c r="B78" s="46" t="str">
        <f>IF(C$2,C78,D78)</f>
        <v>Feinputzen</v>
      </c>
      <c r="C78" s="502" t="s">
        <v>719</v>
      </c>
      <c r="D78" s="502" t="s">
        <v>720</v>
      </c>
      <c r="E78" s="1068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400-000000000000}">
      <formula1>E54:E57</formula1>
    </dataValidation>
    <dataValidation type="list" showInputMessage="1" showErrorMessage="1" sqref="C6" xr:uid="{00000000-0002-0000-0400-000001000000}">
      <formula1>$E$7:$E$9</formula1>
    </dataValidation>
    <dataValidation type="list" allowBlank="1" showInputMessage="1" showErrorMessage="1" sqref="C70 C59 C48 C35 C30 C25" xr:uid="{00000000-0002-0000-0400-000002000000}">
      <formula1>E26:E28</formula1>
    </dataValidation>
    <dataValidation type="list" showInputMessage="1" showErrorMessage="1" sqref="C15" xr:uid="{00000000-0002-0000-0400-000003000000}">
      <formula1>E16:E19</formula1>
    </dataValidation>
    <dataValidation type="list" allowBlank="1" showInputMessage="1" showErrorMessage="1" sqref="C40" xr:uid="{00000000-0002-0000-0400-000004000000}">
      <formula1>E41:E46</formula1>
    </dataValidation>
    <dataValidation type="list" allowBlank="1" showInputMessage="1" showErrorMessage="1" sqref="H2" xr:uid="{00000000-0002-0000-04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theme="5" tint="0.59999389629810485"/>
  </sheetPr>
  <dimension ref="A1:P55"/>
  <sheetViews>
    <sheetView zoomScale="115" zoomScaleNormal="115" workbookViewId="0">
      <selection activeCell="H3" sqref="H3"/>
    </sheetView>
  </sheetViews>
  <sheetFormatPr baseColWidth="10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20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243</v>
      </c>
      <c r="H1" s="56" t="s">
        <v>295</v>
      </c>
      <c r="I1" s="56" t="s">
        <v>244</v>
      </c>
      <c r="J1" s="65" t="s">
        <v>292</v>
      </c>
      <c r="K1" s="65" t="s">
        <v>291</v>
      </c>
      <c r="L1" s="65" t="s">
        <v>290</v>
      </c>
      <c r="M1" s="548" t="s">
        <v>457</v>
      </c>
      <c r="N1" s="65" t="s">
        <v>293</v>
      </c>
      <c r="O1" s="65" t="s">
        <v>294</v>
      </c>
    </row>
    <row r="2" spans="1:15" ht="15" x14ac:dyDescent="0.25">
      <c r="A2" s="769" t="s">
        <v>14</v>
      </c>
      <c r="B2" s="770" t="s">
        <v>67</v>
      </c>
      <c r="C2" s="1072">
        <v>18.940000000000001</v>
      </c>
      <c r="D2" s="1073">
        <v>22.45</v>
      </c>
      <c r="E2" s="1073">
        <v>25.59</v>
      </c>
      <c r="F2" s="1074">
        <v>3.2300000000000002E-2</v>
      </c>
      <c r="G2" s="1185">
        <v>7.0000000000000007E-2</v>
      </c>
      <c r="H2" s="1073">
        <v>6.5</v>
      </c>
      <c r="I2" s="1185">
        <v>5.2999999999999999E-2</v>
      </c>
      <c r="J2" s="754">
        <v>0</v>
      </c>
      <c r="K2" s="754">
        <v>0</v>
      </c>
      <c r="L2" s="754">
        <v>0</v>
      </c>
      <c r="M2" s="755">
        <v>0</v>
      </c>
      <c r="N2" s="1084">
        <v>0.621</v>
      </c>
      <c r="O2" s="1085">
        <v>0.71899999999999997</v>
      </c>
    </row>
    <row r="3" spans="1:15" x14ac:dyDescent="0.2">
      <c r="A3" s="771" t="s">
        <v>15</v>
      </c>
      <c r="B3" s="772" t="s">
        <v>595</v>
      </c>
      <c r="C3" s="1072">
        <v>13.61</v>
      </c>
      <c r="D3" s="1075">
        <v>16.489999999999998</v>
      </c>
      <c r="E3" s="1075">
        <v>17.350000000000001</v>
      </c>
      <c r="F3" s="1076">
        <v>3.2000000000000001E-2</v>
      </c>
      <c r="G3" s="1186">
        <v>7.0000000000000007E-2</v>
      </c>
      <c r="H3" s="1075">
        <v>6.7</v>
      </c>
      <c r="I3" s="1186">
        <v>0.05</v>
      </c>
      <c r="J3" s="756">
        <v>0</v>
      </c>
      <c r="K3" s="756">
        <v>-5.0000000000000001E-3</v>
      </c>
      <c r="L3" s="756">
        <v>0</v>
      </c>
      <c r="M3" s="757">
        <v>0</v>
      </c>
      <c r="N3" s="1086">
        <v>1.0464</v>
      </c>
      <c r="O3" s="1087">
        <v>1.1064000000000001</v>
      </c>
    </row>
    <row r="4" spans="1:15" x14ac:dyDescent="0.2">
      <c r="A4" s="771" t="s">
        <v>13</v>
      </c>
      <c r="B4" s="772" t="s">
        <v>596</v>
      </c>
      <c r="C4" s="1072">
        <v>11.84</v>
      </c>
      <c r="D4" s="1072">
        <v>12.63</v>
      </c>
      <c r="E4" s="1072">
        <v>15.72</v>
      </c>
      <c r="F4" s="1077">
        <v>3.5299999999999998E-2</v>
      </c>
      <c r="G4" s="1187">
        <v>0.09</v>
      </c>
      <c r="H4" s="1072">
        <v>5.18</v>
      </c>
      <c r="I4" s="1187">
        <v>8.5999999999999993E-2</v>
      </c>
      <c r="J4" s="756">
        <v>0</v>
      </c>
      <c r="K4" s="756">
        <v>-5.0000000000000001E-3</v>
      </c>
      <c r="L4" s="756">
        <v>0</v>
      </c>
      <c r="M4" s="757">
        <v>0</v>
      </c>
      <c r="N4" s="1086">
        <v>1.2688999999999999</v>
      </c>
      <c r="O4" s="1087">
        <v>1.2688999999999999</v>
      </c>
    </row>
    <row r="5" spans="1:15" x14ac:dyDescent="0.2">
      <c r="A5" s="771" t="s">
        <v>16</v>
      </c>
      <c r="B5" s="772" t="s">
        <v>597</v>
      </c>
      <c r="C5" s="1072">
        <v>4.21</v>
      </c>
      <c r="D5" s="1072">
        <v>5.63</v>
      </c>
      <c r="E5" s="1072">
        <v>6.36</v>
      </c>
      <c r="F5" s="1077">
        <v>3.8100000000000002E-2</v>
      </c>
      <c r="G5" s="1187">
        <v>7.0000000000000007E-2</v>
      </c>
      <c r="H5" s="1072">
        <v>4.51</v>
      </c>
      <c r="I5" s="1187">
        <v>7.8299999999999995E-2</v>
      </c>
      <c r="J5" s="756">
        <v>0</v>
      </c>
      <c r="K5" s="756">
        <v>-1.4999999999999999E-2</v>
      </c>
      <c r="L5" s="756">
        <v>5.0000000000000001E-3</v>
      </c>
      <c r="M5" s="757">
        <v>1</v>
      </c>
      <c r="N5" s="1086">
        <v>0.70379999999999998</v>
      </c>
      <c r="O5" s="1087">
        <v>0.73709999999999998</v>
      </c>
    </row>
    <row r="6" spans="1:15" x14ac:dyDescent="0.2">
      <c r="A6" s="771" t="s">
        <v>17</v>
      </c>
      <c r="B6" s="772" t="s">
        <v>598</v>
      </c>
      <c r="C6" s="1072">
        <v>4.3600000000000003</v>
      </c>
      <c r="D6" s="1072">
        <v>5.93</v>
      </c>
      <c r="E6" s="1072">
        <v>7.96</v>
      </c>
      <c r="F6" s="1077">
        <v>5.2299999999999999E-2</v>
      </c>
      <c r="G6" s="1187">
        <v>0.06</v>
      </c>
      <c r="H6" s="1072">
        <v>4.7300000000000004</v>
      </c>
      <c r="I6" s="1187">
        <v>0.1237</v>
      </c>
      <c r="J6" s="756">
        <v>-5.0000000000000001E-3</v>
      </c>
      <c r="K6" s="756">
        <v>-0.01</v>
      </c>
      <c r="L6" s="756">
        <v>0.01</v>
      </c>
      <c r="M6" s="757">
        <v>1</v>
      </c>
      <c r="N6" s="1086">
        <v>0.51459999999999995</v>
      </c>
      <c r="O6" s="1087">
        <v>0.59799999999999998</v>
      </c>
    </row>
    <row r="7" spans="1:15" x14ac:dyDescent="0.2">
      <c r="A7" s="771" t="s">
        <v>599</v>
      </c>
      <c r="B7" s="772" t="s">
        <v>600</v>
      </c>
      <c r="C7" s="1072">
        <v>3.19</v>
      </c>
      <c r="D7" s="1072">
        <v>3.79</v>
      </c>
      <c r="E7" s="1078">
        <v>4.55</v>
      </c>
      <c r="F7" s="1079">
        <v>5.3699999999999998E-2</v>
      </c>
      <c r="G7" s="1188">
        <v>0.09</v>
      </c>
      <c r="H7" s="1078">
        <v>3.76</v>
      </c>
      <c r="I7" s="1188">
        <v>4.2000000000000003E-2</v>
      </c>
      <c r="J7" s="756">
        <v>-0.01</v>
      </c>
      <c r="K7" s="756">
        <v>-0.02</v>
      </c>
      <c r="L7" s="756">
        <v>1.4999999999999999E-2</v>
      </c>
      <c r="M7" s="758">
        <v>1</v>
      </c>
      <c r="N7" s="1086">
        <v>0.56679999999999997</v>
      </c>
      <c r="O7" s="1087">
        <v>0.56679999999999997</v>
      </c>
    </row>
    <row r="8" spans="1:15" ht="15" thickBot="1" x14ac:dyDescent="0.25">
      <c r="A8" s="773" t="s">
        <v>18</v>
      </c>
      <c r="B8" s="774" t="s">
        <v>601</v>
      </c>
      <c r="C8" s="1080">
        <v>2.27</v>
      </c>
      <c r="D8" s="1080">
        <v>3.35</v>
      </c>
      <c r="E8" s="1080">
        <v>5.32</v>
      </c>
      <c r="F8" s="1081">
        <v>5.5199999999999999E-2</v>
      </c>
      <c r="G8" s="1189">
        <v>7.0000000000000007E-2</v>
      </c>
      <c r="H8" s="1080">
        <v>3.79</v>
      </c>
      <c r="I8" s="1189">
        <v>4.2000000000000003E-2</v>
      </c>
      <c r="J8" s="759">
        <v>-0.01</v>
      </c>
      <c r="K8" s="759">
        <v>-0.02</v>
      </c>
      <c r="L8" s="759">
        <v>1.4999999999999999E-2</v>
      </c>
      <c r="M8" s="760">
        <v>1</v>
      </c>
      <c r="N8" s="1088">
        <v>0.62380000000000002</v>
      </c>
      <c r="O8" s="1089">
        <v>0.65959999999999996</v>
      </c>
    </row>
    <row r="9" spans="1:15" x14ac:dyDescent="0.2">
      <c r="A9" s="775" t="s">
        <v>602</v>
      </c>
      <c r="B9" s="776" t="s">
        <v>603</v>
      </c>
      <c r="C9" s="1075">
        <v>2.96</v>
      </c>
      <c r="D9" s="1072">
        <v>3.89</v>
      </c>
      <c r="E9" s="1078">
        <v>4.22</v>
      </c>
      <c r="F9" s="1079">
        <v>0.111</v>
      </c>
      <c r="G9" s="1188">
        <v>0.04</v>
      </c>
      <c r="H9" s="1078">
        <v>2.37</v>
      </c>
      <c r="I9" s="1188">
        <v>0.04</v>
      </c>
      <c r="J9" s="756">
        <v>-0.01</v>
      </c>
      <c r="K9" s="756">
        <v>-0.02</v>
      </c>
      <c r="L9" s="756">
        <v>0.03</v>
      </c>
      <c r="M9" s="758">
        <v>1</v>
      </c>
      <c r="N9" s="1086">
        <v>0.78649999999999998</v>
      </c>
      <c r="O9" s="1087">
        <v>0.78649999999999998</v>
      </c>
    </row>
    <row r="10" spans="1:15" x14ac:dyDescent="0.2">
      <c r="A10" s="777" t="s">
        <v>9</v>
      </c>
      <c r="B10" s="778" t="s">
        <v>78</v>
      </c>
      <c r="C10" s="1072">
        <v>0.7</v>
      </c>
      <c r="D10" s="1072">
        <v>1.1399999999999999</v>
      </c>
      <c r="E10" s="1072">
        <v>1.29</v>
      </c>
      <c r="F10" s="1077">
        <v>8.9700000000000002E-2</v>
      </c>
      <c r="G10" s="1187">
        <v>9.7000000000000003E-2</v>
      </c>
      <c r="H10" s="1072">
        <v>4.58</v>
      </c>
      <c r="I10" s="1187">
        <v>3.5000000000000003E-2</v>
      </c>
      <c r="J10" s="761">
        <v>-0.01</v>
      </c>
      <c r="K10" s="761">
        <v>-0.02</v>
      </c>
      <c r="L10" s="761">
        <v>0.03</v>
      </c>
      <c r="M10" s="762">
        <v>2</v>
      </c>
      <c r="N10" s="1090">
        <v>0.57620000000000005</v>
      </c>
      <c r="O10" s="1091">
        <v>0.57620000000000005</v>
      </c>
    </row>
    <row r="11" spans="1:15" x14ac:dyDescent="0.2">
      <c r="A11" s="777" t="s">
        <v>8</v>
      </c>
      <c r="B11" s="778" t="s">
        <v>8</v>
      </c>
      <c r="C11" s="1072">
        <v>3.52</v>
      </c>
      <c r="D11" s="1072">
        <v>4.4400000000000004</v>
      </c>
      <c r="E11" s="1072">
        <v>4.8899999999999997</v>
      </c>
      <c r="F11" s="1077">
        <v>7.22E-2</v>
      </c>
      <c r="G11" s="1187">
        <v>7.0000000000000007E-2</v>
      </c>
      <c r="H11" s="1072">
        <v>3.7</v>
      </c>
      <c r="I11" s="1187">
        <v>3.2000000000000001E-2</v>
      </c>
      <c r="J11" s="761">
        <v>-0.01</v>
      </c>
      <c r="K11" s="761">
        <v>-0.02</v>
      </c>
      <c r="L11" s="761">
        <v>0.03</v>
      </c>
      <c r="M11" s="762">
        <v>2</v>
      </c>
      <c r="N11" s="1090">
        <v>0.89190000000000003</v>
      </c>
      <c r="O11" s="1091">
        <v>0.89190000000000003</v>
      </c>
    </row>
    <row r="12" spans="1:15" ht="15" thickBot="1" x14ac:dyDescent="0.25">
      <c r="A12" s="779" t="s">
        <v>930</v>
      </c>
      <c r="B12" s="780" t="s">
        <v>930</v>
      </c>
      <c r="C12" s="1080">
        <v>15.16</v>
      </c>
      <c r="D12" s="1080">
        <v>22.15</v>
      </c>
      <c r="E12" s="1082">
        <v>27.42</v>
      </c>
      <c r="F12" s="1083">
        <v>4.99E-2</v>
      </c>
      <c r="G12" s="1190">
        <v>0.06</v>
      </c>
      <c r="H12" s="1082">
        <v>3.94</v>
      </c>
      <c r="I12" s="1190">
        <v>0.03</v>
      </c>
      <c r="J12" s="763">
        <v>-0.01</v>
      </c>
      <c r="K12" s="763">
        <v>-0.02</v>
      </c>
      <c r="L12" s="763">
        <v>2.5000000000000001E-2</v>
      </c>
      <c r="M12" s="764">
        <v>2</v>
      </c>
      <c r="N12" s="1088">
        <v>0.3826</v>
      </c>
      <c r="O12" s="1089">
        <v>0.40350000000000003</v>
      </c>
    </row>
    <row r="13" spans="1:15" x14ac:dyDescent="0.2">
      <c r="A13" s="775" t="s">
        <v>638</v>
      </c>
      <c r="B13" s="781" t="s">
        <v>639</v>
      </c>
      <c r="C13" s="1072">
        <v>10.96</v>
      </c>
      <c r="D13" s="1072">
        <v>12.74</v>
      </c>
      <c r="E13" s="1072">
        <v>15.8</v>
      </c>
      <c r="F13" s="1077">
        <v>3.1699999999999999E-2</v>
      </c>
      <c r="G13" s="1187">
        <v>0.09</v>
      </c>
      <c r="H13" s="1072">
        <v>4.01</v>
      </c>
      <c r="I13" s="1187">
        <v>0.14829999999999999</v>
      </c>
      <c r="J13" s="761">
        <v>0</v>
      </c>
      <c r="K13" s="761">
        <v>-5.0000000000000001E-3</v>
      </c>
      <c r="L13" s="761">
        <v>0</v>
      </c>
      <c r="M13" s="762">
        <v>0</v>
      </c>
      <c r="N13" s="1090">
        <v>0.89459999999999995</v>
      </c>
      <c r="O13" s="1091">
        <v>0.96130000000000004</v>
      </c>
    </row>
    <row r="14" spans="1:15" ht="15" thickBot="1" x14ac:dyDescent="0.25">
      <c r="A14" s="779" t="s">
        <v>24</v>
      </c>
      <c r="B14" s="780" t="s">
        <v>79</v>
      </c>
      <c r="C14" s="1080">
        <v>1.4</v>
      </c>
      <c r="D14" s="1080">
        <v>2.0099999999999998</v>
      </c>
      <c r="E14" s="1080">
        <v>3.05</v>
      </c>
      <c r="F14" s="1081">
        <v>0.1004</v>
      </c>
      <c r="G14" s="1189">
        <v>0.04</v>
      </c>
      <c r="H14" s="1080">
        <v>3.48</v>
      </c>
      <c r="I14" s="1189">
        <v>3.5000000000000003E-2</v>
      </c>
      <c r="J14" s="765">
        <v>-0.01</v>
      </c>
      <c r="K14" s="765">
        <v>-0.02</v>
      </c>
      <c r="L14" s="765">
        <v>0.03</v>
      </c>
      <c r="M14" s="766">
        <v>2</v>
      </c>
      <c r="N14" s="1092">
        <v>0.66600000000000004</v>
      </c>
      <c r="O14" s="1093">
        <v>0.66600000000000004</v>
      </c>
    </row>
    <row r="15" spans="1:15" x14ac:dyDescent="0.2">
      <c r="A15" s="744" t="s">
        <v>594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70" t="s">
        <v>242</v>
      </c>
      <c r="B16" s="55"/>
      <c r="C16" s="322"/>
      <c r="G16" s="55"/>
    </row>
    <row r="17" spans="1:15" ht="15" thickBot="1" x14ac:dyDescent="0.25">
      <c r="B17" s="815" t="s">
        <v>693</v>
      </c>
      <c r="C17" s="55"/>
      <c r="G17" s="55"/>
    </row>
    <row r="18" spans="1:15" x14ac:dyDescent="0.2">
      <c r="A18" s="167" t="s">
        <v>690</v>
      </c>
      <c r="B18" s="167" t="s">
        <v>691</v>
      </c>
      <c r="C18" s="55"/>
      <c r="D18" s="353" t="s">
        <v>289</v>
      </c>
      <c r="E18" s="268"/>
      <c r="F18" s="269"/>
      <c r="G18" s="55"/>
      <c r="H18" s="314" t="s">
        <v>98</v>
      </c>
      <c r="I18" s="321"/>
      <c r="J18" s="844">
        <v>42309</v>
      </c>
      <c r="K18" s="845"/>
      <c r="L18" s="498" t="s">
        <v>588</v>
      </c>
      <c r="M18" s="321"/>
      <c r="N18" s="844">
        <v>42309</v>
      </c>
      <c r="O18" s="845"/>
    </row>
    <row r="19" spans="1:15" ht="15" thickBot="1" x14ac:dyDescent="0.25">
      <c r="A19" s="812" t="s">
        <v>701</v>
      </c>
      <c r="B19" s="167" t="s">
        <v>692</v>
      </c>
      <c r="C19" s="55"/>
      <c r="D19" s="738" t="s">
        <v>284</v>
      </c>
      <c r="E19" s="739"/>
      <c r="F19" s="740"/>
      <c r="G19" s="55"/>
      <c r="H19" s="317" t="s">
        <v>116</v>
      </c>
      <c r="I19" s="433">
        <v>7.0000000000000007E-2</v>
      </c>
      <c r="J19" s="842">
        <v>7.0000000000000007E-2</v>
      </c>
      <c r="K19" s="846"/>
      <c r="L19" s="728" t="s">
        <v>116</v>
      </c>
      <c r="M19" s="825">
        <v>0.32</v>
      </c>
      <c r="N19" s="850">
        <v>0.3</v>
      </c>
      <c r="O19" s="824"/>
    </row>
    <row r="20" spans="1:15" x14ac:dyDescent="0.2">
      <c r="A20" s="457"/>
      <c r="B20" s="874"/>
      <c r="C20" s="55"/>
      <c r="D20" s="745" t="s">
        <v>287</v>
      </c>
      <c r="E20" s="745"/>
      <c r="F20" s="745"/>
      <c r="G20" s="55"/>
      <c r="H20" s="314" t="s">
        <v>128</v>
      </c>
      <c r="I20" s="321"/>
      <c r="J20" s="844">
        <v>42309</v>
      </c>
      <c r="K20" s="845"/>
      <c r="L20" s="498" t="s">
        <v>669</v>
      </c>
      <c r="M20" s="432"/>
      <c r="N20" s="844">
        <v>42309</v>
      </c>
      <c r="O20" s="845"/>
    </row>
    <row r="21" spans="1:15" ht="15" thickBot="1" x14ac:dyDescent="0.25">
      <c r="A21" s="457"/>
      <c r="B21" s="874"/>
      <c r="C21" s="55"/>
      <c r="D21" s="741" t="s">
        <v>286</v>
      </c>
      <c r="E21" s="742"/>
      <c r="F21" s="743"/>
      <c r="G21" s="55"/>
      <c r="H21" s="317" t="s">
        <v>116</v>
      </c>
      <c r="I21" s="355">
        <v>0.16</v>
      </c>
      <c r="J21" s="843">
        <v>0.16</v>
      </c>
      <c r="K21" s="846"/>
      <c r="L21" s="728" t="s">
        <v>116</v>
      </c>
      <c r="M21" s="433">
        <v>5.5E-2</v>
      </c>
      <c r="N21" s="842">
        <v>5.5E-2</v>
      </c>
      <c r="O21" s="824"/>
    </row>
    <row r="22" spans="1:15" x14ac:dyDescent="0.2">
      <c r="A22" s="457"/>
      <c r="B22" s="874"/>
      <c r="C22" s="55"/>
      <c r="D22" s="735" t="s">
        <v>285</v>
      </c>
      <c r="E22" s="736"/>
      <c r="F22" s="737"/>
      <c r="G22" s="55"/>
      <c r="H22" s="314" t="s">
        <v>235</v>
      </c>
      <c r="I22" s="321"/>
      <c r="J22" s="844">
        <v>42309</v>
      </c>
      <c r="K22" s="845"/>
      <c r="L22" s="498" t="s">
        <v>673</v>
      </c>
      <c r="M22" s="321"/>
      <c r="N22" s="844">
        <v>42309</v>
      </c>
      <c r="O22" s="848"/>
    </row>
    <row r="23" spans="1:15" ht="15" thickBot="1" x14ac:dyDescent="0.25">
      <c r="A23" s="457"/>
      <c r="B23" s="874"/>
      <c r="C23" s="55"/>
      <c r="D23" s="55"/>
      <c r="E23" s="55"/>
      <c r="F23" s="55"/>
      <c r="G23" s="55"/>
      <c r="H23" s="317" t="s">
        <v>116</v>
      </c>
      <c r="I23" s="433">
        <v>0.08</v>
      </c>
      <c r="J23" s="842">
        <v>0.08</v>
      </c>
      <c r="K23" s="846"/>
      <c r="L23" s="728" t="s">
        <v>671</v>
      </c>
      <c r="M23" s="355">
        <v>0.1</v>
      </c>
      <c r="N23" s="850">
        <v>0.1</v>
      </c>
      <c r="O23" s="846"/>
    </row>
    <row r="24" spans="1:15" x14ac:dyDescent="0.2">
      <c r="A24" s="457"/>
      <c r="B24" s="874"/>
      <c r="C24" s="55"/>
      <c r="D24" s="401" t="s">
        <v>246</v>
      </c>
      <c r="E24" s="840">
        <v>42935</v>
      </c>
      <c r="F24" s="730"/>
      <c r="G24" s="55"/>
      <c r="H24" s="314" t="s">
        <v>239</v>
      </c>
      <c r="I24" s="321"/>
      <c r="J24" s="844">
        <v>42309</v>
      </c>
      <c r="K24" s="845"/>
      <c r="L24" s="498" t="s">
        <v>363</v>
      </c>
      <c r="M24" s="860" t="s">
        <v>688</v>
      </c>
      <c r="N24" s="864">
        <v>43983</v>
      </c>
      <c r="O24" s="863">
        <v>41579</v>
      </c>
    </row>
    <row r="25" spans="1:15" ht="15" thickBot="1" x14ac:dyDescent="0.25">
      <c r="A25" s="457"/>
      <c r="B25" s="874"/>
      <c r="C25" s="55"/>
      <c r="D25" s="734" t="s">
        <v>593</v>
      </c>
      <c r="E25" s="357">
        <v>43999</v>
      </c>
      <c r="F25" s="801" t="s">
        <v>632</v>
      </c>
      <c r="G25" s="55"/>
      <c r="H25" s="728" t="s">
        <v>671</v>
      </c>
      <c r="I25" s="433">
        <v>0</v>
      </c>
      <c r="J25" s="842">
        <v>0</v>
      </c>
      <c r="K25" s="846"/>
      <c r="L25" s="728" t="s">
        <v>671</v>
      </c>
      <c r="M25" s="865">
        <f>IFERROR(VLOOKUP(#REF!,#REF!,3,FALSE),N25)</f>
        <v>40.1</v>
      </c>
      <c r="N25" s="867">
        <v>40.1</v>
      </c>
      <c r="O25" s="861">
        <v>48</v>
      </c>
    </row>
    <row r="26" spans="1:15" x14ac:dyDescent="0.2">
      <c r="A26" s="457"/>
      <c r="B26" s="874"/>
      <c r="C26" s="55"/>
      <c r="D26" s="733" t="s">
        <v>633</v>
      </c>
      <c r="E26" s="357">
        <v>43999</v>
      </c>
      <c r="F26" s="731"/>
      <c r="G26" s="55"/>
      <c r="H26" s="314" t="s">
        <v>240</v>
      </c>
      <c r="I26" s="321"/>
      <c r="J26" s="844">
        <v>42309</v>
      </c>
      <c r="K26" s="845"/>
      <c r="L26" s="498" t="s">
        <v>675</v>
      </c>
      <c r="M26" s="860" t="s">
        <v>688</v>
      </c>
      <c r="N26" s="844">
        <v>43983</v>
      </c>
      <c r="O26" s="845">
        <v>40909</v>
      </c>
    </row>
    <row r="27" spans="1:15" ht="15" thickBot="1" x14ac:dyDescent="0.25">
      <c r="A27" s="457"/>
      <c r="B27" s="874"/>
      <c r="C27" s="55"/>
      <c r="D27" s="319"/>
      <c r="E27" s="804" t="b">
        <f ca="1">(TODAY()-E24)&gt;35</f>
        <v>1</v>
      </c>
      <c r="F27" s="731"/>
      <c r="G27" s="55"/>
      <c r="H27" s="317" t="s">
        <v>116</v>
      </c>
      <c r="I27" s="826">
        <v>10</v>
      </c>
      <c r="J27" s="851">
        <v>10</v>
      </c>
      <c r="K27" s="846"/>
      <c r="L27" s="728" t="s">
        <v>671</v>
      </c>
      <c r="M27" s="866">
        <f>IFERROR(VLOOKUP(#REF!,#REF!,3,FALSE),N27)</f>
        <v>250</v>
      </c>
      <c r="N27" s="868">
        <v>250</v>
      </c>
      <c r="O27" s="862">
        <v>230</v>
      </c>
    </row>
    <row r="28" spans="1:15" ht="15" thickBot="1" x14ac:dyDescent="0.25">
      <c r="A28" s="457"/>
      <c r="B28" s="874"/>
      <c r="C28" s="55"/>
      <c r="D28" s="402" t="s">
        <v>247</v>
      </c>
      <c r="E28" s="802" t="b">
        <f ca="1">(TODAY()-E25)&gt;450</f>
        <v>0</v>
      </c>
      <c r="F28" s="732"/>
      <c r="G28" s="55"/>
      <c r="H28" s="498" t="s">
        <v>694</v>
      </c>
      <c r="I28" s="321"/>
      <c r="J28" s="844">
        <v>42309</v>
      </c>
      <c r="K28" s="848"/>
      <c r="L28" s="498" t="s">
        <v>364</v>
      </c>
      <c r="M28" s="860" t="s">
        <v>688</v>
      </c>
      <c r="N28" s="844">
        <v>43983</v>
      </c>
      <c r="O28" s="845">
        <v>40787</v>
      </c>
    </row>
    <row r="29" spans="1:15" ht="15" thickBot="1" x14ac:dyDescent="0.25">
      <c r="A29" s="457"/>
      <c r="B29" s="874"/>
      <c r="C29" s="55"/>
      <c r="D29" s="169"/>
      <c r="E29" s="55"/>
      <c r="F29" s="55"/>
      <c r="G29" s="55"/>
      <c r="H29" s="728" t="s">
        <v>695</v>
      </c>
      <c r="I29" s="355">
        <v>0.1</v>
      </c>
      <c r="J29" s="843">
        <v>0.1</v>
      </c>
      <c r="K29" s="846"/>
      <c r="L29" s="317" t="s">
        <v>123</v>
      </c>
      <c r="M29" s="866">
        <f>IFERROR(VLOOKUP(#REF!,#REF!,3,FALSE),N29)</f>
        <v>3110</v>
      </c>
      <c r="N29" s="868">
        <v>3110</v>
      </c>
      <c r="O29" s="862">
        <v>2400</v>
      </c>
    </row>
    <row r="30" spans="1:15" x14ac:dyDescent="0.2">
      <c r="A30" s="457"/>
      <c r="B30" s="874"/>
      <c r="C30" s="55"/>
      <c r="D30" s="859"/>
      <c r="E30" s="857"/>
      <c r="F30" s="858"/>
      <c r="G30" s="55"/>
      <c r="H30" s="498" t="s">
        <v>658</v>
      </c>
      <c r="I30" s="321"/>
      <c r="J30" s="844">
        <v>42309</v>
      </c>
      <c r="K30" s="845"/>
      <c r="L30" s="498" t="str">
        <f>IF(Deutsch,"Logistikaufschlag LME /t","LME logistik add on /mt")</f>
        <v>Logistikaufschlag LME /t</v>
      </c>
      <c r="M30" s="321"/>
      <c r="N30" s="844">
        <v>42309</v>
      </c>
      <c r="O30" s="845"/>
    </row>
    <row r="31" spans="1:15" ht="15" thickBot="1" x14ac:dyDescent="0.25">
      <c r="A31" s="457"/>
      <c r="B31" s="874"/>
      <c r="C31" s="55"/>
      <c r="D31" s="55"/>
      <c r="E31" s="55"/>
      <c r="F31" s="55"/>
      <c r="G31" s="55"/>
      <c r="H31" s="317" t="s">
        <v>116</v>
      </c>
      <c r="I31" s="355">
        <v>0.8</v>
      </c>
      <c r="J31" s="841">
        <v>0.8</v>
      </c>
      <c r="K31" s="824"/>
      <c r="L31" s="728" t="s">
        <v>671</v>
      </c>
      <c r="M31" s="831">
        <v>55</v>
      </c>
      <c r="N31" s="854">
        <v>55</v>
      </c>
      <c r="O31" s="846"/>
    </row>
    <row r="32" spans="1:15" x14ac:dyDescent="0.2">
      <c r="A32" s="457"/>
      <c r="B32" s="874"/>
      <c r="C32" s="55"/>
      <c r="D32" s="55"/>
      <c r="E32" s="55"/>
      <c r="F32" s="55"/>
      <c r="G32" s="55"/>
      <c r="H32" s="498" t="s">
        <v>700</v>
      </c>
      <c r="I32" s="321"/>
      <c r="J32" s="844">
        <v>42309</v>
      </c>
      <c r="K32" s="848"/>
      <c r="L32" s="498" t="s">
        <v>689</v>
      </c>
      <c r="M32" s="321"/>
      <c r="N32" s="315"/>
      <c r="O32" s="316"/>
    </row>
    <row r="33" spans="1:16" ht="15" thickBot="1" x14ac:dyDescent="0.25">
      <c r="A33" s="457"/>
      <c r="B33" s="874"/>
      <c r="C33" s="55"/>
      <c r="D33" s="55"/>
      <c r="E33" s="55"/>
      <c r="F33" s="55"/>
      <c r="G33" s="55"/>
      <c r="H33" s="728" t="s">
        <v>116</v>
      </c>
      <c r="I33" s="355">
        <v>0.12</v>
      </c>
      <c r="J33" s="843">
        <v>0.12</v>
      </c>
      <c r="K33" s="846"/>
      <c r="L33" s="728" t="s">
        <v>671</v>
      </c>
      <c r="M33" s="541">
        <v>0.95</v>
      </c>
      <c r="N33" s="790" t="s">
        <v>654</v>
      </c>
      <c r="O33" s="318"/>
    </row>
    <row r="34" spans="1:16" x14ac:dyDescent="0.2">
      <c r="A34" s="457"/>
      <c r="B34" s="874"/>
      <c r="C34" s="55"/>
      <c r="D34" s="55"/>
      <c r="E34" s="55"/>
      <c r="F34" s="55"/>
      <c r="G34" s="55"/>
      <c r="H34" s="498" t="s">
        <v>696</v>
      </c>
      <c r="I34" s="321"/>
      <c r="J34" s="844">
        <v>43983</v>
      </c>
      <c r="K34" s="848"/>
      <c r="L34" s="498" t="s">
        <v>704</v>
      </c>
      <c r="M34" s="321"/>
      <c r="N34" s="315"/>
      <c r="O34" s="848"/>
    </row>
    <row r="35" spans="1:16" ht="15" thickBot="1" x14ac:dyDescent="0.25">
      <c r="A35" s="457"/>
      <c r="B35" s="874"/>
      <c r="C35" s="55"/>
      <c r="D35" s="55"/>
      <c r="E35" s="55"/>
      <c r="F35" s="55"/>
      <c r="G35" s="55"/>
      <c r="H35" s="728" t="s">
        <v>671</v>
      </c>
      <c r="I35" s="433">
        <v>0.08</v>
      </c>
      <c r="J35" s="842">
        <v>0.06</v>
      </c>
      <c r="K35" s="846"/>
      <c r="L35" s="728" t="s">
        <v>116</v>
      </c>
      <c r="M35" s="541">
        <v>0.26</v>
      </c>
      <c r="N35" s="790" t="s">
        <v>655</v>
      </c>
      <c r="O35" s="846"/>
    </row>
    <row r="36" spans="1:16" x14ac:dyDescent="0.2">
      <c r="A36" s="457"/>
      <c r="B36" s="874"/>
      <c r="F36" s="55"/>
      <c r="H36" s="314" t="s">
        <v>283</v>
      </c>
      <c r="I36" s="321"/>
      <c r="J36" s="844">
        <v>42309</v>
      </c>
      <c r="K36" s="845"/>
      <c r="L36" s="498" t="s">
        <v>697</v>
      </c>
      <c r="M36" s="321"/>
      <c r="N36" s="315"/>
      <c r="O36" s="316"/>
    </row>
    <row r="37" spans="1:16" ht="15" thickBot="1" x14ac:dyDescent="0.25">
      <c r="A37" s="457"/>
      <c r="B37" s="874"/>
      <c r="F37" s="55"/>
      <c r="H37" s="728" t="s">
        <v>671</v>
      </c>
      <c r="I37" s="433">
        <v>0.03</v>
      </c>
      <c r="J37" s="842">
        <v>0.03</v>
      </c>
      <c r="K37" s="846"/>
      <c r="L37" s="728" t="s">
        <v>671</v>
      </c>
      <c r="M37" s="541">
        <v>0.4</v>
      </c>
      <c r="N37" s="790"/>
      <c r="O37" s="318"/>
    </row>
    <row r="38" spans="1:16" x14ac:dyDescent="0.2">
      <c r="A38" s="457"/>
      <c r="B38" s="874"/>
      <c r="F38" s="55"/>
      <c r="H38" s="498" t="s">
        <v>621</v>
      </c>
      <c r="I38" s="321" t="s">
        <v>622</v>
      </c>
      <c r="J38" s="844">
        <v>42309</v>
      </c>
      <c r="K38" s="845"/>
      <c r="L38" s="498" t="s">
        <v>698</v>
      </c>
      <c r="M38" s="321"/>
      <c r="N38" s="844">
        <v>42309</v>
      </c>
      <c r="O38" s="848"/>
    </row>
    <row r="39" spans="1:16" ht="15" thickBot="1" x14ac:dyDescent="0.25">
      <c r="A39" s="928" t="s">
        <v>811</v>
      </c>
      <c r="B39" s="874">
        <v>433</v>
      </c>
      <c r="F39" s="55"/>
      <c r="H39" s="728" t="s">
        <v>123</v>
      </c>
      <c r="I39" s="481">
        <v>4</v>
      </c>
      <c r="J39" s="855">
        <v>4</v>
      </c>
      <c r="K39" s="846"/>
      <c r="L39" s="317" t="s">
        <v>123</v>
      </c>
      <c r="M39" s="541">
        <v>11.9</v>
      </c>
      <c r="N39" s="855">
        <v>9</v>
      </c>
      <c r="O39" s="846"/>
    </row>
    <row r="40" spans="1:16" x14ac:dyDescent="0.2">
      <c r="A40" s="457" t="s">
        <v>586</v>
      </c>
      <c r="B40" s="874">
        <v>250</v>
      </c>
      <c r="F40" s="55"/>
      <c r="H40" s="498" t="s">
        <v>621</v>
      </c>
      <c r="I40" s="321" t="s">
        <v>623</v>
      </c>
      <c r="J40" s="844">
        <v>42309</v>
      </c>
      <c r="K40" s="845"/>
      <c r="L40" s="498" t="s">
        <v>715</v>
      </c>
      <c r="M40" s="321"/>
      <c r="N40" s="315"/>
      <c r="O40" s="845">
        <v>42644</v>
      </c>
      <c r="P40" s="55"/>
    </row>
    <row r="41" spans="1:16" ht="15" thickBot="1" x14ac:dyDescent="0.25">
      <c r="A41" s="457" t="s">
        <v>703</v>
      </c>
      <c r="B41" s="874">
        <v>3110</v>
      </c>
      <c r="H41" s="728" t="s">
        <v>531</v>
      </c>
      <c r="I41" s="481">
        <v>6</v>
      </c>
      <c r="J41" s="855">
        <v>6</v>
      </c>
      <c r="K41" s="846"/>
      <c r="L41" s="728" t="s">
        <v>671</v>
      </c>
      <c r="M41" s="893">
        <v>8</v>
      </c>
      <c r="N41" s="790"/>
      <c r="O41" s="894">
        <v>6</v>
      </c>
      <c r="P41" s="55"/>
    </row>
    <row r="42" spans="1:16" x14ac:dyDescent="0.2">
      <c r="A42" s="457" t="s">
        <v>702</v>
      </c>
      <c r="B42" s="874">
        <v>40.1</v>
      </c>
      <c r="H42" s="498" t="s">
        <v>621</v>
      </c>
      <c r="I42" s="321" t="s">
        <v>624</v>
      </c>
      <c r="J42" s="844">
        <v>42309</v>
      </c>
      <c r="K42" s="845"/>
      <c r="L42" s="498" t="s">
        <v>713</v>
      </c>
      <c r="M42" s="321"/>
      <c r="N42" s="315"/>
      <c r="O42" s="845">
        <v>42644</v>
      </c>
      <c r="P42" s="55"/>
    </row>
    <row r="43" spans="1:16" ht="15" thickBot="1" x14ac:dyDescent="0.25">
      <c r="A43" s="457" t="s">
        <v>653</v>
      </c>
      <c r="B43" s="874">
        <v>1375.93</v>
      </c>
      <c r="H43" s="728" t="s">
        <v>123</v>
      </c>
      <c r="I43" s="481">
        <v>9</v>
      </c>
      <c r="J43" s="855">
        <v>9</v>
      </c>
      <c r="K43" s="846"/>
      <c r="L43" s="728" t="s">
        <v>116</v>
      </c>
      <c r="M43" s="895">
        <v>20</v>
      </c>
      <c r="N43" s="790"/>
      <c r="O43" s="896">
        <v>15</v>
      </c>
      <c r="P43" s="55"/>
    </row>
    <row r="44" spans="1:16" x14ac:dyDescent="0.2">
      <c r="A44" s="457" t="s">
        <v>652</v>
      </c>
      <c r="B44" s="874">
        <v>1654.31</v>
      </c>
      <c r="H44" s="498" t="s">
        <v>659</v>
      </c>
      <c r="I44" s="321"/>
      <c r="J44" s="844">
        <v>42309</v>
      </c>
      <c r="K44" s="848"/>
      <c r="L44" s="498" t="s">
        <v>716</v>
      </c>
      <c r="M44" s="321"/>
      <c r="N44" s="315"/>
      <c r="O44" s="845">
        <v>42644</v>
      </c>
      <c r="P44" s="55"/>
    </row>
    <row r="45" spans="1:16" ht="15" thickBot="1" x14ac:dyDescent="0.25">
      <c r="A45" s="457" t="s">
        <v>650</v>
      </c>
      <c r="B45" s="874">
        <v>7682</v>
      </c>
      <c r="H45" s="728" t="s">
        <v>674</v>
      </c>
      <c r="I45" s="433">
        <v>0.02</v>
      </c>
      <c r="J45" s="842">
        <v>0.02</v>
      </c>
      <c r="K45" s="846"/>
      <c r="L45" s="728" t="s">
        <v>671</v>
      </c>
      <c r="M45" s="895">
        <v>12</v>
      </c>
      <c r="N45" s="790"/>
      <c r="O45" s="897">
        <v>12</v>
      </c>
      <c r="P45" s="55"/>
    </row>
    <row r="46" spans="1:16" x14ac:dyDescent="0.2">
      <c r="A46" s="457" t="s">
        <v>641</v>
      </c>
      <c r="B46" s="874">
        <v>6852</v>
      </c>
      <c r="H46" s="498" t="s">
        <v>591</v>
      </c>
      <c r="I46" s="321"/>
      <c r="J46" s="315"/>
      <c r="K46" s="316"/>
      <c r="L46" s="498" t="s">
        <v>876</v>
      </c>
      <c r="M46" s="321"/>
      <c r="N46" s="844">
        <v>42309</v>
      </c>
      <c r="O46" s="848"/>
    </row>
    <row r="47" spans="1:16" ht="15" thickBot="1" x14ac:dyDescent="0.25">
      <c r="A47" s="457" t="s">
        <v>651</v>
      </c>
      <c r="B47" s="874">
        <v>4163</v>
      </c>
      <c r="H47" s="728" t="s">
        <v>116</v>
      </c>
      <c r="I47" s="355">
        <v>0.4</v>
      </c>
      <c r="J47" s="827"/>
      <c r="K47" s="318"/>
      <c r="L47" s="317" t="s">
        <v>123</v>
      </c>
      <c r="M47" s="541">
        <v>0.25</v>
      </c>
      <c r="N47" s="854">
        <v>0.35</v>
      </c>
      <c r="O47" s="846"/>
    </row>
    <row r="48" spans="1:16" x14ac:dyDescent="0.2">
      <c r="A48" s="457" t="s">
        <v>640</v>
      </c>
      <c r="B48" s="874">
        <v>1759.34</v>
      </c>
      <c r="H48" s="314" t="s">
        <v>241</v>
      </c>
      <c r="I48" s="321"/>
      <c r="J48" s="844">
        <v>42309</v>
      </c>
      <c r="K48" s="845"/>
      <c r="L48" s="498" t="s">
        <v>672</v>
      </c>
      <c r="M48" s="321"/>
      <c r="N48" s="844">
        <v>42309</v>
      </c>
      <c r="O48" s="848"/>
    </row>
    <row r="49" spans="1:15" ht="15" thickBot="1" x14ac:dyDescent="0.25">
      <c r="A49" s="457" t="s">
        <v>642</v>
      </c>
      <c r="B49" s="874">
        <v>1650</v>
      </c>
      <c r="H49" s="728" t="s">
        <v>116</v>
      </c>
      <c r="I49" s="355">
        <v>0.05</v>
      </c>
      <c r="J49" s="843">
        <v>0.05</v>
      </c>
      <c r="K49" s="846"/>
      <c r="L49" s="728" t="s">
        <v>116</v>
      </c>
      <c r="M49" s="541">
        <v>2</v>
      </c>
      <c r="N49" s="854">
        <v>1.75</v>
      </c>
      <c r="O49" s="853"/>
    </row>
    <row r="50" spans="1:15" x14ac:dyDescent="0.2">
      <c r="A50" s="457" t="s">
        <v>643</v>
      </c>
      <c r="B50" s="874">
        <v>5544.29</v>
      </c>
      <c r="L50" s="498" t="s">
        <v>670</v>
      </c>
      <c r="M50" s="321"/>
      <c r="N50" s="844">
        <v>42309</v>
      </c>
      <c r="O50" s="845"/>
    </row>
    <row r="51" spans="1:15" ht="15" thickBot="1" x14ac:dyDescent="0.25">
      <c r="A51" s="457" t="s">
        <v>645</v>
      </c>
      <c r="B51" s="874">
        <v>1458.75</v>
      </c>
      <c r="L51" s="728" t="s">
        <v>116</v>
      </c>
      <c r="M51" s="356">
        <v>40</v>
      </c>
      <c r="N51" s="851">
        <v>25</v>
      </c>
      <c r="O51" s="852"/>
    </row>
    <row r="52" spans="1:15" x14ac:dyDescent="0.2">
      <c r="L52" s="498" t="s">
        <v>699</v>
      </c>
      <c r="M52" s="321"/>
      <c r="N52" s="844">
        <v>42309</v>
      </c>
      <c r="O52" s="848"/>
    </row>
    <row r="53" spans="1:15" ht="15" thickBot="1" x14ac:dyDescent="0.25">
      <c r="L53" s="728" t="s">
        <v>116</v>
      </c>
      <c r="M53" s="856">
        <v>3.08</v>
      </c>
      <c r="N53" s="854">
        <v>1.1000000000000001</v>
      </c>
      <c r="O53" s="853"/>
    </row>
    <row r="54" spans="1:15" x14ac:dyDescent="0.2">
      <c r="L54" s="498" t="s">
        <v>430</v>
      </c>
      <c r="M54" s="496" t="str">
        <f>IF('Quick Input'!$G$2,"Holz H1","wood H1")</f>
        <v>Holz H1</v>
      </c>
      <c r="N54" s="496" t="str">
        <f>IF('Quick Input'!$G$2,"Kunstst.","plastic")</f>
        <v>Kunstst.</v>
      </c>
      <c r="O54" s="849" t="str">
        <f>IF('Quick Input'!$G$2,"Alu","AL")</f>
        <v>Alu</v>
      </c>
    </row>
    <row r="55" spans="1:15" ht="15" thickBot="1" x14ac:dyDescent="0.25">
      <c r="L55" s="317" t="s">
        <v>123</v>
      </c>
      <c r="M55" s="356">
        <v>1000</v>
      </c>
      <c r="N55" s="847">
        <v>10000</v>
      </c>
      <c r="O55" s="497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500-000000000000}">
      <formula1>4</formula1>
      <formula2>15</formula2>
    </dataValidation>
    <dataValidation type="decimal" showErrorMessage="1" errorTitle="not allowed" sqref="M45" xr:uid="{00000000-0002-0000-0500-000001000000}">
      <formula1>0</formula1>
      <formula2>60</formula2>
    </dataValidation>
    <dataValidation type="decimal" showErrorMessage="1" errorTitle="not allowed" sqref="M43" xr:uid="{00000000-0002-0000-05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5" tint="0.59999389629810485"/>
  </sheetPr>
  <dimension ref="A1:U39"/>
  <sheetViews>
    <sheetView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823" t="str">
        <f>IF(Deutsch,"Vorbelegung:","pre selection")</f>
        <v>Vorbelegung:</v>
      </c>
      <c r="B1" s="47" t="s">
        <v>307</v>
      </c>
      <c r="D1" s="872" t="s">
        <v>705</v>
      </c>
      <c r="F1" s="907"/>
      <c r="G1" s="908" t="str">
        <f>IFERROR(CONCATENATE(IF(Deutsch,"Daten aus ","data base "),RIGHT(MAX(I2:Q2),2),".",LEFT(MAX(I2:Q2),4)),IF(Deutsch,"älter","old data"))</f>
        <v>Daten aus 0.0</v>
      </c>
      <c r="H1" s="832" t="s">
        <v>656</v>
      </c>
      <c r="I1" s="871">
        <f>(IFERROR(VLOOKUP(I$3,#REF!,4,FALSE),VLOOKUP(I$3,'Länder-DB'!$A$20:$B$51,2,FALSE))+'Länder-DB'!$M$31)/1000</f>
        <v>1.43093</v>
      </c>
      <c r="J1" s="834">
        <f>(IFERROR(VLOOKUP(J$3,#REF!,4,FALSE),VLOOKUP(J3,'Länder-DB'!$A$20:$B$51,2,FALSE))+'Länder-DB'!$M$31)/1000+'Länder-DB'!$M$33</f>
        <v>7.8570000000000002</v>
      </c>
      <c r="K1" s="834">
        <f>(IFERROR(VLOOKUP(K$3,#REF!,4,FALSE),VLOOKUP(K3,'Länder-DB'!$A$20:$B$51,2,FALSE))+'Länder-DB'!$M$31)/1000+'Länder-DB'!$M$33</f>
        <v>5.1680000000000001</v>
      </c>
      <c r="L1" s="834">
        <f>(IFERROR(VLOOKUP(L$3,#REF!,4,FALSE),VLOOKUP(L3,'Länder-DB'!$A$20:$B$51,2,FALSE))+'Länder-DB'!$M$31)/1000+'Länder-DB'!$M$33</f>
        <v>2.7643399999999998</v>
      </c>
      <c r="M1" s="834">
        <f>(IFERROR(VLOOKUP(M$3,#REF!,4,FALSE),VLOOKUP(M3,'Länder-DB'!$A$20:$B$51,2,FALSE)))/1000+'Länder-DB'!$M$33</f>
        <v>2.4087499999999999</v>
      </c>
      <c r="N1" s="835">
        <f>(IFERROR(VLOOKUP(N$3,#REF!,4,FALSE),VLOOKUP(N3,'Länder-DB'!$A$20:$B$51,2,FALSE))+'Länder-DB'!$M$31)/1000+'Länder-DB'!$M$33</f>
        <v>8.6869999999999994</v>
      </c>
      <c r="O1" s="834">
        <f>(IFERROR(VLOOKUP(O$3,#REF!,4,FALSE),VLOOKUP(O3,'Länder-DB'!$A$20:$B$51,2,FALSE)))/1000+'Länder-DB'!$M$33</f>
        <v>2.5999999999999996</v>
      </c>
      <c r="P1" s="834">
        <f>(IFERROR(VLOOKUP(P$3,#REF!,4,FALSE),VLOOKUP(P3,'Länder-DB'!$A$20:$B$51,2,FALSE))+'Länder-DB'!$M$31)/1000+'Länder-DB'!$M$33</f>
        <v>2.6593099999999996</v>
      </c>
      <c r="Q1" s="836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812" t="s">
        <v>679</v>
      </c>
      <c r="D2" s="812" t="s">
        <v>687</v>
      </c>
      <c r="E2" s="812" t="s">
        <v>682</v>
      </c>
      <c r="F2" s="812" t="s">
        <v>684</v>
      </c>
      <c r="G2" s="812" t="s">
        <v>685</v>
      </c>
      <c r="H2" s="833" t="s">
        <v>686</v>
      </c>
      <c r="I2" s="837" t="str">
        <f>IFERROR(VLOOKUP(I$3,#REF!,3,FALSE),IF(Deutsch,"älter","old data"))</f>
        <v>älter</v>
      </c>
      <c r="J2" s="838" t="str">
        <f>IFERROR(VLOOKUP(J$3,#REF!,3,FALSE),IF(Deutsch,"älter","old data"))</f>
        <v>älter</v>
      </c>
      <c r="K2" s="838" t="str">
        <f>IFERROR(VLOOKUP(K$3,#REF!,3,FALSE),IF(Deutsch,"älter","old data"))</f>
        <v>älter</v>
      </c>
      <c r="L2" s="838" t="str">
        <f>IFERROR(VLOOKUP(L$3,#REF!,3,FALSE),IF(Deutsch,"älter","old data"))</f>
        <v>älter</v>
      </c>
      <c r="M2" s="838" t="str">
        <f>IFERROR(VLOOKUP(M$3,#REF!,3,FALSE),IF(Deutsch,"älter","old data"))</f>
        <v>älter</v>
      </c>
      <c r="N2" s="838" t="str">
        <f>IFERROR(VLOOKUP(N$3,#REF!,3,FALSE),IF(Deutsch,"älter","old data"))</f>
        <v>älter</v>
      </c>
      <c r="O2" s="838" t="str">
        <f>IFERROR(VLOOKUP(O$3,#REF!,3,FALSE),IF(Deutsch,"älter","old data"))</f>
        <v>älter</v>
      </c>
      <c r="P2" s="838" t="str">
        <f>IFERROR(VLOOKUP(P$3,#REF!,3,FALSE),IF(Deutsch,"älter","old data"))</f>
        <v>älter</v>
      </c>
      <c r="Q2" s="839" t="str">
        <f>IFERROR(VLOOKUP(Q$3,#REF!,3,FALSE),IF(Deutsch,"älter","old data"))</f>
        <v>älter</v>
      </c>
      <c r="R2" s="829" t="s">
        <v>680</v>
      </c>
      <c r="S2" s="812" t="s">
        <v>706</v>
      </c>
      <c r="T2" s="812" t="s">
        <v>721</v>
      </c>
      <c r="U2" s="458" t="s">
        <v>296</v>
      </c>
    </row>
    <row r="3" spans="1:21" ht="45" customHeight="1" x14ac:dyDescent="0.2">
      <c r="A3" s="167" t="s">
        <v>31</v>
      </c>
      <c r="B3" s="167" t="s">
        <v>35</v>
      </c>
      <c r="C3" s="812" t="s">
        <v>678</v>
      </c>
      <c r="D3" s="167" t="s">
        <v>657</v>
      </c>
      <c r="E3" s="812" t="s">
        <v>683</v>
      </c>
      <c r="F3" s="812" t="s">
        <v>676</v>
      </c>
      <c r="G3" s="167" t="s">
        <v>300</v>
      </c>
      <c r="H3" s="812" t="s">
        <v>677</v>
      </c>
      <c r="I3" s="830" t="s">
        <v>653</v>
      </c>
      <c r="J3" s="830" t="s">
        <v>641</v>
      </c>
      <c r="K3" s="830" t="s">
        <v>651</v>
      </c>
      <c r="L3" s="830" t="s">
        <v>640</v>
      </c>
      <c r="M3" s="830" t="s">
        <v>645</v>
      </c>
      <c r="N3" s="830" t="s">
        <v>650</v>
      </c>
      <c r="O3" s="830" t="s">
        <v>642</v>
      </c>
      <c r="P3" s="830" t="s">
        <v>652</v>
      </c>
      <c r="Q3" s="830" t="s">
        <v>643</v>
      </c>
      <c r="R3" s="812" t="s">
        <v>644</v>
      </c>
      <c r="S3" s="812" t="s">
        <v>681</v>
      </c>
      <c r="T3" s="812" t="s">
        <v>721</v>
      </c>
      <c r="U3" s="458" t="s">
        <v>300</v>
      </c>
    </row>
    <row r="4" spans="1:21" x14ac:dyDescent="0.2">
      <c r="A4" s="816" t="s">
        <v>328</v>
      </c>
      <c r="B4" s="817" t="s">
        <v>722</v>
      </c>
      <c r="C4" s="64">
        <f>ROUND('Länder-DB'!$M$35*1.1%/(0.1%+$R4)+'Länder-DB'!$M$37+I4*I$1+J4*J$1+K4*K$1+L4*L$1+M4*M$1+N4*N$1+O4*O$1+P4*P$1+Q4*Q$1+S4,2)</f>
        <v>2.41</v>
      </c>
      <c r="D4" s="818" t="s">
        <v>755</v>
      </c>
      <c r="E4" s="819">
        <v>2.75</v>
      </c>
      <c r="F4" s="816"/>
      <c r="G4" s="816"/>
      <c r="H4" s="816"/>
      <c r="I4" s="813">
        <f>1-SUM(J4:Q4)</f>
        <v>0.94799999999999995</v>
      </c>
      <c r="J4" s="822">
        <v>4.7E-2</v>
      </c>
      <c r="K4" s="822"/>
      <c r="L4" s="822">
        <v>2.5000000000000001E-3</v>
      </c>
      <c r="M4" s="822"/>
      <c r="N4" s="822"/>
      <c r="O4" s="822"/>
      <c r="P4" s="822"/>
      <c r="Q4" s="822">
        <v>2.5000000000000001E-3</v>
      </c>
      <c r="R4" s="822">
        <v>0.01</v>
      </c>
      <c r="S4" s="819">
        <v>0</v>
      </c>
      <c r="T4" s="816"/>
      <c r="U4" s="821"/>
    </row>
    <row r="5" spans="1:21" x14ac:dyDescent="0.2">
      <c r="A5" s="816" t="s">
        <v>329</v>
      </c>
      <c r="B5" s="817" t="s">
        <v>723</v>
      </c>
      <c r="C5" s="64">
        <f>ROUND('Länder-DB'!$M$35*1.1%/(0.1%+$R5)+'Länder-DB'!$M$37+I5*I$1+J5*J$1+K5*K$1+L5*L$1+M5*M$1+N5*N$1+O5*O$1+P5*P$1+Q5*Q$1+S5,2)</f>
        <v>2.4500000000000002</v>
      </c>
      <c r="D5" s="818" t="s">
        <v>756</v>
      </c>
      <c r="E5" s="819">
        <v>2.75</v>
      </c>
      <c r="F5" s="816"/>
      <c r="G5" s="816"/>
      <c r="H5" s="816"/>
      <c r="I5" s="813">
        <f t="shared" ref="I5:I37" si="0">1-SUM(J5:Q5)</f>
        <v>0.94950000000000001</v>
      </c>
      <c r="J5" s="822">
        <v>4.8000000000000001E-2</v>
      </c>
      <c r="K5" s="822"/>
      <c r="L5" s="822"/>
      <c r="M5" s="822"/>
      <c r="N5" s="822"/>
      <c r="O5" s="822"/>
      <c r="P5" s="822"/>
      <c r="Q5" s="822">
        <v>2.5000000000000001E-3</v>
      </c>
      <c r="R5" s="822">
        <v>8.5000000000000006E-3</v>
      </c>
      <c r="S5" s="819">
        <v>0</v>
      </c>
      <c r="T5" s="816"/>
      <c r="U5" s="821"/>
    </row>
    <row r="6" spans="1:21" x14ac:dyDescent="0.2">
      <c r="A6" s="816" t="s">
        <v>321</v>
      </c>
      <c r="B6" s="817" t="s">
        <v>724</v>
      </c>
      <c r="C6" s="64">
        <f>ROUND('Länder-DB'!$M$35*1.1%/(0.1%+$R6)+'Länder-DB'!$M$37+I6*I$1+J6*J$1+K6*K$1+L6*L$1+M6*M$1+N6*N$1+O6*O$1+P6*P$1+Q6*Q$1+S6,2)</f>
        <v>2.27</v>
      </c>
      <c r="D6" s="816" t="s">
        <v>320</v>
      </c>
      <c r="E6" s="819">
        <v>2.75</v>
      </c>
      <c r="F6" s="816"/>
      <c r="G6" s="816" t="s">
        <v>299</v>
      </c>
      <c r="H6" s="816"/>
      <c r="I6" s="813">
        <f t="shared" si="0"/>
        <v>0.96830000000000005</v>
      </c>
      <c r="J6" s="822"/>
      <c r="K6" s="822"/>
      <c r="L6" s="822">
        <v>5.4999999999999997E-3</v>
      </c>
      <c r="M6" s="822">
        <v>4.0000000000000001E-3</v>
      </c>
      <c r="N6" s="822"/>
      <c r="O6" s="822">
        <v>2.1000000000000001E-2</v>
      </c>
      <c r="P6" s="822"/>
      <c r="Q6" s="822">
        <v>1.1999999999999999E-3</v>
      </c>
      <c r="R6" s="822">
        <v>9.4999999999999998E-3</v>
      </c>
      <c r="S6" s="819">
        <v>0.12</v>
      </c>
      <c r="T6" s="816"/>
      <c r="U6" s="821"/>
    </row>
    <row r="7" spans="1:21" x14ac:dyDescent="0.2">
      <c r="A7" s="816" t="s">
        <v>319</v>
      </c>
      <c r="B7" s="817" t="s">
        <v>725</v>
      </c>
      <c r="C7" s="64">
        <f>ROUND('Länder-DB'!$M$35*1.1%/(0.1%+$R7)+'Länder-DB'!$M$37+I7*I$1+J7*J$1+K7*K$1+L7*L$1+M7*M$1+N7*N$1+O7*O$1+P7*P$1+Q7*Q$1+S7,2)</f>
        <v>2.46</v>
      </c>
      <c r="D7" s="816" t="s">
        <v>318</v>
      </c>
      <c r="E7" s="819">
        <v>2.74</v>
      </c>
      <c r="F7" s="816"/>
      <c r="G7" s="816" t="s">
        <v>325</v>
      </c>
      <c r="H7" s="816"/>
      <c r="I7" s="813">
        <f t="shared" si="0"/>
        <v>0.91220000000000001</v>
      </c>
      <c r="J7" s="822">
        <v>1.8E-3</v>
      </c>
      <c r="K7" s="822"/>
      <c r="L7" s="822">
        <v>5.0000000000000001E-3</v>
      </c>
      <c r="M7" s="822"/>
      <c r="N7" s="822"/>
      <c r="O7" s="822">
        <v>7.0000000000000007E-2</v>
      </c>
      <c r="P7" s="822"/>
      <c r="Q7" s="822">
        <v>1.0999999999999999E-2</v>
      </c>
      <c r="R7" s="822">
        <v>5.0000000000000001E-3</v>
      </c>
      <c r="S7" s="819">
        <v>0</v>
      </c>
      <c r="T7" s="816"/>
      <c r="U7" s="821" t="s">
        <v>310</v>
      </c>
    </row>
    <row r="8" spans="1:21" x14ac:dyDescent="0.2">
      <c r="A8" s="816" t="s">
        <v>330</v>
      </c>
      <c r="B8" s="817" t="s">
        <v>726</v>
      </c>
      <c r="C8" s="64">
        <f>ROUND('Länder-DB'!$M$35*1.1%/(0.1%+$R8)+'Länder-DB'!$M$37+I8*I$1+J8*J$1+K8*K$1+L8*L$1+M8*M$1+N8*N$1+O8*O$1+P8*P$1+Q8*Q$1+S8,2)</f>
        <v>2.79</v>
      </c>
      <c r="D8" s="818" t="s">
        <v>757</v>
      </c>
      <c r="E8" s="819">
        <v>2.74</v>
      </c>
      <c r="F8" s="816"/>
      <c r="G8" s="816"/>
      <c r="H8" s="816"/>
      <c r="I8" s="813">
        <f t="shared" si="0"/>
        <v>0.92469999999999997</v>
      </c>
      <c r="J8" s="822"/>
      <c r="K8" s="822"/>
      <c r="L8" s="822">
        <v>3.5000000000000001E-3</v>
      </c>
      <c r="M8" s="822"/>
      <c r="N8" s="822"/>
      <c r="O8" s="822">
        <v>7.0000000000000007E-2</v>
      </c>
      <c r="P8" s="822"/>
      <c r="Q8" s="822">
        <v>1.8E-3</v>
      </c>
      <c r="R8" s="822">
        <v>2.3E-3</v>
      </c>
      <c r="S8" s="819">
        <v>0</v>
      </c>
      <c r="T8" s="816"/>
      <c r="U8" s="821"/>
    </row>
    <row r="9" spans="1:21" x14ac:dyDescent="0.2">
      <c r="A9" s="817" t="s">
        <v>331</v>
      </c>
      <c r="B9" s="817" t="s">
        <v>728</v>
      </c>
      <c r="C9" s="64">
        <f>ROUND('Länder-DB'!$M$35*1.1%/(0.1%+$R9)+'Länder-DB'!$M$37+I9*I$1+J9*J$1+K9*K$1+L9*L$1+M9*M$1+N9*N$1+O9*O$1+P9*P$1+Q9*Q$1+S9,2)</f>
        <v>2.5499999999999998</v>
      </c>
      <c r="D9" s="820" t="s">
        <v>758</v>
      </c>
      <c r="E9" s="819">
        <v>2.74</v>
      </c>
      <c r="F9" s="816"/>
      <c r="G9" s="816" t="s">
        <v>325</v>
      </c>
      <c r="H9" s="816"/>
      <c r="I9" s="813">
        <f t="shared" si="0"/>
        <v>0.92179999999999995</v>
      </c>
      <c r="J9" s="822">
        <v>4.0000000000000002E-4</v>
      </c>
      <c r="K9" s="822"/>
      <c r="L9" s="822">
        <v>6.0000000000000001E-3</v>
      </c>
      <c r="M9" s="822"/>
      <c r="N9" s="822"/>
      <c r="O9" s="822">
        <v>7.0000000000000007E-2</v>
      </c>
      <c r="P9" s="822"/>
      <c r="Q9" s="822">
        <v>1.8E-3</v>
      </c>
      <c r="R9" s="822">
        <v>3.5999999999999999E-3</v>
      </c>
      <c r="S9" s="819">
        <v>0</v>
      </c>
      <c r="T9" s="816"/>
      <c r="U9" s="821"/>
    </row>
    <row r="10" spans="1:21" x14ac:dyDescent="0.2">
      <c r="A10" s="816" t="s">
        <v>306</v>
      </c>
      <c r="B10" s="817" t="s">
        <v>727</v>
      </c>
      <c r="C10" s="64">
        <f>ROUND('Länder-DB'!$M$35*1.1%/(0.1%+$R10)+'Länder-DB'!$M$37+I10*I$1+J10*J$1+K10*K$1+L10*L$1+M10*M$1+N10*N$1+O10*O$1+P10*P$1+Q10*Q$1+S10,2)</f>
        <v>2.31</v>
      </c>
      <c r="D10" s="816" t="s">
        <v>647</v>
      </c>
      <c r="E10" s="819">
        <v>2.706</v>
      </c>
      <c r="F10" s="816">
        <v>215</v>
      </c>
      <c r="G10" s="816" t="s">
        <v>325</v>
      </c>
      <c r="H10" s="816">
        <v>710</v>
      </c>
      <c r="I10" s="813">
        <f t="shared" si="0"/>
        <v>0.89649999999999996</v>
      </c>
      <c r="J10" s="822"/>
      <c r="K10" s="822"/>
      <c r="L10" s="822">
        <v>3.5000000000000001E-3</v>
      </c>
      <c r="M10" s="822"/>
      <c r="N10" s="822"/>
      <c r="O10" s="822">
        <v>0.1</v>
      </c>
      <c r="P10" s="822"/>
      <c r="Q10" s="822"/>
      <c r="R10" s="822">
        <v>7.0000000000000001E-3</v>
      </c>
      <c r="S10" s="819">
        <v>0</v>
      </c>
      <c r="T10" s="816"/>
      <c r="U10" s="821" t="s">
        <v>310</v>
      </c>
    </row>
    <row r="11" spans="1:21" x14ac:dyDescent="0.2">
      <c r="A11" s="816" t="s">
        <v>307</v>
      </c>
      <c r="B11" s="817" t="s">
        <v>729</v>
      </c>
      <c r="C11" s="64">
        <f>ROUND('Länder-DB'!$M$35*1.1%/(0.1%+$R11)+'Länder-DB'!$M$37+I11*I$1+J11*J$1+K11*K$1+L11*L$1+M11*M$1+N11*N$1+O11*O$1+P11*P$1+Q11*Q$1+S11,2)</f>
        <v>2.29</v>
      </c>
      <c r="D11" s="816" t="s">
        <v>259</v>
      </c>
      <c r="E11" s="819">
        <v>2.706</v>
      </c>
      <c r="F11" s="816"/>
      <c r="G11" s="816" t="s">
        <v>325</v>
      </c>
      <c r="H11" s="816">
        <v>710</v>
      </c>
      <c r="I11" s="813">
        <f t="shared" si="0"/>
        <v>0.89649999999999996</v>
      </c>
      <c r="J11" s="822"/>
      <c r="K11" s="822"/>
      <c r="L11" s="822">
        <v>3.5000000000000001E-3</v>
      </c>
      <c r="M11" s="822"/>
      <c r="N11" s="822"/>
      <c r="O11" s="822">
        <v>0.1</v>
      </c>
      <c r="P11" s="822"/>
      <c r="Q11" s="822"/>
      <c r="R11" s="822">
        <v>7.4999999999999997E-3</v>
      </c>
      <c r="S11" s="819">
        <v>0</v>
      </c>
      <c r="T11" s="816"/>
      <c r="U11" s="821" t="s">
        <v>310</v>
      </c>
    </row>
    <row r="12" spans="1:21" x14ac:dyDescent="0.2">
      <c r="A12" s="816" t="s">
        <v>308</v>
      </c>
      <c r="B12" s="817" t="s">
        <v>730</v>
      </c>
      <c r="C12" s="64">
        <f>ROUND('Länder-DB'!$M$35*1.1%/(0.1%+$R12)+'Länder-DB'!$M$37+I12*I$1+J12*J$1+K12*K$1+L12*L$1+M12*M$1+N12*N$1+O12*O$1+P12*P$1+Q12*Q$1+S12,2)</f>
        <v>2.1</v>
      </c>
      <c r="D12" s="820" t="s">
        <v>754</v>
      </c>
      <c r="E12" s="819">
        <v>2.706</v>
      </c>
      <c r="F12" s="816"/>
      <c r="G12" s="816" t="s">
        <v>299</v>
      </c>
      <c r="H12" s="816">
        <v>710</v>
      </c>
      <c r="I12" s="813">
        <f t="shared" si="0"/>
        <v>0.89449999999999996</v>
      </c>
      <c r="J12" s="822">
        <v>2E-3</v>
      </c>
      <c r="K12" s="822"/>
      <c r="L12" s="822">
        <v>3.5000000000000001E-3</v>
      </c>
      <c r="M12" s="822"/>
      <c r="N12" s="822"/>
      <c r="O12" s="822">
        <v>0.1</v>
      </c>
      <c r="P12" s="822"/>
      <c r="Q12" s="822"/>
      <c r="R12" s="822">
        <v>0.02</v>
      </c>
      <c r="S12" s="819">
        <v>0</v>
      </c>
      <c r="T12" s="816"/>
      <c r="U12" s="821" t="s">
        <v>310</v>
      </c>
    </row>
    <row r="13" spans="1:21" x14ac:dyDescent="0.2">
      <c r="A13" s="816" t="s">
        <v>317</v>
      </c>
      <c r="B13" s="817" t="s">
        <v>731</v>
      </c>
      <c r="C13" s="64">
        <f>ROUND('Länder-DB'!$M$35*1.1%/(0.1%+$R13)+'Länder-DB'!$M$37+I13*I$1+J13*J$1+K13*K$1+L13*L$1+M13*M$1+N13*N$1+O13*O$1+P13*P$1+Q13*Q$1+S13,2)</f>
        <v>2.38</v>
      </c>
      <c r="D13" s="818" t="s">
        <v>759</v>
      </c>
      <c r="E13" s="819">
        <v>2.726</v>
      </c>
      <c r="F13" s="816"/>
      <c r="G13" s="816" t="s">
        <v>299</v>
      </c>
      <c r="H13" s="816"/>
      <c r="I13" s="813">
        <f t="shared" si="0"/>
        <v>0.90100000000000002</v>
      </c>
      <c r="J13" s="822"/>
      <c r="K13" s="822"/>
      <c r="L13" s="822">
        <v>4.0000000000000001E-3</v>
      </c>
      <c r="M13" s="822"/>
      <c r="N13" s="822"/>
      <c r="O13" s="822">
        <v>9.5000000000000001E-2</v>
      </c>
      <c r="P13" s="822"/>
      <c r="Q13" s="822"/>
      <c r="R13" s="822">
        <v>5.5999999999999999E-3</v>
      </c>
      <c r="S13" s="819">
        <v>0</v>
      </c>
      <c r="T13" s="816"/>
      <c r="U13" s="821"/>
    </row>
    <row r="14" spans="1:21" x14ac:dyDescent="0.2">
      <c r="A14" s="816" t="s">
        <v>316</v>
      </c>
      <c r="B14" s="817" t="s">
        <v>732</v>
      </c>
      <c r="C14" s="64">
        <f>ROUND('Länder-DB'!$M$35*1.1%/(0.1%+$R14)+'Länder-DB'!$M$37+I14*I$1+J14*J$1+K14*K$1+L14*L$1+M14*M$1+N14*N$1+O14*O$1+P14*P$1+Q14*Q$1+S14,2)</f>
        <v>2.2200000000000002</v>
      </c>
      <c r="D14" s="818" t="s">
        <v>760</v>
      </c>
      <c r="E14" s="819">
        <v>2.702</v>
      </c>
      <c r="F14" s="816"/>
      <c r="G14" s="816"/>
      <c r="H14" s="816"/>
      <c r="I14" s="813">
        <f t="shared" si="0"/>
        <v>0.89100000000000001</v>
      </c>
      <c r="J14" s="822"/>
      <c r="K14" s="822"/>
      <c r="L14" s="822"/>
      <c r="M14" s="822"/>
      <c r="N14" s="822"/>
      <c r="O14" s="822">
        <v>0.109</v>
      </c>
      <c r="P14" s="822"/>
      <c r="Q14" s="822"/>
      <c r="R14" s="822">
        <v>0.01</v>
      </c>
      <c r="S14" s="819">
        <v>0</v>
      </c>
      <c r="T14" s="816"/>
      <c r="U14" s="821"/>
    </row>
    <row r="15" spans="1:21" x14ac:dyDescent="0.2">
      <c r="A15" s="816" t="s">
        <v>305</v>
      </c>
      <c r="B15" s="817" t="s">
        <v>733</v>
      </c>
      <c r="C15" s="64">
        <f>ROUND('Länder-DB'!$M$35*1.1%/(0.1%+$R15)+'Länder-DB'!$M$37+I15*I$1+J15*J$1+K15*K$1+L15*L$1+M15*M$1+N15*N$1+O15*O$1+P15*P$1+Q15*Q$1+S15,2)</f>
        <v>2.2400000000000002</v>
      </c>
      <c r="D15" s="816" t="s">
        <v>258</v>
      </c>
      <c r="E15" s="819">
        <v>2.68</v>
      </c>
      <c r="F15" s="816">
        <v>215</v>
      </c>
      <c r="G15" s="816"/>
      <c r="H15" s="816">
        <v>690</v>
      </c>
      <c r="I15" s="813">
        <f t="shared" si="0"/>
        <v>0.88</v>
      </c>
      <c r="J15" s="822"/>
      <c r="K15" s="822"/>
      <c r="L15" s="822"/>
      <c r="M15" s="822"/>
      <c r="N15" s="822"/>
      <c r="O15" s="822">
        <v>0.12</v>
      </c>
      <c r="P15" s="822"/>
      <c r="Q15" s="822"/>
      <c r="R15" s="822">
        <v>0.02</v>
      </c>
      <c r="S15" s="819">
        <v>0.13</v>
      </c>
      <c r="T15" s="816"/>
      <c r="U15" s="821" t="s">
        <v>309</v>
      </c>
    </row>
    <row r="16" spans="1:21" x14ac:dyDescent="0.2">
      <c r="A16" s="816" t="s">
        <v>304</v>
      </c>
      <c r="B16" s="817" t="s">
        <v>734</v>
      </c>
      <c r="C16" s="64">
        <f>ROUND('Länder-DB'!$M$35*1.1%/(0.1%+$R16)+'Länder-DB'!$M$37+I16*I$1+J16*J$1+K16*K$1+L16*L$1+M16*M$1+N16*N$1+O16*O$1+P16*P$1+Q16*Q$1+S16,2)</f>
        <v>2.2599999999999998</v>
      </c>
      <c r="D16" s="817" t="s">
        <v>761</v>
      </c>
      <c r="E16" s="819">
        <v>2.68</v>
      </c>
      <c r="F16" s="816">
        <v>215</v>
      </c>
      <c r="G16" s="816"/>
      <c r="H16" s="816">
        <v>700</v>
      </c>
      <c r="I16" s="813">
        <f t="shared" si="0"/>
        <v>0.88</v>
      </c>
      <c r="J16" s="822"/>
      <c r="K16" s="822"/>
      <c r="L16" s="822"/>
      <c r="M16" s="822"/>
      <c r="N16" s="822"/>
      <c r="O16" s="822">
        <v>0.12</v>
      </c>
      <c r="P16" s="822"/>
      <c r="Q16" s="822"/>
      <c r="R16" s="822">
        <v>1.4E-2</v>
      </c>
      <c r="S16" s="819">
        <v>0.1</v>
      </c>
      <c r="T16" s="816"/>
      <c r="U16" s="821" t="s">
        <v>309</v>
      </c>
    </row>
    <row r="17" spans="1:21" x14ac:dyDescent="0.2">
      <c r="A17" s="816" t="s">
        <v>332</v>
      </c>
      <c r="B17" s="817" t="s">
        <v>735</v>
      </c>
      <c r="C17" s="64">
        <f>ROUND('Länder-DB'!$M$35*1.1%/(0.1%+$R17)+'Länder-DB'!$M$37+I17*I$1+J17*J$1+K17*K$1+L17*L$1+M17*M$1+N17*N$1+O17*O$1+P17*P$1+Q17*Q$1+S17,2)</f>
        <v>2.09</v>
      </c>
      <c r="D17" s="817" t="s">
        <v>649</v>
      </c>
      <c r="E17" s="819">
        <v>2.75</v>
      </c>
      <c r="F17" s="816">
        <v>215</v>
      </c>
      <c r="G17" s="816"/>
      <c r="H17" s="816">
        <v>685</v>
      </c>
      <c r="I17" s="813">
        <f t="shared" si="0"/>
        <v>0.90500000000000003</v>
      </c>
      <c r="J17" s="822"/>
      <c r="K17" s="822"/>
      <c r="L17" s="822"/>
      <c r="M17" s="822"/>
      <c r="N17" s="822"/>
      <c r="O17" s="822">
        <v>9.5000000000000001E-2</v>
      </c>
      <c r="P17" s="822"/>
      <c r="Q17" s="822"/>
      <c r="R17" s="822">
        <v>1.7999999999999999E-2</v>
      </c>
      <c r="S17" s="819">
        <v>0</v>
      </c>
      <c r="T17" s="816"/>
      <c r="U17" s="821"/>
    </row>
    <row r="18" spans="1:21" x14ac:dyDescent="0.2">
      <c r="A18" s="816" t="s">
        <v>303</v>
      </c>
      <c r="B18" s="817" t="s">
        <v>736</v>
      </c>
      <c r="C18" s="64">
        <f>ROUND('Länder-DB'!$M$35*1.1%/(0.1%+$R18)+'Länder-DB'!$M$37+I18*I$1+J18*J$1+K18*K$1+L18*L$1+M18*M$1+N18*N$1+O18*O$1+P18*P$1+Q18*Q$1+S18,2)</f>
        <v>2.35</v>
      </c>
      <c r="D18" s="816" t="s">
        <v>257</v>
      </c>
      <c r="E18" s="819">
        <v>2.758</v>
      </c>
      <c r="F18" s="816">
        <v>215</v>
      </c>
      <c r="G18" s="816" t="s">
        <v>265</v>
      </c>
      <c r="H18" s="816">
        <v>680</v>
      </c>
      <c r="I18" s="813">
        <f t="shared" si="0"/>
        <v>0.89549999999999996</v>
      </c>
      <c r="J18" s="822">
        <v>0.04</v>
      </c>
      <c r="K18" s="822"/>
      <c r="L18" s="822"/>
      <c r="M18" s="822">
        <v>4.4999999999999997E-3</v>
      </c>
      <c r="N18" s="822"/>
      <c r="O18" s="822">
        <v>0.06</v>
      </c>
      <c r="P18" s="822"/>
      <c r="Q18" s="822"/>
      <c r="R18" s="822">
        <v>1.4E-2</v>
      </c>
      <c r="S18" s="819">
        <v>0</v>
      </c>
      <c r="T18" s="816"/>
      <c r="U18" s="821"/>
    </row>
    <row r="19" spans="1:21" x14ac:dyDescent="0.2">
      <c r="A19" s="816" t="s">
        <v>323</v>
      </c>
      <c r="B19" s="817" t="s">
        <v>737</v>
      </c>
      <c r="C19" s="64">
        <f>ROUND('Länder-DB'!$M$35*1.1%/(0.1%+$R19)+'Länder-DB'!$M$37+I19*I$1+J19*J$1+K19*K$1+L19*L$1+M19*M$1+N19*N$1+O19*O$1+P19*P$1+Q19*Q$1+S19,2)</f>
        <v>2.2400000000000002</v>
      </c>
      <c r="D19" s="816" t="s">
        <v>322</v>
      </c>
      <c r="E19" s="819">
        <v>2.75</v>
      </c>
      <c r="F19" s="816"/>
      <c r="G19" s="816" t="s">
        <v>324</v>
      </c>
      <c r="H19" s="816"/>
      <c r="I19" s="813">
        <f t="shared" si="0"/>
        <v>0.91449999999999998</v>
      </c>
      <c r="J19" s="822">
        <v>3.2000000000000001E-2</v>
      </c>
      <c r="K19" s="822"/>
      <c r="L19" s="822">
        <v>3.5000000000000001E-3</v>
      </c>
      <c r="M19" s="822"/>
      <c r="N19" s="822"/>
      <c r="O19" s="822">
        <v>0.05</v>
      </c>
      <c r="P19" s="822"/>
      <c r="Q19" s="822"/>
      <c r="R19" s="822">
        <v>0.02</v>
      </c>
      <c r="S19" s="819">
        <v>0</v>
      </c>
      <c r="T19" s="816"/>
      <c r="U19" s="821"/>
    </row>
    <row r="20" spans="1:21" x14ac:dyDescent="0.2">
      <c r="A20" s="816" t="s">
        <v>333</v>
      </c>
      <c r="B20" s="817" t="s">
        <v>738</v>
      </c>
      <c r="C20" s="64">
        <f>ROUND('Länder-DB'!$M$35*1.1%/(0.1%+$R20)+'Länder-DB'!$M$37+I20*I$1+J20*J$1+K20*K$1+L20*L$1+M20*M$1+N20*N$1+O20*O$1+P20*P$1+Q20*Q$1+S20,2)</f>
        <v>2.2200000000000002</v>
      </c>
      <c r="D20" s="816" t="s">
        <v>334</v>
      </c>
      <c r="E20" s="819">
        <v>2.75</v>
      </c>
      <c r="F20" s="816"/>
      <c r="G20" s="816"/>
      <c r="H20" s="816"/>
      <c r="I20" s="813">
        <f t="shared" si="0"/>
        <v>0.91300000000000003</v>
      </c>
      <c r="J20" s="822">
        <v>3.3000000000000002E-2</v>
      </c>
      <c r="K20" s="822"/>
      <c r="L20" s="822"/>
      <c r="M20" s="822">
        <v>4.0000000000000001E-3</v>
      </c>
      <c r="N20" s="822"/>
      <c r="O20" s="822">
        <v>0.05</v>
      </c>
      <c r="P20" s="822"/>
      <c r="Q20" s="822"/>
      <c r="R20" s="822">
        <v>2.5000000000000001E-2</v>
      </c>
      <c r="S20" s="819">
        <v>0</v>
      </c>
      <c r="T20" s="816"/>
      <c r="U20" s="821"/>
    </row>
    <row r="21" spans="1:21" x14ac:dyDescent="0.2">
      <c r="A21" s="816" t="s">
        <v>335</v>
      </c>
      <c r="B21" s="817" t="s">
        <v>739</v>
      </c>
      <c r="C21" s="64">
        <f>ROUND('Länder-DB'!$M$35*1.1%/(0.1%+$R21)+'Länder-DB'!$M$37+I21*I$1+J21*J$1+K21*K$1+L21*L$1+M21*M$1+N21*N$1+O21*O$1+P21*P$1+Q21*Q$1+S21,2)</f>
        <v>2.12</v>
      </c>
      <c r="D21" s="816" t="s">
        <v>336</v>
      </c>
      <c r="E21" s="819">
        <v>2.75</v>
      </c>
      <c r="F21" s="816"/>
      <c r="G21" s="816"/>
      <c r="H21" s="816"/>
      <c r="I21" s="813">
        <f t="shared" si="0"/>
        <v>0.93149999999999999</v>
      </c>
      <c r="J21" s="822">
        <v>1.2999999999999999E-2</v>
      </c>
      <c r="K21" s="822"/>
      <c r="L21" s="822">
        <v>5.4999999999999997E-3</v>
      </c>
      <c r="M21" s="822"/>
      <c r="N21" s="822"/>
      <c r="O21" s="822">
        <v>0.05</v>
      </c>
      <c r="P21" s="822"/>
      <c r="Q21" s="822"/>
      <c r="R21" s="822">
        <v>0.02</v>
      </c>
      <c r="S21" s="819">
        <v>0</v>
      </c>
      <c r="T21" s="816"/>
      <c r="U21" s="821"/>
    </row>
    <row r="22" spans="1:21" x14ac:dyDescent="0.2">
      <c r="A22" s="816" t="s">
        <v>337</v>
      </c>
      <c r="B22" s="817" t="s">
        <v>740</v>
      </c>
      <c r="C22" s="64">
        <f>ROUND('Länder-DB'!$M$35*1.1%/(0.1%+$R22)+'Länder-DB'!$M$37+I22*I$1+J22*J$1+K22*K$1+L22*L$1+M22*M$1+N22*N$1+O22*O$1+P22*P$1+Q22*Q$1+S22,2)</f>
        <v>2.23</v>
      </c>
      <c r="D22" s="816" t="s">
        <v>338</v>
      </c>
      <c r="E22" s="819">
        <v>2.75</v>
      </c>
      <c r="F22" s="816"/>
      <c r="G22" s="816"/>
      <c r="H22" s="816"/>
      <c r="I22" s="813">
        <f t="shared" si="0"/>
        <v>0.91800000000000004</v>
      </c>
      <c r="J22" s="822">
        <v>3.2000000000000001E-2</v>
      </c>
      <c r="K22" s="822"/>
      <c r="L22" s="822"/>
      <c r="M22" s="822"/>
      <c r="N22" s="822"/>
      <c r="O22" s="822">
        <v>0.05</v>
      </c>
      <c r="P22" s="822"/>
      <c r="Q22" s="822"/>
      <c r="R22" s="822">
        <v>0.02</v>
      </c>
      <c r="S22" s="819">
        <v>0</v>
      </c>
      <c r="T22" s="816"/>
      <c r="U22" s="821"/>
    </row>
    <row r="23" spans="1:21" x14ac:dyDescent="0.2">
      <c r="A23" s="816" t="s">
        <v>339</v>
      </c>
      <c r="B23" s="817" t="s">
        <v>741</v>
      </c>
      <c r="C23" s="64">
        <f>ROUND('Länder-DB'!$M$35*1.1%/(0.1%+$R23)+'Länder-DB'!$M$37+I23*I$1+J23*J$1+K23*K$1+L23*L$1+M23*M$1+N23*N$1+O23*O$1+P23*P$1+Q23*Q$1+S23,2)</f>
        <v>2.16</v>
      </c>
      <c r="D23" s="816" t="s">
        <v>340</v>
      </c>
      <c r="E23" s="819">
        <v>2.7</v>
      </c>
      <c r="F23" s="816">
        <v>215</v>
      </c>
      <c r="G23" s="816"/>
      <c r="H23" s="816">
        <v>700</v>
      </c>
      <c r="I23" s="813">
        <f t="shared" si="0"/>
        <v>0.86799999999999999</v>
      </c>
      <c r="J23" s="822">
        <v>2.1999999999999999E-2</v>
      </c>
      <c r="K23" s="822"/>
      <c r="L23" s="822"/>
      <c r="M23" s="822"/>
      <c r="N23" s="822"/>
      <c r="O23" s="822">
        <v>0.11</v>
      </c>
      <c r="P23" s="822"/>
      <c r="Q23" s="822"/>
      <c r="R23" s="822">
        <v>4.4999999999999998E-2</v>
      </c>
      <c r="S23" s="819">
        <v>0</v>
      </c>
      <c r="T23" s="816"/>
      <c r="U23" s="821"/>
    </row>
    <row r="24" spans="1:21" x14ac:dyDescent="0.2">
      <c r="A24" s="816" t="s">
        <v>301</v>
      </c>
      <c r="B24" s="817" t="s">
        <v>742</v>
      </c>
      <c r="C24" s="64">
        <f>ROUND('Länder-DB'!$M$35*1.1%/(0.1%+$R24)+'Länder-DB'!$M$37+I24*I$1+J24*J$1+K24*K$1+L24*L$1+M24*M$1+N24*N$1+O24*O$1+P24*P$1+Q24*Q$1+S24,2)</f>
        <v>2.2000000000000002</v>
      </c>
      <c r="D24" s="816" t="s">
        <v>255</v>
      </c>
      <c r="E24" s="819">
        <v>2.758</v>
      </c>
      <c r="F24" s="816">
        <v>215</v>
      </c>
      <c r="G24" s="816" t="s">
        <v>265</v>
      </c>
      <c r="H24" s="816">
        <v>680</v>
      </c>
      <c r="I24" s="813">
        <f t="shared" si="0"/>
        <v>0.877</v>
      </c>
      <c r="J24" s="822">
        <v>0.03</v>
      </c>
      <c r="K24" s="822"/>
      <c r="L24" s="822">
        <v>4.0000000000000001E-3</v>
      </c>
      <c r="M24" s="822">
        <v>4.0000000000000001E-3</v>
      </c>
      <c r="N24" s="822"/>
      <c r="O24" s="822">
        <v>8.5000000000000006E-2</v>
      </c>
      <c r="P24" s="822"/>
      <c r="Q24" s="822"/>
      <c r="R24" s="822">
        <v>3.1E-2</v>
      </c>
      <c r="S24" s="819">
        <v>-0.02</v>
      </c>
      <c r="T24" s="816"/>
      <c r="U24" s="821"/>
    </row>
    <row r="25" spans="1:21" x14ac:dyDescent="0.2">
      <c r="A25" s="816" t="s">
        <v>341</v>
      </c>
      <c r="B25" s="817" t="s">
        <v>743</v>
      </c>
      <c r="C25" s="64">
        <f>ROUND('Länder-DB'!$M$35*1.1%/(0.1%+$R25)+'Länder-DB'!$M$37+I25*I$1+J25*J$1+K25*K$1+L25*L$1+M25*M$1+N25*N$1+O25*O$1+P25*P$1+Q25*Q$1+S25,2)</f>
        <v>2.27</v>
      </c>
      <c r="D25" s="817" t="s">
        <v>560</v>
      </c>
      <c r="E25" s="819">
        <v>2.74</v>
      </c>
      <c r="F25" s="816"/>
      <c r="G25" s="816"/>
      <c r="H25" s="816"/>
      <c r="I25" s="813">
        <f t="shared" si="0"/>
        <v>0.88149999999999995</v>
      </c>
      <c r="J25" s="822">
        <v>3.5999999999999997E-2</v>
      </c>
      <c r="K25" s="822"/>
      <c r="L25" s="822">
        <v>5.0000000000000001E-3</v>
      </c>
      <c r="M25" s="822">
        <v>4.4999999999999997E-3</v>
      </c>
      <c r="N25" s="822"/>
      <c r="O25" s="822">
        <v>7.2999999999999995E-2</v>
      </c>
      <c r="P25" s="822"/>
      <c r="Q25" s="822"/>
      <c r="R25" s="822">
        <v>2.4E-2</v>
      </c>
      <c r="S25" s="819">
        <v>0</v>
      </c>
      <c r="T25" s="816"/>
      <c r="U25" s="821"/>
    </row>
    <row r="26" spans="1:21" x14ac:dyDescent="0.2">
      <c r="A26" s="816" t="s">
        <v>342</v>
      </c>
      <c r="B26" s="817" t="s">
        <v>744</v>
      </c>
      <c r="C26" s="64">
        <f>ROUND('Länder-DB'!$M$35*1.1%/(0.1%+$R26)+'Länder-DB'!$M$37+I26*I$1+J26*J$1+K26*K$1+L26*L$1+M26*M$1+N26*N$1+O26*O$1+P26*P$1+Q26*Q$1+S26,2)</f>
        <v>2.15</v>
      </c>
      <c r="D26" s="816" t="s">
        <v>343</v>
      </c>
      <c r="E26" s="819">
        <v>2.726</v>
      </c>
      <c r="F26" s="816"/>
      <c r="G26" s="816"/>
      <c r="H26" s="816"/>
      <c r="I26" s="813">
        <f t="shared" si="0"/>
        <v>0.88900000000000001</v>
      </c>
      <c r="J26" s="822">
        <v>1.0999999999999999E-2</v>
      </c>
      <c r="K26" s="822"/>
      <c r="L26" s="822">
        <v>5.0000000000000001E-3</v>
      </c>
      <c r="M26" s="822">
        <v>3.5000000000000001E-3</v>
      </c>
      <c r="N26" s="822"/>
      <c r="O26" s="822">
        <v>0.09</v>
      </c>
      <c r="P26" s="822"/>
      <c r="Q26" s="822">
        <v>1.5E-3</v>
      </c>
      <c r="R26" s="822">
        <v>2.1499999999999998E-2</v>
      </c>
      <c r="S26" s="819">
        <v>0</v>
      </c>
      <c r="T26" s="816"/>
      <c r="U26" s="821"/>
    </row>
    <row r="27" spans="1:21" x14ac:dyDescent="0.2">
      <c r="A27" s="816" t="s">
        <v>344</v>
      </c>
      <c r="B27" s="817" t="s">
        <v>745</v>
      </c>
      <c r="C27" s="64">
        <f>ROUND('Länder-DB'!$M$35*1.1%/(0.1%+$R27)+'Länder-DB'!$M$37+I27*I$1+J27*J$1+K27*K$1+L27*L$1+M27*M$1+N27*N$1+O27*O$1+P27*P$1+Q27*Q$1+S27,2)</f>
        <v>2.1800000000000002</v>
      </c>
      <c r="D27" s="816" t="s">
        <v>345</v>
      </c>
      <c r="E27" s="819">
        <v>2.74</v>
      </c>
      <c r="F27" s="816"/>
      <c r="G27" s="816"/>
      <c r="H27" s="816"/>
      <c r="I27" s="813">
        <f t="shared" si="0"/>
        <v>0.90800000000000003</v>
      </c>
      <c r="J27" s="822">
        <v>2.1999999999999999E-2</v>
      </c>
      <c r="K27" s="822"/>
      <c r="L27" s="822"/>
      <c r="M27" s="822"/>
      <c r="N27" s="822"/>
      <c r="O27" s="822">
        <v>7.0000000000000007E-2</v>
      </c>
      <c r="P27" s="822"/>
      <c r="Q27" s="822"/>
      <c r="R27" s="822">
        <v>2.2499999999999999E-2</v>
      </c>
      <c r="S27" s="819">
        <v>0</v>
      </c>
      <c r="T27" s="816"/>
      <c r="U27" s="821"/>
    </row>
    <row r="28" spans="1:21" x14ac:dyDescent="0.2">
      <c r="A28" s="816" t="s">
        <v>302</v>
      </c>
      <c r="B28" s="817" t="s">
        <v>746</v>
      </c>
      <c r="C28" s="64">
        <f>ROUND('Länder-DB'!$M$35*1.1%/(0.1%+$R28)+'Länder-DB'!$M$37+I28*I$1+J28*J$1+K28*K$1+L28*L$1+M28*M$1+N28*N$1+O28*O$1+P28*P$1+Q28*Q$1+S28,2)</f>
        <v>2.11</v>
      </c>
      <c r="D28" s="816" t="s">
        <v>256</v>
      </c>
      <c r="E28" s="819">
        <v>2.68</v>
      </c>
      <c r="F28" s="816">
        <v>215</v>
      </c>
      <c r="G28" s="816" t="s">
        <v>265</v>
      </c>
      <c r="H28" s="816">
        <v>710</v>
      </c>
      <c r="I28" s="813">
        <f t="shared" si="0"/>
        <v>0.877</v>
      </c>
      <c r="J28" s="822"/>
      <c r="K28" s="822"/>
      <c r="L28" s="822"/>
      <c r="M28" s="822">
        <v>3.0000000000000001E-3</v>
      </c>
      <c r="N28" s="822"/>
      <c r="O28" s="822">
        <v>0.12</v>
      </c>
      <c r="P28" s="822"/>
      <c r="Q28" s="822"/>
      <c r="R28" s="822">
        <v>3.5999999999999997E-2</v>
      </c>
      <c r="S28" s="819">
        <v>0.06</v>
      </c>
      <c r="T28" s="816"/>
      <c r="U28" s="821"/>
    </row>
    <row r="29" spans="1:21" x14ac:dyDescent="0.2">
      <c r="A29" s="816" t="s">
        <v>311</v>
      </c>
      <c r="B29" s="817" t="s">
        <v>747</v>
      </c>
      <c r="C29" s="64">
        <f>ROUND('Länder-DB'!$M$35*1.1%/(0.1%+$R29)+'Länder-DB'!$M$37+I29*I$1+J29*J$1+K29*K$1+L29*L$1+M29*M$1+N29*N$1+O29*O$1+P29*P$1+Q29*Q$1+S29,2)</f>
        <v>2.2999999999999998</v>
      </c>
      <c r="D29" s="816" t="s">
        <v>260</v>
      </c>
      <c r="E29" s="819">
        <v>2.68</v>
      </c>
      <c r="F29" s="816"/>
      <c r="G29" s="816" t="s">
        <v>265</v>
      </c>
      <c r="H29" s="816"/>
      <c r="I29" s="813">
        <f t="shared" si="0"/>
        <v>0.84499999999999997</v>
      </c>
      <c r="J29" s="822">
        <v>1.2E-2</v>
      </c>
      <c r="K29" s="822"/>
      <c r="L29" s="822">
        <v>1.2999999999999999E-2</v>
      </c>
      <c r="M29" s="822"/>
      <c r="N29" s="822">
        <v>0.01</v>
      </c>
      <c r="O29" s="822">
        <v>0.12</v>
      </c>
      <c r="P29" s="822"/>
      <c r="Q29" s="822"/>
      <c r="R29" s="822">
        <v>1.6500000000000001E-2</v>
      </c>
      <c r="S29" s="819">
        <v>0</v>
      </c>
      <c r="T29" s="816"/>
      <c r="U29" s="821"/>
    </row>
    <row r="30" spans="1:21" x14ac:dyDescent="0.2">
      <c r="A30" s="816" t="s">
        <v>312</v>
      </c>
      <c r="B30" s="817" t="s">
        <v>748</v>
      </c>
      <c r="C30" s="64">
        <f>ROUND('Länder-DB'!$M$35*1.1%/(0.1%+$R30)+'Länder-DB'!$M$37+I30*I$1+J30*J$1+K30*K$1+L30*L$1+M30*M$1+N30*N$1+O30*O$1+P30*P$1+Q30*Q$1+S30,2)</f>
        <v>2.02</v>
      </c>
      <c r="D30" s="816" t="s">
        <v>648</v>
      </c>
      <c r="E30" s="819">
        <v>2.75</v>
      </c>
      <c r="F30" s="816"/>
      <c r="G30" s="816" t="s">
        <v>265</v>
      </c>
      <c r="H30" s="816"/>
      <c r="I30" s="813">
        <f t="shared" si="0"/>
        <v>0.96799999999999997</v>
      </c>
      <c r="J30" s="822"/>
      <c r="K30" s="822"/>
      <c r="L30" s="822">
        <v>3.2000000000000001E-2</v>
      </c>
      <c r="M30" s="822"/>
      <c r="N30" s="822"/>
      <c r="O30" s="822"/>
      <c r="P30" s="822"/>
      <c r="Q30" s="822"/>
      <c r="R30" s="822">
        <v>1.8499999999999999E-2</v>
      </c>
      <c r="S30" s="819">
        <v>0</v>
      </c>
      <c r="T30" s="816"/>
      <c r="U30" s="821"/>
    </row>
    <row r="31" spans="1:21" x14ac:dyDescent="0.2">
      <c r="A31" s="816" t="s">
        <v>313</v>
      </c>
      <c r="B31" s="817" t="s">
        <v>749</v>
      </c>
      <c r="C31" s="64">
        <f>ROUND('Länder-DB'!$M$35*1.1%/(0.1%+$R31)+'Länder-DB'!$M$37+I31*I$1+J31*J$1+K31*K$1+L31*L$1+M31*M$1+N31*N$1+O31*O$1+P31*P$1+Q31*Q$1+S31,2)</f>
        <v>2.0299999999999998</v>
      </c>
      <c r="D31" s="816" t="s">
        <v>646</v>
      </c>
      <c r="E31" s="819">
        <v>2.75</v>
      </c>
      <c r="F31" s="816"/>
      <c r="G31" s="816" t="s">
        <v>265</v>
      </c>
      <c r="H31" s="816"/>
      <c r="I31" s="813">
        <f t="shared" si="0"/>
        <v>0.96799999999999997</v>
      </c>
      <c r="J31" s="822"/>
      <c r="K31" s="822"/>
      <c r="L31" s="822">
        <v>3.2000000000000001E-2</v>
      </c>
      <c r="M31" s="822"/>
      <c r="N31" s="822"/>
      <c r="O31" s="822"/>
      <c r="P31" s="822"/>
      <c r="Q31" s="822"/>
      <c r="R31" s="822">
        <v>1.7500000000000002E-2</v>
      </c>
      <c r="S31" s="819">
        <v>0</v>
      </c>
      <c r="T31" s="816"/>
      <c r="U31" s="821"/>
    </row>
    <row r="32" spans="1:21" x14ac:dyDescent="0.2">
      <c r="A32" s="816" t="s">
        <v>314</v>
      </c>
      <c r="B32" s="817" t="s">
        <v>750</v>
      </c>
      <c r="C32" s="64">
        <f>ROUND('Länder-DB'!$M$35*1.1%/(0.1%+$R32)+'Länder-DB'!$M$37+I32*I$1+J32*J$1+K32*K$1+L32*L$1+M32*M$1+N32*N$1+O32*O$1+P32*P$1+Q32*Q$1+S32,2)</f>
        <v>2.0699999999999998</v>
      </c>
      <c r="D32" s="816" t="s">
        <v>261</v>
      </c>
      <c r="E32" s="819">
        <v>2.75</v>
      </c>
      <c r="F32" s="816"/>
      <c r="G32" s="816" t="s">
        <v>265</v>
      </c>
      <c r="H32" s="816"/>
      <c r="I32" s="813">
        <f t="shared" si="0"/>
        <v>0.94199999999999995</v>
      </c>
      <c r="J32" s="822"/>
      <c r="K32" s="822"/>
      <c r="L32" s="822">
        <v>5.8000000000000003E-2</v>
      </c>
      <c r="M32" s="822"/>
      <c r="N32" s="822"/>
      <c r="O32" s="822"/>
      <c r="P32" s="822"/>
      <c r="Q32" s="822"/>
      <c r="R32" s="822">
        <v>1.7000000000000001E-2</v>
      </c>
      <c r="S32" s="819">
        <v>0</v>
      </c>
      <c r="T32" s="816"/>
      <c r="U32" s="821"/>
    </row>
    <row r="33" spans="1:21" x14ac:dyDescent="0.2">
      <c r="A33" s="816" t="s">
        <v>315</v>
      </c>
      <c r="B33" s="817" t="s">
        <v>751</v>
      </c>
      <c r="C33" s="64">
        <f>ROUND('Länder-DB'!$M$35*1.1%/(0.1%+$R33)+'Länder-DB'!$M$37+I33*I$1+J33*J$1+K33*K$1+L33*L$1+M33*M$1+N33*N$1+O33*O$1+P33*P$1+Q33*Q$1+S33,2)</f>
        <v>2.0099999999999998</v>
      </c>
      <c r="D33" s="816" t="s">
        <v>262</v>
      </c>
      <c r="E33" s="819">
        <v>2.75</v>
      </c>
      <c r="F33" s="816"/>
      <c r="G33" s="816" t="s">
        <v>265</v>
      </c>
      <c r="H33" s="816"/>
      <c r="I33" s="813">
        <f t="shared" si="0"/>
        <v>0.94199999999999995</v>
      </c>
      <c r="J33" s="822"/>
      <c r="K33" s="822"/>
      <c r="L33" s="822">
        <v>5.8000000000000003E-2</v>
      </c>
      <c r="M33" s="822"/>
      <c r="N33" s="822"/>
      <c r="O33" s="822"/>
      <c r="P33" s="822"/>
      <c r="Q33" s="822"/>
      <c r="R33" s="822">
        <v>2.6499999999999999E-2</v>
      </c>
      <c r="S33" s="819">
        <v>0</v>
      </c>
      <c r="T33" s="816"/>
      <c r="U33" s="821"/>
    </row>
    <row r="34" spans="1:21" x14ac:dyDescent="0.2">
      <c r="A34" s="817" t="s">
        <v>878</v>
      </c>
      <c r="B34" s="817" t="s">
        <v>879</v>
      </c>
      <c r="C34" s="64">
        <f>ROUND('Länder-DB'!$M$35*1.1%/(0.1%+$R34)+'Länder-DB'!$M$37+I34*I$1+J34*J$1+K34*K$1+L34*L$1+M34*M$1+N34*N$1+O34*O$1+P34*P$1+Q34*Q$1+S34,2)</f>
        <v>2.4300000000000002</v>
      </c>
      <c r="D34" s="817" t="s">
        <v>880</v>
      </c>
      <c r="E34" s="819">
        <v>2.75</v>
      </c>
      <c r="F34" s="816"/>
      <c r="G34" s="816"/>
      <c r="H34" s="816"/>
      <c r="I34" s="813">
        <f t="shared" si="0"/>
        <v>0.91200000000000003</v>
      </c>
      <c r="J34" s="822"/>
      <c r="K34" s="822"/>
      <c r="L34" s="822">
        <v>5.6000000000000001E-2</v>
      </c>
      <c r="M34" s="822">
        <v>7.0000000000000001E-3</v>
      </c>
      <c r="N34" s="822"/>
      <c r="O34" s="822">
        <v>2.3E-2</v>
      </c>
      <c r="P34" s="822"/>
      <c r="Q34" s="822">
        <v>2E-3</v>
      </c>
      <c r="R34" s="822">
        <v>5.0000000000000001E-3</v>
      </c>
      <c r="S34" s="819">
        <v>0</v>
      </c>
      <c r="T34" s="816"/>
      <c r="U34" s="821"/>
    </row>
    <row r="35" spans="1:21" x14ac:dyDescent="0.2">
      <c r="A35" s="816" t="s">
        <v>346</v>
      </c>
      <c r="B35" s="817" t="s">
        <v>752</v>
      </c>
      <c r="C35" s="64">
        <f>ROUND('Länder-DB'!$M$35*1.1%/(0.1%+$R35)+'Länder-DB'!$M$37+I35*I$1+J35*J$1+K35*K$1+L35*L$1+M35*M$1+N35*N$1+O35*O$1+P35*P$1+Q35*Q$1+S35,2)</f>
        <v>2.11</v>
      </c>
      <c r="D35" s="816" t="s">
        <v>347</v>
      </c>
      <c r="E35" s="819">
        <v>2.75</v>
      </c>
      <c r="F35" s="816"/>
      <c r="G35" s="816"/>
      <c r="H35" s="816"/>
      <c r="I35" s="813">
        <f t="shared" si="0"/>
        <v>0.93389999999999995</v>
      </c>
      <c r="J35" s="822">
        <v>2.5000000000000001E-3</v>
      </c>
      <c r="K35" s="822">
        <v>4.0000000000000001E-3</v>
      </c>
      <c r="L35" s="822">
        <v>6.0000000000000001E-3</v>
      </c>
      <c r="M35" s="822"/>
      <c r="N35" s="822"/>
      <c r="O35" s="822"/>
      <c r="P35" s="822">
        <v>5.1999999999999998E-2</v>
      </c>
      <c r="Q35" s="822">
        <v>1.6000000000000001E-3</v>
      </c>
      <c r="R35" s="822">
        <v>1.6500000000000001E-2</v>
      </c>
      <c r="S35" s="819">
        <v>0</v>
      </c>
      <c r="T35" s="816"/>
      <c r="U35" s="821"/>
    </row>
    <row r="36" spans="1:21" x14ac:dyDescent="0.2">
      <c r="A36" s="817" t="s">
        <v>881</v>
      </c>
      <c r="B36" s="817" t="s">
        <v>882</v>
      </c>
      <c r="C36" s="64">
        <f>ROUND('Länder-DB'!$M$35*1.1%/(0.1%+$R36)+'Länder-DB'!$M$37+I36*I$1+J36*J$1+K36*K$1+L36*L$1+M36*M$1+N36*N$1+O36*O$1+P36*P$1+Q36*Q$1+S36,2)</f>
        <v>2.58</v>
      </c>
      <c r="D36" s="817" t="s">
        <v>883</v>
      </c>
      <c r="E36" s="819">
        <v>2.75</v>
      </c>
      <c r="F36" s="816"/>
      <c r="G36" s="816"/>
      <c r="H36" s="816"/>
      <c r="I36" s="813">
        <f t="shared" si="0"/>
        <v>0.81099999999999994</v>
      </c>
      <c r="J36" s="822"/>
      <c r="K36" s="822"/>
      <c r="L36" s="822">
        <v>4.0000000000000001E-3</v>
      </c>
      <c r="M36" s="822"/>
      <c r="N36" s="822"/>
      <c r="O36" s="822">
        <v>0.09</v>
      </c>
      <c r="P36" s="822">
        <v>9.5000000000000001E-2</v>
      </c>
      <c r="Q36" s="822"/>
      <c r="R36" s="822">
        <v>4.4999999999999997E-3</v>
      </c>
      <c r="S36" s="819"/>
      <c r="T36" s="816"/>
      <c r="U36" s="821"/>
    </row>
    <row r="37" spans="1:21" x14ac:dyDescent="0.2">
      <c r="A37" s="817" t="s">
        <v>33</v>
      </c>
      <c r="B37" s="816"/>
      <c r="C37" s="64">
        <f>ROUND('Länder-DB'!$M$35*1.1%/(0.1%+$R37)+'Länder-DB'!$M$37+I37*I$1+J37*J$1+K37*K$1+L37*L$1+M37*M$1+N37*N$1+O37*O$1+P37*P$1+Q37*Q$1+S37,2)</f>
        <v>2.09</v>
      </c>
      <c r="D37" s="816"/>
      <c r="E37" s="819">
        <v>2.75</v>
      </c>
      <c r="F37" s="816"/>
      <c r="G37" s="816"/>
      <c r="H37" s="816"/>
      <c r="I37" s="813">
        <f t="shared" si="0"/>
        <v>1</v>
      </c>
      <c r="J37" s="822"/>
      <c r="K37" s="822"/>
      <c r="L37" s="822"/>
      <c r="M37" s="822"/>
      <c r="N37" s="822"/>
      <c r="O37" s="822"/>
      <c r="P37" s="822"/>
      <c r="Q37" s="822"/>
      <c r="R37" s="822">
        <v>0.01</v>
      </c>
      <c r="S37" s="819">
        <v>0</v>
      </c>
      <c r="T37" s="816"/>
      <c r="U37" s="821"/>
    </row>
    <row r="38" spans="1:21" ht="5.25" customHeight="1" x14ac:dyDescent="0.2">
      <c r="J38" s="814"/>
      <c r="K38" s="814"/>
      <c r="L38" s="814"/>
      <c r="M38" s="814"/>
      <c r="N38" s="814"/>
      <c r="O38" s="814"/>
      <c r="P38" s="814"/>
      <c r="Q38" s="814"/>
      <c r="R38" s="814"/>
      <c r="S38" s="814"/>
      <c r="T38" s="814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600-000000000000}">
      <formula1>AW_Materialtyp</formula1>
    </dataValidation>
    <dataValidation type="decimal" showInputMessage="1" showErrorMessage="1" sqref="C4:C37" xr:uid="{00000000-0002-0000-06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theme="5" tint="0.59999389629810485"/>
  </sheetPr>
  <dimension ref="A1:S74"/>
  <sheetViews>
    <sheetView topLeftCell="A43" zoomScaleNormal="100" workbookViewId="0">
      <selection activeCell="H66" sqref="H66"/>
    </sheetView>
  </sheetViews>
  <sheetFormatPr baseColWidth="10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509" t="str">
        <f>IF(Deutsch,"Ofen","oven")</f>
        <v>Ofen</v>
      </c>
      <c r="C2" s="510"/>
      <c r="D2" s="510"/>
      <c r="E2" s="510" t="str">
        <f>IF(Deutsch,"Ofen Datensätze","oven data")</f>
        <v>Ofen Datensätze</v>
      </c>
      <c r="F2" s="511"/>
      <c r="G2" s="512" t="str">
        <f>IF(Deutsch,"Tonnage","volume")</f>
        <v>Tonnage</v>
      </c>
      <c r="H2" s="513" t="str">
        <f>IF(Deutsch,"Anschlussl.","power")</f>
        <v>Anschlussl.</v>
      </c>
      <c r="I2" s="873" t="str">
        <f>IF(Deutsch,"Leistung","performance")</f>
        <v>Leistung</v>
      </c>
      <c r="J2" s="512" t="s">
        <v>707</v>
      </c>
      <c r="K2" s="873" t="str">
        <f>IF(Deutsch,"Wirkungsgrad","efficiency")</f>
        <v>Wirkungsgrad</v>
      </c>
      <c r="L2" s="512" t="str">
        <f>IF(Deutsch,"Wärme-","heat")</f>
        <v>Wärme-</v>
      </c>
      <c r="M2" s="514" t="str">
        <f>IF(Deutsch,"Ofen-","oven-")</f>
        <v>Ofen-</v>
      </c>
      <c r="N2" s="514" t="s">
        <v>177</v>
      </c>
      <c r="O2" s="514" t="str">
        <f>IF(Deutsch,"Abbrand","burn off")</f>
        <v>Abbrand</v>
      </c>
      <c r="P2" s="514" t="str">
        <f>IF(Deutsch,"Gattierzeit","fill-/unfilltime")</f>
        <v>Gattierzeit</v>
      </c>
      <c r="Q2" s="515" t="str">
        <f>IF(Deutsch,"Schmelzverlust","melting loss")</f>
        <v>Schmelzverlust</v>
      </c>
      <c r="R2" s="560"/>
    </row>
    <row r="3" spans="2:18" ht="15" thickBot="1" x14ac:dyDescent="0.25">
      <c r="B3" s="652" t="str">
        <f>IF(Deutsch,"Typ","type")</f>
        <v>Typ</v>
      </c>
      <c r="C3" s="653" t="str">
        <f>IF(Deutsch,"Nr.","no")</f>
        <v>Nr.</v>
      </c>
      <c r="D3" s="653" t="str">
        <f>IF(Deutsch,"Energie","energy")</f>
        <v>Energie</v>
      </c>
      <c r="E3" s="653" t="str">
        <f>IF(Deutsch,"Hersteller","brand")</f>
        <v>Hersteller</v>
      </c>
      <c r="F3" s="653" t="s">
        <v>102</v>
      </c>
      <c r="G3" s="653" t="s">
        <v>70</v>
      </c>
      <c r="H3" s="653" t="s">
        <v>103</v>
      </c>
      <c r="I3" s="653" t="s">
        <v>104</v>
      </c>
      <c r="J3" s="653" t="s">
        <v>1</v>
      </c>
      <c r="K3" s="653" t="s">
        <v>105</v>
      </c>
      <c r="L3" s="653" t="str">
        <f>IF(Deutsch,"Verlust","loss")</f>
        <v>Verlust</v>
      </c>
      <c r="M3" s="654" t="str">
        <f>IF(Deutsch,"Art","type")</f>
        <v>Art</v>
      </c>
      <c r="N3" s="654" t="s">
        <v>178</v>
      </c>
      <c r="O3" s="654" t="s">
        <v>126</v>
      </c>
      <c r="P3" s="654" t="s">
        <v>179</v>
      </c>
      <c r="Q3" s="654" t="s">
        <v>126</v>
      </c>
      <c r="R3" s="654" t="str">
        <f>C3</f>
        <v>Nr.</v>
      </c>
    </row>
    <row r="4" spans="2:18" ht="3" customHeight="1" x14ac:dyDescent="0.2">
      <c r="B4" s="308"/>
      <c r="C4" s="305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9"/>
      <c r="Q4" s="175"/>
      <c r="R4" s="656">
        <v>0</v>
      </c>
    </row>
    <row r="5" spans="2:18" x14ac:dyDescent="0.2">
      <c r="B5" s="310" t="s">
        <v>109</v>
      </c>
      <c r="C5" s="306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99" t="str">
        <f>IF(Deutsch,"Schacht","batch-type")</f>
        <v>Schacht</v>
      </c>
      <c r="N5" s="138">
        <v>0.68700000000000006</v>
      </c>
      <c r="O5" s="179">
        <v>1.9E-2</v>
      </c>
      <c r="P5" s="311">
        <v>15</v>
      </c>
      <c r="Q5" s="179">
        <v>2.5000000000000001E-2</v>
      </c>
      <c r="R5" s="658">
        <v>1</v>
      </c>
    </row>
    <row r="6" spans="2:18" x14ac:dyDescent="0.2">
      <c r="B6" s="310" t="s">
        <v>109</v>
      </c>
      <c r="C6" s="651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99" t="str">
        <f>IF(Deutsch,"Schacht","batch-type")</f>
        <v>Schacht</v>
      </c>
      <c r="N6" s="138">
        <v>0.68700000000000006</v>
      </c>
      <c r="O6" s="179">
        <v>1.4999999999999999E-2</v>
      </c>
      <c r="P6" s="311">
        <v>30</v>
      </c>
      <c r="Q6" s="179">
        <v>1.7999999999999999E-2</v>
      </c>
      <c r="R6" s="657">
        <v>2</v>
      </c>
    </row>
    <row r="7" spans="2:18" x14ac:dyDescent="0.2">
      <c r="B7" s="310" t="s">
        <v>109</v>
      </c>
      <c r="C7" s="306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99" t="str">
        <f>IF(Deutsch,"Schacht","batch-type")</f>
        <v>Schacht</v>
      </c>
      <c r="N7" s="138">
        <v>0.66700000000000004</v>
      </c>
      <c r="O7" s="179">
        <v>1.2500000000000001E-2</v>
      </c>
      <c r="P7" s="311">
        <v>35</v>
      </c>
      <c r="Q7" s="179">
        <v>1.4999999999999999E-2</v>
      </c>
      <c r="R7" s="658">
        <v>3</v>
      </c>
    </row>
    <row r="8" spans="2:18" x14ac:dyDescent="0.2">
      <c r="B8" s="310" t="s">
        <v>109</v>
      </c>
      <c r="C8" s="306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99" t="str">
        <f>IF(Deutsch,"Schacht","batch-type")</f>
        <v>Schacht</v>
      </c>
      <c r="N8" s="138">
        <v>0.64200000000000002</v>
      </c>
      <c r="O8" s="179">
        <v>1.2500000000000001E-2</v>
      </c>
      <c r="P8" s="311">
        <v>40</v>
      </c>
      <c r="Q8" s="179">
        <v>1.2999999999999999E-2</v>
      </c>
      <c r="R8" s="658">
        <v>4</v>
      </c>
    </row>
    <row r="9" spans="2:18" x14ac:dyDescent="0.2">
      <c r="B9" s="310" t="s">
        <v>113</v>
      </c>
      <c r="C9" s="306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99" t="str">
        <f>IF(Deutsch,"Tiegel","pot-type")</f>
        <v>Tiegel</v>
      </c>
      <c r="N9" s="138">
        <v>0.64500000000000002</v>
      </c>
      <c r="O9" s="179">
        <v>4.0000000000000001E-3</v>
      </c>
      <c r="P9" s="311">
        <v>15</v>
      </c>
      <c r="Q9" s="179">
        <v>4.0000000000000001E-3</v>
      </c>
      <c r="R9" s="658">
        <v>5</v>
      </c>
    </row>
    <row r="10" spans="2:18" x14ac:dyDescent="0.2">
      <c r="B10" s="310" t="s">
        <v>113</v>
      </c>
      <c r="C10" s="306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99" t="str">
        <f>IF(Deutsch,"Tiegel","pot-type")</f>
        <v>Tiegel</v>
      </c>
      <c r="N10" s="138">
        <v>0.61499999999999999</v>
      </c>
      <c r="O10" s="179">
        <v>2.5000000000000001E-3</v>
      </c>
      <c r="P10" s="311">
        <v>25</v>
      </c>
      <c r="Q10" s="179">
        <v>2.5000000000000001E-3</v>
      </c>
      <c r="R10" s="658">
        <v>6</v>
      </c>
    </row>
    <row r="11" spans="2:18" x14ac:dyDescent="0.2">
      <c r="B11" s="310" t="s">
        <v>113</v>
      </c>
      <c r="C11" s="306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99" t="str">
        <f>IF(Deutsch,"Tiegel","pot-type")</f>
        <v>Tiegel</v>
      </c>
      <c r="N11" s="138">
        <v>0.59199999999999997</v>
      </c>
      <c r="O11" s="179">
        <v>2E-3</v>
      </c>
      <c r="P11" s="311">
        <v>30</v>
      </c>
      <c r="Q11" s="179">
        <v>1E-3</v>
      </c>
      <c r="R11" s="658">
        <v>7</v>
      </c>
    </row>
    <row r="12" spans="2:18" x14ac:dyDescent="0.2">
      <c r="B12" s="310" t="s">
        <v>113</v>
      </c>
      <c r="C12" s="306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99" t="str">
        <f>IF(Deutsch,"Tiegel","pot-type")</f>
        <v>Tiegel</v>
      </c>
      <c r="N12" s="138">
        <v>0.59</v>
      </c>
      <c r="O12" s="179">
        <v>2E-3</v>
      </c>
      <c r="P12" s="311">
        <v>40</v>
      </c>
      <c r="Q12" s="179">
        <v>0</v>
      </c>
      <c r="R12" s="658">
        <v>8</v>
      </c>
    </row>
    <row r="13" spans="2:18" x14ac:dyDescent="0.2">
      <c r="B13" s="924" t="s">
        <v>815</v>
      </c>
      <c r="C13" s="306">
        <v>9</v>
      </c>
      <c r="D13" s="923" t="s">
        <v>811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99" t="str">
        <f>IF(Deutsch,"Schacht","batch-type")</f>
        <v>Schacht</v>
      </c>
      <c r="N13" s="138">
        <v>0.69</v>
      </c>
      <c r="O13" s="179">
        <v>1.4999999999999999E-2</v>
      </c>
      <c r="P13" s="311">
        <v>30</v>
      </c>
      <c r="Q13" s="179">
        <v>1.9E-2</v>
      </c>
      <c r="R13" s="658">
        <v>9</v>
      </c>
    </row>
    <row r="14" spans="2:18" x14ac:dyDescent="0.2">
      <c r="B14" s="310" t="s">
        <v>815</v>
      </c>
      <c r="C14" s="306">
        <v>10</v>
      </c>
      <c r="D14" s="923" t="s">
        <v>811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99" t="str">
        <f>IF(Deutsch,"Schacht","batch-type")</f>
        <v>Schacht</v>
      </c>
      <c r="N14" s="138">
        <v>0.68500000000000005</v>
      </c>
      <c r="O14" s="179">
        <v>1.4E-2</v>
      </c>
      <c r="P14" s="311">
        <v>35</v>
      </c>
      <c r="Q14" s="179">
        <v>1.7000000000000001E-2</v>
      </c>
      <c r="R14" s="658">
        <v>10</v>
      </c>
    </row>
    <row r="15" spans="2:18" ht="15" thickBot="1" x14ac:dyDescent="0.25">
      <c r="B15" s="312" t="s">
        <v>815</v>
      </c>
      <c r="C15" s="307">
        <v>11</v>
      </c>
      <c r="D15" s="925" t="s">
        <v>811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926" t="str">
        <f>IF(Deutsch,"Schacht","batch-type")</f>
        <v>Schacht</v>
      </c>
      <c r="N15" s="139">
        <v>0.68300000000000005</v>
      </c>
      <c r="O15" s="927">
        <v>1.2999999999999999E-2</v>
      </c>
      <c r="P15" s="313">
        <v>40</v>
      </c>
      <c r="Q15" s="927">
        <v>1.4999999999999999E-2</v>
      </c>
      <c r="R15" s="659">
        <v>11</v>
      </c>
    </row>
    <row r="16" spans="2:18" x14ac:dyDescent="0.2">
      <c r="B16" s="571" t="s">
        <v>668</v>
      </c>
      <c r="C16" s="526" t="s">
        <v>819</v>
      </c>
    </row>
    <row r="17" spans="2:19" ht="15.75" x14ac:dyDescent="0.25">
      <c r="B17" s="520" t="s">
        <v>461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36" t="s">
        <v>420</v>
      </c>
      <c r="C19" s="510"/>
      <c r="D19" s="510" t="s">
        <v>106</v>
      </c>
      <c r="E19" s="510" t="str">
        <f>E3</f>
        <v>Hersteller</v>
      </c>
      <c r="F19" s="511" t="s">
        <v>102</v>
      </c>
      <c r="G19" s="512"/>
      <c r="H19" s="528" t="s">
        <v>422</v>
      </c>
      <c r="I19" s="512"/>
      <c r="J19" s="513" t="s">
        <v>419</v>
      </c>
      <c r="K19" s="512" t="s">
        <v>399</v>
      </c>
      <c r="L19" s="528" t="s">
        <v>423</v>
      </c>
      <c r="M19" s="528" t="s">
        <v>424</v>
      </c>
      <c r="N19" s="512" t="s">
        <v>400</v>
      </c>
      <c r="O19" s="515" t="s">
        <v>425</v>
      </c>
      <c r="P19" s="515" t="s">
        <v>494</v>
      </c>
      <c r="Q19" s="514" t="s">
        <v>100</v>
      </c>
      <c r="R19" s="560"/>
      <c r="S19" s="536" t="s">
        <v>420</v>
      </c>
    </row>
    <row r="20" spans="2:19" x14ac:dyDescent="0.2">
      <c r="B20" s="535" t="s">
        <v>101</v>
      </c>
      <c r="C20" s="516" t="s">
        <v>25</v>
      </c>
      <c r="D20" s="516" t="s">
        <v>101</v>
      </c>
      <c r="E20" s="516" t="s">
        <v>102</v>
      </c>
      <c r="F20" s="516"/>
      <c r="G20" s="527" t="s">
        <v>416</v>
      </c>
      <c r="H20" s="527" t="s">
        <v>417</v>
      </c>
      <c r="I20" s="527" t="s">
        <v>418</v>
      </c>
      <c r="J20" s="516" t="s">
        <v>401</v>
      </c>
      <c r="K20" s="516" t="s">
        <v>55</v>
      </c>
      <c r="L20" s="516" t="s">
        <v>402</v>
      </c>
      <c r="M20" s="516" t="s">
        <v>402</v>
      </c>
      <c r="N20" s="516" t="s">
        <v>103</v>
      </c>
      <c r="O20" s="517" t="s">
        <v>55</v>
      </c>
      <c r="P20" s="582" t="s">
        <v>495</v>
      </c>
      <c r="Q20" s="517"/>
      <c r="R20" s="517" t="s">
        <v>25</v>
      </c>
      <c r="S20" s="535" t="s">
        <v>101</v>
      </c>
    </row>
    <row r="21" spans="2:19" ht="12" customHeight="1" x14ac:dyDescent="0.2">
      <c r="B21" s="562" t="s">
        <v>473</v>
      </c>
      <c r="C21" s="574">
        <v>0</v>
      </c>
      <c r="D21" s="575" t="s">
        <v>421</v>
      </c>
      <c r="E21" s="575" t="s">
        <v>469</v>
      </c>
      <c r="F21" s="576"/>
      <c r="G21" s="577">
        <v>0</v>
      </c>
      <c r="H21" s="577">
        <v>0</v>
      </c>
      <c r="I21" s="577">
        <v>0</v>
      </c>
      <c r="J21" s="577"/>
      <c r="K21" s="578"/>
      <c r="L21" s="579"/>
      <c r="M21" s="577"/>
      <c r="N21" s="577"/>
      <c r="O21" s="577"/>
      <c r="P21" s="574"/>
      <c r="Q21" s="580"/>
      <c r="R21" s="574">
        <f>C21</f>
        <v>0</v>
      </c>
      <c r="S21" s="575" t="s">
        <v>502</v>
      </c>
    </row>
    <row r="22" spans="2:19" ht="24.75" customHeight="1" x14ac:dyDescent="0.2">
      <c r="B22" s="562" t="s">
        <v>473</v>
      </c>
      <c r="C22" s="555">
        <v>1</v>
      </c>
      <c r="D22" s="556" t="s">
        <v>421</v>
      </c>
      <c r="E22" s="555" t="s">
        <v>403</v>
      </c>
      <c r="F22" s="563" t="s">
        <v>404</v>
      </c>
      <c r="G22" s="381">
        <v>600</v>
      </c>
      <c r="H22" s="381">
        <v>480</v>
      </c>
      <c r="I22" s="381">
        <v>360</v>
      </c>
      <c r="J22" s="381">
        <v>320</v>
      </c>
      <c r="K22" s="564">
        <f>1/J22*60</f>
        <v>0.1875</v>
      </c>
      <c r="L22" s="565">
        <f>G22*H22*I22/1000000</f>
        <v>103.68</v>
      </c>
      <c r="M22" s="381">
        <v>35</v>
      </c>
      <c r="N22" s="1196">
        <v>250</v>
      </c>
      <c r="O22" s="521">
        <v>45</v>
      </c>
      <c r="P22" s="1191">
        <v>3000</v>
      </c>
      <c r="Q22" s="1192">
        <v>5600000</v>
      </c>
      <c r="R22" s="566">
        <f>C22</f>
        <v>1</v>
      </c>
      <c r="S22" s="655" t="str">
        <f>B22</f>
        <v>automatisch</v>
      </c>
    </row>
    <row r="23" spans="2:19" x14ac:dyDescent="0.2">
      <c r="B23" s="562" t="s">
        <v>473</v>
      </c>
      <c r="C23" s="352">
        <v>2</v>
      </c>
      <c r="D23" s="537" t="s">
        <v>421</v>
      </c>
      <c r="E23" s="352" t="s">
        <v>403</v>
      </c>
      <c r="F23" s="538" t="s">
        <v>405</v>
      </c>
      <c r="G23" s="521">
        <v>675</v>
      </c>
      <c r="H23" s="521">
        <v>550</v>
      </c>
      <c r="I23" s="521">
        <v>405</v>
      </c>
      <c r="J23" s="523">
        <v>350</v>
      </c>
      <c r="K23" s="522">
        <f>1/350*60</f>
        <v>0.17142857142857143</v>
      </c>
      <c r="L23" s="534">
        <v>148</v>
      </c>
      <c r="M23" s="523">
        <v>45</v>
      </c>
      <c r="N23" s="1197">
        <v>260</v>
      </c>
      <c r="O23" s="521">
        <v>45</v>
      </c>
      <c r="P23" s="1193">
        <v>3000</v>
      </c>
      <c r="Q23" s="1194">
        <v>5280000</v>
      </c>
      <c r="R23" s="531">
        <f t="shared" ref="R23:R37" si="0">C23</f>
        <v>2</v>
      </c>
      <c r="S23" s="655" t="str">
        <f t="shared" ref="S23:S37" si="1">B23</f>
        <v>automatisch</v>
      </c>
    </row>
    <row r="24" spans="2:19" x14ac:dyDescent="0.2">
      <c r="B24" s="562" t="s">
        <v>473</v>
      </c>
      <c r="C24" s="352">
        <v>3</v>
      </c>
      <c r="D24" s="537" t="s">
        <v>426</v>
      </c>
      <c r="E24" s="352" t="s">
        <v>403</v>
      </c>
      <c r="F24" s="538" t="s">
        <v>406</v>
      </c>
      <c r="G24" s="521">
        <v>800</v>
      </c>
      <c r="H24" s="521">
        <v>600</v>
      </c>
      <c r="I24" s="521">
        <v>600</v>
      </c>
      <c r="J24" s="523">
        <v>90</v>
      </c>
      <c r="K24" s="522">
        <f t="shared" ref="K24:K30" si="2">1/J24*60</f>
        <v>0.66666666666666674</v>
      </c>
      <c r="L24" s="534">
        <f t="shared" ref="L24:L36" si="3">G24*H24*I24/1000000</f>
        <v>288</v>
      </c>
      <c r="M24" s="523">
        <f>L24/600*400</f>
        <v>192</v>
      </c>
      <c r="N24" s="1197">
        <v>270</v>
      </c>
      <c r="O24" s="521">
        <v>45</v>
      </c>
      <c r="P24" s="1193">
        <v>3000</v>
      </c>
      <c r="Q24" s="1194">
        <v>4320000</v>
      </c>
      <c r="R24" s="531">
        <f t="shared" si="0"/>
        <v>3</v>
      </c>
      <c r="S24" s="655" t="str">
        <f t="shared" si="1"/>
        <v>automatisch</v>
      </c>
    </row>
    <row r="25" spans="2:19" x14ac:dyDescent="0.2">
      <c r="B25" s="562" t="s">
        <v>473</v>
      </c>
      <c r="C25" s="352">
        <v>4</v>
      </c>
      <c r="D25" s="537" t="s">
        <v>426</v>
      </c>
      <c r="E25" s="352" t="s">
        <v>407</v>
      </c>
      <c r="F25" s="538" t="s">
        <v>412</v>
      </c>
      <c r="G25" s="521">
        <v>800</v>
      </c>
      <c r="H25" s="521">
        <v>650</v>
      </c>
      <c r="I25" s="521">
        <v>500</v>
      </c>
      <c r="J25" s="521">
        <v>30</v>
      </c>
      <c r="K25" s="522">
        <f t="shared" si="2"/>
        <v>2</v>
      </c>
      <c r="L25" s="534">
        <f>G25*H25*I25/1000000</f>
        <v>260</v>
      </c>
      <c r="M25" s="521">
        <f>8*6.5*5</f>
        <v>260</v>
      </c>
      <c r="N25" s="1198">
        <v>280</v>
      </c>
      <c r="O25" s="521">
        <v>45</v>
      </c>
      <c r="P25" s="1195">
        <v>3500</v>
      </c>
      <c r="Q25" s="1194">
        <v>3360000</v>
      </c>
      <c r="R25" s="531">
        <f t="shared" si="0"/>
        <v>4</v>
      </c>
      <c r="S25" s="655" t="str">
        <f t="shared" si="1"/>
        <v>automatisch</v>
      </c>
    </row>
    <row r="26" spans="2:19" x14ac:dyDescent="0.2">
      <c r="B26" s="562" t="s">
        <v>473</v>
      </c>
      <c r="C26" s="352">
        <v>5</v>
      </c>
      <c r="D26" s="537" t="s">
        <v>426</v>
      </c>
      <c r="E26" s="529" t="s">
        <v>415</v>
      </c>
      <c r="F26" s="354"/>
      <c r="G26" s="521">
        <v>860</v>
      </c>
      <c r="H26" s="521">
        <v>630</v>
      </c>
      <c r="I26" s="521">
        <v>660</v>
      </c>
      <c r="J26" s="1197">
        <v>80</v>
      </c>
      <c r="K26" s="530">
        <f t="shared" si="2"/>
        <v>0.75</v>
      </c>
      <c r="L26" s="534">
        <f>G26*H26*I26/1000000</f>
        <v>357.58800000000002</v>
      </c>
      <c r="M26" s="597">
        <f>L26/660*400</f>
        <v>216.72000000000003</v>
      </c>
      <c r="N26" s="1198">
        <v>290</v>
      </c>
      <c r="O26" s="521">
        <v>45</v>
      </c>
      <c r="P26" s="1195">
        <v>3500</v>
      </c>
      <c r="Q26" s="1194">
        <v>4000000</v>
      </c>
      <c r="R26" s="531">
        <f t="shared" si="0"/>
        <v>5</v>
      </c>
      <c r="S26" s="655" t="str">
        <f t="shared" si="1"/>
        <v>automatisch</v>
      </c>
    </row>
    <row r="27" spans="2:19" x14ac:dyDescent="0.2">
      <c r="B27" s="562" t="s">
        <v>473</v>
      </c>
      <c r="C27" s="352">
        <v>6</v>
      </c>
      <c r="D27" s="537" t="s">
        <v>426</v>
      </c>
      <c r="E27" s="352" t="s">
        <v>409</v>
      </c>
      <c r="F27" s="538"/>
      <c r="G27" s="521">
        <v>890</v>
      </c>
      <c r="H27" s="521">
        <v>690</v>
      </c>
      <c r="I27" s="521">
        <v>600</v>
      </c>
      <c r="J27" s="523">
        <v>55</v>
      </c>
      <c r="K27" s="522">
        <f t="shared" si="2"/>
        <v>1.0909090909090908</v>
      </c>
      <c r="L27" s="534">
        <f>G27*H27*I27/1000000</f>
        <v>368.46</v>
      </c>
      <c r="M27" s="597">
        <f>L27/600*400</f>
        <v>245.64</v>
      </c>
      <c r="N27" s="1197">
        <v>300</v>
      </c>
      <c r="O27" s="521">
        <v>45</v>
      </c>
      <c r="P27" s="1193">
        <v>3500</v>
      </c>
      <c r="Q27" s="1194">
        <v>2560000</v>
      </c>
      <c r="R27" s="531">
        <f t="shared" si="0"/>
        <v>6</v>
      </c>
      <c r="S27" s="655" t="str">
        <f t="shared" si="1"/>
        <v>automatisch</v>
      </c>
    </row>
    <row r="28" spans="2:19" x14ac:dyDescent="0.2">
      <c r="B28" s="562" t="s">
        <v>473</v>
      </c>
      <c r="C28" s="352">
        <v>7</v>
      </c>
      <c r="D28" s="537" t="s">
        <v>426</v>
      </c>
      <c r="E28" s="352" t="s">
        <v>403</v>
      </c>
      <c r="F28" s="538" t="s">
        <v>406</v>
      </c>
      <c r="G28" s="521">
        <v>1000</v>
      </c>
      <c r="H28" s="521">
        <v>700</v>
      </c>
      <c r="I28" s="521">
        <v>600</v>
      </c>
      <c r="J28" s="523">
        <v>80</v>
      </c>
      <c r="K28" s="522">
        <f t="shared" si="2"/>
        <v>0.75</v>
      </c>
      <c r="L28" s="534">
        <f t="shared" si="3"/>
        <v>420</v>
      </c>
      <c r="M28" s="523">
        <f>L28/600*400</f>
        <v>280</v>
      </c>
      <c r="N28" s="1197">
        <v>310</v>
      </c>
      <c r="O28" s="521">
        <v>45</v>
      </c>
      <c r="P28" s="1193">
        <v>3500</v>
      </c>
      <c r="Q28" s="1194">
        <v>4640000</v>
      </c>
      <c r="R28" s="531">
        <f t="shared" si="0"/>
        <v>7</v>
      </c>
      <c r="S28" s="655" t="str">
        <f t="shared" si="1"/>
        <v>automatisch</v>
      </c>
    </row>
    <row r="29" spans="2:19" x14ac:dyDescent="0.2">
      <c r="B29" s="562" t="s">
        <v>473</v>
      </c>
      <c r="C29" s="352">
        <v>8</v>
      </c>
      <c r="D29" s="537" t="s">
        <v>426</v>
      </c>
      <c r="E29" s="352" t="s">
        <v>407</v>
      </c>
      <c r="F29" s="538" t="s">
        <v>408</v>
      </c>
      <c r="G29" s="521">
        <v>1100</v>
      </c>
      <c r="H29" s="521">
        <v>800</v>
      </c>
      <c r="I29" s="521">
        <v>700</v>
      </c>
      <c r="J29" s="523">
        <v>25</v>
      </c>
      <c r="K29" s="522">
        <f t="shared" si="2"/>
        <v>2.4</v>
      </c>
      <c r="L29" s="534">
        <f t="shared" si="3"/>
        <v>616</v>
      </c>
      <c r="M29" s="523">
        <f>L29/700*600</f>
        <v>528</v>
      </c>
      <c r="N29" s="1197">
        <v>330</v>
      </c>
      <c r="O29" s="521">
        <v>45</v>
      </c>
      <c r="P29" s="1193">
        <v>4000</v>
      </c>
      <c r="Q29" s="1194">
        <v>5000000</v>
      </c>
      <c r="R29" s="531">
        <f t="shared" si="0"/>
        <v>8</v>
      </c>
      <c r="S29" s="655" t="str">
        <f t="shared" si="1"/>
        <v>automatisch</v>
      </c>
    </row>
    <row r="30" spans="2:19" x14ac:dyDescent="0.2">
      <c r="B30" s="532" t="s">
        <v>471</v>
      </c>
      <c r="C30" s="352">
        <v>9</v>
      </c>
      <c r="D30" s="537" t="s">
        <v>426</v>
      </c>
      <c r="E30" s="352" t="s">
        <v>410</v>
      </c>
      <c r="F30" s="538" t="s">
        <v>411</v>
      </c>
      <c r="G30" s="521">
        <v>1300</v>
      </c>
      <c r="H30" s="521">
        <v>1300</v>
      </c>
      <c r="I30" s="521">
        <v>800</v>
      </c>
      <c r="J30" s="521">
        <v>8</v>
      </c>
      <c r="K30" s="522">
        <f t="shared" si="2"/>
        <v>7.5</v>
      </c>
      <c r="L30" s="534">
        <f t="shared" si="3"/>
        <v>1352</v>
      </c>
      <c r="M30" s="523">
        <f>L30/800*600</f>
        <v>1014</v>
      </c>
      <c r="N30" s="1198">
        <v>150</v>
      </c>
      <c r="O30" s="521">
        <v>50</v>
      </c>
      <c r="P30" s="1195">
        <v>1800</v>
      </c>
      <c r="Q30" s="1194">
        <v>1200000</v>
      </c>
      <c r="R30" s="531">
        <f t="shared" si="0"/>
        <v>9</v>
      </c>
      <c r="S30" s="655" t="str">
        <f t="shared" si="1"/>
        <v>halbautomatisch</v>
      </c>
    </row>
    <row r="31" spans="2:19" x14ac:dyDescent="0.2">
      <c r="B31" s="532" t="s">
        <v>471</v>
      </c>
      <c r="C31" s="352">
        <v>10</v>
      </c>
      <c r="D31" s="537" t="s">
        <v>426</v>
      </c>
      <c r="E31" s="537" t="s">
        <v>432</v>
      </c>
      <c r="F31" s="354"/>
      <c r="G31" s="521">
        <v>1400</v>
      </c>
      <c r="H31" s="521">
        <v>1400</v>
      </c>
      <c r="I31" s="521">
        <v>1200</v>
      </c>
      <c r="J31" s="521">
        <v>5</v>
      </c>
      <c r="K31" s="522">
        <f>1/J31*60</f>
        <v>12</v>
      </c>
      <c r="L31" s="534">
        <f t="shared" si="3"/>
        <v>2352</v>
      </c>
      <c r="M31" s="521">
        <f>L31/1200*600</f>
        <v>1176</v>
      </c>
      <c r="N31" s="1198">
        <v>150</v>
      </c>
      <c r="O31" s="521">
        <v>50</v>
      </c>
      <c r="P31" s="1195">
        <v>1800</v>
      </c>
      <c r="Q31" s="1194">
        <v>1600000</v>
      </c>
      <c r="R31" s="531">
        <f t="shared" si="0"/>
        <v>10</v>
      </c>
      <c r="S31" s="655" t="str">
        <f t="shared" si="1"/>
        <v>halbautomatisch</v>
      </c>
    </row>
    <row r="32" spans="2:19" x14ac:dyDescent="0.2">
      <c r="B32" s="532" t="s">
        <v>471</v>
      </c>
      <c r="C32" s="352">
        <v>11</v>
      </c>
      <c r="D32" s="537" t="s">
        <v>426</v>
      </c>
      <c r="E32" s="537" t="s">
        <v>432</v>
      </c>
      <c r="F32" s="354"/>
      <c r="G32" s="521">
        <v>1800</v>
      </c>
      <c r="H32" s="521">
        <v>1400</v>
      </c>
      <c r="I32" s="521">
        <v>1200</v>
      </c>
      <c r="J32" s="521">
        <v>5</v>
      </c>
      <c r="K32" s="522">
        <f>1/J32*60</f>
        <v>12</v>
      </c>
      <c r="L32" s="534">
        <f t="shared" si="3"/>
        <v>3024</v>
      </c>
      <c r="M32" s="521">
        <f>L32/1200*600</f>
        <v>1512</v>
      </c>
      <c r="N32" s="1198">
        <v>170</v>
      </c>
      <c r="O32" s="521">
        <v>50</v>
      </c>
      <c r="P32" s="1195">
        <v>2000</v>
      </c>
      <c r="Q32" s="1194">
        <v>2000000</v>
      </c>
      <c r="R32" s="531">
        <f t="shared" si="0"/>
        <v>11</v>
      </c>
      <c r="S32" s="655" t="str">
        <f t="shared" si="1"/>
        <v>halbautomatisch</v>
      </c>
    </row>
    <row r="33" spans="2:19" x14ac:dyDescent="0.2">
      <c r="B33" s="532" t="s">
        <v>372</v>
      </c>
      <c r="C33" s="352">
        <v>12</v>
      </c>
      <c r="D33" s="537" t="s">
        <v>520</v>
      </c>
      <c r="E33" s="352" t="s">
        <v>413</v>
      </c>
      <c r="F33" s="354" t="s">
        <v>414</v>
      </c>
      <c r="G33" s="521">
        <v>2500</v>
      </c>
      <c r="H33" s="521">
        <v>1400</v>
      </c>
      <c r="I33" s="521">
        <v>1200</v>
      </c>
      <c r="J33" s="521">
        <v>2</v>
      </c>
      <c r="K33" s="521">
        <v>20</v>
      </c>
      <c r="L33" s="534">
        <f t="shared" si="3"/>
        <v>4200</v>
      </c>
      <c r="M33" s="521">
        <f>L33/1200*600</f>
        <v>2100</v>
      </c>
      <c r="N33" s="1198">
        <v>180</v>
      </c>
      <c r="O33" s="521">
        <v>60</v>
      </c>
      <c r="P33" s="1195">
        <v>1800</v>
      </c>
      <c r="Q33" s="1194">
        <v>600000</v>
      </c>
      <c r="R33" s="531">
        <f t="shared" si="0"/>
        <v>12</v>
      </c>
      <c r="S33" s="655" t="str">
        <f t="shared" si="1"/>
        <v>Handformen</v>
      </c>
    </row>
    <row r="34" spans="2:19" x14ac:dyDescent="0.2">
      <c r="B34" s="532" t="s">
        <v>372</v>
      </c>
      <c r="C34" s="352">
        <v>13</v>
      </c>
      <c r="D34" s="537" t="s">
        <v>426</v>
      </c>
      <c r="E34" s="352" t="s">
        <v>413</v>
      </c>
      <c r="F34" s="354" t="s">
        <v>414</v>
      </c>
      <c r="G34" s="521">
        <v>2200</v>
      </c>
      <c r="H34" s="521">
        <v>1500</v>
      </c>
      <c r="I34" s="521">
        <v>1300</v>
      </c>
      <c r="J34" s="523">
        <v>2</v>
      </c>
      <c r="K34" s="521">
        <v>25</v>
      </c>
      <c r="L34" s="534">
        <f t="shared" si="3"/>
        <v>4290</v>
      </c>
      <c r="M34" s="521">
        <f>L34/1300*800</f>
        <v>2640</v>
      </c>
      <c r="N34" s="1197">
        <v>180</v>
      </c>
      <c r="O34" s="521">
        <v>60</v>
      </c>
      <c r="P34" s="1193">
        <v>1800</v>
      </c>
      <c r="Q34" s="1194">
        <v>600000</v>
      </c>
      <c r="R34" s="531">
        <f t="shared" si="0"/>
        <v>13</v>
      </c>
      <c r="S34" s="655" t="str">
        <f t="shared" si="1"/>
        <v>Handformen</v>
      </c>
    </row>
    <row r="35" spans="2:19" x14ac:dyDescent="0.2">
      <c r="B35" s="532" t="s">
        <v>372</v>
      </c>
      <c r="C35" s="352">
        <v>14</v>
      </c>
      <c r="D35" s="537" t="s">
        <v>426</v>
      </c>
      <c r="E35" s="352" t="s">
        <v>413</v>
      </c>
      <c r="F35" s="354" t="s">
        <v>414</v>
      </c>
      <c r="G35" s="521">
        <v>3500</v>
      </c>
      <c r="H35" s="521">
        <v>3200</v>
      </c>
      <c r="I35" s="521">
        <v>2000</v>
      </c>
      <c r="J35" s="523">
        <v>1</v>
      </c>
      <c r="K35" s="521">
        <v>30</v>
      </c>
      <c r="L35" s="534">
        <f>G35*H35*I35/1000000</f>
        <v>22400</v>
      </c>
      <c r="M35" s="521">
        <f>L35/2000*800</f>
        <v>8960</v>
      </c>
      <c r="N35" s="1197">
        <v>200</v>
      </c>
      <c r="O35" s="521">
        <v>60</v>
      </c>
      <c r="P35" s="1193">
        <v>2000</v>
      </c>
      <c r="Q35" s="1194">
        <v>800000</v>
      </c>
      <c r="R35" s="531">
        <f t="shared" si="0"/>
        <v>14</v>
      </c>
      <c r="S35" s="655" t="str">
        <f t="shared" si="1"/>
        <v>Handformen</v>
      </c>
    </row>
    <row r="36" spans="2:19" x14ac:dyDescent="0.2">
      <c r="B36" s="532" t="s">
        <v>372</v>
      </c>
      <c r="C36" s="555">
        <v>15</v>
      </c>
      <c r="D36" s="556" t="s">
        <v>427</v>
      </c>
      <c r="E36" s="352" t="s">
        <v>413</v>
      </c>
      <c r="F36" s="354" t="s">
        <v>414</v>
      </c>
      <c r="G36" s="521">
        <v>5000</v>
      </c>
      <c r="H36" s="521">
        <v>4000</v>
      </c>
      <c r="I36" s="521">
        <v>3000</v>
      </c>
      <c r="J36" s="523">
        <v>0.5</v>
      </c>
      <c r="K36" s="523">
        <v>240</v>
      </c>
      <c r="L36" s="523">
        <f t="shared" si="3"/>
        <v>60000</v>
      </c>
      <c r="M36" s="521">
        <f>L36/3000*1200</f>
        <v>24000</v>
      </c>
      <c r="N36" s="1197">
        <v>220</v>
      </c>
      <c r="O36" s="521">
        <v>60</v>
      </c>
      <c r="P36" s="1193">
        <v>2200</v>
      </c>
      <c r="Q36" s="1194">
        <v>1000000</v>
      </c>
      <c r="R36" s="531">
        <f t="shared" si="0"/>
        <v>15</v>
      </c>
      <c r="S36" s="655" t="str">
        <f t="shared" si="1"/>
        <v>Handformen</v>
      </c>
    </row>
    <row r="37" spans="2:19" ht="15" thickBot="1" x14ac:dyDescent="0.25">
      <c r="B37" s="533"/>
      <c r="C37" s="524"/>
      <c r="D37" s="524"/>
      <c r="E37" s="524"/>
      <c r="F37" s="539"/>
      <c r="G37" s="525"/>
      <c r="H37" s="525"/>
      <c r="I37" s="525"/>
      <c r="J37" s="525"/>
      <c r="K37" s="525"/>
      <c r="L37" s="525"/>
      <c r="M37" s="524"/>
      <c r="N37" s="525"/>
      <c r="O37" s="525"/>
      <c r="P37" s="524"/>
      <c r="Q37" s="559"/>
      <c r="R37" s="561">
        <f t="shared" si="0"/>
        <v>0</v>
      </c>
      <c r="S37" s="655">
        <f t="shared" si="1"/>
        <v>0</v>
      </c>
    </row>
    <row r="38" spans="2:19" x14ac:dyDescent="0.2">
      <c r="B38" s="571" t="s">
        <v>668</v>
      </c>
      <c r="C38" s="526" t="s">
        <v>470</v>
      </c>
    </row>
    <row r="39" spans="2:19" x14ac:dyDescent="0.2">
      <c r="C39" s="526" t="s">
        <v>537</v>
      </c>
    </row>
    <row r="43" spans="2:19" ht="15.75" x14ac:dyDescent="0.25">
      <c r="B43" s="520" t="s">
        <v>850</v>
      </c>
      <c r="H43" s="909"/>
      <c r="I43" s="909"/>
      <c r="J43" s="909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910" t="s">
        <v>849</v>
      </c>
      <c r="C45" s="911" t="s">
        <v>25</v>
      </c>
      <c r="D45" s="911" t="s">
        <v>782</v>
      </c>
      <c r="E45" s="911" t="s">
        <v>783</v>
      </c>
      <c r="F45" s="911" t="s">
        <v>784</v>
      </c>
      <c r="G45" s="911" t="s">
        <v>785</v>
      </c>
      <c r="H45" s="911" t="s">
        <v>786</v>
      </c>
      <c r="I45" s="911" t="s">
        <v>787</v>
      </c>
      <c r="J45" s="970" t="s">
        <v>788</v>
      </c>
      <c r="K45" s="970" t="s">
        <v>789</v>
      </c>
      <c r="L45" s="970" t="s">
        <v>790</v>
      </c>
      <c r="M45" s="911" t="s">
        <v>791</v>
      </c>
      <c r="N45" s="912" t="s">
        <v>851</v>
      </c>
      <c r="O45" s="911" t="s">
        <v>25</v>
      </c>
    </row>
    <row r="46" spans="2:19" x14ac:dyDescent="0.2">
      <c r="B46" s="966" t="s">
        <v>372</v>
      </c>
      <c r="C46" s="352">
        <v>1</v>
      </c>
      <c r="D46" s="913" t="s">
        <v>265</v>
      </c>
      <c r="E46" s="914" t="s">
        <v>372</v>
      </c>
      <c r="F46" s="915"/>
      <c r="G46" s="916"/>
      <c r="H46" s="915"/>
      <c r="I46" s="917"/>
      <c r="J46" s="913"/>
      <c r="K46" s="918"/>
      <c r="L46" s="919"/>
      <c r="M46" s="911"/>
      <c r="N46" s="920"/>
      <c r="O46" s="352">
        <f t="shared" ref="O46" si="4">C46</f>
        <v>1</v>
      </c>
    </row>
    <row r="47" spans="2:19" x14ac:dyDescent="0.2">
      <c r="B47" s="966" t="s">
        <v>375</v>
      </c>
      <c r="C47" s="352">
        <v>2</v>
      </c>
      <c r="D47" s="913" t="s">
        <v>795</v>
      </c>
      <c r="E47" s="913" t="s">
        <v>800</v>
      </c>
      <c r="F47" s="913">
        <v>350</v>
      </c>
      <c r="G47" s="913">
        <v>300</v>
      </c>
      <c r="H47" s="913">
        <v>200</v>
      </c>
      <c r="I47" s="917">
        <v>70</v>
      </c>
      <c r="J47" s="913">
        <f>F47*G47*H47/1000000</f>
        <v>21</v>
      </c>
      <c r="K47" s="918">
        <v>6</v>
      </c>
      <c r="L47" s="919">
        <v>40</v>
      </c>
      <c r="M47" s="913" t="s">
        <v>796</v>
      </c>
      <c r="N47" s="1199">
        <v>250000</v>
      </c>
      <c r="O47" s="352">
        <f>C47</f>
        <v>2</v>
      </c>
    </row>
    <row r="48" spans="2:19" x14ac:dyDescent="0.2">
      <c r="B48" s="966" t="s">
        <v>375</v>
      </c>
      <c r="C48" s="352">
        <v>3</v>
      </c>
      <c r="D48" s="913" t="s">
        <v>795</v>
      </c>
      <c r="E48" s="915" t="s">
        <v>799</v>
      </c>
      <c r="F48" s="913">
        <v>530</v>
      </c>
      <c r="G48" s="913">
        <v>400</v>
      </c>
      <c r="H48" s="913">
        <v>400</v>
      </c>
      <c r="I48" s="917">
        <v>60</v>
      </c>
      <c r="J48" s="913">
        <f>F48*G48*H48/1000000</f>
        <v>84.8</v>
      </c>
      <c r="K48" s="918">
        <v>20</v>
      </c>
      <c r="L48" s="919">
        <v>45</v>
      </c>
      <c r="M48" s="971" t="s">
        <v>792</v>
      </c>
      <c r="N48" s="1199">
        <v>391000</v>
      </c>
      <c r="O48" s="352">
        <f>C48</f>
        <v>3</v>
      </c>
    </row>
    <row r="49" spans="2:15" x14ac:dyDescent="0.2">
      <c r="B49" s="966" t="s">
        <v>375</v>
      </c>
      <c r="C49" s="352">
        <v>4</v>
      </c>
      <c r="D49" s="913" t="s">
        <v>795</v>
      </c>
      <c r="E49" s="913" t="s">
        <v>798</v>
      </c>
      <c r="F49" s="913">
        <v>700</v>
      </c>
      <c r="G49" s="913">
        <v>700</v>
      </c>
      <c r="H49" s="913">
        <v>500</v>
      </c>
      <c r="I49" s="917">
        <v>90</v>
      </c>
      <c r="J49" s="913">
        <f>F49*G49*H49/1000000</f>
        <v>245</v>
      </c>
      <c r="K49" s="918">
        <v>60</v>
      </c>
      <c r="L49" s="919">
        <v>70</v>
      </c>
      <c r="M49" s="913" t="s">
        <v>796</v>
      </c>
      <c r="N49" s="1199">
        <v>565000</v>
      </c>
      <c r="O49" s="352">
        <f>C49</f>
        <v>4</v>
      </c>
    </row>
    <row r="50" spans="2:15" x14ac:dyDescent="0.2">
      <c r="B50" s="966" t="s">
        <v>375</v>
      </c>
      <c r="C50" s="352">
        <v>5</v>
      </c>
      <c r="D50" s="913" t="s">
        <v>795</v>
      </c>
      <c r="E50" s="913" t="s">
        <v>797</v>
      </c>
      <c r="F50" s="913">
        <v>1000</v>
      </c>
      <c r="G50" s="913">
        <v>800</v>
      </c>
      <c r="H50" s="913">
        <v>600</v>
      </c>
      <c r="I50" s="917">
        <v>100</v>
      </c>
      <c r="J50" s="913">
        <f>F50*G50*H50/1000000</f>
        <v>480</v>
      </c>
      <c r="K50" s="918">
        <v>130</v>
      </c>
      <c r="L50" s="919">
        <v>90</v>
      </c>
      <c r="M50" s="913" t="s">
        <v>796</v>
      </c>
      <c r="N50" s="1199">
        <v>570000</v>
      </c>
      <c r="O50" s="352">
        <f>C50</f>
        <v>5</v>
      </c>
    </row>
    <row r="51" spans="2:15" x14ac:dyDescent="0.2">
      <c r="B51" s="966" t="s">
        <v>375</v>
      </c>
      <c r="C51" s="352">
        <v>6</v>
      </c>
      <c r="D51" s="913" t="s">
        <v>793</v>
      </c>
      <c r="E51" s="921" t="s">
        <v>794</v>
      </c>
      <c r="F51" s="913">
        <v>1500</v>
      </c>
      <c r="G51" s="913">
        <v>1250</v>
      </c>
      <c r="H51" s="913">
        <v>750</v>
      </c>
      <c r="I51" s="917">
        <v>70</v>
      </c>
      <c r="J51" s="913">
        <f>F51*G51*H51/1000000</f>
        <v>1406.25</v>
      </c>
      <c r="K51" s="922">
        <v>350</v>
      </c>
      <c r="L51" s="919">
        <v>120</v>
      </c>
      <c r="M51" s="921" t="s">
        <v>792</v>
      </c>
      <c r="N51" s="1199">
        <v>600000</v>
      </c>
      <c r="O51" s="352">
        <f>C51</f>
        <v>6</v>
      </c>
    </row>
    <row r="53" spans="2:15" x14ac:dyDescent="0.2">
      <c r="C53" t="s">
        <v>801</v>
      </c>
    </row>
    <row r="54" spans="2:15" x14ac:dyDescent="0.2">
      <c r="D54" t="s">
        <v>802</v>
      </c>
      <c r="F54" t="s">
        <v>803</v>
      </c>
    </row>
    <row r="55" spans="2:15" x14ac:dyDescent="0.2">
      <c r="C55" t="s">
        <v>804</v>
      </c>
    </row>
    <row r="56" spans="2:15" x14ac:dyDescent="0.2">
      <c r="D56" s="223" t="s">
        <v>805</v>
      </c>
      <c r="F56" t="s">
        <v>806</v>
      </c>
    </row>
    <row r="57" spans="2:15" x14ac:dyDescent="0.2">
      <c r="B57" s="1200" t="s">
        <v>375</v>
      </c>
      <c r="C57">
        <v>1</v>
      </c>
      <c r="D57" s="1201" t="s">
        <v>979</v>
      </c>
      <c r="E57" s="1202" t="s">
        <v>764</v>
      </c>
      <c r="J57" s="1201"/>
      <c r="K57" s="1203">
        <v>16</v>
      </c>
      <c r="N57" s="1204">
        <v>300000</v>
      </c>
      <c r="O57">
        <v>7</v>
      </c>
    </row>
    <row r="58" spans="2:15" x14ac:dyDescent="0.2">
      <c r="B58" s="1200" t="s">
        <v>375</v>
      </c>
      <c r="C58">
        <v>2</v>
      </c>
      <c r="D58" s="1201" t="s">
        <v>979</v>
      </c>
      <c r="E58" s="1202" t="s">
        <v>764</v>
      </c>
      <c r="K58" s="1203">
        <v>25</v>
      </c>
      <c r="N58" s="1204">
        <v>330000</v>
      </c>
      <c r="O58">
        <v>8</v>
      </c>
    </row>
    <row r="59" spans="2:15" x14ac:dyDescent="0.2">
      <c r="B59" s="1200" t="s">
        <v>375</v>
      </c>
      <c r="C59">
        <v>3</v>
      </c>
      <c r="D59" s="1201" t="s">
        <v>979</v>
      </c>
      <c r="E59" s="1202" t="s">
        <v>764</v>
      </c>
      <c r="K59" s="1203">
        <v>40</v>
      </c>
      <c r="N59" s="1204">
        <v>370000</v>
      </c>
      <c r="O59">
        <v>9</v>
      </c>
    </row>
    <row r="61" spans="2:15" ht="15" thickBot="1" x14ac:dyDescent="0.25"/>
    <row r="62" spans="2:15" ht="43.5" thickBot="1" x14ac:dyDescent="0.25">
      <c r="B62" s="1205" t="s">
        <v>980</v>
      </c>
      <c r="C62" s="1206" t="s">
        <v>981</v>
      </c>
      <c r="D62" s="1207" t="s">
        <v>25</v>
      </c>
      <c r="E62" s="1208" t="s">
        <v>982</v>
      </c>
      <c r="F62" s="1209" t="s">
        <v>983</v>
      </c>
      <c r="G62" s="1210" t="s">
        <v>103</v>
      </c>
      <c r="H62" s="1211" t="s">
        <v>984</v>
      </c>
    </row>
    <row r="63" spans="2:15" x14ac:dyDescent="0.2">
      <c r="B63" s="1212" t="s">
        <v>985</v>
      </c>
      <c r="C63" s="1213" t="s">
        <v>986</v>
      </c>
      <c r="D63" s="1214">
        <v>1</v>
      </c>
      <c r="E63" s="1215">
        <v>185000</v>
      </c>
      <c r="F63" s="1216">
        <v>0.1</v>
      </c>
      <c r="G63" s="1210">
        <v>10</v>
      </c>
      <c r="H63" s="1210">
        <v>30</v>
      </c>
    </row>
    <row r="64" spans="2:15" x14ac:dyDescent="0.2">
      <c r="B64" s="45" t="str">
        <f>[2]Auswahlfelder!D36</f>
        <v>Luft/Wasser</v>
      </c>
      <c r="C64" s="1217" t="s">
        <v>987</v>
      </c>
      <c r="D64" s="1218">
        <v>2</v>
      </c>
      <c r="E64" s="1219">
        <v>12000</v>
      </c>
      <c r="F64" s="1220">
        <v>0.2</v>
      </c>
      <c r="G64">
        <v>10</v>
      </c>
      <c r="H64">
        <v>25</v>
      </c>
    </row>
    <row r="65" spans="2:8" x14ac:dyDescent="0.2">
      <c r="B65" s="45" t="str">
        <f>[2]Auswahlfelder!D37</f>
        <v>Druck/Zeit-Messung</v>
      </c>
      <c r="C65" s="1217" t="s">
        <v>988</v>
      </c>
      <c r="D65" s="1218">
        <v>3</v>
      </c>
      <c r="E65" s="1219">
        <v>9500</v>
      </c>
      <c r="F65" s="1220">
        <v>0.15</v>
      </c>
      <c r="G65">
        <v>1</v>
      </c>
      <c r="H65">
        <v>20</v>
      </c>
    </row>
    <row r="66" spans="2:8" x14ac:dyDescent="0.2">
      <c r="B66" s="1212" t="s">
        <v>622</v>
      </c>
      <c r="C66" s="1213" t="s">
        <v>605</v>
      </c>
      <c r="D66" s="1214">
        <v>4</v>
      </c>
      <c r="E66" s="1215">
        <v>55000</v>
      </c>
      <c r="F66" s="1216">
        <v>0.05</v>
      </c>
      <c r="G66" s="1210">
        <v>20</v>
      </c>
      <c r="H66" s="1210">
        <v>5</v>
      </c>
    </row>
    <row r="67" spans="2:8" x14ac:dyDescent="0.2">
      <c r="B67" s="545" t="s">
        <v>989</v>
      </c>
      <c r="C67" s="1217" t="s">
        <v>77</v>
      </c>
      <c r="D67" s="1218">
        <v>5</v>
      </c>
      <c r="E67" s="1219">
        <v>55000</v>
      </c>
      <c r="F67" s="1220">
        <v>0.15</v>
      </c>
      <c r="G67">
        <v>1</v>
      </c>
      <c r="H67">
        <v>25</v>
      </c>
    </row>
    <row r="68" spans="2:8" x14ac:dyDescent="0.2">
      <c r="B68" s="1212" t="s">
        <v>990</v>
      </c>
      <c r="C68" s="1213" t="s">
        <v>986</v>
      </c>
      <c r="D68" s="1214">
        <v>6</v>
      </c>
      <c r="E68" s="1215">
        <v>250000</v>
      </c>
      <c r="F68" s="1216">
        <v>0.05</v>
      </c>
      <c r="G68" s="1210">
        <v>10</v>
      </c>
      <c r="H68" s="1210">
        <v>40</v>
      </c>
    </row>
    <row r="69" spans="2:8" x14ac:dyDescent="0.2">
      <c r="B69" s="1212" t="s">
        <v>991</v>
      </c>
      <c r="C69" s="1213" t="s">
        <v>992</v>
      </c>
      <c r="D69" s="1214">
        <v>7</v>
      </c>
      <c r="E69" s="1215">
        <v>578000</v>
      </c>
      <c r="F69" s="1216">
        <v>0.05</v>
      </c>
      <c r="G69" s="1210">
        <v>165</v>
      </c>
      <c r="H69" s="1210">
        <v>200</v>
      </c>
    </row>
    <row r="70" spans="2:8" x14ac:dyDescent="0.2">
      <c r="B70" s="1212" t="s">
        <v>993</v>
      </c>
      <c r="C70" s="1213" t="s">
        <v>992</v>
      </c>
      <c r="D70" s="1210"/>
      <c r="E70" s="1215">
        <v>1700000</v>
      </c>
      <c r="F70" s="1216">
        <v>0.05</v>
      </c>
      <c r="G70" s="1210">
        <v>940</v>
      </c>
      <c r="H70" s="1210">
        <v>220</v>
      </c>
    </row>
    <row r="71" spans="2:8" x14ac:dyDescent="0.2">
      <c r="B71" s="1212" t="s">
        <v>994</v>
      </c>
      <c r="C71" s="1213" t="s">
        <v>986</v>
      </c>
      <c r="D71" s="1210"/>
      <c r="E71" s="1215">
        <v>210000</v>
      </c>
      <c r="F71" s="1216">
        <v>0.05</v>
      </c>
      <c r="G71" s="1210">
        <v>141</v>
      </c>
      <c r="H71" s="1210">
        <v>60</v>
      </c>
    </row>
    <row r="72" spans="2:8" x14ac:dyDescent="0.2">
      <c r="B72" s="1212" t="s">
        <v>995</v>
      </c>
      <c r="C72" s="1213" t="s">
        <v>986</v>
      </c>
      <c r="D72" s="1210"/>
      <c r="E72" s="1215">
        <v>138500</v>
      </c>
      <c r="F72" s="1216">
        <v>0.05</v>
      </c>
      <c r="G72" s="1210">
        <v>42</v>
      </c>
      <c r="H72" s="1210">
        <v>30</v>
      </c>
    </row>
    <row r="73" spans="2:8" x14ac:dyDescent="0.2">
      <c r="B73" s="1212" t="s">
        <v>996</v>
      </c>
      <c r="C73" s="1213" t="s">
        <v>992</v>
      </c>
      <c r="D73" s="1210"/>
      <c r="E73" s="1215">
        <v>185000</v>
      </c>
      <c r="F73" s="1216">
        <v>0.05</v>
      </c>
      <c r="G73" s="1210">
        <v>11</v>
      </c>
      <c r="H73" s="1210">
        <v>20</v>
      </c>
    </row>
    <row r="74" spans="2:8" x14ac:dyDescent="0.2">
      <c r="E74" s="1221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1" customWidth="1"/>
    <col min="5" max="16384" width="11" style="191"/>
  </cols>
  <sheetData>
    <row r="1" spans="1:702" ht="15" thickBot="1" x14ac:dyDescent="0.25">
      <c r="A1" s="671" t="s">
        <v>558</v>
      </c>
      <c r="B1" s="671" t="s">
        <v>557</v>
      </c>
      <c r="C1" s="259">
        <f>HLOOKUP("x",$D$1:$ZZ$2,2,FALSE)</f>
        <v>19</v>
      </c>
      <c r="D1" s="932">
        <f>D3</f>
        <v>815</v>
      </c>
      <c r="E1" s="932" t="str">
        <f t="shared" ref="E1:BP1" si="0">E3</f>
        <v>815-1</v>
      </c>
      <c r="F1" s="932" t="str">
        <f t="shared" si="0"/>
        <v>815-2</v>
      </c>
      <c r="G1" s="932" t="str">
        <f t="shared" si="0"/>
        <v>815-2-1</v>
      </c>
      <c r="H1" s="932" t="str">
        <f t="shared" si="0"/>
        <v>815-3</v>
      </c>
      <c r="I1" s="932" t="str">
        <f t="shared" si="0"/>
        <v>815-3-1</v>
      </c>
      <c r="J1" s="932" t="str">
        <f t="shared" si="0"/>
        <v>820-1</v>
      </c>
      <c r="K1" s="932" t="str">
        <f t="shared" si="0"/>
        <v>820-1-1</v>
      </c>
      <c r="L1" s="932" t="str">
        <f t="shared" si="0"/>
        <v>820-2</v>
      </c>
      <c r="M1" s="932" t="str">
        <f t="shared" si="0"/>
        <v>820-2-1</v>
      </c>
      <c r="N1" s="932" t="str">
        <f t="shared" si="0"/>
        <v>820-3</v>
      </c>
      <c r="O1" s="932" t="str">
        <f t="shared" si="0"/>
        <v>820-3-1</v>
      </c>
      <c r="P1" s="932" t="str">
        <f t="shared" si="0"/>
        <v>820-1-5</v>
      </c>
      <c r="Q1" s="932" t="str">
        <f t="shared" si="0"/>
        <v>820-2-5</v>
      </c>
      <c r="R1" s="932" t="str">
        <f t="shared" si="0"/>
        <v>820-3-5</v>
      </c>
      <c r="S1" s="932" t="str">
        <f t="shared" si="0"/>
        <v>812-1</v>
      </c>
      <c r="T1" s="932" t="str">
        <f t="shared" si="0"/>
        <v>817-2-1</v>
      </c>
      <c r="U1" s="932" t="str">
        <f t="shared" si="0"/>
        <v>816-3-1</v>
      </c>
      <c r="V1" s="932" t="str">
        <f t="shared" si="0"/>
        <v>x</v>
      </c>
      <c r="W1" s="932" t="str">
        <f t="shared" si="0"/>
        <v>x</v>
      </c>
      <c r="X1" s="932" t="str">
        <f t="shared" si="0"/>
        <v>x</v>
      </c>
      <c r="Y1" s="932" t="str">
        <f t="shared" si="0"/>
        <v>x</v>
      </c>
      <c r="Z1" s="932" t="str">
        <f t="shared" si="0"/>
        <v>x</v>
      </c>
      <c r="AA1" s="932" t="str">
        <f t="shared" si="0"/>
        <v>x</v>
      </c>
      <c r="AB1" s="932" t="str">
        <f t="shared" si="0"/>
        <v>x</v>
      </c>
      <c r="AC1" s="932" t="str">
        <f t="shared" si="0"/>
        <v>x</v>
      </c>
      <c r="AD1" s="932" t="str">
        <f t="shared" si="0"/>
        <v>x</v>
      </c>
      <c r="AE1" s="932" t="str">
        <f t="shared" si="0"/>
        <v>x</v>
      </c>
      <c r="AF1" s="932" t="str">
        <f t="shared" si="0"/>
        <v>x</v>
      </c>
      <c r="AG1" s="932" t="str">
        <f t="shared" si="0"/>
        <v>x</v>
      </c>
      <c r="AH1" s="932" t="str">
        <f t="shared" si="0"/>
        <v>x</v>
      </c>
      <c r="AI1" s="932" t="str">
        <f t="shared" si="0"/>
        <v>x</v>
      </c>
      <c r="AJ1" s="932" t="str">
        <f t="shared" si="0"/>
        <v>x</v>
      </c>
      <c r="AK1" s="932" t="str">
        <f t="shared" si="0"/>
        <v>x</v>
      </c>
      <c r="AL1" s="932" t="str">
        <f t="shared" si="0"/>
        <v>x</v>
      </c>
      <c r="AM1" s="932" t="str">
        <f t="shared" si="0"/>
        <v>x</v>
      </c>
      <c r="AN1" s="932" t="str">
        <f t="shared" si="0"/>
        <v>x</v>
      </c>
      <c r="AO1" s="932" t="str">
        <f t="shared" si="0"/>
        <v>x</v>
      </c>
      <c r="AP1" s="932" t="str">
        <f t="shared" si="0"/>
        <v>x</v>
      </c>
      <c r="AQ1" s="932" t="str">
        <f t="shared" si="0"/>
        <v>x</v>
      </c>
      <c r="AR1" s="932" t="str">
        <f t="shared" si="0"/>
        <v>x</v>
      </c>
      <c r="AS1" s="932" t="str">
        <f t="shared" si="0"/>
        <v>x</v>
      </c>
      <c r="AT1" s="932" t="str">
        <f t="shared" si="0"/>
        <v>x</v>
      </c>
      <c r="AU1" s="932" t="str">
        <f t="shared" si="0"/>
        <v>x</v>
      </c>
      <c r="AV1" s="932" t="str">
        <f t="shared" si="0"/>
        <v>x</v>
      </c>
      <c r="AW1" s="932" t="str">
        <f t="shared" si="0"/>
        <v>x</v>
      </c>
      <c r="AX1" s="932" t="str">
        <f t="shared" si="0"/>
        <v>x</v>
      </c>
      <c r="AY1" s="932" t="str">
        <f t="shared" si="0"/>
        <v>x</v>
      </c>
      <c r="AZ1" s="932" t="str">
        <f t="shared" si="0"/>
        <v>x</v>
      </c>
      <c r="BA1" s="932" t="str">
        <f t="shared" si="0"/>
        <v>x</v>
      </c>
      <c r="BB1" s="932" t="str">
        <f t="shared" si="0"/>
        <v>x</v>
      </c>
      <c r="BC1" s="932" t="str">
        <f t="shared" si="0"/>
        <v>x</v>
      </c>
      <c r="BD1" s="932" t="str">
        <f t="shared" si="0"/>
        <v>x</v>
      </c>
      <c r="BE1" s="932" t="str">
        <f t="shared" si="0"/>
        <v>x</v>
      </c>
      <c r="BF1" s="932" t="str">
        <f t="shared" si="0"/>
        <v>x</v>
      </c>
      <c r="BG1" s="932" t="str">
        <f t="shared" si="0"/>
        <v>x</v>
      </c>
      <c r="BH1" s="932" t="str">
        <f t="shared" si="0"/>
        <v>x</v>
      </c>
      <c r="BI1" s="932" t="str">
        <f t="shared" si="0"/>
        <v>x</v>
      </c>
      <c r="BJ1" s="932" t="str">
        <f t="shared" si="0"/>
        <v>x</v>
      </c>
      <c r="BK1" s="932" t="str">
        <f t="shared" si="0"/>
        <v>x</v>
      </c>
      <c r="BL1" s="932" t="str">
        <f t="shared" si="0"/>
        <v>x</v>
      </c>
      <c r="BM1" s="932" t="str">
        <f t="shared" si="0"/>
        <v>x</v>
      </c>
      <c r="BN1" s="932" t="str">
        <f t="shared" si="0"/>
        <v>x</v>
      </c>
      <c r="BO1" s="932" t="str">
        <f t="shared" si="0"/>
        <v>x</v>
      </c>
      <c r="BP1" s="932" t="str">
        <f t="shared" si="0"/>
        <v>x</v>
      </c>
      <c r="BQ1" s="932" t="str">
        <f t="shared" ref="BQ1:EB1" si="1">BQ3</f>
        <v>x</v>
      </c>
      <c r="BR1" s="932" t="str">
        <f t="shared" si="1"/>
        <v>x</v>
      </c>
      <c r="BS1" s="932" t="str">
        <f t="shared" si="1"/>
        <v>x</v>
      </c>
      <c r="BT1" s="932" t="str">
        <f t="shared" si="1"/>
        <v>x</v>
      </c>
      <c r="BU1" s="932" t="str">
        <f t="shared" si="1"/>
        <v>x</v>
      </c>
      <c r="BV1" s="932" t="str">
        <f t="shared" si="1"/>
        <v>x</v>
      </c>
      <c r="BW1" s="932" t="str">
        <f t="shared" si="1"/>
        <v>x</v>
      </c>
      <c r="BX1" s="932" t="str">
        <f t="shared" si="1"/>
        <v>x</v>
      </c>
      <c r="BY1" s="932" t="str">
        <f t="shared" si="1"/>
        <v>x</v>
      </c>
      <c r="BZ1" s="932" t="str">
        <f t="shared" si="1"/>
        <v>x</v>
      </c>
      <c r="CA1" s="932" t="str">
        <f t="shared" si="1"/>
        <v>x</v>
      </c>
      <c r="CB1" s="932" t="str">
        <f t="shared" si="1"/>
        <v>x</v>
      </c>
      <c r="CC1" s="932" t="str">
        <f t="shared" si="1"/>
        <v>x</v>
      </c>
      <c r="CD1" s="932" t="str">
        <f t="shared" si="1"/>
        <v>x</v>
      </c>
      <c r="CE1" s="932" t="str">
        <f t="shared" si="1"/>
        <v>x</v>
      </c>
      <c r="CF1" s="932" t="str">
        <f t="shared" si="1"/>
        <v>x</v>
      </c>
      <c r="CG1" s="932" t="str">
        <f t="shared" si="1"/>
        <v>x</v>
      </c>
      <c r="CH1" s="932" t="str">
        <f t="shared" si="1"/>
        <v>x</v>
      </c>
      <c r="CI1" s="932" t="str">
        <f t="shared" si="1"/>
        <v>x</v>
      </c>
      <c r="CJ1" s="932" t="str">
        <f t="shared" si="1"/>
        <v>x</v>
      </c>
      <c r="CK1" s="932" t="str">
        <f t="shared" si="1"/>
        <v>x</v>
      </c>
      <c r="CL1" s="932" t="str">
        <f t="shared" si="1"/>
        <v>x</v>
      </c>
      <c r="CM1" s="932" t="str">
        <f t="shared" si="1"/>
        <v>x</v>
      </c>
      <c r="CN1" s="932" t="str">
        <f t="shared" si="1"/>
        <v>x</v>
      </c>
      <c r="CO1" s="932" t="str">
        <f t="shared" si="1"/>
        <v>x</v>
      </c>
      <c r="CP1" s="932" t="str">
        <f t="shared" si="1"/>
        <v>x</v>
      </c>
      <c r="CQ1" s="932" t="str">
        <f t="shared" si="1"/>
        <v>x</v>
      </c>
      <c r="CR1" s="932" t="str">
        <f t="shared" si="1"/>
        <v>x</v>
      </c>
      <c r="CS1" s="932" t="str">
        <f t="shared" si="1"/>
        <v>x</v>
      </c>
      <c r="CT1" s="932" t="str">
        <f t="shared" si="1"/>
        <v>x</v>
      </c>
      <c r="CU1" s="932" t="str">
        <f t="shared" si="1"/>
        <v>x</v>
      </c>
      <c r="CV1" s="932" t="str">
        <f t="shared" si="1"/>
        <v>x</v>
      </c>
      <c r="CW1" s="932" t="str">
        <f t="shared" si="1"/>
        <v>x</v>
      </c>
      <c r="CX1" s="932" t="str">
        <f t="shared" si="1"/>
        <v>x</v>
      </c>
      <c r="CY1" s="932" t="str">
        <f t="shared" si="1"/>
        <v>x</v>
      </c>
      <c r="CZ1" s="932" t="str">
        <f t="shared" si="1"/>
        <v>x</v>
      </c>
      <c r="DA1" s="932" t="str">
        <f t="shared" si="1"/>
        <v>x</v>
      </c>
      <c r="DB1" s="932" t="str">
        <f t="shared" si="1"/>
        <v>x</v>
      </c>
      <c r="DC1" s="932" t="str">
        <f t="shared" si="1"/>
        <v>x</v>
      </c>
      <c r="DD1" s="932" t="str">
        <f t="shared" si="1"/>
        <v>x</v>
      </c>
      <c r="DE1" s="932" t="str">
        <f t="shared" si="1"/>
        <v>x</v>
      </c>
      <c r="DF1" s="932" t="str">
        <f t="shared" si="1"/>
        <v>x</v>
      </c>
      <c r="DG1" s="932" t="str">
        <f t="shared" si="1"/>
        <v>x</v>
      </c>
      <c r="DH1" s="932" t="str">
        <f t="shared" si="1"/>
        <v>x</v>
      </c>
      <c r="DI1" s="932" t="str">
        <f t="shared" si="1"/>
        <v>x</v>
      </c>
      <c r="DJ1" s="932" t="str">
        <f t="shared" si="1"/>
        <v>x</v>
      </c>
      <c r="DK1" s="932" t="str">
        <f t="shared" si="1"/>
        <v>x</v>
      </c>
      <c r="DL1" s="932" t="str">
        <f t="shared" si="1"/>
        <v>x</v>
      </c>
      <c r="DM1" s="932" t="str">
        <f t="shared" si="1"/>
        <v>x</v>
      </c>
      <c r="DN1" s="932" t="str">
        <f t="shared" si="1"/>
        <v>x</v>
      </c>
      <c r="DO1" s="932" t="str">
        <f t="shared" si="1"/>
        <v>x</v>
      </c>
      <c r="DP1" s="932" t="str">
        <f t="shared" si="1"/>
        <v>x</v>
      </c>
      <c r="DQ1" s="932" t="str">
        <f t="shared" si="1"/>
        <v>x</v>
      </c>
      <c r="DR1" s="932" t="str">
        <f t="shared" si="1"/>
        <v>x</v>
      </c>
      <c r="DS1" s="932" t="str">
        <f t="shared" si="1"/>
        <v>x</v>
      </c>
      <c r="DT1" s="932" t="str">
        <f t="shared" si="1"/>
        <v>x</v>
      </c>
      <c r="DU1" s="932" t="str">
        <f t="shared" si="1"/>
        <v>x</v>
      </c>
      <c r="DV1" s="932" t="str">
        <f t="shared" si="1"/>
        <v>x</v>
      </c>
      <c r="DW1" s="932" t="str">
        <f t="shared" si="1"/>
        <v>x</v>
      </c>
      <c r="DX1" s="932" t="str">
        <f t="shared" si="1"/>
        <v>x</v>
      </c>
      <c r="DY1" s="932" t="str">
        <f t="shared" si="1"/>
        <v>x</v>
      </c>
      <c r="DZ1" s="932" t="str">
        <f t="shared" si="1"/>
        <v>x</v>
      </c>
      <c r="EA1" s="932" t="str">
        <f t="shared" si="1"/>
        <v>x</v>
      </c>
      <c r="EB1" s="932" t="str">
        <f t="shared" si="1"/>
        <v>x</v>
      </c>
      <c r="EC1" s="932" t="str">
        <f t="shared" ref="EC1:GN1" si="2">EC3</f>
        <v>x</v>
      </c>
      <c r="ED1" s="932" t="str">
        <f t="shared" si="2"/>
        <v>x</v>
      </c>
      <c r="EE1" s="932" t="str">
        <f t="shared" si="2"/>
        <v>x</v>
      </c>
      <c r="EF1" s="932" t="str">
        <f t="shared" si="2"/>
        <v>x</v>
      </c>
      <c r="EG1" s="932" t="str">
        <f t="shared" si="2"/>
        <v>x</v>
      </c>
      <c r="EH1" s="932" t="str">
        <f t="shared" si="2"/>
        <v>x</v>
      </c>
      <c r="EI1" s="932" t="str">
        <f t="shared" si="2"/>
        <v>x</v>
      </c>
      <c r="EJ1" s="932" t="str">
        <f t="shared" si="2"/>
        <v>x</v>
      </c>
      <c r="EK1" s="932" t="str">
        <f t="shared" si="2"/>
        <v>x</v>
      </c>
      <c r="EL1" s="932" t="str">
        <f t="shared" si="2"/>
        <v>x</v>
      </c>
      <c r="EM1" s="932" t="str">
        <f t="shared" si="2"/>
        <v>x</v>
      </c>
      <c r="EN1" s="932" t="str">
        <f t="shared" si="2"/>
        <v>x</v>
      </c>
      <c r="EO1" s="932" t="str">
        <f t="shared" si="2"/>
        <v>x</v>
      </c>
      <c r="EP1" s="932" t="str">
        <f t="shared" si="2"/>
        <v>x</v>
      </c>
      <c r="EQ1" s="932" t="str">
        <f t="shared" si="2"/>
        <v>x</v>
      </c>
      <c r="ER1" s="932" t="str">
        <f t="shared" si="2"/>
        <v>x</v>
      </c>
      <c r="ES1" s="932" t="str">
        <f t="shared" si="2"/>
        <v>x</v>
      </c>
      <c r="ET1" s="932" t="str">
        <f t="shared" si="2"/>
        <v>x</v>
      </c>
      <c r="EU1" s="932" t="str">
        <f t="shared" si="2"/>
        <v>x</v>
      </c>
      <c r="EV1" s="932" t="str">
        <f t="shared" si="2"/>
        <v>x</v>
      </c>
      <c r="EW1" s="932" t="str">
        <f t="shared" si="2"/>
        <v>x</v>
      </c>
      <c r="EX1" s="932" t="str">
        <f t="shared" si="2"/>
        <v>x</v>
      </c>
      <c r="EY1" s="932" t="str">
        <f t="shared" si="2"/>
        <v>x</v>
      </c>
      <c r="EZ1" s="932" t="str">
        <f t="shared" si="2"/>
        <v>x</v>
      </c>
      <c r="FA1" s="932" t="str">
        <f t="shared" si="2"/>
        <v>x</v>
      </c>
      <c r="FB1" s="932" t="str">
        <f t="shared" si="2"/>
        <v>x</v>
      </c>
      <c r="FC1" s="932" t="str">
        <f t="shared" si="2"/>
        <v>x</v>
      </c>
      <c r="FD1" s="932" t="str">
        <f t="shared" si="2"/>
        <v>x</v>
      </c>
      <c r="FE1" s="932" t="str">
        <f t="shared" si="2"/>
        <v>x</v>
      </c>
      <c r="FF1" s="932" t="str">
        <f t="shared" si="2"/>
        <v>x</v>
      </c>
      <c r="FG1" s="932" t="str">
        <f t="shared" si="2"/>
        <v>x</v>
      </c>
      <c r="FH1" s="932" t="str">
        <f t="shared" si="2"/>
        <v>x</v>
      </c>
      <c r="FI1" s="932" t="str">
        <f t="shared" si="2"/>
        <v>x</v>
      </c>
      <c r="FJ1" s="932" t="str">
        <f t="shared" si="2"/>
        <v>x</v>
      </c>
      <c r="FK1" s="932" t="str">
        <f t="shared" si="2"/>
        <v>x</v>
      </c>
      <c r="FL1" s="932" t="str">
        <f t="shared" si="2"/>
        <v>x</v>
      </c>
      <c r="FM1" s="932" t="str">
        <f t="shared" si="2"/>
        <v>x</v>
      </c>
      <c r="FN1" s="932" t="str">
        <f t="shared" si="2"/>
        <v>x</v>
      </c>
      <c r="FO1" s="932" t="str">
        <f t="shared" si="2"/>
        <v>x</v>
      </c>
      <c r="FP1" s="932" t="str">
        <f t="shared" si="2"/>
        <v>x</v>
      </c>
      <c r="FQ1" s="932" t="str">
        <f t="shared" si="2"/>
        <v>x</v>
      </c>
      <c r="FR1" s="932" t="str">
        <f t="shared" si="2"/>
        <v>x</v>
      </c>
      <c r="FS1" s="932" t="str">
        <f t="shared" si="2"/>
        <v>x</v>
      </c>
      <c r="FT1" s="932" t="str">
        <f t="shared" si="2"/>
        <v>x</v>
      </c>
      <c r="FU1" s="932" t="str">
        <f t="shared" si="2"/>
        <v>x</v>
      </c>
      <c r="FV1" s="932" t="str">
        <f t="shared" si="2"/>
        <v>x</v>
      </c>
      <c r="FW1" s="932" t="str">
        <f t="shared" si="2"/>
        <v>x</v>
      </c>
      <c r="FX1" s="932" t="str">
        <f t="shared" si="2"/>
        <v>x</v>
      </c>
      <c r="FY1" s="932" t="str">
        <f t="shared" si="2"/>
        <v>x</v>
      </c>
      <c r="FZ1" s="932" t="str">
        <f t="shared" si="2"/>
        <v>x</v>
      </c>
      <c r="GA1" s="932" t="str">
        <f t="shared" si="2"/>
        <v>x</v>
      </c>
      <c r="GB1" s="932" t="str">
        <f t="shared" si="2"/>
        <v>x</v>
      </c>
      <c r="GC1" s="932" t="str">
        <f t="shared" si="2"/>
        <v>x</v>
      </c>
      <c r="GD1" s="932" t="str">
        <f t="shared" si="2"/>
        <v>x</v>
      </c>
      <c r="GE1" s="932" t="str">
        <f t="shared" si="2"/>
        <v>x</v>
      </c>
      <c r="GF1" s="932" t="str">
        <f t="shared" si="2"/>
        <v>x</v>
      </c>
      <c r="GG1" s="932" t="str">
        <f t="shared" si="2"/>
        <v>x</v>
      </c>
      <c r="GH1" s="932" t="str">
        <f t="shared" si="2"/>
        <v>x</v>
      </c>
      <c r="GI1" s="932" t="str">
        <f t="shared" si="2"/>
        <v>x</v>
      </c>
      <c r="GJ1" s="932" t="str">
        <f t="shared" si="2"/>
        <v>x</v>
      </c>
      <c r="GK1" s="932" t="str">
        <f t="shared" si="2"/>
        <v>x</v>
      </c>
      <c r="GL1" s="932" t="str">
        <f t="shared" si="2"/>
        <v>x</v>
      </c>
      <c r="GM1" s="932" t="str">
        <f t="shared" si="2"/>
        <v>x</v>
      </c>
      <c r="GN1" s="932" t="str">
        <f t="shared" si="2"/>
        <v>x</v>
      </c>
      <c r="GO1" s="932" t="str">
        <f t="shared" ref="GO1:IZ1" si="3">GO3</f>
        <v>x</v>
      </c>
      <c r="GP1" s="932" t="str">
        <f t="shared" si="3"/>
        <v>x</v>
      </c>
      <c r="GQ1" s="932" t="str">
        <f t="shared" si="3"/>
        <v>x</v>
      </c>
      <c r="GR1" s="932" t="str">
        <f t="shared" si="3"/>
        <v>x</v>
      </c>
      <c r="GS1" s="932" t="str">
        <f t="shared" si="3"/>
        <v>x</v>
      </c>
      <c r="GT1" s="932" t="str">
        <f t="shared" si="3"/>
        <v>x</v>
      </c>
      <c r="GU1" s="932" t="str">
        <f t="shared" si="3"/>
        <v>x</v>
      </c>
      <c r="GV1" s="932" t="str">
        <f t="shared" si="3"/>
        <v>x</v>
      </c>
      <c r="GW1" s="932" t="str">
        <f t="shared" si="3"/>
        <v>x</v>
      </c>
      <c r="GX1" s="932" t="str">
        <f t="shared" si="3"/>
        <v>x</v>
      </c>
      <c r="GY1" s="932" t="str">
        <f t="shared" si="3"/>
        <v>x</v>
      </c>
      <c r="GZ1" s="932" t="str">
        <f t="shared" si="3"/>
        <v>x</v>
      </c>
      <c r="HA1" s="932" t="str">
        <f t="shared" si="3"/>
        <v>x</v>
      </c>
      <c r="HB1" s="932" t="str">
        <f t="shared" si="3"/>
        <v>x</v>
      </c>
      <c r="HC1" s="932" t="str">
        <f t="shared" si="3"/>
        <v>x</v>
      </c>
      <c r="HD1" s="932" t="str">
        <f t="shared" si="3"/>
        <v>x</v>
      </c>
      <c r="HE1" s="932" t="str">
        <f t="shared" si="3"/>
        <v>x</v>
      </c>
      <c r="HF1" s="932" t="str">
        <f t="shared" si="3"/>
        <v>x</v>
      </c>
      <c r="HG1" s="932" t="str">
        <f t="shared" si="3"/>
        <v>x</v>
      </c>
      <c r="HH1" s="932" t="str">
        <f t="shared" si="3"/>
        <v>x</v>
      </c>
      <c r="HI1" s="932" t="str">
        <f t="shared" si="3"/>
        <v>x</v>
      </c>
      <c r="HJ1" s="932" t="str">
        <f t="shared" si="3"/>
        <v>x</v>
      </c>
      <c r="HK1" s="932" t="str">
        <f t="shared" si="3"/>
        <v>x</v>
      </c>
      <c r="HL1" s="932" t="str">
        <f t="shared" si="3"/>
        <v>x</v>
      </c>
      <c r="HM1" s="932" t="str">
        <f t="shared" si="3"/>
        <v>x</v>
      </c>
      <c r="HN1" s="932" t="str">
        <f t="shared" si="3"/>
        <v>x</v>
      </c>
      <c r="HO1" s="932" t="str">
        <f t="shared" si="3"/>
        <v>x</v>
      </c>
      <c r="HP1" s="932" t="str">
        <f t="shared" si="3"/>
        <v>x</v>
      </c>
      <c r="HQ1" s="932" t="str">
        <f t="shared" si="3"/>
        <v>x</v>
      </c>
      <c r="HR1" s="932" t="str">
        <f t="shared" si="3"/>
        <v>x</v>
      </c>
      <c r="HS1" s="932" t="str">
        <f t="shared" si="3"/>
        <v>x</v>
      </c>
      <c r="HT1" s="932" t="str">
        <f t="shared" si="3"/>
        <v>x</v>
      </c>
      <c r="HU1" s="932" t="str">
        <f t="shared" si="3"/>
        <v>x</v>
      </c>
      <c r="HV1" s="932" t="str">
        <f t="shared" si="3"/>
        <v>x</v>
      </c>
      <c r="HW1" s="932" t="str">
        <f t="shared" si="3"/>
        <v>x</v>
      </c>
      <c r="HX1" s="932" t="str">
        <f t="shared" si="3"/>
        <v>x</v>
      </c>
      <c r="HY1" s="932" t="str">
        <f t="shared" si="3"/>
        <v>x</v>
      </c>
      <c r="HZ1" s="932" t="str">
        <f t="shared" si="3"/>
        <v>x</v>
      </c>
      <c r="IA1" s="932" t="str">
        <f t="shared" si="3"/>
        <v>x</v>
      </c>
      <c r="IB1" s="932" t="str">
        <f t="shared" si="3"/>
        <v>x</v>
      </c>
      <c r="IC1" s="932" t="str">
        <f t="shared" si="3"/>
        <v>x</v>
      </c>
      <c r="ID1" s="932" t="str">
        <f t="shared" si="3"/>
        <v>x</v>
      </c>
      <c r="IE1" s="932" t="str">
        <f t="shared" si="3"/>
        <v>x</v>
      </c>
      <c r="IF1" s="932" t="str">
        <f t="shared" si="3"/>
        <v>x</v>
      </c>
      <c r="IG1" s="932" t="str">
        <f t="shared" si="3"/>
        <v>x</v>
      </c>
      <c r="IH1" s="932" t="str">
        <f t="shared" si="3"/>
        <v>x</v>
      </c>
      <c r="II1" s="932" t="str">
        <f t="shared" si="3"/>
        <v>x</v>
      </c>
      <c r="IJ1" s="932" t="str">
        <f t="shared" si="3"/>
        <v>x</v>
      </c>
      <c r="IK1" s="932" t="str">
        <f t="shared" si="3"/>
        <v>x</v>
      </c>
      <c r="IL1" s="932" t="str">
        <f t="shared" si="3"/>
        <v>x</v>
      </c>
      <c r="IM1" s="932" t="str">
        <f t="shared" si="3"/>
        <v>x</v>
      </c>
      <c r="IN1" s="932" t="str">
        <f t="shared" si="3"/>
        <v>x</v>
      </c>
      <c r="IO1" s="932" t="str">
        <f t="shared" si="3"/>
        <v>x</v>
      </c>
      <c r="IP1" s="932" t="str">
        <f t="shared" si="3"/>
        <v>x</v>
      </c>
      <c r="IQ1" s="932" t="str">
        <f t="shared" si="3"/>
        <v>x</v>
      </c>
      <c r="IR1" s="932" t="str">
        <f t="shared" si="3"/>
        <v>x</v>
      </c>
      <c r="IS1" s="932" t="str">
        <f t="shared" si="3"/>
        <v>x</v>
      </c>
      <c r="IT1" s="932" t="str">
        <f t="shared" si="3"/>
        <v>x</v>
      </c>
      <c r="IU1" s="932" t="str">
        <f t="shared" si="3"/>
        <v>x</v>
      </c>
      <c r="IV1" s="932" t="str">
        <f t="shared" si="3"/>
        <v>x</v>
      </c>
      <c r="IW1" s="932" t="str">
        <f t="shared" si="3"/>
        <v>x</v>
      </c>
      <c r="IX1" s="932" t="str">
        <f t="shared" si="3"/>
        <v>x</v>
      </c>
      <c r="IY1" s="932" t="str">
        <f t="shared" si="3"/>
        <v>x</v>
      </c>
      <c r="IZ1" s="932" t="str">
        <f t="shared" si="3"/>
        <v>x</v>
      </c>
      <c r="JA1" s="932" t="str">
        <f t="shared" ref="JA1:LL1" si="4">JA3</f>
        <v>x</v>
      </c>
      <c r="JB1" s="932" t="str">
        <f t="shared" si="4"/>
        <v>x</v>
      </c>
      <c r="JC1" s="932" t="str">
        <f t="shared" si="4"/>
        <v>x</v>
      </c>
      <c r="JD1" s="932" t="str">
        <f t="shared" si="4"/>
        <v>x</v>
      </c>
      <c r="JE1" s="932" t="str">
        <f t="shared" si="4"/>
        <v>x</v>
      </c>
      <c r="JF1" s="932" t="str">
        <f t="shared" si="4"/>
        <v>x</v>
      </c>
      <c r="JG1" s="932" t="str">
        <f t="shared" si="4"/>
        <v>x</v>
      </c>
      <c r="JH1" s="932" t="str">
        <f t="shared" si="4"/>
        <v>x</v>
      </c>
      <c r="JI1" s="932" t="str">
        <f t="shared" si="4"/>
        <v>x</v>
      </c>
      <c r="JJ1" s="932" t="str">
        <f t="shared" si="4"/>
        <v>x</v>
      </c>
      <c r="JK1" s="932" t="str">
        <f t="shared" si="4"/>
        <v>x</v>
      </c>
      <c r="JL1" s="932" t="str">
        <f t="shared" si="4"/>
        <v>x</v>
      </c>
      <c r="JM1" s="932" t="str">
        <f t="shared" si="4"/>
        <v>x</v>
      </c>
      <c r="JN1" s="932" t="str">
        <f t="shared" si="4"/>
        <v>x</v>
      </c>
      <c r="JO1" s="932" t="str">
        <f t="shared" si="4"/>
        <v>x</v>
      </c>
      <c r="JP1" s="932" t="str">
        <f t="shared" si="4"/>
        <v>x</v>
      </c>
      <c r="JQ1" s="932" t="str">
        <f t="shared" si="4"/>
        <v>x</v>
      </c>
      <c r="JR1" s="932" t="str">
        <f t="shared" si="4"/>
        <v>x</v>
      </c>
      <c r="JS1" s="932" t="str">
        <f t="shared" si="4"/>
        <v>x</v>
      </c>
      <c r="JT1" s="932" t="str">
        <f t="shared" si="4"/>
        <v>x</v>
      </c>
      <c r="JU1" s="932" t="str">
        <f t="shared" si="4"/>
        <v>x</v>
      </c>
      <c r="JV1" s="932" t="str">
        <f t="shared" si="4"/>
        <v>x</v>
      </c>
      <c r="JW1" s="932" t="str">
        <f t="shared" si="4"/>
        <v>x</v>
      </c>
      <c r="JX1" s="932" t="str">
        <f t="shared" si="4"/>
        <v>x</v>
      </c>
      <c r="JY1" s="932" t="str">
        <f t="shared" si="4"/>
        <v>x</v>
      </c>
      <c r="JZ1" s="932" t="str">
        <f t="shared" si="4"/>
        <v>x</v>
      </c>
      <c r="KA1" s="932" t="str">
        <f t="shared" si="4"/>
        <v>x</v>
      </c>
      <c r="KB1" s="932" t="str">
        <f t="shared" si="4"/>
        <v>x</v>
      </c>
      <c r="KC1" s="932" t="str">
        <f t="shared" si="4"/>
        <v>x</v>
      </c>
      <c r="KD1" s="932" t="str">
        <f t="shared" si="4"/>
        <v>x</v>
      </c>
      <c r="KE1" s="932" t="str">
        <f t="shared" si="4"/>
        <v>x</v>
      </c>
      <c r="KF1" s="932" t="str">
        <f t="shared" si="4"/>
        <v>x</v>
      </c>
      <c r="KG1" s="932" t="str">
        <f t="shared" si="4"/>
        <v>x</v>
      </c>
      <c r="KH1" s="932" t="str">
        <f t="shared" si="4"/>
        <v>x</v>
      </c>
      <c r="KI1" s="932" t="str">
        <f t="shared" si="4"/>
        <v>x</v>
      </c>
      <c r="KJ1" s="932" t="str">
        <f t="shared" si="4"/>
        <v>x</v>
      </c>
      <c r="KK1" s="932" t="str">
        <f t="shared" si="4"/>
        <v>x</v>
      </c>
      <c r="KL1" s="932" t="str">
        <f t="shared" si="4"/>
        <v>x</v>
      </c>
      <c r="KM1" s="932" t="str">
        <f t="shared" si="4"/>
        <v>x</v>
      </c>
      <c r="KN1" s="932" t="str">
        <f t="shared" si="4"/>
        <v>x</v>
      </c>
      <c r="KO1" s="932" t="str">
        <f t="shared" si="4"/>
        <v>x</v>
      </c>
      <c r="KP1" s="932" t="str">
        <f t="shared" si="4"/>
        <v>x</v>
      </c>
      <c r="KQ1" s="932" t="str">
        <f t="shared" si="4"/>
        <v>x</v>
      </c>
      <c r="KR1" s="932" t="str">
        <f t="shared" si="4"/>
        <v>x</v>
      </c>
      <c r="KS1" s="932" t="str">
        <f t="shared" si="4"/>
        <v>x</v>
      </c>
      <c r="KT1" s="932" t="str">
        <f t="shared" si="4"/>
        <v>x</v>
      </c>
      <c r="KU1" s="932" t="str">
        <f t="shared" si="4"/>
        <v>x</v>
      </c>
      <c r="KV1" s="932" t="str">
        <f t="shared" si="4"/>
        <v>x</v>
      </c>
      <c r="KW1" s="932" t="str">
        <f t="shared" si="4"/>
        <v>x</v>
      </c>
      <c r="KX1" s="932" t="str">
        <f t="shared" si="4"/>
        <v>x</v>
      </c>
      <c r="KY1" s="932" t="str">
        <f t="shared" si="4"/>
        <v>x</v>
      </c>
      <c r="KZ1" s="932" t="str">
        <f t="shared" si="4"/>
        <v>x</v>
      </c>
      <c r="LA1" s="932" t="str">
        <f t="shared" si="4"/>
        <v>x</v>
      </c>
      <c r="LB1" s="932" t="str">
        <f t="shared" si="4"/>
        <v>x</v>
      </c>
      <c r="LC1" s="932" t="str">
        <f t="shared" si="4"/>
        <v>x</v>
      </c>
      <c r="LD1" s="932" t="str">
        <f t="shared" si="4"/>
        <v>x</v>
      </c>
      <c r="LE1" s="932" t="str">
        <f t="shared" si="4"/>
        <v>x</v>
      </c>
      <c r="LF1" s="932" t="str">
        <f t="shared" si="4"/>
        <v>x</v>
      </c>
      <c r="LG1" s="932" t="str">
        <f t="shared" si="4"/>
        <v>x</v>
      </c>
      <c r="LH1" s="932" t="str">
        <f t="shared" si="4"/>
        <v>x</v>
      </c>
      <c r="LI1" s="932" t="str">
        <f t="shared" si="4"/>
        <v>x</v>
      </c>
      <c r="LJ1" s="932" t="str">
        <f t="shared" si="4"/>
        <v>x</v>
      </c>
      <c r="LK1" s="932" t="str">
        <f t="shared" si="4"/>
        <v>x</v>
      </c>
      <c r="LL1" s="932" t="str">
        <f t="shared" si="4"/>
        <v>x</v>
      </c>
      <c r="LM1" s="932" t="str">
        <f t="shared" ref="LM1:NX1" si="5">LM3</f>
        <v>x</v>
      </c>
      <c r="LN1" s="932" t="str">
        <f t="shared" si="5"/>
        <v>x</v>
      </c>
      <c r="LO1" s="932" t="str">
        <f t="shared" si="5"/>
        <v>x</v>
      </c>
      <c r="LP1" s="932" t="str">
        <f t="shared" si="5"/>
        <v>x</v>
      </c>
      <c r="LQ1" s="932" t="str">
        <f t="shared" si="5"/>
        <v>x</v>
      </c>
      <c r="LR1" s="932" t="str">
        <f t="shared" si="5"/>
        <v>x</v>
      </c>
      <c r="LS1" s="932" t="str">
        <f t="shared" si="5"/>
        <v>x</v>
      </c>
      <c r="LT1" s="932" t="str">
        <f t="shared" si="5"/>
        <v>x</v>
      </c>
      <c r="LU1" s="932" t="str">
        <f t="shared" si="5"/>
        <v>x</v>
      </c>
      <c r="LV1" s="932" t="str">
        <f t="shared" si="5"/>
        <v>x</v>
      </c>
      <c r="LW1" s="932" t="str">
        <f t="shared" si="5"/>
        <v>x</v>
      </c>
      <c r="LX1" s="932" t="str">
        <f t="shared" si="5"/>
        <v>x</v>
      </c>
      <c r="LY1" s="932" t="str">
        <f t="shared" si="5"/>
        <v>x</v>
      </c>
      <c r="LZ1" s="932" t="str">
        <f t="shared" si="5"/>
        <v>x</v>
      </c>
      <c r="MA1" s="932" t="str">
        <f t="shared" si="5"/>
        <v>x</v>
      </c>
      <c r="MB1" s="932" t="str">
        <f t="shared" si="5"/>
        <v>x</v>
      </c>
      <c r="MC1" s="932" t="str">
        <f t="shared" si="5"/>
        <v>x</v>
      </c>
      <c r="MD1" s="932" t="str">
        <f t="shared" si="5"/>
        <v>x</v>
      </c>
      <c r="ME1" s="932" t="str">
        <f t="shared" si="5"/>
        <v>x</v>
      </c>
      <c r="MF1" s="932" t="str">
        <f t="shared" si="5"/>
        <v>x</v>
      </c>
      <c r="MG1" s="932" t="str">
        <f t="shared" si="5"/>
        <v>x</v>
      </c>
      <c r="MH1" s="932" t="str">
        <f t="shared" si="5"/>
        <v>x</v>
      </c>
      <c r="MI1" s="932" t="str">
        <f t="shared" si="5"/>
        <v>x</v>
      </c>
      <c r="MJ1" s="932" t="str">
        <f t="shared" si="5"/>
        <v>x</v>
      </c>
      <c r="MK1" s="932" t="str">
        <f t="shared" si="5"/>
        <v>x</v>
      </c>
      <c r="ML1" s="932" t="str">
        <f t="shared" si="5"/>
        <v>x</v>
      </c>
      <c r="MM1" s="932" t="str">
        <f t="shared" si="5"/>
        <v>x</v>
      </c>
      <c r="MN1" s="932" t="str">
        <f t="shared" si="5"/>
        <v>x</v>
      </c>
      <c r="MO1" s="932" t="str">
        <f t="shared" si="5"/>
        <v>x</v>
      </c>
      <c r="MP1" s="932" t="str">
        <f t="shared" si="5"/>
        <v>x</v>
      </c>
      <c r="MQ1" s="932" t="str">
        <f t="shared" si="5"/>
        <v>x</v>
      </c>
      <c r="MR1" s="932" t="str">
        <f t="shared" si="5"/>
        <v>x</v>
      </c>
      <c r="MS1" s="932" t="str">
        <f t="shared" si="5"/>
        <v>x</v>
      </c>
      <c r="MT1" s="932" t="str">
        <f t="shared" si="5"/>
        <v>x</v>
      </c>
      <c r="MU1" s="932" t="str">
        <f t="shared" si="5"/>
        <v>x</v>
      </c>
      <c r="MV1" s="932" t="str">
        <f t="shared" si="5"/>
        <v>x</v>
      </c>
      <c r="MW1" s="932" t="str">
        <f t="shared" si="5"/>
        <v>x</v>
      </c>
      <c r="MX1" s="932" t="str">
        <f t="shared" si="5"/>
        <v>x</v>
      </c>
      <c r="MY1" s="932" t="str">
        <f t="shared" si="5"/>
        <v>x</v>
      </c>
      <c r="MZ1" s="932" t="str">
        <f t="shared" si="5"/>
        <v>x</v>
      </c>
      <c r="NA1" s="932" t="str">
        <f t="shared" si="5"/>
        <v>x</v>
      </c>
      <c r="NB1" s="932" t="str">
        <f t="shared" si="5"/>
        <v>x</v>
      </c>
      <c r="NC1" s="932" t="str">
        <f t="shared" si="5"/>
        <v>x</v>
      </c>
      <c r="ND1" s="932" t="str">
        <f t="shared" si="5"/>
        <v>x</v>
      </c>
      <c r="NE1" s="932" t="str">
        <f t="shared" si="5"/>
        <v>x</v>
      </c>
      <c r="NF1" s="932" t="str">
        <f t="shared" si="5"/>
        <v>x</v>
      </c>
      <c r="NG1" s="932" t="str">
        <f t="shared" si="5"/>
        <v>x</v>
      </c>
      <c r="NH1" s="932" t="str">
        <f t="shared" si="5"/>
        <v>x</v>
      </c>
      <c r="NI1" s="932" t="str">
        <f t="shared" si="5"/>
        <v>x</v>
      </c>
      <c r="NJ1" s="932" t="str">
        <f t="shared" si="5"/>
        <v>x</v>
      </c>
      <c r="NK1" s="932" t="str">
        <f t="shared" si="5"/>
        <v>x</v>
      </c>
      <c r="NL1" s="932" t="str">
        <f t="shared" si="5"/>
        <v>x</v>
      </c>
      <c r="NM1" s="932" t="str">
        <f t="shared" si="5"/>
        <v>x</v>
      </c>
      <c r="NN1" s="932" t="str">
        <f t="shared" si="5"/>
        <v>x</v>
      </c>
      <c r="NO1" s="932" t="str">
        <f t="shared" si="5"/>
        <v>x</v>
      </c>
      <c r="NP1" s="932" t="str">
        <f t="shared" si="5"/>
        <v>x</v>
      </c>
      <c r="NQ1" s="932" t="str">
        <f t="shared" si="5"/>
        <v>x</v>
      </c>
      <c r="NR1" s="932" t="str">
        <f t="shared" si="5"/>
        <v>x</v>
      </c>
      <c r="NS1" s="932" t="str">
        <f t="shared" si="5"/>
        <v>x</v>
      </c>
      <c r="NT1" s="932" t="str">
        <f t="shared" si="5"/>
        <v>x</v>
      </c>
      <c r="NU1" s="932" t="str">
        <f t="shared" si="5"/>
        <v>x</v>
      </c>
      <c r="NV1" s="932" t="str">
        <f t="shared" si="5"/>
        <v>x</v>
      </c>
      <c r="NW1" s="932" t="str">
        <f t="shared" si="5"/>
        <v>x</v>
      </c>
      <c r="NX1" s="932" t="str">
        <f t="shared" si="5"/>
        <v>x</v>
      </c>
      <c r="NY1" s="932" t="str">
        <f t="shared" ref="NY1:QJ1" si="6">NY3</f>
        <v>x</v>
      </c>
      <c r="NZ1" s="932" t="str">
        <f t="shared" si="6"/>
        <v>x</v>
      </c>
      <c r="OA1" s="932" t="str">
        <f t="shared" si="6"/>
        <v>x</v>
      </c>
      <c r="OB1" s="932" t="str">
        <f t="shared" si="6"/>
        <v>x</v>
      </c>
      <c r="OC1" s="932" t="str">
        <f t="shared" si="6"/>
        <v>x</v>
      </c>
      <c r="OD1" s="932" t="str">
        <f t="shared" si="6"/>
        <v>x</v>
      </c>
      <c r="OE1" s="932" t="str">
        <f t="shared" si="6"/>
        <v>x</v>
      </c>
      <c r="OF1" s="932" t="str">
        <f t="shared" si="6"/>
        <v>x</v>
      </c>
      <c r="OG1" s="932" t="str">
        <f t="shared" si="6"/>
        <v>x</v>
      </c>
      <c r="OH1" s="932" t="str">
        <f t="shared" si="6"/>
        <v>x</v>
      </c>
      <c r="OI1" s="932" t="str">
        <f t="shared" si="6"/>
        <v>x</v>
      </c>
      <c r="OJ1" s="932" t="str">
        <f t="shared" si="6"/>
        <v>x</v>
      </c>
      <c r="OK1" s="932" t="str">
        <f t="shared" si="6"/>
        <v>x</v>
      </c>
      <c r="OL1" s="932" t="str">
        <f t="shared" si="6"/>
        <v>x</v>
      </c>
      <c r="OM1" s="932" t="str">
        <f t="shared" si="6"/>
        <v>x</v>
      </c>
      <c r="ON1" s="932" t="str">
        <f t="shared" si="6"/>
        <v>x</v>
      </c>
      <c r="OO1" s="932" t="str">
        <f t="shared" si="6"/>
        <v>x</v>
      </c>
      <c r="OP1" s="932" t="str">
        <f t="shared" si="6"/>
        <v>x</v>
      </c>
      <c r="OQ1" s="932" t="str">
        <f t="shared" si="6"/>
        <v>x</v>
      </c>
      <c r="OR1" s="932" t="str">
        <f t="shared" si="6"/>
        <v>x</v>
      </c>
      <c r="OS1" s="932" t="str">
        <f t="shared" si="6"/>
        <v>x</v>
      </c>
      <c r="OT1" s="932" t="str">
        <f t="shared" si="6"/>
        <v>x</v>
      </c>
      <c r="OU1" s="932" t="str">
        <f t="shared" si="6"/>
        <v>x</v>
      </c>
      <c r="OV1" s="932" t="str">
        <f t="shared" si="6"/>
        <v>x</v>
      </c>
      <c r="OW1" s="932" t="str">
        <f t="shared" si="6"/>
        <v>x</v>
      </c>
      <c r="OX1" s="932" t="str">
        <f t="shared" si="6"/>
        <v>x</v>
      </c>
      <c r="OY1" s="932" t="str">
        <f t="shared" si="6"/>
        <v>x</v>
      </c>
      <c r="OZ1" s="932" t="str">
        <f t="shared" si="6"/>
        <v>x</v>
      </c>
      <c r="PA1" s="932" t="str">
        <f t="shared" si="6"/>
        <v>x</v>
      </c>
      <c r="PB1" s="932" t="str">
        <f t="shared" si="6"/>
        <v>x</v>
      </c>
      <c r="PC1" s="932" t="str">
        <f t="shared" si="6"/>
        <v>x</v>
      </c>
      <c r="PD1" s="932" t="str">
        <f t="shared" si="6"/>
        <v>x</v>
      </c>
      <c r="PE1" s="932" t="str">
        <f t="shared" si="6"/>
        <v>x</v>
      </c>
      <c r="PF1" s="932" t="str">
        <f t="shared" si="6"/>
        <v>x</v>
      </c>
      <c r="PG1" s="932" t="str">
        <f t="shared" si="6"/>
        <v>x</v>
      </c>
      <c r="PH1" s="932" t="str">
        <f t="shared" si="6"/>
        <v>x</v>
      </c>
      <c r="PI1" s="932" t="str">
        <f t="shared" si="6"/>
        <v>x</v>
      </c>
      <c r="PJ1" s="932" t="str">
        <f t="shared" si="6"/>
        <v>x</v>
      </c>
      <c r="PK1" s="932" t="str">
        <f t="shared" si="6"/>
        <v>x</v>
      </c>
      <c r="PL1" s="932" t="str">
        <f t="shared" si="6"/>
        <v>x</v>
      </c>
      <c r="PM1" s="932" t="str">
        <f t="shared" si="6"/>
        <v>x</v>
      </c>
      <c r="PN1" s="932" t="str">
        <f t="shared" si="6"/>
        <v>x</v>
      </c>
      <c r="PO1" s="932" t="str">
        <f t="shared" si="6"/>
        <v>x</v>
      </c>
      <c r="PP1" s="932" t="str">
        <f t="shared" si="6"/>
        <v>x</v>
      </c>
      <c r="PQ1" s="932" t="str">
        <f t="shared" si="6"/>
        <v>x</v>
      </c>
      <c r="PR1" s="932" t="str">
        <f t="shared" si="6"/>
        <v>x</v>
      </c>
      <c r="PS1" s="932" t="str">
        <f t="shared" si="6"/>
        <v>x</v>
      </c>
      <c r="PT1" s="932" t="str">
        <f t="shared" si="6"/>
        <v>x</v>
      </c>
      <c r="PU1" s="932" t="str">
        <f t="shared" si="6"/>
        <v>x</v>
      </c>
      <c r="PV1" s="932" t="str">
        <f t="shared" si="6"/>
        <v>x</v>
      </c>
      <c r="PW1" s="932" t="str">
        <f t="shared" si="6"/>
        <v>x</v>
      </c>
      <c r="PX1" s="932" t="str">
        <f t="shared" si="6"/>
        <v>x</v>
      </c>
      <c r="PY1" s="932" t="str">
        <f t="shared" si="6"/>
        <v>x</v>
      </c>
      <c r="PZ1" s="932" t="str">
        <f t="shared" si="6"/>
        <v>x</v>
      </c>
      <c r="QA1" s="932" t="str">
        <f t="shared" si="6"/>
        <v>x</v>
      </c>
      <c r="QB1" s="932" t="str">
        <f t="shared" si="6"/>
        <v>x</v>
      </c>
      <c r="QC1" s="932" t="str">
        <f t="shared" si="6"/>
        <v>x</v>
      </c>
      <c r="QD1" s="932" t="str">
        <f t="shared" si="6"/>
        <v>x</v>
      </c>
      <c r="QE1" s="932" t="str">
        <f t="shared" si="6"/>
        <v>x</v>
      </c>
      <c r="QF1" s="932" t="str">
        <f t="shared" si="6"/>
        <v>x</v>
      </c>
      <c r="QG1" s="932" t="str">
        <f t="shared" si="6"/>
        <v>x</v>
      </c>
      <c r="QH1" s="932" t="str">
        <f t="shared" si="6"/>
        <v>x</v>
      </c>
      <c r="QI1" s="932" t="str">
        <f t="shared" si="6"/>
        <v>x</v>
      </c>
      <c r="QJ1" s="932" t="str">
        <f t="shared" si="6"/>
        <v>x</v>
      </c>
      <c r="QK1" s="932" t="str">
        <f t="shared" ref="QK1:SV1" si="7">QK3</f>
        <v>x</v>
      </c>
      <c r="QL1" s="932" t="str">
        <f t="shared" si="7"/>
        <v>x</v>
      </c>
      <c r="QM1" s="932" t="str">
        <f t="shared" si="7"/>
        <v>x</v>
      </c>
      <c r="QN1" s="932" t="str">
        <f t="shared" si="7"/>
        <v>x</v>
      </c>
      <c r="QO1" s="932" t="str">
        <f t="shared" si="7"/>
        <v>x</v>
      </c>
      <c r="QP1" s="932" t="str">
        <f t="shared" si="7"/>
        <v>x</v>
      </c>
      <c r="QQ1" s="932" t="str">
        <f t="shared" si="7"/>
        <v>x</v>
      </c>
      <c r="QR1" s="932" t="str">
        <f t="shared" si="7"/>
        <v>x</v>
      </c>
      <c r="QS1" s="932" t="str">
        <f t="shared" si="7"/>
        <v>x</v>
      </c>
      <c r="QT1" s="932" t="str">
        <f t="shared" si="7"/>
        <v>x</v>
      </c>
      <c r="QU1" s="932" t="str">
        <f t="shared" si="7"/>
        <v>x</v>
      </c>
      <c r="QV1" s="932" t="str">
        <f t="shared" si="7"/>
        <v>x</v>
      </c>
      <c r="QW1" s="932" t="str">
        <f t="shared" si="7"/>
        <v>x</v>
      </c>
      <c r="QX1" s="932" t="str">
        <f t="shared" si="7"/>
        <v>x</v>
      </c>
      <c r="QY1" s="932" t="str">
        <f t="shared" si="7"/>
        <v>x</v>
      </c>
      <c r="QZ1" s="932" t="str">
        <f t="shared" si="7"/>
        <v>x</v>
      </c>
      <c r="RA1" s="932" t="str">
        <f t="shared" si="7"/>
        <v>x</v>
      </c>
      <c r="RB1" s="932" t="str">
        <f t="shared" si="7"/>
        <v>x</v>
      </c>
      <c r="RC1" s="932" t="str">
        <f t="shared" si="7"/>
        <v>x</v>
      </c>
      <c r="RD1" s="932" t="str">
        <f t="shared" si="7"/>
        <v>x</v>
      </c>
      <c r="RE1" s="932" t="str">
        <f t="shared" si="7"/>
        <v>x</v>
      </c>
      <c r="RF1" s="932" t="str">
        <f t="shared" si="7"/>
        <v>x</v>
      </c>
      <c r="RG1" s="932" t="str">
        <f t="shared" si="7"/>
        <v>x</v>
      </c>
      <c r="RH1" s="932" t="str">
        <f t="shared" si="7"/>
        <v>x</v>
      </c>
      <c r="RI1" s="932" t="str">
        <f t="shared" si="7"/>
        <v>x</v>
      </c>
      <c r="RJ1" s="932" t="str">
        <f t="shared" si="7"/>
        <v>x</v>
      </c>
      <c r="RK1" s="932" t="str">
        <f t="shared" si="7"/>
        <v>x</v>
      </c>
      <c r="RL1" s="932" t="str">
        <f t="shared" si="7"/>
        <v>x</v>
      </c>
      <c r="RM1" s="932" t="str">
        <f t="shared" si="7"/>
        <v>x</v>
      </c>
      <c r="RN1" s="932" t="str">
        <f t="shared" si="7"/>
        <v>x</v>
      </c>
      <c r="RO1" s="932" t="str">
        <f t="shared" si="7"/>
        <v>x</v>
      </c>
      <c r="RP1" s="932" t="str">
        <f t="shared" si="7"/>
        <v>x</v>
      </c>
      <c r="RQ1" s="932" t="str">
        <f t="shared" si="7"/>
        <v>x</v>
      </c>
      <c r="RR1" s="932" t="str">
        <f t="shared" si="7"/>
        <v>x</v>
      </c>
      <c r="RS1" s="932" t="str">
        <f t="shared" si="7"/>
        <v>x</v>
      </c>
      <c r="RT1" s="932" t="str">
        <f t="shared" si="7"/>
        <v>x</v>
      </c>
      <c r="RU1" s="932" t="str">
        <f t="shared" si="7"/>
        <v>x</v>
      </c>
      <c r="RV1" s="932" t="str">
        <f t="shared" si="7"/>
        <v>x</v>
      </c>
      <c r="RW1" s="932" t="str">
        <f t="shared" si="7"/>
        <v>x</v>
      </c>
      <c r="RX1" s="932" t="str">
        <f t="shared" si="7"/>
        <v>x</v>
      </c>
      <c r="RY1" s="932" t="str">
        <f t="shared" si="7"/>
        <v>x</v>
      </c>
      <c r="RZ1" s="932" t="str">
        <f t="shared" si="7"/>
        <v>x</v>
      </c>
      <c r="SA1" s="932" t="str">
        <f t="shared" si="7"/>
        <v>x</v>
      </c>
      <c r="SB1" s="932" t="str">
        <f t="shared" si="7"/>
        <v>x</v>
      </c>
      <c r="SC1" s="932" t="str">
        <f t="shared" si="7"/>
        <v>x</v>
      </c>
      <c r="SD1" s="932" t="str">
        <f t="shared" si="7"/>
        <v>x</v>
      </c>
      <c r="SE1" s="932" t="str">
        <f t="shared" si="7"/>
        <v>x</v>
      </c>
      <c r="SF1" s="932" t="str">
        <f t="shared" si="7"/>
        <v>x</v>
      </c>
      <c r="SG1" s="932" t="str">
        <f t="shared" si="7"/>
        <v>x</v>
      </c>
      <c r="SH1" s="932" t="str">
        <f t="shared" si="7"/>
        <v>x</v>
      </c>
      <c r="SI1" s="932" t="str">
        <f t="shared" si="7"/>
        <v>x</v>
      </c>
      <c r="SJ1" s="932" t="str">
        <f t="shared" si="7"/>
        <v>x</v>
      </c>
      <c r="SK1" s="932" t="str">
        <f t="shared" si="7"/>
        <v>x</v>
      </c>
      <c r="SL1" s="932" t="str">
        <f t="shared" si="7"/>
        <v>x</v>
      </c>
      <c r="SM1" s="932" t="str">
        <f t="shared" si="7"/>
        <v>x</v>
      </c>
      <c r="SN1" s="932" t="str">
        <f t="shared" si="7"/>
        <v>x</v>
      </c>
      <c r="SO1" s="932" t="str">
        <f t="shared" si="7"/>
        <v>x</v>
      </c>
      <c r="SP1" s="932" t="str">
        <f t="shared" si="7"/>
        <v>x</v>
      </c>
      <c r="SQ1" s="932" t="str">
        <f t="shared" si="7"/>
        <v>x</v>
      </c>
      <c r="SR1" s="932" t="str">
        <f t="shared" si="7"/>
        <v>x</v>
      </c>
      <c r="SS1" s="932" t="str">
        <f t="shared" si="7"/>
        <v>x</v>
      </c>
      <c r="ST1" s="932" t="str">
        <f t="shared" si="7"/>
        <v>x</v>
      </c>
      <c r="SU1" s="932" t="str">
        <f t="shared" si="7"/>
        <v>x</v>
      </c>
      <c r="SV1" s="932" t="str">
        <f t="shared" si="7"/>
        <v>x</v>
      </c>
      <c r="SW1" s="932" t="str">
        <f t="shared" ref="SW1:VH1" si="8">SW3</f>
        <v>x</v>
      </c>
      <c r="SX1" s="932" t="str">
        <f t="shared" si="8"/>
        <v>x</v>
      </c>
      <c r="SY1" s="932" t="str">
        <f t="shared" si="8"/>
        <v>x</v>
      </c>
      <c r="SZ1" s="932" t="str">
        <f t="shared" si="8"/>
        <v>x</v>
      </c>
      <c r="TA1" s="932" t="str">
        <f t="shared" si="8"/>
        <v>x</v>
      </c>
      <c r="TB1" s="932" t="str">
        <f t="shared" si="8"/>
        <v>x</v>
      </c>
      <c r="TC1" s="932" t="str">
        <f t="shared" si="8"/>
        <v>x</v>
      </c>
      <c r="TD1" s="932" t="str">
        <f t="shared" si="8"/>
        <v>x</v>
      </c>
      <c r="TE1" s="932" t="str">
        <f t="shared" si="8"/>
        <v>x</v>
      </c>
      <c r="TF1" s="932" t="str">
        <f t="shared" si="8"/>
        <v>x</v>
      </c>
      <c r="TG1" s="932" t="str">
        <f t="shared" si="8"/>
        <v>x</v>
      </c>
      <c r="TH1" s="932" t="str">
        <f t="shared" si="8"/>
        <v>x</v>
      </c>
      <c r="TI1" s="932" t="str">
        <f t="shared" si="8"/>
        <v>x</v>
      </c>
      <c r="TJ1" s="932" t="str">
        <f t="shared" si="8"/>
        <v>x</v>
      </c>
      <c r="TK1" s="932" t="str">
        <f t="shared" si="8"/>
        <v>x</v>
      </c>
      <c r="TL1" s="932" t="str">
        <f t="shared" si="8"/>
        <v>x</v>
      </c>
      <c r="TM1" s="932" t="str">
        <f t="shared" si="8"/>
        <v>x</v>
      </c>
      <c r="TN1" s="932" t="str">
        <f t="shared" si="8"/>
        <v>x</v>
      </c>
      <c r="TO1" s="932" t="str">
        <f t="shared" si="8"/>
        <v>x</v>
      </c>
      <c r="TP1" s="932" t="str">
        <f t="shared" si="8"/>
        <v>x</v>
      </c>
      <c r="TQ1" s="932" t="str">
        <f t="shared" si="8"/>
        <v>x</v>
      </c>
      <c r="TR1" s="932" t="str">
        <f t="shared" si="8"/>
        <v>x</v>
      </c>
      <c r="TS1" s="932" t="str">
        <f t="shared" si="8"/>
        <v>x</v>
      </c>
      <c r="TT1" s="932" t="str">
        <f t="shared" si="8"/>
        <v>x</v>
      </c>
      <c r="TU1" s="932" t="str">
        <f t="shared" si="8"/>
        <v>x</v>
      </c>
      <c r="TV1" s="932" t="str">
        <f t="shared" si="8"/>
        <v>x</v>
      </c>
      <c r="TW1" s="932" t="str">
        <f t="shared" si="8"/>
        <v>x</v>
      </c>
      <c r="TX1" s="932" t="str">
        <f t="shared" si="8"/>
        <v>x</v>
      </c>
      <c r="TY1" s="932" t="str">
        <f t="shared" si="8"/>
        <v>x</v>
      </c>
      <c r="TZ1" s="932" t="str">
        <f t="shared" si="8"/>
        <v>x</v>
      </c>
      <c r="UA1" s="932" t="str">
        <f t="shared" si="8"/>
        <v>x</v>
      </c>
      <c r="UB1" s="932" t="str">
        <f t="shared" si="8"/>
        <v>x</v>
      </c>
      <c r="UC1" s="932" t="str">
        <f t="shared" si="8"/>
        <v>x</v>
      </c>
      <c r="UD1" s="932" t="str">
        <f t="shared" si="8"/>
        <v>x</v>
      </c>
      <c r="UE1" s="932" t="str">
        <f t="shared" si="8"/>
        <v>x</v>
      </c>
      <c r="UF1" s="932" t="str">
        <f t="shared" si="8"/>
        <v>x</v>
      </c>
      <c r="UG1" s="932" t="str">
        <f t="shared" si="8"/>
        <v>x</v>
      </c>
      <c r="UH1" s="932" t="str">
        <f t="shared" si="8"/>
        <v>x</v>
      </c>
      <c r="UI1" s="932" t="str">
        <f t="shared" si="8"/>
        <v>x</v>
      </c>
      <c r="UJ1" s="932" t="str">
        <f t="shared" si="8"/>
        <v>x</v>
      </c>
      <c r="UK1" s="932" t="str">
        <f t="shared" si="8"/>
        <v>x</v>
      </c>
      <c r="UL1" s="932" t="str">
        <f t="shared" si="8"/>
        <v>x</v>
      </c>
      <c r="UM1" s="932" t="str">
        <f t="shared" si="8"/>
        <v>x</v>
      </c>
      <c r="UN1" s="932" t="str">
        <f t="shared" si="8"/>
        <v>x</v>
      </c>
      <c r="UO1" s="932" t="str">
        <f t="shared" si="8"/>
        <v>x</v>
      </c>
      <c r="UP1" s="932" t="str">
        <f t="shared" si="8"/>
        <v>x</v>
      </c>
      <c r="UQ1" s="932" t="str">
        <f t="shared" si="8"/>
        <v>x</v>
      </c>
      <c r="UR1" s="932" t="str">
        <f t="shared" si="8"/>
        <v>x</v>
      </c>
      <c r="US1" s="932" t="str">
        <f t="shared" si="8"/>
        <v>x</v>
      </c>
      <c r="UT1" s="932" t="str">
        <f t="shared" si="8"/>
        <v>x</v>
      </c>
      <c r="UU1" s="932" t="str">
        <f t="shared" si="8"/>
        <v>x</v>
      </c>
      <c r="UV1" s="932" t="str">
        <f t="shared" si="8"/>
        <v>x</v>
      </c>
      <c r="UW1" s="932" t="str">
        <f t="shared" si="8"/>
        <v>x</v>
      </c>
      <c r="UX1" s="932" t="str">
        <f t="shared" si="8"/>
        <v>x</v>
      </c>
      <c r="UY1" s="932" t="str">
        <f t="shared" si="8"/>
        <v>x</v>
      </c>
      <c r="UZ1" s="932" t="str">
        <f t="shared" si="8"/>
        <v>x</v>
      </c>
      <c r="VA1" s="932" t="str">
        <f t="shared" si="8"/>
        <v>x</v>
      </c>
      <c r="VB1" s="932" t="str">
        <f t="shared" si="8"/>
        <v>x</v>
      </c>
      <c r="VC1" s="932" t="str">
        <f t="shared" si="8"/>
        <v>x</v>
      </c>
      <c r="VD1" s="932" t="str">
        <f t="shared" si="8"/>
        <v>x</v>
      </c>
      <c r="VE1" s="932" t="str">
        <f t="shared" si="8"/>
        <v>x</v>
      </c>
      <c r="VF1" s="932" t="str">
        <f t="shared" si="8"/>
        <v>x</v>
      </c>
      <c r="VG1" s="932" t="str">
        <f t="shared" si="8"/>
        <v>x</v>
      </c>
      <c r="VH1" s="932" t="str">
        <f t="shared" si="8"/>
        <v>x</v>
      </c>
      <c r="VI1" s="932" t="str">
        <f t="shared" ref="VI1:XT1" si="9">VI3</f>
        <v>x</v>
      </c>
      <c r="VJ1" s="932" t="str">
        <f t="shared" si="9"/>
        <v>x</v>
      </c>
      <c r="VK1" s="932" t="str">
        <f t="shared" si="9"/>
        <v>x</v>
      </c>
      <c r="VL1" s="932" t="str">
        <f t="shared" si="9"/>
        <v>x</v>
      </c>
      <c r="VM1" s="932" t="str">
        <f t="shared" si="9"/>
        <v>x</v>
      </c>
      <c r="VN1" s="932" t="str">
        <f t="shared" si="9"/>
        <v>x</v>
      </c>
      <c r="VO1" s="932" t="str">
        <f t="shared" si="9"/>
        <v>x</v>
      </c>
      <c r="VP1" s="932" t="str">
        <f t="shared" si="9"/>
        <v>x</v>
      </c>
      <c r="VQ1" s="932" t="str">
        <f t="shared" si="9"/>
        <v>x</v>
      </c>
      <c r="VR1" s="932" t="str">
        <f t="shared" si="9"/>
        <v>x</v>
      </c>
      <c r="VS1" s="932" t="str">
        <f t="shared" si="9"/>
        <v>x</v>
      </c>
      <c r="VT1" s="932" t="str">
        <f t="shared" si="9"/>
        <v>x</v>
      </c>
      <c r="VU1" s="932" t="str">
        <f t="shared" si="9"/>
        <v>x</v>
      </c>
      <c r="VV1" s="932" t="str">
        <f t="shared" si="9"/>
        <v>x</v>
      </c>
      <c r="VW1" s="932" t="str">
        <f t="shared" si="9"/>
        <v>x</v>
      </c>
      <c r="VX1" s="932" t="str">
        <f t="shared" si="9"/>
        <v>x</v>
      </c>
      <c r="VY1" s="932" t="str">
        <f t="shared" si="9"/>
        <v>x</v>
      </c>
      <c r="VZ1" s="932" t="str">
        <f t="shared" si="9"/>
        <v>x</v>
      </c>
      <c r="WA1" s="932" t="str">
        <f t="shared" si="9"/>
        <v>x</v>
      </c>
      <c r="WB1" s="932" t="str">
        <f t="shared" si="9"/>
        <v>x</v>
      </c>
      <c r="WC1" s="932" t="str">
        <f t="shared" si="9"/>
        <v>x</v>
      </c>
      <c r="WD1" s="932" t="str">
        <f t="shared" si="9"/>
        <v>x</v>
      </c>
      <c r="WE1" s="932" t="str">
        <f t="shared" si="9"/>
        <v>x</v>
      </c>
      <c r="WF1" s="932" t="str">
        <f t="shared" si="9"/>
        <v>x</v>
      </c>
      <c r="WG1" s="932" t="str">
        <f t="shared" si="9"/>
        <v>x</v>
      </c>
      <c r="WH1" s="932" t="str">
        <f t="shared" si="9"/>
        <v>x</v>
      </c>
      <c r="WI1" s="932" t="str">
        <f t="shared" si="9"/>
        <v>x</v>
      </c>
      <c r="WJ1" s="932" t="str">
        <f t="shared" si="9"/>
        <v>x</v>
      </c>
      <c r="WK1" s="932" t="str">
        <f t="shared" si="9"/>
        <v>x</v>
      </c>
      <c r="WL1" s="932" t="str">
        <f t="shared" si="9"/>
        <v>x</v>
      </c>
      <c r="WM1" s="932" t="str">
        <f t="shared" si="9"/>
        <v>x</v>
      </c>
      <c r="WN1" s="932" t="str">
        <f t="shared" si="9"/>
        <v>x</v>
      </c>
      <c r="WO1" s="932" t="str">
        <f t="shared" si="9"/>
        <v>x</v>
      </c>
      <c r="WP1" s="932" t="str">
        <f t="shared" si="9"/>
        <v>x</v>
      </c>
      <c r="WQ1" s="932" t="str">
        <f t="shared" si="9"/>
        <v>x</v>
      </c>
      <c r="WR1" s="932" t="str">
        <f t="shared" si="9"/>
        <v>x</v>
      </c>
      <c r="WS1" s="932" t="str">
        <f t="shared" si="9"/>
        <v>x</v>
      </c>
      <c r="WT1" s="932" t="str">
        <f t="shared" si="9"/>
        <v>x</v>
      </c>
      <c r="WU1" s="932" t="str">
        <f t="shared" si="9"/>
        <v>x</v>
      </c>
      <c r="WV1" s="932" t="str">
        <f t="shared" si="9"/>
        <v>x</v>
      </c>
      <c r="WW1" s="932" t="str">
        <f t="shared" si="9"/>
        <v>x</v>
      </c>
      <c r="WX1" s="932" t="str">
        <f t="shared" si="9"/>
        <v>x</v>
      </c>
      <c r="WY1" s="932" t="str">
        <f t="shared" si="9"/>
        <v>x</v>
      </c>
      <c r="WZ1" s="932" t="str">
        <f t="shared" si="9"/>
        <v>x</v>
      </c>
      <c r="XA1" s="932" t="str">
        <f t="shared" si="9"/>
        <v>x</v>
      </c>
      <c r="XB1" s="932" t="str">
        <f t="shared" si="9"/>
        <v>x</v>
      </c>
      <c r="XC1" s="932" t="str">
        <f t="shared" si="9"/>
        <v>x</v>
      </c>
      <c r="XD1" s="932" t="str">
        <f t="shared" si="9"/>
        <v>x</v>
      </c>
      <c r="XE1" s="932" t="str">
        <f t="shared" si="9"/>
        <v>x</v>
      </c>
      <c r="XF1" s="932" t="str">
        <f t="shared" si="9"/>
        <v>x</v>
      </c>
      <c r="XG1" s="932" t="str">
        <f t="shared" si="9"/>
        <v>x</v>
      </c>
      <c r="XH1" s="932" t="str">
        <f t="shared" si="9"/>
        <v>x</v>
      </c>
      <c r="XI1" s="932" t="str">
        <f t="shared" si="9"/>
        <v>x</v>
      </c>
      <c r="XJ1" s="932" t="str">
        <f t="shared" si="9"/>
        <v>x</v>
      </c>
      <c r="XK1" s="932" t="str">
        <f t="shared" si="9"/>
        <v>x</v>
      </c>
      <c r="XL1" s="932" t="str">
        <f t="shared" si="9"/>
        <v>x</v>
      </c>
      <c r="XM1" s="932" t="str">
        <f t="shared" si="9"/>
        <v>x</v>
      </c>
      <c r="XN1" s="932" t="str">
        <f t="shared" si="9"/>
        <v>x</v>
      </c>
      <c r="XO1" s="932" t="str">
        <f t="shared" si="9"/>
        <v>x</v>
      </c>
      <c r="XP1" s="932" t="str">
        <f t="shared" si="9"/>
        <v>x</v>
      </c>
      <c r="XQ1" s="932" t="str">
        <f t="shared" si="9"/>
        <v>x</v>
      </c>
      <c r="XR1" s="932" t="str">
        <f t="shared" si="9"/>
        <v>x</v>
      </c>
      <c r="XS1" s="932" t="str">
        <f t="shared" si="9"/>
        <v>x</v>
      </c>
      <c r="XT1" s="932" t="str">
        <f t="shared" si="9"/>
        <v>x</v>
      </c>
      <c r="XU1" s="932" t="str">
        <f t="shared" ref="XU1:ZZ1" si="10">XU3</f>
        <v>x</v>
      </c>
      <c r="XV1" s="932" t="str">
        <f t="shared" si="10"/>
        <v>x</v>
      </c>
      <c r="XW1" s="932" t="str">
        <f t="shared" si="10"/>
        <v>x</v>
      </c>
      <c r="XX1" s="932" t="str">
        <f t="shared" si="10"/>
        <v>x</v>
      </c>
      <c r="XY1" s="932" t="str">
        <f t="shared" si="10"/>
        <v>x</v>
      </c>
      <c r="XZ1" s="932" t="str">
        <f t="shared" si="10"/>
        <v>x</v>
      </c>
      <c r="YA1" s="932" t="str">
        <f t="shared" si="10"/>
        <v>x</v>
      </c>
      <c r="YB1" s="932" t="str">
        <f t="shared" si="10"/>
        <v>x</v>
      </c>
      <c r="YC1" s="932" t="str">
        <f t="shared" si="10"/>
        <v>x</v>
      </c>
      <c r="YD1" s="932" t="str">
        <f t="shared" si="10"/>
        <v>x</v>
      </c>
      <c r="YE1" s="932" t="str">
        <f t="shared" si="10"/>
        <v>x</v>
      </c>
      <c r="YF1" s="932" t="str">
        <f t="shared" si="10"/>
        <v>x</v>
      </c>
      <c r="YG1" s="932" t="str">
        <f t="shared" si="10"/>
        <v>x</v>
      </c>
      <c r="YH1" s="932" t="str">
        <f t="shared" si="10"/>
        <v>x</v>
      </c>
      <c r="YI1" s="932" t="str">
        <f t="shared" si="10"/>
        <v>x</v>
      </c>
      <c r="YJ1" s="932" t="str">
        <f t="shared" si="10"/>
        <v>x</v>
      </c>
      <c r="YK1" s="932" t="str">
        <f t="shared" si="10"/>
        <v>x</v>
      </c>
      <c r="YL1" s="932" t="str">
        <f t="shared" si="10"/>
        <v>x</v>
      </c>
      <c r="YM1" s="932" t="str">
        <f t="shared" si="10"/>
        <v>x</v>
      </c>
      <c r="YN1" s="932" t="str">
        <f t="shared" si="10"/>
        <v>x</v>
      </c>
      <c r="YO1" s="932" t="str">
        <f t="shared" si="10"/>
        <v>x</v>
      </c>
      <c r="YP1" s="932" t="str">
        <f t="shared" si="10"/>
        <v>x</v>
      </c>
      <c r="YQ1" s="932" t="str">
        <f t="shared" si="10"/>
        <v>x</v>
      </c>
      <c r="YR1" s="932" t="str">
        <f t="shared" si="10"/>
        <v>x</v>
      </c>
      <c r="YS1" s="932" t="str">
        <f t="shared" si="10"/>
        <v>x</v>
      </c>
      <c r="YT1" s="932" t="str">
        <f t="shared" si="10"/>
        <v>x</v>
      </c>
      <c r="YU1" s="932" t="str">
        <f t="shared" si="10"/>
        <v>x</v>
      </c>
      <c r="YV1" s="932" t="str">
        <f t="shared" si="10"/>
        <v>x</v>
      </c>
      <c r="YW1" s="932" t="str">
        <f t="shared" si="10"/>
        <v>x</v>
      </c>
      <c r="YX1" s="932" t="str">
        <f t="shared" si="10"/>
        <v>x</v>
      </c>
      <c r="YY1" s="932" t="str">
        <f t="shared" si="10"/>
        <v>x</v>
      </c>
      <c r="YZ1" s="932" t="str">
        <f t="shared" si="10"/>
        <v>x</v>
      </c>
      <c r="ZA1" s="932" t="str">
        <f t="shared" si="10"/>
        <v>x</v>
      </c>
      <c r="ZB1" s="932" t="str">
        <f t="shared" si="10"/>
        <v>x</v>
      </c>
      <c r="ZC1" s="932" t="str">
        <f t="shared" si="10"/>
        <v>x</v>
      </c>
      <c r="ZD1" s="932" t="str">
        <f t="shared" si="10"/>
        <v>x</v>
      </c>
      <c r="ZE1" s="932" t="str">
        <f t="shared" si="10"/>
        <v>x</v>
      </c>
      <c r="ZF1" s="932" t="str">
        <f t="shared" si="10"/>
        <v>x</v>
      </c>
      <c r="ZG1" s="932" t="str">
        <f t="shared" si="10"/>
        <v>x</v>
      </c>
      <c r="ZH1" s="932" t="str">
        <f t="shared" si="10"/>
        <v>x</v>
      </c>
      <c r="ZI1" s="932" t="str">
        <f t="shared" si="10"/>
        <v>x</v>
      </c>
      <c r="ZJ1" s="932" t="str">
        <f t="shared" si="10"/>
        <v>x</v>
      </c>
      <c r="ZK1" s="932" t="str">
        <f t="shared" si="10"/>
        <v>x</v>
      </c>
      <c r="ZL1" s="932" t="str">
        <f t="shared" si="10"/>
        <v>x</v>
      </c>
      <c r="ZM1" s="932" t="str">
        <f t="shared" si="10"/>
        <v>x</v>
      </c>
      <c r="ZN1" s="932" t="str">
        <f t="shared" si="10"/>
        <v>x</v>
      </c>
      <c r="ZO1" s="932" t="str">
        <f t="shared" si="10"/>
        <v>x</v>
      </c>
      <c r="ZP1" s="932" t="str">
        <f t="shared" si="10"/>
        <v>x</v>
      </c>
      <c r="ZQ1" s="932" t="str">
        <f t="shared" si="10"/>
        <v>x</v>
      </c>
      <c r="ZR1" s="932" t="str">
        <f t="shared" si="10"/>
        <v>x</v>
      </c>
      <c r="ZS1" s="932" t="str">
        <f t="shared" si="10"/>
        <v>x</v>
      </c>
      <c r="ZT1" s="932" t="str">
        <f t="shared" si="10"/>
        <v>x</v>
      </c>
      <c r="ZU1" s="932" t="str">
        <f t="shared" si="10"/>
        <v>x</v>
      </c>
      <c r="ZV1" s="932" t="str">
        <f t="shared" si="10"/>
        <v>x</v>
      </c>
      <c r="ZW1" s="932" t="str">
        <f t="shared" si="10"/>
        <v>x</v>
      </c>
      <c r="ZX1" s="932" t="str">
        <f t="shared" si="10"/>
        <v>x</v>
      </c>
      <c r="ZY1" s="932" t="str">
        <f t="shared" si="10"/>
        <v>x</v>
      </c>
      <c r="ZZ1" s="932" t="str">
        <f t="shared" si="10"/>
        <v>x</v>
      </c>
    </row>
    <row r="2" spans="1:702" s="359" customFormat="1" ht="14.25" customHeight="1" thickBot="1" x14ac:dyDescent="0.25">
      <c r="A2" s="258">
        <f>HLOOKUP($A$3,$D$1:$ZZ$2,2,FALSE)</f>
        <v>18</v>
      </c>
      <c r="B2" s="675">
        <f>IF(B3="x",#N/A,IF(B3=0,#N/A,HLOOKUP($B$3,$D$1:$ZZ$2,2,FALSE)))</f>
        <v>18</v>
      </c>
      <c r="C2" s="394" t="s">
        <v>192</v>
      </c>
      <c r="D2" s="359">
        <v>1</v>
      </c>
      <c r="E2" s="359">
        <v>2</v>
      </c>
      <c r="F2" s="359">
        <v>3</v>
      </c>
      <c r="G2" s="359">
        <v>4</v>
      </c>
      <c r="H2" s="359">
        <v>5</v>
      </c>
      <c r="I2" s="359">
        <v>6</v>
      </c>
      <c r="J2" s="359">
        <v>7</v>
      </c>
      <c r="K2" s="359">
        <v>8</v>
      </c>
      <c r="L2" s="359">
        <v>9</v>
      </c>
      <c r="M2" s="359">
        <v>10</v>
      </c>
      <c r="N2" s="359">
        <v>11</v>
      </c>
      <c r="O2" s="359">
        <v>12</v>
      </c>
      <c r="P2" s="359">
        <v>13</v>
      </c>
      <c r="Q2" s="359">
        <v>14</v>
      </c>
      <c r="R2" s="359">
        <v>15</v>
      </c>
      <c r="S2" s="359">
        <v>16</v>
      </c>
      <c r="T2" s="359">
        <v>17</v>
      </c>
      <c r="U2" s="359">
        <v>18</v>
      </c>
      <c r="V2" s="359">
        <v>19</v>
      </c>
      <c r="W2" s="359">
        <v>20</v>
      </c>
      <c r="X2" s="359">
        <v>21</v>
      </c>
      <c r="Y2" s="359">
        <v>22</v>
      </c>
      <c r="Z2" s="359">
        <v>23</v>
      </c>
      <c r="AA2" s="359">
        <v>24</v>
      </c>
      <c r="AB2" s="359">
        <v>25</v>
      </c>
      <c r="AC2" s="359">
        <v>26</v>
      </c>
      <c r="AD2" s="359">
        <v>27</v>
      </c>
      <c r="AE2" s="359">
        <v>28</v>
      </c>
      <c r="AF2" s="359">
        <v>29</v>
      </c>
      <c r="AG2" s="359">
        <v>30</v>
      </c>
      <c r="AH2" s="359">
        <v>31</v>
      </c>
      <c r="AI2" s="359">
        <v>32</v>
      </c>
      <c r="AJ2" s="359">
        <v>33</v>
      </c>
      <c r="AK2" s="359">
        <v>34</v>
      </c>
      <c r="AL2" s="359">
        <v>35</v>
      </c>
      <c r="AM2" s="359">
        <v>36</v>
      </c>
      <c r="AN2" s="359">
        <v>37</v>
      </c>
      <c r="AO2" s="359">
        <v>38</v>
      </c>
      <c r="AP2" s="359">
        <v>39</v>
      </c>
      <c r="AQ2" s="359">
        <v>40</v>
      </c>
      <c r="AR2" s="359">
        <v>41</v>
      </c>
      <c r="AS2" s="359">
        <v>42</v>
      </c>
      <c r="AT2" s="359">
        <v>43</v>
      </c>
      <c r="AU2" s="359">
        <v>44</v>
      </c>
      <c r="AV2" s="359">
        <v>45</v>
      </c>
      <c r="AW2" s="359">
        <v>46</v>
      </c>
      <c r="AX2" s="359">
        <v>47</v>
      </c>
      <c r="AY2" s="359">
        <v>48</v>
      </c>
      <c r="AZ2" s="359">
        <v>49</v>
      </c>
      <c r="BA2" s="359">
        <v>50</v>
      </c>
      <c r="BB2" s="359">
        <v>51</v>
      </c>
      <c r="BC2" s="359">
        <v>52</v>
      </c>
      <c r="BD2" s="359">
        <v>53</v>
      </c>
      <c r="BE2" s="359">
        <v>54</v>
      </c>
      <c r="BF2" s="359">
        <v>55</v>
      </c>
      <c r="BG2" s="359">
        <v>56</v>
      </c>
      <c r="BH2" s="359">
        <v>57</v>
      </c>
      <c r="BI2" s="359">
        <v>58</v>
      </c>
      <c r="BJ2" s="359">
        <v>59</v>
      </c>
      <c r="BK2" s="359">
        <v>60</v>
      </c>
      <c r="BL2" s="359">
        <v>61</v>
      </c>
      <c r="BM2" s="359">
        <v>62</v>
      </c>
      <c r="BN2" s="359">
        <v>63</v>
      </c>
      <c r="BO2" s="359">
        <v>64</v>
      </c>
      <c r="BP2" s="359">
        <v>65</v>
      </c>
      <c r="BQ2" s="359">
        <v>66</v>
      </c>
      <c r="BR2" s="359">
        <v>67</v>
      </c>
      <c r="BS2" s="359">
        <v>68</v>
      </c>
      <c r="BT2" s="359">
        <v>69</v>
      </c>
      <c r="BU2" s="359">
        <v>70</v>
      </c>
      <c r="BV2" s="359">
        <v>71</v>
      </c>
      <c r="BW2" s="359">
        <v>72</v>
      </c>
      <c r="BX2" s="359">
        <v>73</v>
      </c>
      <c r="BY2" s="359">
        <v>74</v>
      </c>
      <c r="BZ2" s="359">
        <v>75</v>
      </c>
      <c r="CA2" s="359">
        <v>76</v>
      </c>
      <c r="CB2" s="359">
        <v>77</v>
      </c>
      <c r="CC2" s="359">
        <v>78</v>
      </c>
      <c r="CD2" s="359">
        <v>79</v>
      </c>
      <c r="CE2" s="359">
        <v>80</v>
      </c>
      <c r="CF2" s="359">
        <v>81</v>
      </c>
      <c r="CG2" s="359">
        <v>82</v>
      </c>
      <c r="CH2" s="359">
        <v>83</v>
      </c>
      <c r="CI2" s="359">
        <v>84</v>
      </c>
      <c r="CJ2" s="359">
        <v>85</v>
      </c>
      <c r="CK2" s="359">
        <v>86</v>
      </c>
      <c r="CL2" s="359">
        <v>87</v>
      </c>
      <c r="CM2" s="359">
        <v>88</v>
      </c>
      <c r="CN2" s="359">
        <v>89</v>
      </c>
      <c r="CO2" s="359">
        <v>90</v>
      </c>
      <c r="CP2" s="359">
        <v>91</v>
      </c>
      <c r="CQ2" s="359">
        <v>92</v>
      </c>
      <c r="CR2" s="359">
        <v>93</v>
      </c>
      <c r="CS2" s="359">
        <v>94</v>
      </c>
      <c r="CT2" s="359">
        <v>95</v>
      </c>
      <c r="CU2" s="359">
        <v>96</v>
      </c>
      <c r="CV2" s="359">
        <v>97</v>
      </c>
      <c r="CW2" s="359">
        <v>98</v>
      </c>
      <c r="CX2" s="359">
        <v>99</v>
      </c>
      <c r="CY2" s="359">
        <v>100</v>
      </c>
      <c r="CZ2" s="359">
        <v>101</v>
      </c>
      <c r="DA2" s="359">
        <v>102</v>
      </c>
      <c r="DB2" s="359">
        <v>103</v>
      </c>
      <c r="DC2" s="359">
        <v>104</v>
      </c>
      <c r="DD2" s="359">
        <v>105</v>
      </c>
      <c r="DE2" s="359">
        <v>106</v>
      </c>
      <c r="DF2" s="359">
        <v>107</v>
      </c>
      <c r="DG2" s="359">
        <v>108</v>
      </c>
      <c r="DH2" s="359">
        <v>109</v>
      </c>
      <c r="DI2" s="359">
        <v>110</v>
      </c>
      <c r="DJ2" s="359">
        <v>111</v>
      </c>
      <c r="DK2" s="359">
        <v>112</v>
      </c>
      <c r="DL2" s="359">
        <v>113</v>
      </c>
      <c r="DM2" s="359">
        <v>114</v>
      </c>
      <c r="DN2" s="359">
        <v>115</v>
      </c>
      <c r="DO2" s="359">
        <v>116</v>
      </c>
      <c r="DP2" s="359">
        <v>117</v>
      </c>
      <c r="DQ2" s="359">
        <v>118</v>
      </c>
      <c r="DR2" s="359">
        <v>119</v>
      </c>
      <c r="DS2" s="359">
        <v>120</v>
      </c>
      <c r="DT2" s="359">
        <v>121</v>
      </c>
      <c r="DU2" s="359">
        <v>122</v>
      </c>
      <c r="DV2" s="359">
        <v>123</v>
      </c>
      <c r="DW2" s="359">
        <v>124</v>
      </c>
      <c r="DX2" s="359">
        <v>125</v>
      </c>
      <c r="DY2" s="359">
        <v>126</v>
      </c>
      <c r="DZ2" s="359">
        <v>127</v>
      </c>
      <c r="EA2" s="359">
        <v>128</v>
      </c>
      <c r="EB2" s="359">
        <v>129</v>
      </c>
      <c r="EC2" s="359">
        <v>130</v>
      </c>
      <c r="ED2" s="359">
        <v>131</v>
      </c>
      <c r="EE2" s="359">
        <v>132</v>
      </c>
      <c r="EF2" s="359">
        <v>133</v>
      </c>
      <c r="EG2" s="359">
        <v>134</v>
      </c>
      <c r="EH2" s="359">
        <v>135</v>
      </c>
      <c r="EI2" s="359">
        <v>136</v>
      </c>
      <c r="EJ2" s="359">
        <v>137</v>
      </c>
      <c r="EK2" s="359">
        <v>138</v>
      </c>
      <c r="EL2" s="359">
        <v>139</v>
      </c>
      <c r="EM2" s="359">
        <v>140</v>
      </c>
      <c r="EN2" s="359">
        <v>141</v>
      </c>
      <c r="EO2" s="359">
        <v>142</v>
      </c>
      <c r="EP2" s="359">
        <v>143</v>
      </c>
      <c r="EQ2" s="359">
        <v>144</v>
      </c>
      <c r="ER2" s="359">
        <v>145</v>
      </c>
      <c r="ES2" s="359">
        <v>146</v>
      </c>
      <c r="ET2" s="359">
        <v>147</v>
      </c>
      <c r="EU2" s="359">
        <v>148</v>
      </c>
      <c r="EV2" s="359">
        <v>149</v>
      </c>
      <c r="EW2" s="359">
        <v>150</v>
      </c>
      <c r="EX2" s="359">
        <v>151</v>
      </c>
      <c r="EY2" s="359">
        <v>152</v>
      </c>
      <c r="EZ2" s="359">
        <v>153</v>
      </c>
      <c r="FA2" s="359">
        <v>154</v>
      </c>
      <c r="FB2" s="359">
        <v>155</v>
      </c>
      <c r="FC2" s="359">
        <v>156</v>
      </c>
      <c r="FD2" s="359">
        <v>157</v>
      </c>
      <c r="FE2" s="359">
        <v>158</v>
      </c>
      <c r="FF2" s="359">
        <v>159</v>
      </c>
      <c r="FG2" s="359">
        <v>160</v>
      </c>
      <c r="FH2" s="359">
        <v>161</v>
      </c>
      <c r="FI2" s="359">
        <v>162</v>
      </c>
      <c r="FJ2" s="359">
        <v>163</v>
      </c>
      <c r="FK2" s="359">
        <v>164</v>
      </c>
      <c r="FL2" s="359">
        <v>165</v>
      </c>
      <c r="FM2" s="359">
        <v>166</v>
      </c>
      <c r="FN2" s="359">
        <v>167</v>
      </c>
      <c r="FO2" s="359">
        <v>168</v>
      </c>
      <c r="FP2" s="359">
        <v>169</v>
      </c>
      <c r="FQ2" s="359">
        <v>170</v>
      </c>
      <c r="FR2" s="359">
        <v>171</v>
      </c>
      <c r="FS2" s="359">
        <v>172</v>
      </c>
      <c r="FT2" s="359">
        <v>173</v>
      </c>
      <c r="FU2" s="359">
        <v>174</v>
      </c>
      <c r="FV2" s="359">
        <v>175</v>
      </c>
      <c r="FW2" s="359">
        <v>176</v>
      </c>
      <c r="FX2" s="359">
        <v>177</v>
      </c>
      <c r="FY2" s="359">
        <v>178</v>
      </c>
      <c r="FZ2" s="359">
        <v>179</v>
      </c>
      <c r="GA2" s="359">
        <v>180</v>
      </c>
      <c r="GB2" s="359">
        <v>181</v>
      </c>
      <c r="GC2" s="359">
        <v>182</v>
      </c>
      <c r="GD2" s="359">
        <v>183</v>
      </c>
      <c r="GE2" s="359">
        <v>184</v>
      </c>
      <c r="GF2" s="359">
        <v>185</v>
      </c>
      <c r="GG2" s="359">
        <v>186</v>
      </c>
      <c r="GH2" s="359">
        <v>187</v>
      </c>
      <c r="GI2" s="359">
        <v>188</v>
      </c>
      <c r="GJ2" s="359">
        <v>189</v>
      </c>
      <c r="GK2" s="359">
        <v>190</v>
      </c>
      <c r="GL2" s="359">
        <v>191</v>
      </c>
      <c r="GM2" s="359">
        <v>192</v>
      </c>
      <c r="GN2" s="359">
        <v>193</v>
      </c>
      <c r="GO2" s="359">
        <v>194</v>
      </c>
      <c r="GP2" s="359">
        <v>195</v>
      </c>
      <c r="GQ2" s="359">
        <v>196</v>
      </c>
      <c r="GR2" s="359">
        <v>197</v>
      </c>
      <c r="GS2" s="359">
        <v>198</v>
      </c>
      <c r="GT2" s="359">
        <v>199</v>
      </c>
      <c r="GU2" s="359">
        <v>200</v>
      </c>
      <c r="GV2" s="359">
        <v>201</v>
      </c>
      <c r="GW2" s="359">
        <v>202</v>
      </c>
      <c r="GX2" s="359">
        <v>203</v>
      </c>
      <c r="GY2" s="359">
        <v>204</v>
      </c>
      <c r="GZ2" s="359">
        <v>205</v>
      </c>
      <c r="HA2" s="359">
        <v>206</v>
      </c>
      <c r="HB2" s="359">
        <v>207</v>
      </c>
      <c r="HC2" s="359">
        <v>208</v>
      </c>
      <c r="HD2" s="359">
        <v>209</v>
      </c>
      <c r="HE2" s="359">
        <v>210</v>
      </c>
      <c r="HF2" s="359">
        <v>211</v>
      </c>
      <c r="HG2" s="359">
        <v>212</v>
      </c>
      <c r="HH2" s="359">
        <v>213</v>
      </c>
      <c r="HI2" s="359">
        <v>214</v>
      </c>
      <c r="HJ2" s="359">
        <v>215</v>
      </c>
      <c r="HK2" s="359">
        <v>216</v>
      </c>
      <c r="HL2" s="359">
        <v>217</v>
      </c>
      <c r="HM2" s="359">
        <v>218</v>
      </c>
      <c r="HN2" s="359">
        <v>219</v>
      </c>
      <c r="HO2" s="359">
        <v>220</v>
      </c>
      <c r="HP2" s="359">
        <v>221</v>
      </c>
      <c r="HQ2" s="359">
        <v>222</v>
      </c>
      <c r="HR2" s="359">
        <v>223</v>
      </c>
      <c r="HS2" s="359">
        <v>224</v>
      </c>
      <c r="HT2" s="359">
        <v>225</v>
      </c>
      <c r="HU2" s="359">
        <v>226</v>
      </c>
      <c r="HV2" s="359">
        <v>227</v>
      </c>
      <c r="HW2" s="359">
        <v>228</v>
      </c>
      <c r="HX2" s="359">
        <v>229</v>
      </c>
      <c r="HY2" s="359">
        <v>230</v>
      </c>
      <c r="HZ2" s="359">
        <v>231</v>
      </c>
      <c r="IA2" s="359">
        <v>232</v>
      </c>
      <c r="IB2" s="359">
        <v>233</v>
      </c>
      <c r="IC2" s="359">
        <v>234</v>
      </c>
      <c r="ID2" s="359">
        <v>235</v>
      </c>
      <c r="IE2" s="359">
        <v>236</v>
      </c>
      <c r="IF2" s="359">
        <v>237</v>
      </c>
      <c r="IG2" s="359">
        <v>238</v>
      </c>
      <c r="IH2" s="359">
        <v>239</v>
      </c>
      <c r="II2" s="359">
        <v>240</v>
      </c>
      <c r="IJ2" s="359">
        <v>241</v>
      </c>
      <c r="IK2" s="359">
        <v>242</v>
      </c>
      <c r="IL2" s="359">
        <v>243</v>
      </c>
      <c r="IM2" s="359">
        <v>244</v>
      </c>
      <c r="IN2" s="359">
        <v>245</v>
      </c>
      <c r="IO2" s="359">
        <v>246</v>
      </c>
      <c r="IP2" s="359">
        <v>247</v>
      </c>
      <c r="IQ2" s="359">
        <v>248</v>
      </c>
      <c r="IR2" s="359">
        <v>249</v>
      </c>
      <c r="IS2" s="359">
        <v>250</v>
      </c>
      <c r="IT2" s="359">
        <v>251</v>
      </c>
      <c r="IU2" s="359">
        <v>252</v>
      </c>
      <c r="IV2" s="359">
        <v>253</v>
      </c>
      <c r="IW2" s="359">
        <v>254</v>
      </c>
      <c r="IX2" s="359">
        <v>255</v>
      </c>
      <c r="IY2" s="359">
        <v>256</v>
      </c>
      <c r="IZ2" s="359">
        <v>257</v>
      </c>
      <c r="JA2" s="359">
        <v>258</v>
      </c>
      <c r="JB2" s="359">
        <v>259</v>
      </c>
      <c r="JC2" s="359">
        <v>260</v>
      </c>
      <c r="JD2" s="359">
        <v>261</v>
      </c>
      <c r="JE2" s="359">
        <v>262</v>
      </c>
      <c r="JF2" s="359">
        <v>263</v>
      </c>
      <c r="JG2" s="359">
        <v>264</v>
      </c>
      <c r="JH2" s="359">
        <v>265</v>
      </c>
      <c r="JI2" s="359">
        <v>266</v>
      </c>
      <c r="JJ2" s="359">
        <v>267</v>
      </c>
      <c r="JK2" s="359">
        <v>268</v>
      </c>
      <c r="JL2" s="359">
        <v>269</v>
      </c>
      <c r="JM2" s="359">
        <v>270</v>
      </c>
      <c r="JN2" s="359">
        <v>271</v>
      </c>
      <c r="JO2" s="359">
        <v>272</v>
      </c>
      <c r="JP2" s="359">
        <v>273</v>
      </c>
      <c r="JQ2" s="359">
        <v>274</v>
      </c>
      <c r="JR2" s="359">
        <v>275</v>
      </c>
      <c r="JS2" s="359">
        <v>276</v>
      </c>
      <c r="JT2" s="359">
        <v>277</v>
      </c>
      <c r="JU2" s="359">
        <v>278</v>
      </c>
      <c r="JV2" s="359">
        <v>279</v>
      </c>
      <c r="JW2" s="359">
        <v>280</v>
      </c>
      <c r="JX2" s="359">
        <v>281</v>
      </c>
      <c r="JY2" s="359">
        <v>282</v>
      </c>
      <c r="JZ2" s="359">
        <v>283</v>
      </c>
      <c r="KA2" s="359">
        <v>284</v>
      </c>
      <c r="KB2" s="359">
        <v>285</v>
      </c>
      <c r="KC2" s="359">
        <v>286</v>
      </c>
      <c r="KD2" s="359">
        <v>287</v>
      </c>
      <c r="KE2" s="359">
        <v>288</v>
      </c>
      <c r="KF2" s="359">
        <v>289</v>
      </c>
      <c r="KG2" s="359">
        <v>290</v>
      </c>
      <c r="KH2" s="359">
        <v>291</v>
      </c>
      <c r="KI2" s="359">
        <v>292</v>
      </c>
      <c r="KJ2" s="359">
        <v>293</v>
      </c>
      <c r="KK2" s="359">
        <v>294</v>
      </c>
      <c r="KL2" s="359">
        <v>295</v>
      </c>
      <c r="KM2" s="359">
        <v>296</v>
      </c>
      <c r="KN2" s="359">
        <v>297</v>
      </c>
      <c r="KO2" s="359">
        <v>298</v>
      </c>
      <c r="KP2" s="359">
        <v>299</v>
      </c>
      <c r="KQ2" s="359">
        <v>300</v>
      </c>
      <c r="KR2" s="359">
        <v>301</v>
      </c>
      <c r="KS2" s="359">
        <v>302</v>
      </c>
      <c r="KT2" s="359">
        <v>303</v>
      </c>
      <c r="KU2" s="359">
        <v>304</v>
      </c>
      <c r="KV2" s="359">
        <v>305</v>
      </c>
      <c r="KW2" s="359">
        <v>306</v>
      </c>
      <c r="KX2" s="359">
        <v>307</v>
      </c>
      <c r="KY2" s="359">
        <v>308</v>
      </c>
      <c r="KZ2" s="359">
        <v>309</v>
      </c>
      <c r="LA2" s="359">
        <v>310</v>
      </c>
      <c r="LB2" s="359">
        <v>311</v>
      </c>
      <c r="LC2" s="359">
        <v>312</v>
      </c>
      <c r="LD2" s="359">
        <v>313</v>
      </c>
      <c r="LE2" s="359">
        <v>314</v>
      </c>
      <c r="LF2" s="359">
        <v>315</v>
      </c>
      <c r="LG2" s="359">
        <v>316</v>
      </c>
      <c r="LH2" s="359">
        <v>317</v>
      </c>
      <c r="LI2" s="359">
        <v>318</v>
      </c>
      <c r="LJ2" s="359">
        <v>319</v>
      </c>
      <c r="LK2" s="359">
        <v>320</v>
      </c>
      <c r="LL2" s="359">
        <v>321</v>
      </c>
      <c r="LM2" s="359">
        <v>322</v>
      </c>
      <c r="LN2" s="359">
        <v>323</v>
      </c>
      <c r="LO2" s="359">
        <v>324</v>
      </c>
      <c r="LP2" s="359">
        <v>325</v>
      </c>
      <c r="LQ2" s="359">
        <v>326</v>
      </c>
      <c r="LR2" s="359">
        <v>327</v>
      </c>
      <c r="LS2" s="359">
        <v>328</v>
      </c>
      <c r="LT2" s="359">
        <v>329</v>
      </c>
      <c r="LU2" s="359">
        <v>330</v>
      </c>
      <c r="LV2" s="359">
        <v>331</v>
      </c>
      <c r="LW2" s="359">
        <v>332</v>
      </c>
      <c r="LX2" s="359">
        <v>333</v>
      </c>
      <c r="LY2" s="359">
        <v>334</v>
      </c>
      <c r="LZ2" s="359">
        <v>335</v>
      </c>
      <c r="MA2" s="359">
        <v>336</v>
      </c>
      <c r="MB2" s="359">
        <v>337</v>
      </c>
      <c r="MC2" s="359">
        <v>338</v>
      </c>
      <c r="MD2" s="359">
        <v>339</v>
      </c>
      <c r="ME2" s="359">
        <v>340</v>
      </c>
      <c r="MF2" s="359">
        <v>341</v>
      </c>
      <c r="MG2" s="359">
        <v>342</v>
      </c>
      <c r="MH2" s="359">
        <v>343</v>
      </c>
      <c r="MI2" s="359">
        <v>344</v>
      </c>
      <c r="MJ2" s="359">
        <v>345</v>
      </c>
      <c r="MK2" s="359">
        <v>346</v>
      </c>
      <c r="ML2" s="359">
        <v>347</v>
      </c>
      <c r="MM2" s="359">
        <v>348</v>
      </c>
      <c r="MN2" s="359">
        <v>349</v>
      </c>
      <c r="MO2" s="359">
        <v>350</v>
      </c>
      <c r="MP2" s="359">
        <v>351</v>
      </c>
      <c r="MQ2" s="359">
        <v>352</v>
      </c>
      <c r="MR2" s="359">
        <v>353</v>
      </c>
      <c r="MS2" s="359">
        <v>354</v>
      </c>
      <c r="MT2" s="359">
        <v>355</v>
      </c>
      <c r="MU2" s="359">
        <v>356</v>
      </c>
      <c r="MV2" s="359">
        <v>357</v>
      </c>
      <c r="MW2" s="359">
        <v>358</v>
      </c>
      <c r="MX2" s="359">
        <v>359</v>
      </c>
      <c r="MY2" s="359">
        <v>360</v>
      </c>
      <c r="MZ2" s="359">
        <v>361</v>
      </c>
      <c r="NA2" s="359">
        <v>362</v>
      </c>
      <c r="NB2" s="359">
        <v>363</v>
      </c>
      <c r="NC2" s="359">
        <v>364</v>
      </c>
      <c r="ND2" s="359">
        <v>365</v>
      </c>
      <c r="NE2" s="359">
        <v>366</v>
      </c>
      <c r="NF2" s="359">
        <v>367</v>
      </c>
      <c r="NG2" s="359">
        <v>368</v>
      </c>
      <c r="NH2" s="359">
        <v>369</v>
      </c>
      <c r="NI2" s="359">
        <v>370</v>
      </c>
      <c r="NJ2" s="359">
        <v>371</v>
      </c>
      <c r="NK2" s="359">
        <v>372</v>
      </c>
      <c r="NL2" s="359">
        <v>373</v>
      </c>
      <c r="NM2" s="359">
        <v>374</v>
      </c>
      <c r="NN2" s="359">
        <v>375</v>
      </c>
      <c r="NO2" s="359">
        <v>376</v>
      </c>
      <c r="NP2" s="359">
        <v>377</v>
      </c>
      <c r="NQ2" s="359">
        <v>378</v>
      </c>
      <c r="NR2" s="359">
        <v>379</v>
      </c>
      <c r="NS2" s="359">
        <v>380</v>
      </c>
      <c r="NT2" s="359">
        <v>381</v>
      </c>
      <c r="NU2" s="359">
        <v>382</v>
      </c>
      <c r="NV2" s="359">
        <v>383</v>
      </c>
      <c r="NW2" s="359">
        <v>384</v>
      </c>
      <c r="NX2" s="359">
        <v>385</v>
      </c>
      <c r="NY2" s="359">
        <v>386</v>
      </c>
      <c r="NZ2" s="359">
        <v>387</v>
      </c>
      <c r="OA2" s="359">
        <v>388</v>
      </c>
      <c r="OB2" s="359">
        <v>389</v>
      </c>
      <c r="OC2" s="359">
        <v>390</v>
      </c>
      <c r="OD2" s="359">
        <v>391</v>
      </c>
      <c r="OE2" s="359">
        <v>392</v>
      </c>
      <c r="OF2" s="359">
        <v>393</v>
      </c>
      <c r="OG2" s="359">
        <v>394</v>
      </c>
      <c r="OH2" s="359">
        <v>395</v>
      </c>
      <c r="OI2" s="359">
        <v>396</v>
      </c>
      <c r="OJ2" s="359">
        <v>397</v>
      </c>
      <c r="OK2" s="359">
        <v>398</v>
      </c>
      <c r="OL2" s="359">
        <v>399</v>
      </c>
      <c r="OM2" s="359">
        <v>400</v>
      </c>
      <c r="ON2" s="359">
        <v>401</v>
      </c>
      <c r="OO2" s="359">
        <v>402</v>
      </c>
      <c r="OP2" s="359">
        <v>403</v>
      </c>
      <c r="OQ2" s="359">
        <v>404</v>
      </c>
      <c r="OR2" s="359">
        <v>405</v>
      </c>
      <c r="OS2" s="359">
        <v>406</v>
      </c>
      <c r="OT2" s="359">
        <v>407</v>
      </c>
      <c r="OU2" s="359">
        <v>408</v>
      </c>
      <c r="OV2" s="359">
        <v>409</v>
      </c>
      <c r="OW2" s="359">
        <v>410</v>
      </c>
      <c r="OX2" s="359">
        <v>411</v>
      </c>
      <c r="OY2" s="359">
        <v>412</v>
      </c>
      <c r="OZ2" s="359">
        <v>413</v>
      </c>
      <c r="PA2" s="359">
        <v>414</v>
      </c>
      <c r="PB2" s="359">
        <v>415</v>
      </c>
      <c r="PC2" s="359">
        <v>416</v>
      </c>
      <c r="PD2" s="359">
        <v>417</v>
      </c>
      <c r="PE2" s="359">
        <v>418</v>
      </c>
      <c r="PF2" s="359">
        <v>419</v>
      </c>
      <c r="PG2" s="359">
        <v>420</v>
      </c>
      <c r="PH2" s="359">
        <v>421</v>
      </c>
      <c r="PI2" s="359">
        <v>422</v>
      </c>
      <c r="PJ2" s="359">
        <v>423</v>
      </c>
      <c r="PK2" s="359">
        <v>424</v>
      </c>
      <c r="PL2" s="359">
        <v>425</v>
      </c>
      <c r="PM2" s="359">
        <v>426</v>
      </c>
      <c r="PN2" s="359">
        <v>427</v>
      </c>
      <c r="PO2" s="359">
        <v>428</v>
      </c>
      <c r="PP2" s="359">
        <v>429</v>
      </c>
      <c r="PQ2" s="359">
        <v>430</v>
      </c>
      <c r="PR2" s="359">
        <v>431</v>
      </c>
      <c r="PS2" s="359">
        <v>432</v>
      </c>
      <c r="PT2" s="359">
        <v>433</v>
      </c>
      <c r="PU2" s="359">
        <v>434</v>
      </c>
      <c r="PV2" s="359">
        <v>435</v>
      </c>
      <c r="PW2" s="359">
        <v>436</v>
      </c>
      <c r="PX2" s="359">
        <v>437</v>
      </c>
      <c r="PY2" s="359">
        <v>438</v>
      </c>
      <c r="PZ2" s="359">
        <v>439</v>
      </c>
      <c r="QA2" s="359">
        <v>440</v>
      </c>
      <c r="QB2" s="359">
        <v>441</v>
      </c>
      <c r="QC2" s="359">
        <v>442</v>
      </c>
      <c r="QD2" s="359">
        <v>443</v>
      </c>
      <c r="QE2" s="359">
        <v>444</v>
      </c>
      <c r="QF2" s="359">
        <v>445</v>
      </c>
      <c r="QG2" s="359">
        <v>446</v>
      </c>
      <c r="QH2" s="359">
        <v>447</v>
      </c>
      <c r="QI2" s="359">
        <v>448</v>
      </c>
      <c r="QJ2" s="359">
        <v>449</v>
      </c>
      <c r="QK2" s="359">
        <v>450</v>
      </c>
      <c r="QL2" s="359">
        <v>451</v>
      </c>
      <c r="QM2" s="359">
        <v>452</v>
      </c>
      <c r="QN2" s="359">
        <v>453</v>
      </c>
      <c r="QO2" s="359">
        <v>454</v>
      </c>
      <c r="QP2" s="359">
        <v>455</v>
      </c>
      <c r="QQ2" s="359">
        <v>456</v>
      </c>
      <c r="QR2" s="359">
        <v>457</v>
      </c>
      <c r="QS2" s="359">
        <v>458</v>
      </c>
      <c r="QT2" s="359">
        <v>459</v>
      </c>
      <c r="QU2" s="359">
        <v>460</v>
      </c>
      <c r="QV2" s="359">
        <v>461</v>
      </c>
      <c r="QW2" s="359">
        <v>462</v>
      </c>
      <c r="QX2" s="359">
        <v>463</v>
      </c>
      <c r="QY2" s="359">
        <v>464</v>
      </c>
      <c r="QZ2" s="359">
        <v>465</v>
      </c>
      <c r="RA2" s="359">
        <v>466</v>
      </c>
      <c r="RB2" s="359">
        <v>467</v>
      </c>
      <c r="RC2" s="359">
        <v>468</v>
      </c>
      <c r="RD2" s="359">
        <v>469</v>
      </c>
      <c r="RE2" s="359">
        <v>470</v>
      </c>
      <c r="RF2" s="359">
        <v>471</v>
      </c>
      <c r="RG2" s="359">
        <v>472</v>
      </c>
      <c r="RH2" s="359">
        <v>473</v>
      </c>
      <c r="RI2" s="359">
        <v>474</v>
      </c>
      <c r="RJ2" s="359">
        <v>475</v>
      </c>
      <c r="RK2" s="359">
        <v>476</v>
      </c>
      <c r="RL2" s="359">
        <v>477</v>
      </c>
      <c r="RM2" s="359">
        <v>478</v>
      </c>
      <c r="RN2" s="359">
        <v>479</v>
      </c>
      <c r="RO2" s="359">
        <v>480</v>
      </c>
      <c r="RP2" s="359">
        <v>481</v>
      </c>
      <c r="RQ2" s="359">
        <v>482</v>
      </c>
      <c r="RR2" s="359">
        <v>483</v>
      </c>
      <c r="RS2" s="359">
        <v>484</v>
      </c>
      <c r="RT2" s="359">
        <v>485</v>
      </c>
      <c r="RU2" s="359">
        <v>486</v>
      </c>
      <c r="RV2" s="359">
        <v>487</v>
      </c>
      <c r="RW2" s="359">
        <v>488</v>
      </c>
      <c r="RX2" s="359">
        <v>489</v>
      </c>
      <c r="RY2" s="359">
        <v>490</v>
      </c>
      <c r="RZ2" s="359">
        <v>491</v>
      </c>
      <c r="SA2" s="359">
        <v>492</v>
      </c>
      <c r="SB2" s="359">
        <v>493</v>
      </c>
      <c r="SC2" s="359">
        <v>494</v>
      </c>
      <c r="SD2" s="359">
        <v>495</v>
      </c>
      <c r="SE2" s="359">
        <v>496</v>
      </c>
      <c r="SF2" s="359">
        <v>497</v>
      </c>
      <c r="SG2" s="359">
        <v>498</v>
      </c>
      <c r="SH2" s="359">
        <v>499</v>
      </c>
      <c r="SI2" s="359">
        <v>500</v>
      </c>
      <c r="SJ2" s="359">
        <v>501</v>
      </c>
      <c r="SK2" s="359">
        <v>502</v>
      </c>
      <c r="SL2" s="359">
        <v>503</v>
      </c>
      <c r="SM2" s="359">
        <v>504</v>
      </c>
      <c r="SN2" s="359">
        <v>505</v>
      </c>
      <c r="SO2" s="359">
        <v>506</v>
      </c>
      <c r="SP2" s="359">
        <v>507</v>
      </c>
      <c r="SQ2" s="359">
        <v>508</v>
      </c>
      <c r="SR2" s="359">
        <v>509</v>
      </c>
      <c r="SS2" s="359">
        <v>510</v>
      </c>
      <c r="ST2" s="359">
        <v>511</v>
      </c>
      <c r="SU2" s="359">
        <v>512</v>
      </c>
      <c r="SV2" s="359">
        <v>513</v>
      </c>
      <c r="SW2" s="359">
        <v>514</v>
      </c>
      <c r="SX2" s="359">
        <v>515</v>
      </c>
      <c r="SY2" s="359">
        <v>516</v>
      </c>
      <c r="SZ2" s="359">
        <v>517</v>
      </c>
      <c r="TA2" s="359">
        <v>518</v>
      </c>
      <c r="TB2" s="359">
        <v>519</v>
      </c>
      <c r="TC2" s="359">
        <v>520</v>
      </c>
      <c r="TD2" s="359">
        <v>521</v>
      </c>
      <c r="TE2" s="359">
        <v>522</v>
      </c>
      <c r="TF2" s="359">
        <v>523</v>
      </c>
      <c r="TG2" s="359">
        <v>524</v>
      </c>
      <c r="TH2" s="359">
        <v>525</v>
      </c>
      <c r="TI2" s="359">
        <v>526</v>
      </c>
      <c r="TJ2" s="359">
        <v>527</v>
      </c>
      <c r="TK2" s="359">
        <v>528</v>
      </c>
      <c r="TL2" s="359">
        <v>529</v>
      </c>
      <c r="TM2" s="359">
        <v>530</v>
      </c>
      <c r="TN2" s="359">
        <v>531</v>
      </c>
      <c r="TO2" s="359">
        <v>532</v>
      </c>
      <c r="TP2" s="359">
        <v>533</v>
      </c>
      <c r="TQ2" s="359">
        <v>534</v>
      </c>
      <c r="TR2" s="359">
        <v>535</v>
      </c>
      <c r="TS2" s="359">
        <v>536</v>
      </c>
      <c r="TT2" s="359">
        <v>537</v>
      </c>
      <c r="TU2" s="359">
        <v>538</v>
      </c>
      <c r="TV2" s="359">
        <v>539</v>
      </c>
      <c r="TW2" s="359">
        <v>540</v>
      </c>
      <c r="TX2" s="359">
        <v>541</v>
      </c>
      <c r="TY2" s="359">
        <v>542</v>
      </c>
      <c r="TZ2" s="359">
        <v>543</v>
      </c>
      <c r="UA2" s="359">
        <v>544</v>
      </c>
      <c r="UB2" s="359">
        <v>545</v>
      </c>
      <c r="UC2" s="359">
        <v>546</v>
      </c>
      <c r="UD2" s="359">
        <v>547</v>
      </c>
      <c r="UE2" s="359">
        <v>548</v>
      </c>
      <c r="UF2" s="359">
        <v>549</v>
      </c>
      <c r="UG2" s="359">
        <v>550</v>
      </c>
      <c r="UH2" s="359">
        <v>551</v>
      </c>
      <c r="UI2" s="359">
        <v>552</v>
      </c>
      <c r="UJ2" s="359">
        <v>553</v>
      </c>
      <c r="UK2" s="359">
        <v>554</v>
      </c>
      <c r="UL2" s="359">
        <v>555</v>
      </c>
      <c r="UM2" s="359">
        <v>556</v>
      </c>
      <c r="UN2" s="359">
        <v>557</v>
      </c>
      <c r="UO2" s="359">
        <v>558</v>
      </c>
      <c r="UP2" s="359">
        <v>559</v>
      </c>
      <c r="UQ2" s="359">
        <v>560</v>
      </c>
      <c r="UR2" s="359">
        <v>561</v>
      </c>
      <c r="US2" s="359">
        <v>562</v>
      </c>
      <c r="UT2" s="359">
        <v>563</v>
      </c>
      <c r="UU2" s="359">
        <v>564</v>
      </c>
      <c r="UV2" s="359">
        <v>565</v>
      </c>
      <c r="UW2" s="359">
        <v>566</v>
      </c>
      <c r="UX2" s="359">
        <v>567</v>
      </c>
      <c r="UY2" s="359">
        <v>568</v>
      </c>
      <c r="UZ2" s="359">
        <v>569</v>
      </c>
      <c r="VA2" s="359">
        <v>570</v>
      </c>
      <c r="VB2" s="359">
        <v>571</v>
      </c>
      <c r="VC2" s="359">
        <v>572</v>
      </c>
      <c r="VD2" s="359">
        <v>573</v>
      </c>
      <c r="VE2" s="359">
        <v>574</v>
      </c>
      <c r="VF2" s="359">
        <v>575</v>
      </c>
      <c r="VG2" s="359">
        <v>576</v>
      </c>
      <c r="VH2" s="359">
        <v>577</v>
      </c>
      <c r="VI2" s="359">
        <v>578</v>
      </c>
      <c r="VJ2" s="359">
        <v>579</v>
      </c>
      <c r="VK2" s="359">
        <v>580</v>
      </c>
      <c r="VL2" s="359">
        <v>581</v>
      </c>
      <c r="VM2" s="359">
        <v>582</v>
      </c>
      <c r="VN2" s="359">
        <v>583</v>
      </c>
      <c r="VO2" s="359">
        <v>584</v>
      </c>
      <c r="VP2" s="359">
        <v>585</v>
      </c>
      <c r="VQ2" s="359">
        <v>586</v>
      </c>
      <c r="VR2" s="359">
        <v>587</v>
      </c>
      <c r="VS2" s="359">
        <v>588</v>
      </c>
      <c r="VT2" s="359">
        <v>589</v>
      </c>
      <c r="VU2" s="359">
        <v>590</v>
      </c>
      <c r="VV2" s="359">
        <v>591</v>
      </c>
      <c r="VW2" s="359">
        <v>592</v>
      </c>
      <c r="VX2" s="359">
        <v>593</v>
      </c>
      <c r="VY2" s="359">
        <v>594</v>
      </c>
      <c r="VZ2" s="359">
        <v>595</v>
      </c>
      <c r="WA2" s="359">
        <v>596</v>
      </c>
      <c r="WB2" s="359">
        <v>597</v>
      </c>
      <c r="WC2" s="359">
        <v>598</v>
      </c>
      <c r="WD2" s="359">
        <v>599</v>
      </c>
      <c r="WE2" s="359">
        <v>600</v>
      </c>
      <c r="WF2" s="359">
        <v>601</v>
      </c>
      <c r="WG2" s="359">
        <v>602</v>
      </c>
      <c r="WH2" s="359">
        <v>603</v>
      </c>
      <c r="WI2" s="359">
        <v>604</v>
      </c>
      <c r="WJ2" s="359">
        <v>605</v>
      </c>
      <c r="WK2" s="359">
        <v>606</v>
      </c>
      <c r="WL2" s="359">
        <v>607</v>
      </c>
      <c r="WM2" s="359">
        <v>608</v>
      </c>
      <c r="WN2" s="359">
        <v>609</v>
      </c>
      <c r="WO2" s="359">
        <v>610</v>
      </c>
      <c r="WP2" s="359">
        <v>611</v>
      </c>
      <c r="WQ2" s="359">
        <v>612</v>
      </c>
      <c r="WR2" s="359">
        <v>613</v>
      </c>
      <c r="WS2" s="359">
        <v>614</v>
      </c>
      <c r="WT2" s="359">
        <v>615</v>
      </c>
      <c r="WU2" s="359">
        <v>616</v>
      </c>
      <c r="WV2" s="359">
        <v>617</v>
      </c>
      <c r="WW2" s="359">
        <v>618</v>
      </c>
      <c r="WX2" s="359">
        <v>619</v>
      </c>
      <c r="WY2" s="359">
        <v>620</v>
      </c>
      <c r="WZ2" s="359">
        <v>621</v>
      </c>
      <c r="XA2" s="359">
        <v>622</v>
      </c>
      <c r="XB2" s="359">
        <v>623</v>
      </c>
      <c r="XC2" s="359">
        <v>624</v>
      </c>
      <c r="XD2" s="359">
        <v>625</v>
      </c>
      <c r="XE2" s="359">
        <v>626</v>
      </c>
      <c r="XF2" s="359">
        <v>627</v>
      </c>
      <c r="XG2" s="359">
        <v>628</v>
      </c>
      <c r="XH2" s="359">
        <v>629</v>
      </c>
      <c r="XI2" s="359">
        <v>630</v>
      </c>
      <c r="XJ2" s="359">
        <v>631</v>
      </c>
      <c r="XK2" s="359">
        <v>632</v>
      </c>
      <c r="XL2" s="359">
        <v>633</v>
      </c>
      <c r="XM2" s="359">
        <v>634</v>
      </c>
      <c r="XN2" s="359">
        <v>635</v>
      </c>
      <c r="XO2" s="359">
        <v>636</v>
      </c>
      <c r="XP2" s="359">
        <v>637</v>
      </c>
      <c r="XQ2" s="359">
        <v>638</v>
      </c>
      <c r="XR2" s="359">
        <v>639</v>
      </c>
      <c r="XS2" s="359">
        <v>640</v>
      </c>
      <c r="XT2" s="359">
        <v>641</v>
      </c>
      <c r="XU2" s="359">
        <v>642</v>
      </c>
      <c r="XV2" s="359">
        <v>643</v>
      </c>
      <c r="XW2" s="359">
        <v>644</v>
      </c>
      <c r="XX2" s="359">
        <v>645</v>
      </c>
      <c r="XY2" s="359">
        <v>646</v>
      </c>
      <c r="XZ2" s="359">
        <v>647</v>
      </c>
      <c r="YA2" s="359">
        <v>648</v>
      </c>
      <c r="YB2" s="359">
        <v>649</v>
      </c>
      <c r="YC2" s="359">
        <v>650</v>
      </c>
      <c r="YD2" s="359">
        <v>651</v>
      </c>
      <c r="YE2" s="359">
        <v>652</v>
      </c>
      <c r="YF2" s="359">
        <v>653</v>
      </c>
      <c r="YG2" s="359">
        <v>654</v>
      </c>
      <c r="YH2" s="359">
        <v>655</v>
      </c>
      <c r="YI2" s="359">
        <v>656</v>
      </c>
      <c r="YJ2" s="359">
        <v>657</v>
      </c>
      <c r="YK2" s="359">
        <v>658</v>
      </c>
      <c r="YL2" s="359">
        <v>659</v>
      </c>
      <c r="YM2" s="359">
        <v>660</v>
      </c>
      <c r="YN2" s="359">
        <v>661</v>
      </c>
      <c r="YO2" s="359">
        <v>662</v>
      </c>
      <c r="YP2" s="359">
        <v>663</v>
      </c>
      <c r="YQ2" s="359">
        <v>664</v>
      </c>
      <c r="YR2" s="359">
        <v>665</v>
      </c>
      <c r="YS2" s="359">
        <v>666</v>
      </c>
      <c r="YT2" s="359">
        <v>667</v>
      </c>
      <c r="YU2" s="359">
        <v>668</v>
      </c>
      <c r="YV2" s="359">
        <v>669</v>
      </c>
      <c r="YW2" s="359">
        <v>670</v>
      </c>
      <c r="YX2" s="359">
        <v>671</v>
      </c>
      <c r="YY2" s="359">
        <v>672</v>
      </c>
      <c r="YZ2" s="359">
        <v>673</v>
      </c>
      <c r="ZA2" s="359">
        <v>674</v>
      </c>
      <c r="ZB2" s="359">
        <v>675</v>
      </c>
      <c r="ZC2" s="359">
        <v>676</v>
      </c>
      <c r="ZD2" s="359">
        <v>677</v>
      </c>
      <c r="ZE2" s="359">
        <v>678</v>
      </c>
      <c r="ZF2" s="359">
        <v>679</v>
      </c>
      <c r="ZG2" s="359">
        <v>680</v>
      </c>
      <c r="ZH2" s="359">
        <v>681</v>
      </c>
      <c r="ZI2" s="359">
        <v>682</v>
      </c>
      <c r="ZJ2" s="359">
        <v>683</v>
      </c>
      <c r="ZK2" s="359">
        <v>684</v>
      </c>
      <c r="ZL2" s="359">
        <v>685</v>
      </c>
      <c r="ZM2" s="359">
        <v>686</v>
      </c>
      <c r="ZN2" s="359">
        <v>687</v>
      </c>
      <c r="ZO2" s="359">
        <v>688</v>
      </c>
      <c r="ZP2" s="359">
        <v>689</v>
      </c>
      <c r="ZQ2" s="359">
        <v>690</v>
      </c>
      <c r="ZR2" s="359">
        <v>691</v>
      </c>
      <c r="ZS2" s="359">
        <v>692</v>
      </c>
      <c r="ZT2" s="359">
        <v>693</v>
      </c>
      <c r="ZU2" s="359">
        <v>694</v>
      </c>
      <c r="ZV2" s="359">
        <v>695</v>
      </c>
      <c r="ZW2" s="359">
        <v>696</v>
      </c>
      <c r="ZX2" s="359">
        <v>697</v>
      </c>
      <c r="ZY2" s="359">
        <v>698</v>
      </c>
      <c r="ZZ2" s="359">
        <v>699</v>
      </c>
    </row>
    <row r="3" spans="1:702" s="192" customFormat="1" ht="12.75" thickBot="1" x14ac:dyDescent="0.25">
      <c r="A3" s="248" t="s">
        <v>903</v>
      </c>
      <c r="B3" s="933" t="str">
        <f>'Quick Input'!$X$3</f>
        <v>816-3-1</v>
      </c>
      <c r="C3" s="212" t="str">
        <f>'Quick Input'!I8</f>
        <v>Artikel-Nr.</v>
      </c>
      <c r="D3" s="192">
        <v>815</v>
      </c>
      <c r="E3" s="192" t="s">
        <v>895</v>
      </c>
      <c r="F3" s="192" t="s">
        <v>890</v>
      </c>
      <c r="G3" s="192" t="s">
        <v>896</v>
      </c>
      <c r="H3" s="192" t="s">
        <v>891</v>
      </c>
      <c r="I3" s="192" t="s">
        <v>897</v>
      </c>
      <c r="J3" s="192" t="s">
        <v>887</v>
      </c>
      <c r="K3" s="192" t="s">
        <v>892</v>
      </c>
      <c r="L3" s="192" t="s">
        <v>888</v>
      </c>
      <c r="M3" s="192" t="s">
        <v>893</v>
      </c>
      <c r="N3" s="192" t="s">
        <v>889</v>
      </c>
      <c r="O3" s="192" t="s">
        <v>894</v>
      </c>
      <c r="P3" s="192" t="s">
        <v>898</v>
      </c>
      <c r="Q3" s="192" t="s">
        <v>899</v>
      </c>
      <c r="R3" s="192" t="s">
        <v>900</v>
      </c>
      <c r="S3" s="192" t="s">
        <v>901</v>
      </c>
      <c r="T3" s="192" t="s">
        <v>902</v>
      </c>
      <c r="U3" s="192" t="s">
        <v>903</v>
      </c>
      <c r="V3" s="192" t="s">
        <v>236</v>
      </c>
      <c r="W3" s="192" t="s">
        <v>236</v>
      </c>
      <c r="X3" s="192" t="s">
        <v>236</v>
      </c>
      <c r="Y3" s="192" t="s">
        <v>236</v>
      </c>
      <c r="Z3" s="192" t="s">
        <v>236</v>
      </c>
      <c r="AA3" s="192" t="s">
        <v>236</v>
      </c>
      <c r="AB3" s="192" t="s">
        <v>236</v>
      </c>
      <c r="AC3" s="192" t="s">
        <v>236</v>
      </c>
      <c r="AD3" s="192" t="s">
        <v>236</v>
      </c>
      <c r="AE3" s="192" t="s">
        <v>236</v>
      </c>
      <c r="AF3" s="192" t="s">
        <v>236</v>
      </c>
      <c r="AG3" s="192" t="s">
        <v>236</v>
      </c>
      <c r="AH3" s="192" t="s">
        <v>236</v>
      </c>
      <c r="AI3" s="192" t="s">
        <v>236</v>
      </c>
      <c r="AJ3" s="192" t="s">
        <v>236</v>
      </c>
      <c r="AK3" s="192" t="s">
        <v>236</v>
      </c>
      <c r="AL3" s="192" t="s">
        <v>236</v>
      </c>
      <c r="AM3" s="192" t="s">
        <v>236</v>
      </c>
      <c r="AN3" s="192" t="s">
        <v>236</v>
      </c>
      <c r="AO3" s="192" t="s">
        <v>236</v>
      </c>
      <c r="AP3" s="192" t="s">
        <v>236</v>
      </c>
      <c r="AQ3" s="192" t="s">
        <v>236</v>
      </c>
      <c r="AR3" s="192" t="s">
        <v>236</v>
      </c>
      <c r="AS3" s="192" t="s">
        <v>236</v>
      </c>
      <c r="AT3" s="192" t="s">
        <v>236</v>
      </c>
      <c r="AU3" s="192" t="s">
        <v>236</v>
      </c>
      <c r="AV3" s="192" t="s">
        <v>236</v>
      </c>
      <c r="AW3" s="192" t="s">
        <v>236</v>
      </c>
      <c r="AX3" s="192" t="s">
        <v>236</v>
      </c>
      <c r="AY3" s="192" t="s">
        <v>236</v>
      </c>
      <c r="AZ3" s="192" t="s">
        <v>236</v>
      </c>
      <c r="BA3" s="192" t="s">
        <v>236</v>
      </c>
      <c r="BB3" s="192" t="s">
        <v>236</v>
      </c>
      <c r="BC3" s="192" t="s">
        <v>236</v>
      </c>
      <c r="BD3" s="192" t="s">
        <v>236</v>
      </c>
      <c r="BE3" s="192" t="s">
        <v>236</v>
      </c>
      <c r="BF3" s="192" t="s">
        <v>236</v>
      </c>
      <c r="BG3" s="192" t="s">
        <v>236</v>
      </c>
      <c r="BH3" s="192" t="s">
        <v>236</v>
      </c>
      <c r="BI3" s="192" t="s">
        <v>236</v>
      </c>
      <c r="BJ3" s="192" t="s">
        <v>236</v>
      </c>
      <c r="BK3" s="192" t="s">
        <v>236</v>
      </c>
      <c r="BL3" s="192" t="s">
        <v>236</v>
      </c>
      <c r="BM3" s="192" t="s">
        <v>236</v>
      </c>
      <c r="BN3" s="192" t="s">
        <v>236</v>
      </c>
      <c r="BO3" s="192" t="s">
        <v>236</v>
      </c>
      <c r="BP3" s="192" t="s">
        <v>236</v>
      </c>
      <c r="BQ3" s="192" t="s">
        <v>236</v>
      </c>
      <c r="BR3" s="192" t="s">
        <v>236</v>
      </c>
      <c r="BS3" s="192" t="s">
        <v>236</v>
      </c>
      <c r="BT3" s="192" t="s">
        <v>236</v>
      </c>
      <c r="BU3" s="192" t="s">
        <v>236</v>
      </c>
      <c r="BV3" s="192" t="s">
        <v>236</v>
      </c>
      <c r="BW3" s="192" t="s">
        <v>236</v>
      </c>
      <c r="BX3" s="192" t="s">
        <v>236</v>
      </c>
      <c r="BY3" s="192" t="s">
        <v>236</v>
      </c>
      <c r="BZ3" s="192" t="s">
        <v>236</v>
      </c>
      <c r="CA3" s="192" t="s">
        <v>236</v>
      </c>
      <c r="CB3" s="192" t="s">
        <v>236</v>
      </c>
      <c r="CC3" s="192" t="s">
        <v>236</v>
      </c>
      <c r="CD3" s="192" t="s">
        <v>236</v>
      </c>
      <c r="CE3" s="192" t="s">
        <v>236</v>
      </c>
      <c r="CF3" s="192" t="s">
        <v>236</v>
      </c>
      <c r="CG3" s="192" t="s">
        <v>236</v>
      </c>
      <c r="CH3" s="192" t="s">
        <v>236</v>
      </c>
      <c r="CI3" s="192" t="s">
        <v>236</v>
      </c>
      <c r="CJ3" s="192" t="s">
        <v>236</v>
      </c>
      <c r="CK3" s="192" t="s">
        <v>236</v>
      </c>
      <c r="CL3" s="192" t="s">
        <v>236</v>
      </c>
      <c r="CM3" s="192" t="s">
        <v>236</v>
      </c>
      <c r="CN3" s="192" t="s">
        <v>236</v>
      </c>
      <c r="CO3" s="192" t="s">
        <v>236</v>
      </c>
      <c r="CP3" s="192" t="s">
        <v>236</v>
      </c>
      <c r="CQ3" s="192" t="s">
        <v>236</v>
      </c>
      <c r="CR3" s="192" t="s">
        <v>236</v>
      </c>
      <c r="CS3" s="192" t="s">
        <v>236</v>
      </c>
      <c r="CT3" s="192" t="s">
        <v>236</v>
      </c>
      <c r="CU3" s="192" t="s">
        <v>236</v>
      </c>
      <c r="CV3" s="192" t="s">
        <v>236</v>
      </c>
      <c r="CW3" s="192" t="s">
        <v>236</v>
      </c>
      <c r="CX3" s="192" t="s">
        <v>236</v>
      </c>
      <c r="CY3" s="192" t="s">
        <v>236</v>
      </c>
      <c r="CZ3" s="192" t="s">
        <v>236</v>
      </c>
      <c r="DA3" s="192" t="s">
        <v>236</v>
      </c>
      <c r="DB3" s="192" t="s">
        <v>236</v>
      </c>
      <c r="DC3" s="192" t="s">
        <v>236</v>
      </c>
      <c r="DD3" s="192" t="s">
        <v>236</v>
      </c>
      <c r="DE3" s="192" t="s">
        <v>236</v>
      </c>
      <c r="DF3" s="192" t="s">
        <v>236</v>
      </c>
      <c r="DG3" s="192" t="s">
        <v>236</v>
      </c>
      <c r="DH3" s="192" t="s">
        <v>236</v>
      </c>
      <c r="DI3" s="192" t="s">
        <v>236</v>
      </c>
      <c r="DJ3" s="192" t="s">
        <v>236</v>
      </c>
      <c r="DK3" s="192" t="s">
        <v>236</v>
      </c>
      <c r="DL3" s="192" t="s">
        <v>236</v>
      </c>
      <c r="DM3" s="192" t="s">
        <v>236</v>
      </c>
      <c r="DN3" s="192" t="s">
        <v>236</v>
      </c>
      <c r="DO3" s="192" t="s">
        <v>236</v>
      </c>
      <c r="DP3" s="192" t="s">
        <v>236</v>
      </c>
      <c r="DQ3" s="192" t="s">
        <v>236</v>
      </c>
      <c r="DR3" s="192" t="s">
        <v>236</v>
      </c>
      <c r="DS3" s="192" t="s">
        <v>236</v>
      </c>
      <c r="DT3" s="192" t="s">
        <v>236</v>
      </c>
      <c r="DU3" s="192" t="s">
        <v>236</v>
      </c>
      <c r="DV3" s="192" t="s">
        <v>236</v>
      </c>
      <c r="DW3" s="192" t="s">
        <v>236</v>
      </c>
      <c r="DX3" s="192" t="s">
        <v>236</v>
      </c>
      <c r="DY3" s="192" t="s">
        <v>236</v>
      </c>
      <c r="DZ3" s="192" t="s">
        <v>236</v>
      </c>
      <c r="EA3" s="192" t="s">
        <v>236</v>
      </c>
      <c r="EB3" s="192" t="s">
        <v>236</v>
      </c>
      <c r="EC3" s="192" t="s">
        <v>236</v>
      </c>
      <c r="ED3" s="192" t="s">
        <v>236</v>
      </c>
      <c r="EE3" s="192" t="s">
        <v>236</v>
      </c>
      <c r="EF3" s="192" t="s">
        <v>236</v>
      </c>
      <c r="EG3" s="192" t="s">
        <v>236</v>
      </c>
      <c r="EH3" s="192" t="s">
        <v>236</v>
      </c>
      <c r="EI3" s="192" t="s">
        <v>236</v>
      </c>
      <c r="EJ3" s="192" t="s">
        <v>236</v>
      </c>
      <c r="EK3" s="192" t="s">
        <v>236</v>
      </c>
      <c r="EL3" s="192" t="s">
        <v>236</v>
      </c>
      <c r="EM3" s="192" t="s">
        <v>236</v>
      </c>
      <c r="EN3" s="192" t="s">
        <v>236</v>
      </c>
      <c r="EO3" s="192" t="s">
        <v>236</v>
      </c>
      <c r="EP3" s="192" t="s">
        <v>236</v>
      </c>
      <c r="EQ3" s="192" t="s">
        <v>236</v>
      </c>
      <c r="ER3" s="192" t="s">
        <v>236</v>
      </c>
      <c r="ES3" s="192" t="s">
        <v>236</v>
      </c>
      <c r="ET3" s="192" t="s">
        <v>236</v>
      </c>
      <c r="EU3" s="192" t="s">
        <v>236</v>
      </c>
      <c r="EV3" s="192" t="s">
        <v>236</v>
      </c>
      <c r="EW3" s="192" t="s">
        <v>236</v>
      </c>
      <c r="EX3" s="192" t="s">
        <v>236</v>
      </c>
      <c r="EY3" s="192" t="s">
        <v>236</v>
      </c>
      <c r="EZ3" s="192" t="s">
        <v>236</v>
      </c>
      <c r="FA3" s="192" t="s">
        <v>236</v>
      </c>
      <c r="FB3" s="192" t="s">
        <v>236</v>
      </c>
      <c r="FC3" s="192" t="s">
        <v>236</v>
      </c>
      <c r="FD3" s="192" t="s">
        <v>236</v>
      </c>
      <c r="FE3" s="192" t="s">
        <v>236</v>
      </c>
      <c r="FF3" s="192" t="s">
        <v>236</v>
      </c>
      <c r="FG3" s="192" t="s">
        <v>236</v>
      </c>
      <c r="FH3" s="192" t="s">
        <v>236</v>
      </c>
      <c r="FI3" s="192" t="s">
        <v>236</v>
      </c>
      <c r="FJ3" s="192" t="s">
        <v>236</v>
      </c>
      <c r="FK3" s="192" t="s">
        <v>236</v>
      </c>
      <c r="FL3" s="192" t="s">
        <v>236</v>
      </c>
      <c r="FM3" s="192" t="s">
        <v>236</v>
      </c>
      <c r="FN3" s="192" t="s">
        <v>236</v>
      </c>
      <c r="FO3" s="192" t="s">
        <v>236</v>
      </c>
      <c r="FP3" s="192" t="s">
        <v>236</v>
      </c>
      <c r="FQ3" s="192" t="s">
        <v>236</v>
      </c>
      <c r="FR3" s="192" t="s">
        <v>236</v>
      </c>
      <c r="FS3" s="192" t="s">
        <v>236</v>
      </c>
      <c r="FT3" s="192" t="s">
        <v>236</v>
      </c>
      <c r="FU3" s="192" t="s">
        <v>236</v>
      </c>
      <c r="FV3" s="192" t="s">
        <v>236</v>
      </c>
      <c r="FW3" s="192" t="s">
        <v>236</v>
      </c>
      <c r="FX3" s="192" t="s">
        <v>236</v>
      </c>
      <c r="FY3" s="192" t="s">
        <v>236</v>
      </c>
      <c r="FZ3" s="192" t="s">
        <v>236</v>
      </c>
      <c r="GA3" s="192" t="s">
        <v>236</v>
      </c>
      <c r="GB3" s="192" t="s">
        <v>236</v>
      </c>
      <c r="GC3" s="192" t="s">
        <v>236</v>
      </c>
      <c r="GD3" s="192" t="s">
        <v>236</v>
      </c>
      <c r="GE3" s="192" t="s">
        <v>236</v>
      </c>
      <c r="GF3" s="192" t="s">
        <v>236</v>
      </c>
      <c r="GG3" s="192" t="s">
        <v>236</v>
      </c>
      <c r="GH3" s="192" t="s">
        <v>236</v>
      </c>
      <c r="GI3" s="192" t="s">
        <v>236</v>
      </c>
      <c r="GJ3" s="192" t="s">
        <v>236</v>
      </c>
      <c r="GK3" s="192" t="s">
        <v>236</v>
      </c>
      <c r="GL3" s="192" t="s">
        <v>236</v>
      </c>
      <c r="GM3" s="192" t="s">
        <v>236</v>
      </c>
      <c r="GN3" s="192" t="s">
        <v>236</v>
      </c>
      <c r="GO3" s="192" t="s">
        <v>236</v>
      </c>
      <c r="GP3" s="192" t="s">
        <v>236</v>
      </c>
      <c r="GQ3" s="192" t="s">
        <v>236</v>
      </c>
      <c r="GR3" s="192" t="s">
        <v>236</v>
      </c>
      <c r="GS3" s="192" t="s">
        <v>236</v>
      </c>
      <c r="GT3" s="192" t="s">
        <v>236</v>
      </c>
      <c r="GU3" s="192" t="s">
        <v>236</v>
      </c>
      <c r="GV3" s="192" t="s">
        <v>236</v>
      </c>
      <c r="GW3" s="192" t="s">
        <v>236</v>
      </c>
      <c r="GX3" s="192" t="s">
        <v>236</v>
      </c>
      <c r="GY3" s="192" t="s">
        <v>236</v>
      </c>
      <c r="GZ3" s="192" t="s">
        <v>236</v>
      </c>
      <c r="HA3" s="192" t="s">
        <v>236</v>
      </c>
      <c r="HB3" s="192" t="s">
        <v>236</v>
      </c>
      <c r="HC3" s="192" t="s">
        <v>236</v>
      </c>
      <c r="HD3" s="192" t="s">
        <v>236</v>
      </c>
      <c r="HE3" s="192" t="s">
        <v>236</v>
      </c>
      <c r="HF3" s="192" t="s">
        <v>236</v>
      </c>
      <c r="HG3" s="192" t="s">
        <v>236</v>
      </c>
      <c r="HH3" s="192" t="s">
        <v>236</v>
      </c>
      <c r="HI3" s="192" t="s">
        <v>236</v>
      </c>
      <c r="HJ3" s="192" t="s">
        <v>236</v>
      </c>
      <c r="HK3" s="192" t="s">
        <v>236</v>
      </c>
      <c r="HL3" s="192" t="s">
        <v>236</v>
      </c>
      <c r="HM3" s="192" t="s">
        <v>236</v>
      </c>
      <c r="HN3" s="192" t="s">
        <v>236</v>
      </c>
      <c r="HO3" s="192" t="s">
        <v>236</v>
      </c>
      <c r="HP3" s="192" t="s">
        <v>236</v>
      </c>
      <c r="HQ3" s="192" t="s">
        <v>236</v>
      </c>
      <c r="HR3" s="192" t="s">
        <v>236</v>
      </c>
      <c r="HS3" s="192" t="s">
        <v>236</v>
      </c>
      <c r="HT3" s="192" t="s">
        <v>236</v>
      </c>
      <c r="HU3" s="192" t="s">
        <v>236</v>
      </c>
      <c r="HV3" s="192" t="s">
        <v>236</v>
      </c>
      <c r="HW3" s="192" t="s">
        <v>236</v>
      </c>
      <c r="HX3" s="192" t="s">
        <v>236</v>
      </c>
      <c r="HY3" s="192" t="s">
        <v>236</v>
      </c>
      <c r="HZ3" s="192" t="s">
        <v>236</v>
      </c>
      <c r="IA3" s="192" t="s">
        <v>236</v>
      </c>
      <c r="IB3" s="192" t="s">
        <v>236</v>
      </c>
      <c r="IC3" s="192" t="s">
        <v>236</v>
      </c>
      <c r="ID3" s="192" t="s">
        <v>236</v>
      </c>
      <c r="IE3" s="192" t="s">
        <v>236</v>
      </c>
      <c r="IF3" s="192" t="s">
        <v>236</v>
      </c>
      <c r="IG3" s="192" t="s">
        <v>236</v>
      </c>
      <c r="IH3" s="192" t="s">
        <v>236</v>
      </c>
      <c r="II3" s="192" t="s">
        <v>236</v>
      </c>
      <c r="IJ3" s="192" t="s">
        <v>236</v>
      </c>
      <c r="IK3" s="192" t="s">
        <v>236</v>
      </c>
      <c r="IL3" s="192" t="s">
        <v>236</v>
      </c>
      <c r="IM3" s="192" t="s">
        <v>236</v>
      </c>
      <c r="IN3" s="192" t="s">
        <v>236</v>
      </c>
      <c r="IO3" s="192" t="s">
        <v>236</v>
      </c>
      <c r="IP3" s="192" t="s">
        <v>236</v>
      </c>
      <c r="IQ3" s="192" t="s">
        <v>236</v>
      </c>
      <c r="IR3" s="192" t="s">
        <v>236</v>
      </c>
      <c r="IS3" s="192" t="s">
        <v>236</v>
      </c>
      <c r="IT3" s="192" t="s">
        <v>236</v>
      </c>
      <c r="IU3" s="192" t="s">
        <v>236</v>
      </c>
      <c r="IV3" s="192" t="s">
        <v>236</v>
      </c>
      <c r="IW3" s="192" t="s">
        <v>236</v>
      </c>
      <c r="IX3" s="192" t="s">
        <v>236</v>
      </c>
      <c r="IY3" s="192" t="s">
        <v>236</v>
      </c>
      <c r="IZ3" s="192" t="s">
        <v>236</v>
      </c>
      <c r="JA3" s="192" t="s">
        <v>236</v>
      </c>
      <c r="JB3" s="192" t="s">
        <v>236</v>
      </c>
      <c r="JC3" s="192" t="s">
        <v>236</v>
      </c>
      <c r="JD3" s="192" t="s">
        <v>236</v>
      </c>
      <c r="JE3" s="192" t="s">
        <v>236</v>
      </c>
      <c r="JF3" s="192" t="s">
        <v>236</v>
      </c>
      <c r="JG3" s="192" t="s">
        <v>236</v>
      </c>
      <c r="JH3" s="192" t="s">
        <v>236</v>
      </c>
      <c r="JI3" s="192" t="s">
        <v>236</v>
      </c>
      <c r="JJ3" s="192" t="s">
        <v>236</v>
      </c>
      <c r="JK3" s="192" t="s">
        <v>236</v>
      </c>
      <c r="JL3" s="192" t="s">
        <v>236</v>
      </c>
      <c r="JM3" s="192" t="s">
        <v>236</v>
      </c>
      <c r="JN3" s="192" t="s">
        <v>236</v>
      </c>
      <c r="JO3" s="192" t="s">
        <v>236</v>
      </c>
      <c r="JP3" s="192" t="s">
        <v>236</v>
      </c>
      <c r="JQ3" s="192" t="s">
        <v>236</v>
      </c>
      <c r="JR3" s="192" t="s">
        <v>236</v>
      </c>
      <c r="JS3" s="192" t="s">
        <v>236</v>
      </c>
      <c r="JT3" s="192" t="s">
        <v>236</v>
      </c>
      <c r="JU3" s="192" t="s">
        <v>236</v>
      </c>
      <c r="JV3" s="192" t="s">
        <v>236</v>
      </c>
      <c r="JW3" s="192" t="s">
        <v>236</v>
      </c>
      <c r="JX3" s="192" t="s">
        <v>236</v>
      </c>
      <c r="JY3" s="192" t="s">
        <v>236</v>
      </c>
      <c r="JZ3" s="192" t="s">
        <v>236</v>
      </c>
      <c r="KA3" s="192" t="s">
        <v>236</v>
      </c>
      <c r="KB3" s="192" t="s">
        <v>236</v>
      </c>
      <c r="KC3" s="192" t="s">
        <v>236</v>
      </c>
      <c r="KD3" s="192" t="s">
        <v>236</v>
      </c>
      <c r="KE3" s="192" t="s">
        <v>236</v>
      </c>
      <c r="KF3" s="192" t="s">
        <v>236</v>
      </c>
      <c r="KG3" s="192" t="s">
        <v>236</v>
      </c>
      <c r="KH3" s="192" t="s">
        <v>236</v>
      </c>
      <c r="KI3" s="192" t="s">
        <v>236</v>
      </c>
      <c r="KJ3" s="192" t="s">
        <v>236</v>
      </c>
      <c r="KK3" s="192" t="s">
        <v>236</v>
      </c>
      <c r="KL3" s="192" t="s">
        <v>236</v>
      </c>
      <c r="KM3" s="192" t="s">
        <v>236</v>
      </c>
      <c r="KN3" s="192" t="s">
        <v>236</v>
      </c>
      <c r="KO3" s="192" t="s">
        <v>236</v>
      </c>
      <c r="KP3" s="192" t="s">
        <v>236</v>
      </c>
      <c r="KQ3" s="192" t="s">
        <v>236</v>
      </c>
      <c r="KR3" s="192" t="s">
        <v>236</v>
      </c>
      <c r="KS3" s="192" t="s">
        <v>236</v>
      </c>
      <c r="KT3" s="192" t="s">
        <v>236</v>
      </c>
      <c r="KU3" s="192" t="s">
        <v>236</v>
      </c>
      <c r="KV3" s="192" t="s">
        <v>236</v>
      </c>
      <c r="KW3" s="192" t="s">
        <v>236</v>
      </c>
      <c r="KX3" s="192" t="s">
        <v>236</v>
      </c>
      <c r="KY3" s="192" t="s">
        <v>236</v>
      </c>
      <c r="KZ3" s="192" t="s">
        <v>236</v>
      </c>
      <c r="LA3" s="192" t="s">
        <v>236</v>
      </c>
      <c r="LB3" s="192" t="s">
        <v>236</v>
      </c>
      <c r="LC3" s="192" t="s">
        <v>236</v>
      </c>
      <c r="LD3" s="192" t="s">
        <v>236</v>
      </c>
      <c r="LE3" s="192" t="s">
        <v>236</v>
      </c>
      <c r="LF3" s="192" t="s">
        <v>236</v>
      </c>
      <c r="LG3" s="192" t="s">
        <v>236</v>
      </c>
      <c r="LH3" s="192" t="s">
        <v>236</v>
      </c>
      <c r="LI3" s="192" t="s">
        <v>236</v>
      </c>
      <c r="LJ3" s="192" t="s">
        <v>236</v>
      </c>
      <c r="LK3" s="192" t="s">
        <v>236</v>
      </c>
      <c r="LL3" s="192" t="s">
        <v>236</v>
      </c>
      <c r="LM3" s="192" t="s">
        <v>236</v>
      </c>
      <c r="LN3" s="192" t="s">
        <v>236</v>
      </c>
      <c r="LO3" s="192" t="s">
        <v>236</v>
      </c>
      <c r="LP3" s="192" t="s">
        <v>236</v>
      </c>
      <c r="LQ3" s="192" t="s">
        <v>236</v>
      </c>
      <c r="LR3" s="192" t="s">
        <v>236</v>
      </c>
      <c r="LS3" s="192" t="s">
        <v>236</v>
      </c>
      <c r="LT3" s="192" t="s">
        <v>236</v>
      </c>
      <c r="LU3" s="192" t="s">
        <v>236</v>
      </c>
      <c r="LV3" s="192" t="s">
        <v>236</v>
      </c>
      <c r="LW3" s="192" t="s">
        <v>236</v>
      </c>
      <c r="LX3" s="192" t="s">
        <v>236</v>
      </c>
      <c r="LY3" s="192" t="s">
        <v>236</v>
      </c>
      <c r="LZ3" s="192" t="s">
        <v>236</v>
      </c>
      <c r="MA3" s="192" t="s">
        <v>236</v>
      </c>
      <c r="MB3" s="192" t="s">
        <v>236</v>
      </c>
      <c r="MC3" s="192" t="s">
        <v>236</v>
      </c>
      <c r="MD3" s="192" t="s">
        <v>236</v>
      </c>
      <c r="ME3" s="192" t="s">
        <v>236</v>
      </c>
      <c r="MF3" s="192" t="s">
        <v>236</v>
      </c>
      <c r="MG3" s="192" t="s">
        <v>236</v>
      </c>
      <c r="MH3" s="192" t="s">
        <v>236</v>
      </c>
      <c r="MI3" s="192" t="s">
        <v>236</v>
      </c>
      <c r="MJ3" s="192" t="s">
        <v>236</v>
      </c>
      <c r="MK3" s="192" t="s">
        <v>236</v>
      </c>
      <c r="ML3" s="192" t="s">
        <v>236</v>
      </c>
      <c r="MM3" s="192" t="s">
        <v>236</v>
      </c>
      <c r="MN3" s="192" t="s">
        <v>236</v>
      </c>
      <c r="MO3" s="192" t="s">
        <v>236</v>
      </c>
      <c r="MP3" s="192" t="s">
        <v>236</v>
      </c>
      <c r="MQ3" s="192" t="s">
        <v>236</v>
      </c>
      <c r="MR3" s="192" t="s">
        <v>236</v>
      </c>
      <c r="MS3" s="192" t="s">
        <v>236</v>
      </c>
      <c r="MT3" s="192" t="s">
        <v>236</v>
      </c>
      <c r="MU3" s="192" t="s">
        <v>236</v>
      </c>
      <c r="MV3" s="192" t="s">
        <v>236</v>
      </c>
      <c r="MW3" s="192" t="s">
        <v>236</v>
      </c>
      <c r="MX3" s="192" t="s">
        <v>236</v>
      </c>
      <c r="MY3" s="192" t="s">
        <v>236</v>
      </c>
      <c r="MZ3" s="192" t="s">
        <v>236</v>
      </c>
      <c r="NA3" s="192" t="s">
        <v>236</v>
      </c>
      <c r="NB3" s="192" t="s">
        <v>236</v>
      </c>
      <c r="NC3" s="192" t="s">
        <v>236</v>
      </c>
      <c r="ND3" s="192" t="s">
        <v>236</v>
      </c>
      <c r="NE3" s="192" t="s">
        <v>236</v>
      </c>
      <c r="NF3" s="192" t="s">
        <v>236</v>
      </c>
      <c r="NG3" s="192" t="s">
        <v>236</v>
      </c>
      <c r="NH3" s="192" t="s">
        <v>236</v>
      </c>
      <c r="NI3" s="192" t="s">
        <v>236</v>
      </c>
      <c r="NJ3" s="192" t="s">
        <v>236</v>
      </c>
      <c r="NK3" s="192" t="s">
        <v>236</v>
      </c>
      <c r="NL3" s="192" t="s">
        <v>236</v>
      </c>
      <c r="NM3" s="192" t="s">
        <v>236</v>
      </c>
      <c r="NN3" s="192" t="s">
        <v>236</v>
      </c>
      <c r="NO3" s="192" t="s">
        <v>236</v>
      </c>
      <c r="NP3" s="192" t="s">
        <v>236</v>
      </c>
      <c r="NQ3" s="192" t="s">
        <v>236</v>
      </c>
      <c r="NR3" s="192" t="s">
        <v>236</v>
      </c>
      <c r="NS3" s="192" t="s">
        <v>236</v>
      </c>
      <c r="NT3" s="192" t="s">
        <v>236</v>
      </c>
      <c r="NU3" s="192" t="s">
        <v>236</v>
      </c>
      <c r="NV3" s="192" t="s">
        <v>236</v>
      </c>
      <c r="NW3" s="192" t="s">
        <v>236</v>
      </c>
      <c r="NX3" s="192" t="s">
        <v>236</v>
      </c>
      <c r="NY3" s="192" t="s">
        <v>236</v>
      </c>
      <c r="NZ3" s="192" t="s">
        <v>236</v>
      </c>
      <c r="OA3" s="192" t="s">
        <v>236</v>
      </c>
      <c r="OB3" s="192" t="s">
        <v>236</v>
      </c>
      <c r="OC3" s="192" t="s">
        <v>236</v>
      </c>
      <c r="OD3" s="192" t="s">
        <v>236</v>
      </c>
      <c r="OE3" s="192" t="s">
        <v>236</v>
      </c>
      <c r="OF3" s="192" t="s">
        <v>236</v>
      </c>
      <c r="OG3" s="192" t="s">
        <v>236</v>
      </c>
      <c r="OH3" s="192" t="s">
        <v>236</v>
      </c>
      <c r="OI3" s="192" t="s">
        <v>236</v>
      </c>
      <c r="OJ3" s="192" t="s">
        <v>236</v>
      </c>
      <c r="OK3" s="192" t="s">
        <v>236</v>
      </c>
      <c r="OL3" s="192" t="s">
        <v>236</v>
      </c>
      <c r="OM3" s="192" t="s">
        <v>236</v>
      </c>
      <c r="ON3" s="192" t="s">
        <v>236</v>
      </c>
      <c r="OO3" s="192" t="s">
        <v>236</v>
      </c>
      <c r="OP3" s="192" t="s">
        <v>236</v>
      </c>
      <c r="OQ3" s="192" t="s">
        <v>236</v>
      </c>
      <c r="OR3" s="192" t="s">
        <v>236</v>
      </c>
      <c r="OS3" s="192" t="s">
        <v>236</v>
      </c>
      <c r="OT3" s="192" t="s">
        <v>236</v>
      </c>
      <c r="OU3" s="192" t="s">
        <v>236</v>
      </c>
      <c r="OV3" s="192" t="s">
        <v>236</v>
      </c>
      <c r="OW3" s="192" t="s">
        <v>236</v>
      </c>
      <c r="OX3" s="192" t="s">
        <v>236</v>
      </c>
      <c r="OY3" s="192" t="s">
        <v>236</v>
      </c>
      <c r="OZ3" s="192" t="s">
        <v>236</v>
      </c>
      <c r="PA3" s="192" t="s">
        <v>236</v>
      </c>
      <c r="PB3" s="192" t="s">
        <v>236</v>
      </c>
      <c r="PC3" s="192" t="s">
        <v>236</v>
      </c>
      <c r="PD3" s="192" t="s">
        <v>236</v>
      </c>
      <c r="PE3" s="192" t="s">
        <v>236</v>
      </c>
      <c r="PF3" s="192" t="s">
        <v>236</v>
      </c>
      <c r="PG3" s="192" t="s">
        <v>236</v>
      </c>
      <c r="PH3" s="192" t="s">
        <v>236</v>
      </c>
      <c r="PI3" s="192" t="s">
        <v>236</v>
      </c>
      <c r="PJ3" s="192" t="s">
        <v>236</v>
      </c>
      <c r="PK3" s="192" t="s">
        <v>236</v>
      </c>
      <c r="PL3" s="192" t="s">
        <v>236</v>
      </c>
      <c r="PM3" s="192" t="s">
        <v>236</v>
      </c>
      <c r="PN3" s="192" t="s">
        <v>236</v>
      </c>
      <c r="PO3" s="192" t="s">
        <v>236</v>
      </c>
      <c r="PP3" s="192" t="s">
        <v>236</v>
      </c>
      <c r="PQ3" s="192" t="s">
        <v>236</v>
      </c>
      <c r="PR3" s="192" t="s">
        <v>236</v>
      </c>
      <c r="PS3" s="192" t="s">
        <v>236</v>
      </c>
      <c r="PT3" s="192" t="s">
        <v>236</v>
      </c>
      <c r="PU3" s="192" t="s">
        <v>236</v>
      </c>
      <c r="PV3" s="192" t="s">
        <v>236</v>
      </c>
      <c r="PW3" s="192" t="s">
        <v>236</v>
      </c>
      <c r="PX3" s="192" t="s">
        <v>236</v>
      </c>
      <c r="PY3" s="192" t="s">
        <v>236</v>
      </c>
      <c r="PZ3" s="192" t="s">
        <v>236</v>
      </c>
      <c r="QA3" s="192" t="s">
        <v>236</v>
      </c>
      <c r="QB3" s="192" t="s">
        <v>236</v>
      </c>
      <c r="QC3" s="192" t="s">
        <v>236</v>
      </c>
      <c r="QD3" s="192" t="s">
        <v>236</v>
      </c>
      <c r="QE3" s="192" t="s">
        <v>236</v>
      </c>
      <c r="QF3" s="192" t="s">
        <v>236</v>
      </c>
      <c r="QG3" s="192" t="s">
        <v>236</v>
      </c>
      <c r="QH3" s="192" t="s">
        <v>236</v>
      </c>
      <c r="QI3" s="192" t="s">
        <v>236</v>
      </c>
      <c r="QJ3" s="192" t="s">
        <v>236</v>
      </c>
      <c r="QK3" s="192" t="s">
        <v>236</v>
      </c>
      <c r="QL3" s="192" t="s">
        <v>236</v>
      </c>
      <c r="QM3" s="192" t="s">
        <v>236</v>
      </c>
      <c r="QN3" s="192" t="s">
        <v>236</v>
      </c>
      <c r="QO3" s="192" t="s">
        <v>236</v>
      </c>
      <c r="QP3" s="192" t="s">
        <v>236</v>
      </c>
      <c r="QQ3" s="192" t="s">
        <v>236</v>
      </c>
      <c r="QR3" s="192" t="s">
        <v>236</v>
      </c>
      <c r="QS3" s="192" t="s">
        <v>236</v>
      </c>
      <c r="QT3" s="192" t="s">
        <v>236</v>
      </c>
      <c r="QU3" s="192" t="s">
        <v>236</v>
      </c>
      <c r="QV3" s="192" t="s">
        <v>236</v>
      </c>
      <c r="QW3" s="192" t="s">
        <v>236</v>
      </c>
      <c r="QX3" s="192" t="s">
        <v>236</v>
      </c>
      <c r="QY3" s="192" t="s">
        <v>236</v>
      </c>
      <c r="QZ3" s="192" t="s">
        <v>236</v>
      </c>
      <c r="RA3" s="192" t="s">
        <v>236</v>
      </c>
      <c r="RB3" s="192" t="s">
        <v>236</v>
      </c>
      <c r="RC3" s="192" t="s">
        <v>236</v>
      </c>
      <c r="RD3" s="192" t="s">
        <v>236</v>
      </c>
      <c r="RE3" s="192" t="s">
        <v>236</v>
      </c>
      <c r="RF3" s="192" t="s">
        <v>236</v>
      </c>
      <c r="RG3" s="192" t="s">
        <v>236</v>
      </c>
      <c r="RH3" s="192" t="s">
        <v>236</v>
      </c>
      <c r="RI3" s="192" t="s">
        <v>236</v>
      </c>
      <c r="RJ3" s="192" t="s">
        <v>236</v>
      </c>
      <c r="RK3" s="192" t="s">
        <v>236</v>
      </c>
      <c r="RL3" s="192" t="s">
        <v>236</v>
      </c>
      <c r="RM3" s="192" t="s">
        <v>236</v>
      </c>
      <c r="RN3" s="192" t="s">
        <v>236</v>
      </c>
      <c r="RO3" s="192" t="s">
        <v>236</v>
      </c>
      <c r="RP3" s="192" t="s">
        <v>236</v>
      </c>
      <c r="RQ3" s="192" t="s">
        <v>236</v>
      </c>
      <c r="RR3" s="192" t="s">
        <v>236</v>
      </c>
      <c r="RS3" s="192" t="s">
        <v>236</v>
      </c>
      <c r="RT3" s="192" t="s">
        <v>236</v>
      </c>
      <c r="RU3" s="192" t="s">
        <v>236</v>
      </c>
      <c r="RV3" s="192" t="s">
        <v>236</v>
      </c>
      <c r="RW3" s="192" t="s">
        <v>236</v>
      </c>
      <c r="RX3" s="192" t="s">
        <v>236</v>
      </c>
      <c r="RY3" s="192" t="s">
        <v>236</v>
      </c>
      <c r="RZ3" s="192" t="s">
        <v>236</v>
      </c>
      <c r="SA3" s="192" t="s">
        <v>236</v>
      </c>
      <c r="SB3" s="192" t="s">
        <v>236</v>
      </c>
      <c r="SC3" s="192" t="s">
        <v>236</v>
      </c>
      <c r="SD3" s="192" t="s">
        <v>236</v>
      </c>
      <c r="SE3" s="192" t="s">
        <v>236</v>
      </c>
      <c r="SF3" s="192" t="s">
        <v>236</v>
      </c>
      <c r="SG3" s="192" t="s">
        <v>236</v>
      </c>
      <c r="SH3" s="192" t="s">
        <v>236</v>
      </c>
      <c r="SI3" s="192" t="s">
        <v>236</v>
      </c>
      <c r="SJ3" s="192" t="s">
        <v>236</v>
      </c>
      <c r="SK3" s="192" t="s">
        <v>236</v>
      </c>
      <c r="SL3" s="192" t="s">
        <v>236</v>
      </c>
      <c r="SM3" s="192" t="s">
        <v>236</v>
      </c>
      <c r="SN3" s="192" t="s">
        <v>236</v>
      </c>
      <c r="SO3" s="192" t="s">
        <v>236</v>
      </c>
      <c r="SP3" s="192" t="s">
        <v>236</v>
      </c>
      <c r="SQ3" s="192" t="s">
        <v>236</v>
      </c>
      <c r="SR3" s="192" t="s">
        <v>236</v>
      </c>
      <c r="SS3" s="192" t="s">
        <v>236</v>
      </c>
      <c r="ST3" s="192" t="s">
        <v>236</v>
      </c>
      <c r="SU3" s="192" t="s">
        <v>236</v>
      </c>
      <c r="SV3" s="192" t="s">
        <v>236</v>
      </c>
      <c r="SW3" s="192" t="s">
        <v>236</v>
      </c>
      <c r="SX3" s="192" t="s">
        <v>236</v>
      </c>
      <c r="SY3" s="192" t="s">
        <v>236</v>
      </c>
      <c r="SZ3" s="192" t="s">
        <v>236</v>
      </c>
      <c r="TA3" s="192" t="s">
        <v>236</v>
      </c>
      <c r="TB3" s="192" t="s">
        <v>236</v>
      </c>
      <c r="TC3" s="192" t="s">
        <v>236</v>
      </c>
      <c r="TD3" s="192" t="s">
        <v>236</v>
      </c>
      <c r="TE3" s="192" t="s">
        <v>236</v>
      </c>
      <c r="TF3" s="192" t="s">
        <v>236</v>
      </c>
      <c r="TG3" s="192" t="s">
        <v>236</v>
      </c>
      <c r="TH3" s="192" t="s">
        <v>236</v>
      </c>
      <c r="TI3" s="192" t="s">
        <v>236</v>
      </c>
      <c r="TJ3" s="192" t="s">
        <v>236</v>
      </c>
      <c r="TK3" s="192" t="s">
        <v>236</v>
      </c>
      <c r="TL3" s="192" t="s">
        <v>236</v>
      </c>
      <c r="TM3" s="192" t="s">
        <v>236</v>
      </c>
      <c r="TN3" s="192" t="s">
        <v>236</v>
      </c>
      <c r="TO3" s="192" t="s">
        <v>236</v>
      </c>
      <c r="TP3" s="192" t="s">
        <v>236</v>
      </c>
      <c r="TQ3" s="192" t="s">
        <v>236</v>
      </c>
      <c r="TR3" s="192" t="s">
        <v>236</v>
      </c>
      <c r="TS3" s="192" t="s">
        <v>236</v>
      </c>
      <c r="TT3" s="192" t="s">
        <v>236</v>
      </c>
      <c r="TU3" s="192" t="s">
        <v>236</v>
      </c>
      <c r="TV3" s="192" t="s">
        <v>236</v>
      </c>
      <c r="TW3" s="192" t="s">
        <v>236</v>
      </c>
      <c r="TX3" s="192" t="s">
        <v>236</v>
      </c>
      <c r="TY3" s="192" t="s">
        <v>236</v>
      </c>
      <c r="TZ3" s="192" t="s">
        <v>236</v>
      </c>
      <c r="UA3" s="192" t="s">
        <v>236</v>
      </c>
      <c r="UB3" s="192" t="s">
        <v>236</v>
      </c>
      <c r="UC3" s="192" t="s">
        <v>236</v>
      </c>
      <c r="UD3" s="192" t="s">
        <v>236</v>
      </c>
      <c r="UE3" s="192" t="s">
        <v>236</v>
      </c>
      <c r="UF3" s="192" t="s">
        <v>236</v>
      </c>
      <c r="UG3" s="192" t="s">
        <v>236</v>
      </c>
      <c r="UH3" s="192" t="s">
        <v>236</v>
      </c>
      <c r="UI3" s="192" t="s">
        <v>236</v>
      </c>
      <c r="UJ3" s="192" t="s">
        <v>236</v>
      </c>
      <c r="UK3" s="192" t="s">
        <v>236</v>
      </c>
      <c r="UL3" s="192" t="s">
        <v>236</v>
      </c>
      <c r="UM3" s="192" t="s">
        <v>236</v>
      </c>
      <c r="UN3" s="192" t="s">
        <v>236</v>
      </c>
      <c r="UO3" s="192" t="s">
        <v>236</v>
      </c>
      <c r="UP3" s="192" t="s">
        <v>236</v>
      </c>
      <c r="UQ3" s="192" t="s">
        <v>236</v>
      </c>
      <c r="UR3" s="192" t="s">
        <v>236</v>
      </c>
      <c r="US3" s="192" t="s">
        <v>236</v>
      </c>
      <c r="UT3" s="192" t="s">
        <v>236</v>
      </c>
      <c r="UU3" s="192" t="s">
        <v>236</v>
      </c>
      <c r="UV3" s="192" t="s">
        <v>236</v>
      </c>
      <c r="UW3" s="192" t="s">
        <v>236</v>
      </c>
      <c r="UX3" s="192" t="s">
        <v>236</v>
      </c>
      <c r="UY3" s="192" t="s">
        <v>236</v>
      </c>
      <c r="UZ3" s="192" t="s">
        <v>236</v>
      </c>
      <c r="VA3" s="192" t="s">
        <v>236</v>
      </c>
      <c r="VB3" s="192" t="s">
        <v>236</v>
      </c>
      <c r="VC3" s="192" t="s">
        <v>236</v>
      </c>
      <c r="VD3" s="192" t="s">
        <v>236</v>
      </c>
      <c r="VE3" s="192" t="s">
        <v>236</v>
      </c>
      <c r="VF3" s="192" t="s">
        <v>236</v>
      </c>
      <c r="VG3" s="192" t="s">
        <v>236</v>
      </c>
      <c r="VH3" s="192" t="s">
        <v>236</v>
      </c>
      <c r="VI3" s="192" t="s">
        <v>236</v>
      </c>
      <c r="VJ3" s="192" t="s">
        <v>236</v>
      </c>
      <c r="VK3" s="192" t="s">
        <v>236</v>
      </c>
      <c r="VL3" s="192" t="s">
        <v>236</v>
      </c>
      <c r="VM3" s="192" t="s">
        <v>236</v>
      </c>
      <c r="VN3" s="192" t="s">
        <v>236</v>
      </c>
      <c r="VO3" s="192" t="s">
        <v>236</v>
      </c>
      <c r="VP3" s="192" t="s">
        <v>236</v>
      </c>
      <c r="VQ3" s="192" t="s">
        <v>236</v>
      </c>
      <c r="VR3" s="192" t="s">
        <v>236</v>
      </c>
      <c r="VS3" s="192" t="s">
        <v>236</v>
      </c>
      <c r="VT3" s="192" t="s">
        <v>236</v>
      </c>
      <c r="VU3" s="192" t="s">
        <v>236</v>
      </c>
      <c r="VV3" s="192" t="s">
        <v>236</v>
      </c>
      <c r="VW3" s="192" t="s">
        <v>236</v>
      </c>
      <c r="VX3" s="192" t="s">
        <v>236</v>
      </c>
      <c r="VY3" s="192" t="s">
        <v>236</v>
      </c>
      <c r="VZ3" s="192" t="s">
        <v>236</v>
      </c>
      <c r="WA3" s="192" t="s">
        <v>236</v>
      </c>
      <c r="WB3" s="192" t="s">
        <v>236</v>
      </c>
      <c r="WC3" s="192" t="s">
        <v>236</v>
      </c>
      <c r="WD3" s="192" t="s">
        <v>236</v>
      </c>
      <c r="WE3" s="192" t="s">
        <v>236</v>
      </c>
      <c r="WF3" s="192" t="s">
        <v>236</v>
      </c>
      <c r="WG3" s="192" t="s">
        <v>236</v>
      </c>
      <c r="WH3" s="192" t="s">
        <v>236</v>
      </c>
      <c r="WI3" s="192" t="s">
        <v>236</v>
      </c>
      <c r="WJ3" s="192" t="s">
        <v>236</v>
      </c>
      <c r="WK3" s="192" t="s">
        <v>236</v>
      </c>
      <c r="WL3" s="192" t="s">
        <v>236</v>
      </c>
      <c r="WM3" s="192" t="s">
        <v>236</v>
      </c>
      <c r="WN3" s="192" t="s">
        <v>236</v>
      </c>
      <c r="WO3" s="192" t="s">
        <v>236</v>
      </c>
      <c r="WP3" s="192" t="s">
        <v>236</v>
      </c>
      <c r="WQ3" s="192" t="s">
        <v>236</v>
      </c>
      <c r="WR3" s="192" t="s">
        <v>236</v>
      </c>
      <c r="WS3" s="192" t="s">
        <v>236</v>
      </c>
      <c r="WT3" s="192" t="s">
        <v>236</v>
      </c>
      <c r="WU3" s="192" t="s">
        <v>236</v>
      </c>
      <c r="WV3" s="192" t="s">
        <v>236</v>
      </c>
      <c r="WW3" s="192" t="s">
        <v>236</v>
      </c>
      <c r="WX3" s="192" t="s">
        <v>236</v>
      </c>
      <c r="WY3" s="192" t="s">
        <v>236</v>
      </c>
      <c r="WZ3" s="192" t="s">
        <v>236</v>
      </c>
      <c r="XA3" s="192" t="s">
        <v>236</v>
      </c>
      <c r="XB3" s="192" t="s">
        <v>236</v>
      </c>
      <c r="XC3" s="192" t="s">
        <v>236</v>
      </c>
      <c r="XD3" s="192" t="s">
        <v>236</v>
      </c>
      <c r="XE3" s="192" t="s">
        <v>236</v>
      </c>
      <c r="XF3" s="192" t="s">
        <v>236</v>
      </c>
      <c r="XG3" s="192" t="s">
        <v>236</v>
      </c>
      <c r="XH3" s="192" t="s">
        <v>236</v>
      </c>
      <c r="XI3" s="192" t="s">
        <v>236</v>
      </c>
      <c r="XJ3" s="192" t="s">
        <v>236</v>
      </c>
      <c r="XK3" s="192" t="s">
        <v>236</v>
      </c>
      <c r="XL3" s="192" t="s">
        <v>236</v>
      </c>
      <c r="XM3" s="192" t="s">
        <v>236</v>
      </c>
      <c r="XN3" s="192" t="s">
        <v>236</v>
      </c>
      <c r="XO3" s="192" t="s">
        <v>236</v>
      </c>
      <c r="XP3" s="192" t="s">
        <v>236</v>
      </c>
      <c r="XQ3" s="192" t="s">
        <v>236</v>
      </c>
      <c r="XR3" s="192" t="s">
        <v>236</v>
      </c>
      <c r="XS3" s="192" t="s">
        <v>236</v>
      </c>
      <c r="XT3" s="192" t="s">
        <v>236</v>
      </c>
      <c r="XU3" s="192" t="s">
        <v>236</v>
      </c>
      <c r="XV3" s="192" t="s">
        <v>236</v>
      </c>
      <c r="XW3" s="192" t="s">
        <v>236</v>
      </c>
      <c r="XX3" s="192" t="s">
        <v>236</v>
      </c>
      <c r="XY3" s="192" t="s">
        <v>236</v>
      </c>
      <c r="XZ3" s="192" t="s">
        <v>236</v>
      </c>
      <c r="YA3" s="192" t="s">
        <v>236</v>
      </c>
      <c r="YB3" s="192" t="s">
        <v>236</v>
      </c>
      <c r="YC3" s="192" t="s">
        <v>236</v>
      </c>
      <c r="YD3" s="192" t="s">
        <v>236</v>
      </c>
      <c r="YE3" s="192" t="s">
        <v>236</v>
      </c>
      <c r="YF3" s="192" t="s">
        <v>236</v>
      </c>
      <c r="YG3" s="192" t="s">
        <v>236</v>
      </c>
      <c r="YH3" s="192" t="s">
        <v>236</v>
      </c>
      <c r="YI3" s="192" t="s">
        <v>236</v>
      </c>
      <c r="YJ3" s="192" t="s">
        <v>236</v>
      </c>
      <c r="YK3" s="192" t="s">
        <v>236</v>
      </c>
      <c r="YL3" s="192" t="s">
        <v>236</v>
      </c>
      <c r="YM3" s="192" t="s">
        <v>236</v>
      </c>
      <c r="YN3" s="192" t="s">
        <v>236</v>
      </c>
      <c r="YO3" s="192" t="s">
        <v>236</v>
      </c>
      <c r="YP3" s="192" t="s">
        <v>236</v>
      </c>
      <c r="YQ3" s="192" t="s">
        <v>236</v>
      </c>
      <c r="YR3" s="192" t="s">
        <v>236</v>
      </c>
      <c r="YS3" s="192" t="s">
        <v>236</v>
      </c>
      <c r="YT3" s="192" t="s">
        <v>236</v>
      </c>
      <c r="YU3" s="192" t="s">
        <v>236</v>
      </c>
      <c r="YV3" s="192" t="s">
        <v>236</v>
      </c>
      <c r="YW3" s="192" t="s">
        <v>236</v>
      </c>
      <c r="YX3" s="192" t="s">
        <v>236</v>
      </c>
      <c r="YY3" s="192" t="s">
        <v>236</v>
      </c>
      <c r="YZ3" s="192" t="s">
        <v>236</v>
      </c>
      <c r="ZA3" s="192" t="s">
        <v>236</v>
      </c>
      <c r="ZB3" s="192" t="s">
        <v>236</v>
      </c>
      <c r="ZC3" s="192" t="s">
        <v>236</v>
      </c>
      <c r="ZD3" s="192" t="s">
        <v>236</v>
      </c>
      <c r="ZE3" s="192" t="s">
        <v>236</v>
      </c>
      <c r="ZF3" s="192" t="s">
        <v>236</v>
      </c>
      <c r="ZG3" s="192" t="s">
        <v>236</v>
      </c>
      <c r="ZH3" s="192" t="s">
        <v>236</v>
      </c>
      <c r="ZI3" s="192" t="s">
        <v>236</v>
      </c>
      <c r="ZJ3" s="192" t="s">
        <v>236</v>
      </c>
      <c r="ZK3" s="192" t="s">
        <v>236</v>
      </c>
      <c r="ZL3" s="192" t="s">
        <v>236</v>
      </c>
      <c r="ZM3" s="192" t="s">
        <v>236</v>
      </c>
      <c r="ZN3" s="192" t="s">
        <v>236</v>
      </c>
      <c r="ZO3" s="192" t="s">
        <v>236</v>
      </c>
      <c r="ZP3" s="192" t="s">
        <v>236</v>
      </c>
      <c r="ZQ3" s="192" t="s">
        <v>236</v>
      </c>
      <c r="ZR3" s="192" t="s">
        <v>236</v>
      </c>
      <c r="ZS3" s="192" t="s">
        <v>236</v>
      </c>
      <c r="ZT3" s="192" t="s">
        <v>236</v>
      </c>
      <c r="ZU3" s="192" t="s">
        <v>236</v>
      </c>
      <c r="ZV3" s="192" t="s">
        <v>236</v>
      </c>
      <c r="ZW3" s="192" t="s">
        <v>236</v>
      </c>
      <c r="ZX3" s="192" t="s">
        <v>236</v>
      </c>
      <c r="ZY3" s="192" t="s">
        <v>236</v>
      </c>
      <c r="ZZ3" s="192" t="s">
        <v>236</v>
      </c>
    </row>
    <row r="4" spans="1:702" s="193" customFormat="1" ht="12.75" thickBot="1" x14ac:dyDescent="0.25">
      <c r="A4" s="249" t="s">
        <v>831</v>
      </c>
      <c r="B4" s="196" t="str">
        <f>HLOOKUP($B$2,DB_Artikel,ROW()-1,FALSE)</f>
        <v>Busbar klein</v>
      </c>
      <c r="C4" s="212" t="str">
        <f>'Quick Input'!I9</f>
        <v>Bezeichnung</v>
      </c>
      <c r="D4" s="193" t="s">
        <v>637</v>
      </c>
      <c r="E4" s="193" t="s">
        <v>637</v>
      </c>
      <c r="F4" s="193" t="s">
        <v>637</v>
      </c>
      <c r="G4" s="193" t="s">
        <v>637</v>
      </c>
      <c r="H4" s="193" t="s">
        <v>831</v>
      </c>
      <c r="I4" s="193" t="s">
        <v>831</v>
      </c>
      <c r="J4" s="193" t="s">
        <v>848</v>
      </c>
      <c r="K4" s="193" t="s">
        <v>848</v>
      </c>
      <c r="L4" s="193" t="s">
        <v>848</v>
      </c>
      <c r="M4" s="194" t="s">
        <v>848</v>
      </c>
      <c r="N4" s="193" t="s">
        <v>848</v>
      </c>
      <c r="O4" s="193" t="s">
        <v>848</v>
      </c>
      <c r="P4" s="193" t="s">
        <v>848</v>
      </c>
      <c r="Q4" s="193" t="s">
        <v>848</v>
      </c>
      <c r="R4" s="193" t="s">
        <v>848</v>
      </c>
      <c r="S4" s="193" t="s">
        <v>637</v>
      </c>
      <c r="T4" s="193" t="s">
        <v>637</v>
      </c>
      <c r="U4" s="193" t="s">
        <v>831</v>
      </c>
      <c r="EW4" s="249"/>
      <c r="EX4" s="249"/>
      <c r="EY4" s="249"/>
      <c r="EZ4" s="249"/>
      <c r="FA4" s="249"/>
      <c r="FB4" s="249"/>
      <c r="FC4" s="249"/>
      <c r="FD4" s="249"/>
      <c r="FE4" s="249"/>
      <c r="FF4" s="249"/>
      <c r="FG4" s="249"/>
      <c r="FH4" s="249"/>
      <c r="FI4" s="249"/>
      <c r="FJ4" s="249"/>
      <c r="FK4" s="249"/>
      <c r="FL4" s="249"/>
      <c r="FM4" s="249"/>
      <c r="FN4" s="249"/>
      <c r="FO4" s="249"/>
      <c r="FP4" s="249"/>
      <c r="FQ4" s="249"/>
      <c r="FR4" s="249"/>
      <c r="FS4" s="249"/>
      <c r="FT4" s="249"/>
      <c r="FU4" s="249"/>
      <c r="FV4" s="249"/>
      <c r="FW4" s="249"/>
      <c r="FX4" s="249"/>
      <c r="FY4" s="249"/>
      <c r="FZ4" s="249"/>
      <c r="GA4" s="249"/>
      <c r="GB4" s="249"/>
      <c r="GC4" s="249"/>
      <c r="GD4" s="249"/>
      <c r="GE4" s="249"/>
      <c r="GF4" s="249"/>
      <c r="GG4" s="249"/>
      <c r="GH4" s="249"/>
      <c r="GI4" s="249"/>
      <c r="GJ4" s="249"/>
      <c r="GK4" s="249"/>
      <c r="GL4" s="249"/>
      <c r="GM4" s="249"/>
      <c r="GN4" s="249"/>
      <c r="GO4" s="249"/>
      <c r="GP4" s="249"/>
      <c r="GQ4" s="249"/>
      <c r="GR4" s="249"/>
      <c r="GS4" s="249"/>
      <c r="GT4" s="249"/>
      <c r="GU4" s="249"/>
      <c r="GV4" s="249"/>
      <c r="GW4" s="249"/>
      <c r="GX4" s="249"/>
      <c r="GY4" s="249"/>
      <c r="GZ4" s="249"/>
      <c r="HA4" s="249"/>
      <c r="HB4" s="249"/>
      <c r="HC4" s="249"/>
      <c r="HD4" s="249"/>
      <c r="HE4" s="249"/>
      <c r="HF4" s="249"/>
      <c r="HG4" s="249"/>
      <c r="HH4" s="249"/>
      <c r="HI4" s="249"/>
      <c r="HJ4" s="249"/>
      <c r="HK4" s="249"/>
      <c r="HL4" s="249"/>
      <c r="HM4" s="249"/>
      <c r="HN4" s="249"/>
      <c r="HO4" s="249"/>
      <c r="HP4" s="249"/>
      <c r="HQ4" s="249"/>
      <c r="HR4" s="249"/>
      <c r="HS4" s="249"/>
      <c r="HT4" s="249"/>
      <c r="HU4" s="249"/>
      <c r="HV4" s="249"/>
      <c r="HW4" s="249"/>
      <c r="HX4" s="249"/>
      <c r="HY4" s="249"/>
      <c r="HZ4" s="249"/>
      <c r="IA4" s="249"/>
      <c r="IB4" s="249"/>
      <c r="IC4" s="249"/>
      <c r="ID4" s="249"/>
      <c r="IE4" s="249"/>
      <c r="IF4" s="249"/>
      <c r="IG4" s="249"/>
      <c r="IH4" s="249"/>
      <c r="II4" s="249"/>
      <c r="IJ4" s="249"/>
      <c r="IK4" s="249"/>
      <c r="IL4" s="249"/>
      <c r="IM4" s="249"/>
      <c r="IN4" s="249"/>
      <c r="IO4" s="249"/>
      <c r="IP4" s="249"/>
      <c r="IQ4" s="249"/>
      <c r="IR4" s="249"/>
      <c r="IS4" s="249"/>
      <c r="IT4" s="249"/>
      <c r="IU4" s="249"/>
      <c r="IV4" s="249"/>
    </row>
    <row r="5" spans="1:702" s="193" customFormat="1" ht="12.75" thickBot="1" x14ac:dyDescent="0.25">
      <c r="A5" s="249" t="s">
        <v>346</v>
      </c>
      <c r="B5" s="196" t="str">
        <f>HLOOKUP($B$2,DB_Artikel,ROW()-1,FALSE)</f>
        <v>EN AC-71000</v>
      </c>
      <c r="C5" s="212" t="str">
        <f>'Quick Input'!I10</f>
        <v>AL-Materialart</v>
      </c>
      <c r="D5" s="193" t="s">
        <v>329</v>
      </c>
      <c r="E5" s="193" t="s">
        <v>329</v>
      </c>
      <c r="F5" s="193" t="s">
        <v>328</v>
      </c>
      <c r="G5" s="193" t="s">
        <v>328</v>
      </c>
      <c r="H5" s="193" t="s">
        <v>346</v>
      </c>
      <c r="I5" s="193" t="s">
        <v>346</v>
      </c>
      <c r="J5" s="193" t="s">
        <v>307</v>
      </c>
      <c r="K5" s="193" t="s">
        <v>307</v>
      </c>
      <c r="L5" s="193" t="s">
        <v>307</v>
      </c>
      <c r="M5" s="194" t="s">
        <v>307</v>
      </c>
      <c r="N5" s="193" t="s">
        <v>328</v>
      </c>
      <c r="O5" s="193" t="s">
        <v>328</v>
      </c>
      <c r="P5" s="193" t="s">
        <v>307</v>
      </c>
      <c r="Q5" s="193" t="s">
        <v>307</v>
      </c>
      <c r="R5" s="193" t="s">
        <v>328</v>
      </c>
      <c r="S5" s="193" t="s">
        <v>329</v>
      </c>
      <c r="T5" s="193" t="s">
        <v>328</v>
      </c>
      <c r="U5" s="193" t="s">
        <v>346</v>
      </c>
      <c r="EW5" s="249"/>
      <c r="EX5" s="249"/>
      <c r="EY5" s="249"/>
      <c r="EZ5" s="249"/>
      <c r="FA5" s="249"/>
      <c r="FB5" s="249"/>
      <c r="FC5" s="249"/>
      <c r="FD5" s="249"/>
      <c r="FE5" s="249"/>
      <c r="FF5" s="249"/>
      <c r="FG5" s="249"/>
      <c r="FH5" s="249"/>
      <c r="FI5" s="249"/>
      <c r="FJ5" s="249"/>
      <c r="FK5" s="249"/>
      <c r="FL5" s="249"/>
      <c r="FM5" s="249"/>
      <c r="FN5" s="249"/>
      <c r="FO5" s="249"/>
      <c r="FP5" s="249"/>
      <c r="FQ5" s="249"/>
      <c r="FR5" s="249"/>
      <c r="FS5" s="249"/>
      <c r="FT5" s="249"/>
      <c r="FU5" s="249"/>
      <c r="FV5" s="249"/>
      <c r="FW5" s="249"/>
      <c r="FX5" s="249"/>
      <c r="FY5" s="249"/>
      <c r="FZ5" s="249"/>
      <c r="GA5" s="249"/>
      <c r="GB5" s="249"/>
      <c r="GC5" s="249"/>
      <c r="GD5" s="249"/>
      <c r="GE5" s="249"/>
      <c r="GF5" s="249"/>
      <c r="GG5" s="249"/>
      <c r="GH5" s="249"/>
      <c r="GI5" s="249"/>
      <c r="GJ5" s="249"/>
      <c r="GK5" s="249"/>
      <c r="GL5" s="249"/>
      <c r="GM5" s="249"/>
      <c r="GN5" s="249"/>
      <c r="GO5" s="249"/>
      <c r="GP5" s="249"/>
      <c r="GQ5" s="249"/>
      <c r="GR5" s="249"/>
      <c r="GS5" s="249"/>
      <c r="GT5" s="249"/>
      <c r="GU5" s="249"/>
      <c r="GV5" s="249"/>
      <c r="GW5" s="249"/>
      <c r="GX5" s="249"/>
      <c r="GY5" s="249"/>
      <c r="GZ5" s="249"/>
      <c r="HA5" s="249"/>
      <c r="HB5" s="249"/>
      <c r="HC5" s="249"/>
      <c r="HD5" s="249"/>
      <c r="HE5" s="249"/>
      <c r="HF5" s="249"/>
      <c r="HG5" s="249"/>
      <c r="HH5" s="249"/>
      <c r="HI5" s="249"/>
      <c r="HJ5" s="249"/>
      <c r="HK5" s="249"/>
      <c r="HL5" s="249"/>
      <c r="HM5" s="249"/>
      <c r="HN5" s="249"/>
      <c r="HO5" s="249"/>
      <c r="HP5" s="249"/>
      <c r="HQ5" s="249"/>
      <c r="HR5" s="249"/>
      <c r="HS5" s="249"/>
      <c r="HT5" s="249"/>
      <c r="HU5" s="249"/>
      <c r="HV5" s="249"/>
      <c r="HW5" s="249"/>
      <c r="HX5" s="249"/>
      <c r="HY5" s="249"/>
      <c r="HZ5" s="249"/>
      <c r="IA5" s="249"/>
      <c r="IB5" s="249"/>
      <c r="IC5" s="249"/>
      <c r="ID5" s="249"/>
      <c r="IE5" s="249"/>
      <c r="IF5" s="249"/>
      <c r="IG5" s="249"/>
      <c r="IH5" s="249"/>
      <c r="II5" s="249"/>
      <c r="IJ5" s="249"/>
      <c r="IK5" s="249"/>
      <c r="IL5" s="249"/>
      <c r="IM5" s="249"/>
      <c r="IN5" s="249"/>
      <c r="IO5" s="249"/>
      <c r="IP5" s="249"/>
      <c r="IQ5" s="249"/>
      <c r="IR5" s="249"/>
      <c r="IS5" s="249"/>
      <c r="IT5" s="249"/>
      <c r="IU5" s="249"/>
      <c r="IV5" s="249"/>
    </row>
    <row r="6" spans="1:702" s="193" customFormat="1" ht="12.75" thickBot="1" x14ac:dyDescent="0.25">
      <c r="A6" s="249" t="s">
        <v>752</v>
      </c>
      <c r="B6" s="196" t="str">
        <f>HLOOKUP($B$2,DB_Artikel,ROW()-1,FALSE)</f>
        <v>Al Zn5Mg</v>
      </c>
      <c r="C6" s="212" t="str">
        <f>'Quick Input'!I11</f>
        <v>Bezeichnung</v>
      </c>
      <c r="D6" s="193" t="s">
        <v>723</v>
      </c>
      <c r="E6" s="193" t="s">
        <v>723</v>
      </c>
      <c r="F6" s="193" t="s">
        <v>722</v>
      </c>
      <c r="G6" s="193" t="s">
        <v>722</v>
      </c>
      <c r="H6" s="193" t="s">
        <v>752</v>
      </c>
      <c r="I6" s="193" t="s">
        <v>752</v>
      </c>
      <c r="J6" s="193" t="s">
        <v>729</v>
      </c>
      <c r="K6" s="193" t="s">
        <v>729</v>
      </c>
      <c r="L6" s="193" t="s">
        <v>729</v>
      </c>
      <c r="M6" s="194" t="s">
        <v>729</v>
      </c>
      <c r="N6" s="193" t="s">
        <v>722</v>
      </c>
      <c r="O6" s="193" t="s">
        <v>722</v>
      </c>
      <c r="P6" s="193" t="s">
        <v>729</v>
      </c>
      <c r="Q6" s="193" t="s">
        <v>729</v>
      </c>
      <c r="R6" s="193" t="s">
        <v>722</v>
      </c>
      <c r="S6" s="193" t="s">
        <v>723</v>
      </c>
      <c r="T6" s="193" t="s">
        <v>722</v>
      </c>
      <c r="U6" s="193" t="s">
        <v>752</v>
      </c>
      <c r="EW6" s="249"/>
      <c r="EX6" s="249"/>
      <c r="EY6" s="249"/>
      <c r="EZ6" s="249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49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49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  <c r="HM6" s="249"/>
      <c r="HN6" s="249"/>
      <c r="HO6" s="249"/>
      <c r="HP6" s="249"/>
      <c r="HQ6" s="249"/>
      <c r="HR6" s="249"/>
      <c r="HS6" s="249"/>
      <c r="HT6" s="249"/>
      <c r="HU6" s="249"/>
      <c r="HV6" s="249"/>
      <c r="HW6" s="249"/>
      <c r="HX6" s="249"/>
      <c r="HY6" s="249"/>
      <c r="HZ6" s="249"/>
      <c r="IA6" s="249"/>
      <c r="IB6" s="249"/>
      <c r="IC6" s="249"/>
      <c r="ID6" s="249"/>
      <c r="IE6" s="249"/>
      <c r="IF6" s="249"/>
      <c r="IG6" s="249"/>
      <c r="IH6" s="249"/>
      <c r="II6" s="249"/>
      <c r="IJ6" s="249"/>
      <c r="IK6" s="249"/>
      <c r="IL6" s="249"/>
      <c r="IM6" s="249"/>
      <c r="IN6" s="249"/>
      <c r="IO6" s="249"/>
      <c r="IP6" s="249"/>
      <c r="IQ6" s="249"/>
      <c r="IR6" s="249"/>
      <c r="IS6" s="249"/>
      <c r="IT6" s="249"/>
      <c r="IU6" s="249"/>
      <c r="IV6" s="249"/>
    </row>
    <row r="7" spans="1:702" s="193" customFormat="1" ht="12.75" thickBot="1" x14ac:dyDescent="0.25">
      <c r="A7" s="249" t="s">
        <v>6</v>
      </c>
      <c r="B7" s="196" t="str">
        <f>VLOOKUP(VLOOKUP(HLOOKUP($B$2,DB_Artikel,ROW()-1,FALSE),Auswahlfelder!$D$12:$E$13,2,FALSE),Auswahlfelder!$A$12:$B$13,2,FALSE)</f>
        <v>Materialdatenbank</v>
      </c>
      <c r="C7" s="212" t="str">
        <f>'Quick Input'!I12</f>
        <v>Quelle Materialpreis</v>
      </c>
      <c r="D7" s="193" t="s">
        <v>6</v>
      </c>
      <c r="E7" s="193" t="s">
        <v>6</v>
      </c>
      <c r="F7" s="193" t="s">
        <v>6</v>
      </c>
      <c r="G7" s="193" t="s">
        <v>6</v>
      </c>
      <c r="H7" s="193" t="s">
        <v>6</v>
      </c>
      <c r="I7" s="193" t="s">
        <v>6</v>
      </c>
      <c r="J7" s="193" t="s">
        <v>6</v>
      </c>
      <c r="K7" s="193" t="s">
        <v>6</v>
      </c>
      <c r="L7" s="193" t="s">
        <v>6</v>
      </c>
      <c r="M7" s="194" t="s">
        <v>6</v>
      </c>
      <c r="N7" s="193" t="s">
        <v>6</v>
      </c>
      <c r="O7" s="193" t="s">
        <v>6</v>
      </c>
      <c r="P7" s="193" t="s">
        <v>6</v>
      </c>
      <c r="Q7" s="193" t="s">
        <v>6</v>
      </c>
      <c r="R7" s="193" t="s">
        <v>6</v>
      </c>
      <c r="S7" s="193" t="s">
        <v>6</v>
      </c>
      <c r="T7" s="193" t="s">
        <v>6</v>
      </c>
      <c r="U7" s="193" t="s">
        <v>6</v>
      </c>
      <c r="EW7" s="249"/>
      <c r="EX7" s="249"/>
      <c r="EY7" s="249"/>
      <c r="EZ7" s="249"/>
      <c r="FA7" s="249"/>
      <c r="FB7" s="249"/>
      <c r="FC7" s="249"/>
      <c r="FD7" s="249"/>
      <c r="FE7" s="249"/>
      <c r="FF7" s="249"/>
      <c r="FG7" s="249"/>
      <c r="FH7" s="249"/>
      <c r="FI7" s="249"/>
      <c r="FJ7" s="249"/>
      <c r="FK7" s="249"/>
      <c r="FL7" s="249"/>
      <c r="FM7" s="249"/>
      <c r="FN7" s="249"/>
      <c r="FO7" s="249"/>
      <c r="FP7" s="249"/>
      <c r="FQ7" s="249"/>
      <c r="FR7" s="249"/>
      <c r="FS7" s="249"/>
      <c r="FT7" s="249"/>
      <c r="FU7" s="249"/>
      <c r="FV7" s="249"/>
      <c r="FW7" s="249"/>
      <c r="FX7" s="249"/>
      <c r="FY7" s="249"/>
      <c r="FZ7" s="249"/>
      <c r="GA7" s="249"/>
      <c r="GB7" s="249"/>
      <c r="GC7" s="249"/>
      <c r="GD7" s="249"/>
      <c r="GE7" s="249"/>
      <c r="GF7" s="249"/>
      <c r="GG7" s="249"/>
      <c r="GH7" s="249"/>
      <c r="GI7" s="249"/>
      <c r="GJ7" s="249"/>
      <c r="GK7" s="249"/>
      <c r="GL7" s="249"/>
      <c r="GM7" s="249"/>
      <c r="GN7" s="249"/>
      <c r="GO7" s="249"/>
      <c r="GP7" s="249"/>
      <c r="GQ7" s="249"/>
      <c r="GR7" s="249"/>
      <c r="GS7" s="249"/>
      <c r="GT7" s="249"/>
      <c r="GU7" s="249"/>
      <c r="GV7" s="249"/>
      <c r="GW7" s="249"/>
      <c r="GX7" s="249"/>
      <c r="GY7" s="249"/>
      <c r="GZ7" s="249"/>
      <c r="HA7" s="249"/>
      <c r="HB7" s="249"/>
      <c r="HC7" s="249"/>
      <c r="HD7" s="249"/>
      <c r="HE7" s="249"/>
      <c r="HF7" s="249"/>
      <c r="HG7" s="249"/>
      <c r="HH7" s="249"/>
      <c r="HI7" s="249"/>
      <c r="HJ7" s="249"/>
      <c r="HK7" s="249"/>
      <c r="HL7" s="249"/>
      <c r="HM7" s="249"/>
      <c r="HN7" s="249"/>
      <c r="HO7" s="249"/>
      <c r="HP7" s="249"/>
      <c r="HQ7" s="249"/>
      <c r="HR7" s="249"/>
      <c r="HS7" s="249"/>
      <c r="HT7" s="249"/>
      <c r="HU7" s="249"/>
      <c r="HV7" s="249"/>
      <c r="HW7" s="249"/>
      <c r="HX7" s="249"/>
      <c r="HY7" s="249"/>
      <c r="HZ7" s="249"/>
      <c r="IA7" s="249"/>
      <c r="IB7" s="249"/>
      <c r="IC7" s="249"/>
      <c r="ID7" s="249"/>
      <c r="IE7" s="249"/>
      <c r="IF7" s="249"/>
      <c r="IG7" s="249"/>
      <c r="IH7" s="249"/>
      <c r="II7" s="249"/>
      <c r="IJ7" s="249"/>
      <c r="IK7" s="249"/>
      <c r="IL7" s="249"/>
      <c r="IM7" s="249"/>
      <c r="IN7" s="249"/>
      <c r="IO7" s="249"/>
      <c r="IP7" s="249"/>
      <c r="IQ7" s="249"/>
      <c r="IR7" s="249"/>
      <c r="IS7" s="249"/>
      <c r="IT7" s="249"/>
      <c r="IU7" s="249"/>
      <c r="IV7" s="249"/>
    </row>
    <row r="8" spans="1:702" s="193" customFormat="1" ht="12.75" thickBot="1" x14ac:dyDescent="0.25">
      <c r="A8" s="249">
        <v>2.42</v>
      </c>
      <c r="B8" s="196">
        <f t="shared" ref="B8:B15" si="11">HLOOKUP($B$2,DB_Artikel,ROW()-1,FALSE)</f>
        <v>2.42</v>
      </c>
      <c r="C8" s="212" t="str">
        <f>'Quick Input'!I13</f>
        <v>Al-Materialpreis (€/kg)</v>
      </c>
      <c r="D8" s="193">
        <v>2.64</v>
      </c>
      <c r="E8" s="193">
        <v>2.64</v>
      </c>
      <c r="F8" s="193">
        <v>2.6</v>
      </c>
      <c r="G8" s="193">
        <v>2.6</v>
      </c>
      <c r="H8" s="193">
        <v>2.42</v>
      </c>
      <c r="I8" s="193">
        <v>2.42</v>
      </c>
      <c r="J8" s="193">
        <v>2.56</v>
      </c>
      <c r="K8" s="193">
        <v>2.56</v>
      </c>
      <c r="L8" s="193">
        <v>2.56</v>
      </c>
      <c r="M8" s="194">
        <v>2.56</v>
      </c>
      <c r="N8" s="193">
        <v>2.6</v>
      </c>
      <c r="O8" s="193">
        <v>2.6</v>
      </c>
      <c r="P8" s="193">
        <v>2.56</v>
      </c>
      <c r="Q8" s="193">
        <v>2.56</v>
      </c>
      <c r="R8" s="193">
        <v>2.6</v>
      </c>
      <c r="S8" s="193">
        <v>2.64</v>
      </c>
      <c r="T8" s="193">
        <v>2.6</v>
      </c>
      <c r="U8" s="193">
        <v>2.42</v>
      </c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49"/>
      <c r="GX8" s="249"/>
      <c r="GY8" s="249"/>
      <c r="GZ8" s="249"/>
      <c r="HA8" s="249"/>
      <c r="HB8" s="249"/>
      <c r="HC8" s="249"/>
      <c r="HD8" s="249"/>
      <c r="HE8" s="249"/>
      <c r="HF8" s="249"/>
      <c r="HG8" s="249"/>
      <c r="HH8" s="249"/>
      <c r="HI8" s="249"/>
      <c r="HJ8" s="249"/>
      <c r="HK8" s="249"/>
      <c r="HL8" s="249"/>
      <c r="HM8" s="249"/>
      <c r="HN8" s="249"/>
      <c r="HO8" s="249"/>
      <c r="HP8" s="249"/>
      <c r="HQ8" s="249"/>
      <c r="HR8" s="249"/>
      <c r="HS8" s="249"/>
      <c r="HT8" s="249"/>
      <c r="HU8" s="249"/>
      <c r="HV8" s="249"/>
      <c r="HW8" s="249"/>
      <c r="HX8" s="249"/>
      <c r="HY8" s="249"/>
      <c r="HZ8" s="249"/>
      <c r="IA8" s="249"/>
      <c r="IB8" s="249"/>
      <c r="IC8" s="249"/>
      <c r="ID8" s="249"/>
      <c r="IE8" s="249"/>
      <c r="IF8" s="249"/>
      <c r="IG8" s="249"/>
      <c r="IH8" s="249"/>
      <c r="II8" s="249"/>
      <c r="IJ8" s="249"/>
      <c r="IK8" s="249"/>
      <c r="IL8" s="249"/>
      <c r="IM8" s="249"/>
      <c r="IN8" s="249"/>
      <c r="IO8" s="249"/>
      <c r="IP8" s="249"/>
      <c r="IQ8" s="249"/>
      <c r="IR8" s="249"/>
      <c r="IS8" s="249"/>
      <c r="IT8" s="249"/>
      <c r="IU8" s="249"/>
      <c r="IV8" s="249"/>
    </row>
    <row r="9" spans="1:702" s="193" customFormat="1" ht="12.75" thickBot="1" x14ac:dyDescent="0.25">
      <c r="A9" s="249">
        <v>250</v>
      </c>
      <c r="B9" s="196">
        <f t="shared" si="11"/>
        <v>250</v>
      </c>
      <c r="C9" s="212" t="str">
        <f>'Quick Input'!I14</f>
        <v>Länge (mm)</v>
      </c>
      <c r="D9" s="193">
        <v>1500</v>
      </c>
      <c r="E9" s="193">
        <v>1500</v>
      </c>
      <c r="F9" s="193">
        <v>1500</v>
      </c>
      <c r="G9" s="193">
        <v>1500</v>
      </c>
      <c r="H9" s="193">
        <v>250</v>
      </c>
      <c r="I9" s="193">
        <v>250</v>
      </c>
      <c r="J9" s="193">
        <v>1000</v>
      </c>
      <c r="K9" s="193">
        <v>1000</v>
      </c>
      <c r="L9" s="193">
        <v>1000</v>
      </c>
      <c r="M9" s="194">
        <v>1000</v>
      </c>
      <c r="N9" s="193">
        <v>800</v>
      </c>
      <c r="O9" s="193">
        <v>800</v>
      </c>
      <c r="P9" s="193">
        <v>1000</v>
      </c>
      <c r="Q9" s="193">
        <v>1000</v>
      </c>
      <c r="R9" s="193">
        <v>800</v>
      </c>
      <c r="S9" s="193">
        <v>1500</v>
      </c>
      <c r="T9" s="193">
        <v>1500</v>
      </c>
      <c r="U9" s="193">
        <v>250</v>
      </c>
      <c r="EW9" s="249"/>
      <c r="EX9" s="249"/>
      <c r="EY9" s="249"/>
      <c r="EZ9" s="249"/>
      <c r="FA9" s="249"/>
      <c r="FB9" s="249"/>
      <c r="FC9" s="249"/>
      <c r="FD9" s="249"/>
      <c r="FE9" s="249"/>
      <c r="FF9" s="249"/>
      <c r="FG9" s="249"/>
      <c r="FH9" s="249"/>
      <c r="FI9" s="249"/>
      <c r="FJ9" s="249"/>
      <c r="FK9" s="249"/>
      <c r="FL9" s="249"/>
      <c r="FM9" s="249"/>
      <c r="FN9" s="249"/>
      <c r="FO9" s="249"/>
      <c r="FP9" s="249"/>
      <c r="FQ9" s="249"/>
      <c r="FR9" s="249"/>
      <c r="FS9" s="249"/>
      <c r="FT9" s="249"/>
      <c r="FU9" s="249"/>
      <c r="FV9" s="249"/>
      <c r="FW9" s="249"/>
      <c r="FX9" s="249"/>
      <c r="FY9" s="249"/>
      <c r="FZ9" s="249"/>
      <c r="GA9" s="249"/>
      <c r="GB9" s="249"/>
      <c r="GC9" s="249"/>
      <c r="GD9" s="249"/>
      <c r="GE9" s="249"/>
      <c r="GF9" s="249"/>
      <c r="GG9" s="249"/>
      <c r="GH9" s="249"/>
      <c r="GI9" s="249"/>
      <c r="GJ9" s="249"/>
      <c r="GK9" s="249"/>
      <c r="GL9" s="249"/>
      <c r="GM9" s="249"/>
      <c r="GN9" s="249"/>
      <c r="GO9" s="249"/>
      <c r="GP9" s="249"/>
      <c r="GQ9" s="249"/>
      <c r="GR9" s="249"/>
      <c r="GS9" s="249"/>
      <c r="GT9" s="249"/>
      <c r="GU9" s="249"/>
      <c r="GV9" s="249"/>
      <c r="GW9" s="249"/>
      <c r="GX9" s="249"/>
      <c r="GY9" s="249"/>
      <c r="GZ9" s="249"/>
      <c r="HA9" s="249"/>
      <c r="HB9" s="249"/>
      <c r="HC9" s="249"/>
      <c r="HD9" s="249"/>
      <c r="HE9" s="249"/>
      <c r="HF9" s="249"/>
      <c r="HG9" s="249"/>
      <c r="HH9" s="249"/>
      <c r="HI9" s="249"/>
      <c r="HJ9" s="249"/>
      <c r="HK9" s="249"/>
      <c r="HL9" s="249"/>
      <c r="HM9" s="249"/>
      <c r="HN9" s="249"/>
      <c r="HO9" s="249"/>
      <c r="HP9" s="249"/>
      <c r="HQ9" s="249"/>
      <c r="HR9" s="249"/>
      <c r="HS9" s="249"/>
      <c r="HT9" s="249"/>
      <c r="HU9" s="249"/>
      <c r="HV9" s="249"/>
      <c r="HW9" s="249"/>
      <c r="HX9" s="249"/>
      <c r="HY9" s="249"/>
      <c r="HZ9" s="249"/>
      <c r="IA9" s="249"/>
      <c r="IB9" s="249"/>
      <c r="IC9" s="249"/>
      <c r="ID9" s="249"/>
      <c r="IE9" s="249"/>
      <c r="IF9" s="249"/>
      <c r="IG9" s="249"/>
      <c r="IH9" s="249"/>
      <c r="II9" s="249"/>
      <c r="IJ9" s="249"/>
      <c r="IK9" s="249"/>
      <c r="IL9" s="249"/>
      <c r="IM9" s="249"/>
      <c r="IN9" s="249"/>
      <c r="IO9" s="249"/>
      <c r="IP9" s="249"/>
      <c r="IQ9" s="249"/>
      <c r="IR9" s="249"/>
      <c r="IS9" s="249"/>
      <c r="IT9" s="249"/>
      <c r="IU9" s="249"/>
      <c r="IV9" s="249"/>
    </row>
    <row r="10" spans="1:702" s="193" customFormat="1" ht="12.75" thickBot="1" x14ac:dyDescent="0.25">
      <c r="A10" s="249">
        <v>80</v>
      </c>
      <c r="B10" s="196">
        <f t="shared" si="11"/>
        <v>80</v>
      </c>
      <c r="C10" s="212" t="str">
        <f>'Quick Input'!I15</f>
        <v>Breite (mm)</v>
      </c>
      <c r="D10" s="193">
        <v>1000</v>
      </c>
      <c r="E10" s="193">
        <v>1000</v>
      </c>
      <c r="F10" s="193">
        <v>1000</v>
      </c>
      <c r="G10" s="193">
        <v>1000</v>
      </c>
      <c r="H10" s="193">
        <v>80</v>
      </c>
      <c r="I10" s="193">
        <v>80</v>
      </c>
      <c r="J10" s="193">
        <v>400</v>
      </c>
      <c r="K10" s="193">
        <v>400</v>
      </c>
      <c r="L10" s="193">
        <v>400</v>
      </c>
      <c r="M10" s="194">
        <v>400</v>
      </c>
      <c r="N10" s="193">
        <v>300</v>
      </c>
      <c r="O10" s="193">
        <v>300</v>
      </c>
      <c r="P10" s="193">
        <v>400</v>
      </c>
      <c r="Q10" s="193">
        <v>400</v>
      </c>
      <c r="R10" s="193">
        <v>300</v>
      </c>
      <c r="S10" s="193">
        <v>1000</v>
      </c>
      <c r="T10" s="193">
        <v>1000</v>
      </c>
      <c r="U10" s="193">
        <v>80</v>
      </c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49"/>
      <c r="FV10" s="249"/>
      <c r="FW10" s="249"/>
      <c r="FX10" s="249"/>
      <c r="FY10" s="249"/>
      <c r="FZ10" s="249"/>
      <c r="GA10" s="249"/>
      <c r="GB10" s="249"/>
      <c r="GC10" s="249"/>
      <c r="GD10" s="249"/>
      <c r="GE10" s="249"/>
      <c r="GF10" s="249"/>
      <c r="GG10" s="249"/>
      <c r="GH10" s="249"/>
      <c r="GI10" s="249"/>
      <c r="GJ10" s="249"/>
      <c r="GK10" s="249"/>
      <c r="GL10" s="249"/>
      <c r="GM10" s="249"/>
      <c r="GN10" s="249"/>
      <c r="GO10" s="249"/>
      <c r="GP10" s="249"/>
      <c r="GQ10" s="249"/>
      <c r="GR10" s="249"/>
      <c r="GS10" s="249"/>
      <c r="GT10" s="249"/>
      <c r="GU10" s="249"/>
      <c r="GV10" s="249"/>
      <c r="GW10" s="249"/>
      <c r="GX10" s="249"/>
      <c r="GY10" s="249"/>
      <c r="GZ10" s="249"/>
      <c r="HA10" s="249"/>
      <c r="HB10" s="249"/>
      <c r="HC10" s="249"/>
      <c r="HD10" s="249"/>
      <c r="HE10" s="249"/>
      <c r="HF10" s="249"/>
      <c r="HG10" s="249"/>
      <c r="HH10" s="249"/>
      <c r="HI10" s="249"/>
      <c r="HJ10" s="249"/>
      <c r="HK10" s="249"/>
      <c r="HL10" s="249"/>
      <c r="HM10" s="249"/>
      <c r="HN10" s="249"/>
      <c r="HO10" s="249"/>
      <c r="HP10" s="249"/>
      <c r="HQ10" s="249"/>
      <c r="HR10" s="249"/>
      <c r="HS10" s="249"/>
      <c r="HT10" s="249"/>
      <c r="HU10" s="249"/>
      <c r="HV10" s="249"/>
      <c r="HW10" s="249"/>
      <c r="HX10" s="249"/>
      <c r="HY10" s="249"/>
      <c r="HZ10" s="249"/>
      <c r="IA10" s="249"/>
      <c r="IB10" s="249"/>
      <c r="IC10" s="249"/>
      <c r="ID10" s="249"/>
      <c r="IE10" s="249"/>
      <c r="IF10" s="249"/>
      <c r="IG10" s="249"/>
      <c r="IH10" s="249"/>
      <c r="II10" s="249"/>
      <c r="IJ10" s="249"/>
      <c r="IK10" s="249"/>
      <c r="IL10" s="249"/>
      <c r="IM10" s="249"/>
      <c r="IN10" s="249"/>
      <c r="IO10" s="249"/>
      <c r="IP10" s="249"/>
      <c r="IQ10" s="249"/>
      <c r="IR10" s="249"/>
      <c r="IS10" s="249"/>
      <c r="IT10" s="249"/>
      <c r="IU10" s="249"/>
      <c r="IV10" s="249"/>
    </row>
    <row r="11" spans="1:702" s="193" customFormat="1" ht="12.75" thickBot="1" x14ac:dyDescent="0.25">
      <c r="A11" s="249">
        <v>120</v>
      </c>
      <c r="B11" s="196">
        <f t="shared" si="11"/>
        <v>120</v>
      </c>
      <c r="C11" s="212" t="str">
        <f>'Quick Input'!I16</f>
        <v>Höhe (mm)</v>
      </c>
      <c r="D11" s="193">
        <v>1000</v>
      </c>
      <c r="E11" s="193">
        <v>1000</v>
      </c>
      <c r="F11" s="193">
        <v>1000</v>
      </c>
      <c r="G11" s="193">
        <v>1000</v>
      </c>
      <c r="H11" s="193">
        <v>120</v>
      </c>
      <c r="I11" s="193">
        <v>120</v>
      </c>
      <c r="J11" s="193">
        <v>350</v>
      </c>
      <c r="K11" s="193">
        <v>350</v>
      </c>
      <c r="L11" s="193">
        <v>350</v>
      </c>
      <c r="M11" s="194">
        <v>350</v>
      </c>
      <c r="N11" s="193">
        <v>350</v>
      </c>
      <c r="O11" s="193">
        <v>350</v>
      </c>
      <c r="P11" s="193">
        <v>350</v>
      </c>
      <c r="Q11" s="193">
        <v>350</v>
      </c>
      <c r="R11" s="193">
        <v>350</v>
      </c>
      <c r="S11" s="193">
        <v>1000</v>
      </c>
      <c r="T11" s="193">
        <v>1000</v>
      </c>
      <c r="U11" s="193">
        <v>120</v>
      </c>
      <c r="EW11" s="249"/>
      <c r="EX11" s="249"/>
      <c r="EY11" s="249"/>
      <c r="EZ11" s="249"/>
      <c r="FA11" s="249"/>
      <c r="FB11" s="249"/>
      <c r="FC11" s="249"/>
      <c r="FD11" s="249"/>
      <c r="FE11" s="249"/>
      <c r="FF11" s="249"/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49"/>
      <c r="FV11" s="249"/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49"/>
      <c r="GL11" s="249"/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49"/>
      <c r="HB11" s="249"/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49"/>
      <c r="HR11" s="249"/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49"/>
      <c r="IH11" s="249"/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</row>
    <row r="12" spans="1:702" s="193" customFormat="1" ht="12.75" thickBot="1" x14ac:dyDescent="0.25">
      <c r="A12" s="249">
        <v>30</v>
      </c>
      <c r="B12" s="196">
        <f t="shared" si="11"/>
        <v>30</v>
      </c>
      <c r="C12" s="212" t="str">
        <f>'Quick Input'!I17</f>
        <v>Wandstärke max (mm)</v>
      </c>
      <c r="D12" s="193">
        <v>35</v>
      </c>
      <c r="E12" s="193">
        <v>35</v>
      </c>
      <c r="F12" s="193">
        <v>35</v>
      </c>
      <c r="G12" s="193">
        <v>35</v>
      </c>
      <c r="H12" s="193">
        <v>30</v>
      </c>
      <c r="I12" s="193">
        <v>30</v>
      </c>
      <c r="J12" s="193">
        <v>35</v>
      </c>
      <c r="K12" s="193">
        <v>35</v>
      </c>
      <c r="L12" s="193">
        <v>35</v>
      </c>
      <c r="M12" s="194">
        <v>35</v>
      </c>
      <c r="N12" s="193">
        <v>35</v>
      </c>
      <c r="O12" s="193">
        <v>35</v>
      </c>
      <c r="P12" s="193">
        <v>35</v>
      </c>
      <c r="Q12" s="193">
        <v>35</v>
      </c>
      <c r="R12" s="193">
        <v>35</v>
      </c>
      <c r="S12" s="193">
        <v>35</v>
      </c>
      <c r="T12" s="193">
        <v>35</v>
      </c>
      <c r="U12" s="193">
        <v>30</v>
      </c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49"/>
      <c r="GE12" s="249"/>
      <c r="GF12" s="249"/>
      <c r="GG12" s="249"/>
      <c r="GH12" s="249"/>
      <c r="GI12" s="249"/>
      <c r="GJ12" s="249"/>
      <c r="GK12" s="249"/>
      <c r="GL12" s="249"/>
      <c r="GM12" s="249"/>
      <c r="GN12" s="249"/>
      <c r="GO12" s="249"/>
      <c r="GP12" s="249"/>
      <c r="GQ12" s="249"/>
      <c r="GR12" s="249"/>
      <c r="GS12" s="249"/>
      <c r="GT12" s="249"/>
      <c r="GU12" s="249"/>
      <c r="GV12" s="249"/>
      <c r="GW12" s="249"/>
      <c r="GX12" s="249"/>
      <c r="GY12" s="249"/>
      <c r="GZ12" s="249"/>
      <c r="HA12" s="249"/>
      <c r="HB12" s="249"/>
      <c r="HC12" s="249"/>
      <c r="HD12" s="249"/>
      <c r="HE12" s="249"/>
      <c r="HF12" s="249"/>
      <c r="HG12" s="249"/>
      <c r="HH12" s="249"/>
      <c r="HI12" s="249"/>
      <c r="HJ12" s="249"/>
      <c r="HK12" s="249"/>
      <c r="HL12" s="249"/>
      <c r="HM12" s="249"/>
      <c r="HN12" s="249"/>
      <c r="HO12" s="249"/>
      <c r="HP12" s="249"/>
      <c r="HQ12" s="249"/>
      <c r="HR12" s="249"/>
      <c r="HS12" s="249"/>
      <c r="HT12" s="249"/>
      <c r="HU12" s="249"/>
      <c r="HV12" s="249"/>
      <c r="HW12" s="249"/>
      <c r="HX12" s="249"/>
      <c r="HY12" s="249"/>
      <c r="HZ12" s="249"/>
      <c r="IA12" s="249"/>
      <c r="IB12" s="249"/>
      <c r="IC12" s="249"/>
      <c r="ID12" s="249"/>
      <c r="IE12" s="249"/>
      <c r="IF12" s="249"/>
      <c r="IG12" s="249"/>
      <c r="IH12" s="249"/>
      <c r="II12" s="249"/>
      <c r="IJ12" s="249"/>
      <c r="IK12" s="249"/>
      <c r="IL12" s="249"/>
      <c r="IM12" s="249"/>
      <c r="IN12" s="249"/>
      <c r="IO12" s="249"/>
      <c r="IP12" s="249"/>
      <c r="IQ12" s="249"/>
      <c r="IR12" s="249"/>
      <c r="IS12" s="249"/>
      <c r="IT12" s="249"/>
      <c r="IU12" s="249"/>
      <c r="IV12" s="249"/>
    </row>
    <row r="13" spans="1:702" s="193" customFormat="1" ht="12.75" thickBot="1" x14ac:dyDescent="0.25">
      <c r="A13" s="249">
        <v>9</v>
      </c>
      <c r="B13" s="196">
        <f t="shared" si="11"/>
        <v>9</v>
      </c>
      <c r="C13" s="212" t="str">
        <f>'Quick Input'!I18</f>
        <v>Wandstärke min (mm)</v>
      </c>
      <c r="D13" s="193">
        <v>12</v>
      </c>
      <c r="E13" s="193">
        <v>12</v>
      </c>
      <c r="F13" s="193">
        <v>12</v>
      </c>
      <c r="G13" s="193">
        <v>12</v>
      </c>
      <c r="H13" s="193">
        <v>9</v>
      </c>
      <c r="I13" s="193">
        <v>9</v>
      </c>
      <c r="J13" s="193">
        <v>12</v>
      </c>
      <c r="K13" s="193">
        <v>12</v>
      </c>
      <c r="L13" s="193">
        <v>12</v>
      </c>
      <c r="M13" s="194">
        <v>12</v>
      </c>
      <c r="N13" s="193">
        <v>12</v>
      </c>
      <c r="O13" s="193">
        <v>12</v>
      </c>
      <c r="P13" s="193">
        <v>12</v>
      </c>
      <c r="Q13" s="193">
        <v>12</v>
      </c>
      <c r="R13" s="193">
        <v>12</v>
      </c>
      <c r="S13" s="193">
        <v>12</v>
      </c>
      <c r="T13" s="193">
        <v>12</v>
      </c>
      <c r="U13" s="193">
        <v>9</v>
      </c>
      <c r="EW13" s="249"/>
      <c r="EX13" s="249"/>
      <c r="EY13" s="249"/>
      <c r="EZ13" s="249"/>
      <c r="FA13" s="249"/>
      <c r="FB13" s="249"/>
      <c r="FC13" s="249"/>
      <c r="FD13" s="249"/>
      <c r="FE13" s="249"/>
      <c r="FF13" s="249"/>
      <c r="FG13" s="249"/>
      <c r="FH13" s="249"/>
      <c r="FI13" s="249"/>
      <c r="FJ13" s="249"/>
      <c r="FK13" s="249"/>
      <c r="FL13" s="249"/>
      <c r="FM13" s="249"/>
      <c r="FN13" s="249"/>
      <c r="FO13" s="249"/>
      <c r="FP13" s="249"/>
      <c r="FQ13" s="249"/>
      <c r="FR13" s="249"/>
      <c r="FS13" s="249"/>
      <c r="FT13" s="249"/>
      <c r="FU13" s="249"/>
      <c r="FV13" s="249"/>
      <c r="FW13" s="249"/>
      <c r="FX13" s="249"/>
      <c r="FY13" s="249"/>
      <c r="FZ13" s="249"/>
      <c r="GA13" s="249"/>
      <c r="GB13" s="249"/>
      <c r="GC13" s="249"/>
      <c r="GD13" s="249"/>
      <c r="GE13" s="249"/>
      <c r="GF13" s="249"/>
      <c r="GG13" s="249"/>
      <c r="GH13" s="249"/>
      <c r="GI13" s="249"/>
      <c r="GJ13" s="249"/>
      <c r="GK13" s="249"/>
      <c r="GL13" s="249"/>
      <c r="GM13" s="249"/>
      <c r="GN13" s="249"/>
      <c r="GO13" s="249"/>
      <c r="GP13" s="249"/>
      <c r="GQ13" s="249"/>
      <c r="GR13" s="249"/>
      <c r="GS13" s="249"/>
      <c r="GT13" s="249"/>
      <c r="GU13" s="249"/>
      <c r="GV13" s="249"/>
      <c r="GW13" s="249"/>
      <c r="GX13" s="249"/>
      <c r="GY13" s="249"/>
      <c r="GZ13" s="249"/>
      <c r="HA13" s="249"/>
      <c r="HB13" s="249"/>
      <c r="HC13" s="249"/>
      <c r="HD13" s="249"/>
      <c r="HE13" s="249"/>
      <c r="HF13" s="249"/>
      <c r="HG13" s="249"/>
      <c r="HH13" s="249"/>
      <c r="HI13" s="249"/>
      <c r="HJ13" s="249"/>
      <c r="HK13" s="249"/>
      <c r="HL13" s="249"/>
      <c r="HM13" s="249"/>
      <c r="HN13" s="249"/>
      <c r="HO13" s="249"/>
      <c r="HP13" s="249"/>
      <c r="HQ13" s="249"/>
      <c r="HR13" s="249"/>
      <c r="HS13" s="249"/>
      <c r="HT13" s="249"/>
      <c r="HU13" s="249"/>
      <c r="HV13" s="249"/>
      <c r="HW13" s="249"/>
      <c r="HX13" s="249"/>
      <c r="HY13" s="249"/>
      <c r="HZ13" s="249"/>
      <c r="IA13" s="249"/>
      <c r="IB13" s="249"/>
      <c r="IC13" s="249"/>
      <c r="ID13" s="249"/>
      <c r="IE13" s="249"/>
      <c r="IF13" s="249"/>
      <c r="IG13" s="249"/>
      <c r="IH13" s="249"/>
      <c r="II13" s="249"/>
      <c r="IJ13" s="249"/>
      <c r="IK13" s="249"/>
      <c r="IL13" s="249"/>
      <c r="IM13" s="249"/>
      <c r="IN13" s="249"/>
      <c r="IO13" s="249"/>
      <c r="IP13" s="249"/>
      <c r="IQ13" s="249"/>
      <c r="IR13" s="249"/>
      <c r="IS13" s="249"/>
      <c r="IT13" s="249"/>
      <c r="IU13" s="249"/>
      <c r="IV13" s="249"/>
    </row>
    <row r="14" spans="1:702" s="193" customFormat="1" ht="12.75" thickBot="1" x14ac:dyDescent="0.25">
      <c r="A14" s="249">
        <v>3</v>
      </c>
      <c r="B14" s="196">
        <f t="shared" si="11"/>
        <v>3</v>
      </c>
      <c r="C14" s="212" t="str">
        <f>'Quick Input'!I19</f>
        <v>Rohteilgewicht AL (kg)</v>
      </c>
      <c r="D14" s="193">
        <v>75</v>
      </c>
      <c r="E14" s="193">
        <v>75</v>
      </c>
      <c r="F14" s="193">
        <v>75</v>
      </c>
      <c r="G14" s="193">
        <v>75</v>
      </c>
      <c r="H14" s="193">
        <v>3</v>
      </c>
      <c r="I14" s="193">
        <v>3</v>
      </c>
      <c r="J14" s="193">
        <v>48</v>
      </c>
      <c r="K14" s="193">
        <v>48</v>
      </c>
      <c r="L14" s="193">
        <v>48</v>
      </c>
      <c r="M14" s="194">
        <v>48</v>
      </c>
      <c r="N14" s="193">
        <v>48</v>
      </c>
      <c r="O14" s="193">
        <v>48</v>
      </c>
      <c r="P14" s="193">
        <v>48</v>
      </c>
      <c r="Q14" s="193">
        <v>48</v>
      </c>
      <c r="R14" s="193">
        <v>48</v>
      </c>
      <c r="S14" s="193">
        <v>75</v>
      </c>
      <c r="T14" s="193">
        <v>75</v>
      </c>
      <c r="U14" s="193">
        <v>3</v>
      </c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  <c r="GK14" s="249"/>
      <c r="GL14" s="249"/>
      <c r="GM14" s="249"/>
      <c r="GN14" s="249"/>
      <c r="GO14" s="249"/>
      <c r="GP14" s="249"/>
      <c r="GQ14" s="249"/>
      <c r="GR14" s="249"/>
      <c r="GS14" s="249"/>
      <c r="GT14" s="249"/>
      <c r="GU14" s="249"/>
      <c r="GV14" s="249"/>
      <c r="GW14" s="249"/>
      <c r="GX14" s="249"/>
      <c r="GY14" s="249"/>
      <c r="GZ14" s="249"/>
      <c r="HA14" s="249"/>
      <c r="HB14" s="249"/>
      <c r="HC14" s="249"/>
      <c r="HD14" s="249"/>
      <c r="HE14" s="249"/>
      <c r="HF14" s="249"/>
      <c r="HG14" s="249"/>
      <c r="HH14" s="249"/>
      <c r="HI14" s="249"/>
      <c r="HJ14" s="249"/>
      <c r="HK14" s="249"/>
      <c r="HL14" s="249"/>
      <c r="HM14" s="249"/>
      <c r="HN14" s="249"/>
      <c r="HO14" s="249"/>
      <c r="HP14" s="249"/>
      <c r="HQ14" s="249"/>
      <c r="HR14" s="249"/>
      <c r="HS14" s="249"/>
      <c r="HT14" s="249"/>
      <c r="HU14" s="249"/>
      <c r="HV14" s="249"/>
      <c r="HW14" s="249"/>
      <c r="HX14" s="249"/>
      <c r="HY14" s="249"/>
      <c r="HZ14" s="249"/>
      <c r="IA14" s="249"/>
      <c r="IB14" s="249"/>
      <c r="IC14" s="249"/>
      <c r="ID14" s="249"/>
      <c r="IE14" s="249"/>
      <c r="IF14" s="249"/>
      <c r="IG14" s="249"/>
      <c r="IH14" s="249"/>
      <c r="II14" s="249"/>
      <c r="IJ14" s="249"/>
      <c r="IK14" s="249"/>
      <c r="IL14" s="249"/>
      <c r="IM14" s="249"/>
      <c r="IN14" s="249"/>
      <c r="IO14" s="249"/>
      <c r="IP14" s="249"/>
      <c r="IQ14" s="249"/>
      <c r="IR14" s="249"/>
      <c r="IS14" s="249"/>
      <c r="IT14" s="249"/>
      <c r="IU14" s="249"/>
      <c r="IV14" s="249"/>
    </row>
    <row r="15" spans="1:702" s="200" customFormat="1" ht="12.75" thickBot="1" x14ac:dyDescent="0.25">
      <c r="A15" s="250">
        <v>1090.909090909091</v>
      </c>
      <c r="B15" s="196">
        <f t="shared" si="11"/>
        <v>1090.909090909091</v>
      </c>
      <c r="C15" s="212" t="str">
        <f>'Quick Input'!I20</f>
        <v>Bauteilvolumen (cm³)</v>
      </c>
      <c r="D15" s="200">
        <v>27272.727272727272</v>
      </c>
      <c r="E15" s="200">
        <v>27272.727272727272</v>
      </c>
      <c r="F15" s="200">
        <v>27272.727272727272</v>
      </c>
      <c r="G15" s="200">
        <v>27272.727272727272</v>
      </c>
      <c r="H15" s="200">
        <v>1090.909090909091</v>
      </c>
      <c r="I15" s="200">
        <v>1090.909090909091</v>
      </c>
      <c r="J15" s="200">
        <v>17738.359201773837</v>
      </c>
      <c r="K15" s="200">
        <v>17738.359201773837</v>
      </c>
      <c r="L15" s="200">
        <v>17738.359201773837</v>
      </c>
      <c r="M15" s="201">
        <v>17738.359201773837</v>
      </c>
      <c r="N15" s="200">
        <v>17454.545454545456</v>
      </c>
      <c r="O15" s="200">
        <v>17454.545454545456</v>
      </c>
      <c r="P15" s="200">
        <v>17738.359201773837</v>
      </c>
      <c r="Q15" s="200">
        <v>17738.359201773837</v>
      </c>
      <c r="R15" s="200">
        <v>17454.545454545456</v>
      </c>
      <c r="S15" s="200">
        <v>27272.727272727272</v>
      </c>
      <c r="T15" s="200">
        <v>27272.727272727272</v>
      </c>
      <c r="U15" s="200">
        <v>1090.909090909091</v>
      </c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</row>
    <row r="16" spans="1:702" s="193" customFormat="1" ht="12.75" thickBot="1" x14ac:dyDescent="0.25">
      <c r="A16" s="249" t="s">
        <v>439</v>
      </c>
      <c r="B16" s="196" t="str">
        <f>VLOOKUP(VLOOKUP(HLOOKUP($B$2,DB_Artikel,ROW()-1,FALSE),Auswahlfelder!$D$16:$E$19,2,FALSE),Auswahlfelder!$A$16:$B$19,2,FALSE)</f>
        <v>komplex</v>
      </c>
      <c r="C16" s="212" t="str">
        <f>'Quick Input'!I21</f>
        <v>Bauteilkomplexität</v>
      </c>
      <c r="D16" s="193" t="s">
        <v>439</v>
      </c>
      <c r="E16" s="193" t="s">
        <v>439</v>
      </c>
      <c r="F16" s="193" t="s">
        <v>440</v>
      </c>
      <c r="G16" s="193" t="s">
        <v>440</v>
      </c>
      <c r="H16" s="193" t="s">
        <v>439</v>
      </c>
      <c r="I16" s="193" t="s">
        <v>439</v>
      </c>
      <c r="J16" s="193" t="s">
        <v>437</v>
      </c>
      <c r="K16" s="193" t="s">
        <v>437</v>
      </c>
      <c r="L16" s="193" t="s">
        <v>437</v>
      </c>
      <c r="M16" s="194" t="s">
        <v>437</v>
      </c>
      <c r="N16" s="193" t="s">
        <v>439</v>
      </c>
      <c r="O16" s="193" t="s">
        <v>439</v>
      </c>
      <c r="P16" s="193" t="s">
        <v>437</v>
      </c>
      <c r="Q16" s="193" t="s">
        <v>437</v>
      </c>
      <c r="R16" s="193" t="s">
        <v>439</v>
      </c>
      <c r="S16" s="193" t="s">
        <v>439</v>
      </c>
      <c r="T16" s="193" t="s">
        <v>440</v>
      </c>
      <c r="U16" s="193" t="s">
        <v>439</v>
      </c>
      <c r="EW16" s="249"/>
      <c r="EX16" s="249"/>
      <c r="EY16" s="249"/>
      <c r="EZ16" s="249"/>
      <c r="FA16" s="249"/>
      <c r="FB16" s="249"/>
      <c r="FC16" s="249"/>
      <c r="FD16" s="249"/>
      <c r="FE16" s="249"/>
      <c r="FF16" s="249"/>
      <c r="FG16" s="249"/>
      <c r="FH16" s="249"/>
      <c r="FI16" s="249"/>
      <c r="FJ16" s="249"/>
      <c r="FK16" s="249"/>
      <c r="FL16" s="249"/>
      <c r="FM16" s="249"/>
      <c r="FN16" s="249"/>
      <c r="FO16" s="249"/>
      <c r="FP16" s="249"/>
      <c r="FQ16" s="249"/>
      <c r="FR16" s="249"/>
      <c r="FS16" s="249"/>
      <c r="FT16" s="249"/>
      <c r="FU16" s="249"/>
      <c r="FV16" s="249"/>
      <c r="FW16" s="249"/>
      <c r="FX16" s="249"/>
      <c r="FY16" s="249"/>
      <c r="FZ16" s="249"/>
      <c r="GA16" s="249"/>
      <c r="GB16" s="249"/>
      <c r="GC16" s="249"/>
      <c r="GD16" s="249"/>
      <c r="GE16" s="249"/>
      <c r="GF16" s="249"/>
      <c r="GG16" s="249"/>
      <c r="GH16" s="249"/>
      <c r="GI16" s="249"/>
      <c r="GJ16" s="249"/>
      <c r="GK16" s="249"/>
      <c r="GL16" s="249"/>
      <c r="GM16" s="249"/>
      <c r="GN16" s="249"/>
      <c r="GO16" s="249"/>
      <c r="GP16" s="249"/>
      <c r="GQ16" s="249"/>
      <c r="GR16" s="249"/>
      <c r="GS16" s="249"/>
      <c r="GT16" s="249"/>
      <c r="GU16" s="249"/>
      <c r="GV16" s="249"/>
      <c r="GW16" s="249"/>
      <c r="GX16" s="249"/>
      <c r="GY16" s="249"/>
      <c r="GZ16" s="249"/>
      <c r="HA16" s="249"/>
      <c r="HB16" s="249"/>
      <c r="HC16" s="249"/>
      <c r="HD16" s="249"/>
      <c r="HE16" s="249"/>
      <c r="HF16" s="249"/>
      <c r="HG16" s="249"/>
      <c r="HH16" s="249"/>
      <c r="HI16" s="249"/>
      <c r="HJ16" s="249"/>
      <c r="HK16" s="249"/>
      <c r="HL16" s="249"/>
      <c r="HM16" s="249"/>
      <c r="HN16" s="249"/>
      <c r="HO16" s="249"/>
      <c r="HP16" s="249"/>
      <c r="HQ16" s="249"/>
      <c r="HR16" s="249"/>
      <c r="HS16" s="249"/>
      <c r="HT16" s="249"/>
      <c r="HU16" s="249"/>
      <c r="HV16" s="249"/>
      <c r="HW16" s="249"/>
      <c r="HX16" s="249"/>
      <c r="HY16" s="249"/>
      <c r="HZ16" s="249"/>
      <c r="IA16" s="249"/>
      <c r="IB16" s="249"/>
      <c r="IC16" s="249"/>
      <c r="ID16" s="249"/>
      <c r="IE16" s="249"/>
      <c r="IF16" s="249"/>
      <c r="IG16" s="249"/>
      <c r="IH16" s="249"/>
      <c r="II16" s="249"/>
      <c r="IJ16" s="249"/>
      <c r="IK16" s="249"/>
      <c r="IL16" s="249"/>
      <c r="IM16" s="249"/>
      <c r="IN16" s="249"/>
      <c r="IO16" s="249"/>
      <c r="IP16" s="249"/>
      <c r="IQ16" s="249"/>
      <c r="IR16" s="249"/>
      <c r="IS16" s="249"/>
      <c r="IT16" s="249"/>
      <c r="IU16" s="249"/>
      <c r="IV16" s="249"/>
    </row>
    <row r="17" spans="1:256" s="193" customFormat="1" ht="12.75" thickBot="1" x14ac:dyDescent="0.25">
      <c r="A17" s="249" t="s">
        <v>473</v>
      </c>
      <c r="B17" s="196" t="str">
        <f>VLOOKUP(VLOOKUP(HLOOKUP($B$2,DB_Artikel,ROW()-1,FALSE),Auswahlfelder!$D$36:$E$38,2,FALSE),Auswahlfelder!$A$36:$B$38,2,FALSE)</f>
        <v>automatisch</v>
      </c>
      <c r="C17" s="212" t="str">
        <f>'Quick Input'!I22</f>
        <v>Formverfahren</v>
      </c>
      <c r="D17" s="193" t="s">
        <v>471</v>
      </c>
      <c r="E17" s="193" t="s">
        <v>471</v>
      </c>
      <c r="F17" s="193" t="s">
        <v>471</v>
      </c>
      <c r="G17" s="193" t="s">
        <v>471</v>
      </c>
      <c r="H17" s="193" t="s">
        <v>473</v>
      </c>
      <c r="I17" s="193" t="s">
        <v>473</v>
      </c>
      <c r="J17" s="193" t="s">
        <v>471</v>
      </c>
      <c r="K17" s="193" t="s">
        <v>471</v>
      </c>
      <c r="L17" s="193" t="s">
        <v>471</v>
      </c>
      <c r="M17" s="194" t="s">
        <v>471</v>
      </c>
      <c r="N17" s="193" t="s">
        <v>473</v>
      </c>
      <c r="O17" s="193" t="s">
        <v>473</v>
      </c>
      <c r="P17" s="193" t="s">
        <v>471</v>
      </c>
      <c r="Q17" s="193" t="s">
        <v>471</v>
      </c>
      <c r="R17" s="193" t="s">
        <v>473</v>
      </c>
      <c r="S17" s="193" t="s">
        <v>471</v>
      </c>
      <c r="T17" s="193" t="s">
        <v>471</v>
      </c>
      <c r="U17" s="193" t="s">
        <v>473</v>
      </c>
      <c r="EW17" s="249"/>
      <c r="EX17" s="249"/>
      <c r="EY17" s="249"/>
      <c r="EZ17" s="249"/>
      <c r="FA17" s="249"/>
      <c r="FB17" s="249"/>
      <c r="FC17" s="249"/>
      <c r="FD17" s="249"/>
      <c r="FE17" s="249"/>
      <c r="FF17" s="249"/>
      <c r="FG17" s="249"/>
      <c r="FH17" s="249"/>
      <c r="FI17" s="249"/>
      <c r="FJ17" s="249"/>
      <c r="FK17" s="249"/>
      <c r="FL17" s="249"/>
      <c r="FM17" s="249"/>
      <c r="FN17" s="249"/>
      <c r="FO17" s="249"/>
      <c r="FP17" s="249"/>
      <c r="FQ17" s="249"/>
      <c r="FR17" s="249"/>
      <c r="FS17" s="249"/>
      <c r="FT17" s="249"/>
      <c r="FU17" s="249"/>
      <c r="FV17" s="249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</row>
    <row r="18" spans="1:256" s="193" customFormat="1" ht="12.75" thickBot="1" x14ac:dyDescent="0.25">
      <c r="A18" s="249" t="s">
        <v>375</v>
      </c>
      <c r="B18" s="196" t="str">
        <f>VLOOKUP(VLOOKUP(HLOOKUP($B$2,DB_Artikel,ROW()-1,FALSE),Auswahlfelder!$D$49:$E$51,2,FALSE),Auswahlfelder!$A$49:$B$51,2,FALSE)</f>
        <v>Kernschießen</v>
      </c>
      <c r="C18" s="212" t="str">
        <f>'Quick Input'!I23</f>
        <v>Sandkerne</v>
      </c>
      <c r="D18" s="193" t="s">
        <v>374</v>
      </c>
      <c r="E18" s="193" t="s">
        <v>374</v>
      </c>
      <c r="F18" s="193" t="s">
        <v>374</v>
      </c>
      <c r="G18" s="193" t="s">
        <v>374</v>
      </c>
      <c r="H18" s="193" t="s">
        <v>375</v>
      </c>
      <c r="I18" s="193" t="s">
        <v>375</v>
      </c>
      <c r="J18" s="193" t="s">
        <v>375</v>
      </c>
      <c r="K18" s="193" t="s">
        <v>375</v>
      </c>
      <c r="L18" s="193" t="s">
        <v>375</v>
      </c>
      <c r="M18" s="194" t="s">
        <v>375</v>
      </c>
      <c r="N18" s="193" t="s">
        <v>375</v>
      </c>
      <c r="O18" s="193" t="s">
        <v>375</v>
      </c>
      <c r="P18" s="193" t="s">
        <v>375</v>
      </c>
      <c r="Q18" s="193" t="s">
        <v>375</v>
      </c>
      <c r="R18" s="193" t="s">
        <v>375</v>
      </c>
      <c r="S18" s="193" t="s">
        <v>374</v>
      </c>
      <c r="T18" s="193" t="s">
        <v>374</v>
      </c>
      <c r="U18" s="193" t="s">
        <v>375</v>
      </c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</row>
    <row r="19" spans="1:256" s="193" customFormat="1" ht="12.75" thickBot="1" x14ac:dyDescent="0.25">
      <c r="A19" s="249" t="s">
        <v>764</v>
      </c>
      <c r="B19" s="196" t="str">
        <f>VLOOKUP(VLOOKUP(HLOOKUP($B$2,DB_Artikel,ROW()-1,FALSE),Auswahlfelder!$D$54:$E$57,2,FALSE),Auswahlfelder!$A$54:$B$57,2,FALSE)</f>
        <v>Hot Box</v>
      </c>
      <c r="C19" s="212" t="str">
        <f>'Quick Input'!I24</f>
        <v>Kernherstellverfahren</v>
      </c>
      <c r="D19" s="193" t="s">
        <v>766</v>
      </c>
      <c r="E19" s="193" t="s">
        <v>766</v>
      </c>
      <c r="F19" s="193" t="s">
        <v>764</v>
      </c>
      <c r="G19" s="193" t="s">
        <v>764</v>
      </c>
      <c r="H19" s="193" t="s">
        <v>764</v>
      </c>
      <c r="I19" s="193" t="s">
        <v>764</v>
      </c>
      <c r="J19" s="193" t="s">
        <v>764</v>
      </c>
      <c r="K19" s="193" t="s">
        <v>764</v>
      </c>
      <c r="L19" s="193" t="s">
        <v>764</v>
      </c>
      <c r="M19" s="194" t="s">
        <v>764</v>
      </c>
      <c r="N19" s="193" t="s">
        <v>766</v>
      </c>
      <c r="O19" s="193" t="s">
        <v>766</v>
      </c>
      <c r="P19" s="193" t="s">
        <v>764</v>
      </c>
      <c r="Q19" s="193" t="s">
        <v>764</v>
      </c>
      <c r="R19" s="193" t="s">
        <v>766</v>
      </c>
      <c r="S19" s="193" t="s">
        <v>766</v>
      </c>
      <c r="T19" s="193" t="s">
        <v>764</v>
      </c>
      <c r="U19" s="193" t="s">
        <v>764</v>
      </c>
      <c r="EW19" s="249"/>
      <c r="EX19" s="249"/>
      <c r="EY19" s="249"/>
      <c r="EZ19" s="249"/>
      <c r="FA19" s="249"/>
      <c r="FB19" s="249"/>
      <c r="FC19" s="249"/>
      <c r="FD19" s="249"/>
      <c r="FE19" s="249"/>
      <c r="FF19" s="249"/>
      <c r="FG19" s="249"/>
      <c r="FH19" s="249"/>
      <c r="FI19" s="249"/>
      <c r="FJ19" s="249"/>
      <c r="FK19" s="249"/>
      <c r="FL19" s="249"/>
      <c r="FM19" s="249"/>
      <c r="FN19" s="249"/>
      <c r="FO19" s="249"/>
      <c r="FP19" s="249"/>
      <c r="FQ19" s="249"/>
      <c r="FR19" s="249"/>
      <c r="FS19" s="249"/>
      <c r="FT19" s="249"/>
      <c r="FU19" s="249"/>
      <c r="FV19" s="249"/>
      <c r="FW19" s="249"/>
      <c r="FX19" s="249"/>
      <c r="FY19" s="249"/>
      <c r="FZ19" s="249"/>
      <c r="GA19" s="249"/>
      <c r="GB19" s="249"/>
      <c r="GC19" s="249"/>
      <c r="GD19" s="249"/>
      <c r="GE19" s="249"/>
      <c r="GF19" s="249"/>
      <c r="GG19" s="249"/>
      <c r="GH19" s="249"/>
      <c r="GI19" s="249"/>
      <c r="GJ19" s="249"/>
      <c r="GK19" s="249"/>
      <c r="GL19" s="249"/>
      <c r="GM19" s="249"/>
      <c r="GN19" s="249"/>
      <c r="GO19" s="249"/>
      <c r="GP19" s="249"/>
      <c r="GQ19" s="249"/>
      <c r="GR19" s="249"/>
      <c r="GS19" s="249"/>
      <c r="GT19" s="249"/>
      <c r="GU19" s="249"/>
      <c r="GV19" s="249"/>
      <c r="GW19" s="249"/>
      <c r="GX19" s="249"/>
      <c r="GY19" s="249"/>
      <c r="GZ19" s="249"/>
      <c r="HA19" s="249"/>
      <c r="HB19" s="249"/>
      <c r="HC19" s="249"/>
      <c r="HD19" s="249"/>
      <c r="HE19" s="249"/>
      <c r="HF19" s="249"/>
      <c r="HG19" s="249"/>
      <c r="HH19" s="249"/>
      <c r="HI19" s="249"/>
      <c r="HJ19" s="249"/>
      <c r="HK19" s="249"/>
      <c r="HL19" s="249"/>
      <c r="HM19" s="249"/>
      <c r="HN19" s="249"/>
      <c r="HO19" s="249"/>
      <c r="HP19" s="249"/>
      <c r="HQ19" s="249"/>
      <c r="HR19" s="249"/>
      <c r="HS19" s="249"/>
      <c r="HT19" s="249"/>
      <c r="HU19" s="249"/>
      <c r="HV19" s="249"/>
      <c r="HW19" s="249"/>
      <c r="HX19" s="249"/>
      <c r="HY19" s="249"/>
      <c r="HZ19" s="249"/>
      <c r="IA19" s="249"/>
      <c r="IB19" s="249"/>
      <c r="IC19" s="249"/>
      <c r="ID19" s="249"/>
      <c r="IE19" s="249"/>
      <c r="IF19" s="249"/>
      <c r="IG19" s="249"/>
      <c r="IH19" s="249"/>
      <c r="II19" s="249"/>
      <c r="IJ19" s="249"/>
      <c r="IK19" s="249"/>
      <c r="IL19" s="249"/>
      <c r="IM19" s="249"/>
      <c r="IN19" s="249"/>
      <c r="IO19" s="249"/>
      <c r="IP19" s="249"/>
      <c r="IQ19" s="249"/>
      <c r="IR19" s="249"/>
      <c r="IS19" s="249"/>
      <c r="IT19" s="249"/>
      <c r="IU19" s="249"/>
      <c r="IV19" s="249"/>
    </row>
    <row r="20" spans="1:256" s="193" customFormat="1" ht="12.75" thickBot="1" x14ac:dyDescent="0.25">
      <c r="A20" s="249" t="s">
        <v>44</v>
      </c>
      <c r="B20" s="196" t="str">
        <f>VLOOKUP(VLOOKUP(HLOOKUP($B$2,DB_Artikel,ROW()-1,FALSE),Auswahlfelder!$D$22:$E$23,2,FALSE),Auswahlfelder!$A$22:$B$23,2,FALSE)</f>
        <v>nein</v>
      </c>
      <c r="C20" s="212" t="str">
        <f>'Quick Input'!I25</f>
        <v>Oberfläche Sandstrahlen</v>
      </c>
      <c r="D20" s="193" t="s">
        <v>44</v>
      </c>
      <c r="E20" s="193" t="s">
        <v>44</v>
      </c>
      <c r="F20" s="193" t="s">
        <v>44</v>
      </c>
      <c r="G20" s="193" t="s">
        <v>44</v>
      </c>
      <c r="H20" s="193" t="s">
        <v>44</v>
      </c>
      <c r="I20" s="193" t="s">
        <v>44</v>
      </c>
      <c r="J20" s="193" t="s">
        <v>43</v>
      </c>
      <c r="K20" s="193" t="s">
        <v>43</v>
      </c>
      <c r="L20" s="193" t="s">
        <v>43</v>
      </c>
      <c r="M20" s="194" t="s">
        <v>43</v>
      </c>
      <c r="N20" s="193" t="s">
        <v>43</v>
      </c>
      <c r="O20" s="193" t="s">
        <v>43</v>
      </c>
      <c r="P20" s="193" t="s">
        <v>43</v>
      </c>
      <c r="Q20" s="193" t="s">
        <v>43</v>
      </c>
      <c r="R20" s="193" t="s">
        <v>43</v>
      </c>
      <c r="S20" s="193" t="s">
        <v>44</v>
      </c>
      <c r="T20" s="193" t="s">
        <v>44</v>
      </c>
      <c r="U20" s="193" t="s">
        <v>44</v>
      </c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  <c r="GK20" s="249"/>
      <c r="GL20" s="249"/>
      <c r="GM20" s="249"/>
      <c r="GN20" s="249"/>
      <c r="GO20" s="249"/>
      <c r="GP20" s="249"/>
      <c r="GQ20" s="249"/>
      <c r="GR20" s="249"/>
      <c r="GS20" s="249"/>
      <c r="GT20" s="249"/>
      <c r="GU20" s="249"/>
      <c r="GV20" s="249"/>
      <c r="GW20" s="249"/>
      <c r="GX20" s="249"/>
      <c r="GY20" s="249"/>
      <c r="GZ20" s="249"/>
      <c r="HA20" s="249"/>
      <c r="HB20" s="249"/>
      <c r="HC20" s="249"/>
      <c r="HD20" s="249"/>
      <c r="HE20" s="249"/>
      <c r="HF20" s="249"/>
      <c r="HG20" s="249"/>
      <c r="HH20" s="249"/>
      <c r="HI20" s="249"/>
      <c r="HJ20" s="249"/>
      <c r="HK20" s="249"/>
      <c r="HL20" s="249"/>
      <c r="HM20" s="249"/>
      <c r="HN20" s="249"/>
      <c r="HO20" s="249"/>
      <c r="HP20" s="249"/>
      <c r="HQ20" s="249"/>
      <c r="HR20" s="249"/>
      <c r="HS20" s="249"/>
      <c r="HT20" s="249"/>
      <c r="HU20" s="249"/>
      <c r="HV20" s="249"/>
      <c r="HW20" s="249"/>
      <c r="HX20" s="249"/>
      <c r="HY20" s="249"/>
      <c r="HZ20" s="249"/>
      <c r="IA20" s="249"/>
      <c r="IB20" s="249"/>
      <c r="IC20" s="249"/>
      <c r="ID20" s="249"/>
      <c r="IE20" s="249"/>
      <c r="IF20" s="249"/>
      <c r="IG20" s="249"/>
      <c r="IH20" s="249"/>
      <c r="II20" s="249"/>
      <c r="IJ20" s="249"/>
      <c r="IK20" s="249"/>
      <c r="IL20" s="249"/>
      <c r="IM20" s="249"/>
      <c r="IN20" s="249"/>
      <c r="IO20" s="249"/>
      <c r="IP20" s="249"/>
      <c r="IQ20" s="249"/>
      <c r="IR20" s="249"/>
      <c r="IS20" s="249"/>
      <c r="IT20" s="249"/>
      <c r="IU20" s="249"/>
      <c r="IV20" s="249"/>
    </row>
    <row r="21" spans="1:256" s="193" customFormat="1" ht="12.75" thickBot="1" x14ac:dyDescent="0.25">
      <c r="A21" s="249" t="s">
        <v>43</v>
      </c>
      <c r="B21" s="196" t="str">
        <f>VLOOKUP(VLOOKUP(HLOOKUP($B$2,DB_Artikel,ROW()-1,FALSE),Auswahlfelder!$D$22:$E$23,2,FALSE),Auswahlfelder!$A$22:$B$23,2,FALSE)</f>
        <v>ja</v>
      </c>
      <c r="C21" s="212" t="str">
        <f>'Quick Input'!I26</f>
        <v>Oberfläche Gleitschleifen</v>
      </c>
      <c r="D21" s="193" t="s">
        <v>43</v>
      </c>
      <c r="E21" s="193" t="s">
        <v>43</v>
      </c>
      <c r="F21" s="193" t="s">
        <v>44</v>
      </c>
      <c r="G21" s="193" t="s">
        <v>44</v>
      </c>
      <c r="H21" s="193" t="s">
        <v>43</v>
      </c>
      <c r="I21" s="193" t="s">
        <v>43</v>
      </c>
      <c r="J21" s="193" t="s">
        <v>44</v>
      </c>
      <c r="K21" s="193" t="s">
        <v>44</v>
      </c>
      <c r="L21" s="193" t="s">
        <v>43</v>
      </c>
      <c r="M21" s="194" t="s">
        <v>43</v>
      </c>
      <c r="N21" s="193" t="s">
        <v>43</v>
      </c>
      <c r="O21" s="193" t="s">
        <v>43</v>
      </c>
      <c r="P21" s="193" t="s">
        <v>44</v>
      </c>
      <c r="Q21" s="193" t="s">
        <v>43</v>
      </c>
      <c r="R21" s="193" t="s">
        <v>43</v>
      </c>
      <c r="S21" s="193" t="s">
        <v>43</v>
      </c>
      <c r="T21" s="193" t="s">
        <v>44</v>
      </c>
      <c r="U21" s="193" t="s">
        <v>43</v>
      </c>
      <c r="EW21" s="249"/>
      <c r="EX21" s="249"/>
      <c r="EY21" s="249"/>
      <c r="EZ21" s="249"/>
      <c r="FA21" s="249"/>
      <c r="FB21" s="249"/>
      <c r="FC21" s="249"/>
      <c r="FD21" s="249"/>
      <c r="FE21" s="249"/>
      <c r="FF21" s="249"/>
      <c r="FG21" s="249"/>
      <c r="FH21" s="249"/>
      <c r="FI21" s="249"/>
      <c r="FJ21" s="249"/>
      <c r="FK21" s="249"/>
      <c r="FL21" s="249"/>
      <c r="FM21" s="249"/>
      <c r="FN21" s="249"/>
      <c r="FO21" s="249"/>
      <c r="FP21" s="249"/>
      <c r="FQ21" s="249"/>
      <c r="FR21" s="249"/>
      <c r="FS21" s="249"/>
      <c r="FT21" s="249"/>
      <c r="FU21" s="249"/>
      <c r="FV21" s="249"/>
      <c r="FW21" s="249"/>
      <c r="FX21" s="249"/>
      <c r="FY21" s="249"/>
      <c r="FZ21" s="249"/>
      <c r="GA21" s="249"/>
      <c r="GB21" s="249"/>
      <c r="GC21" s="249"/>
      <c r="GD21" s="249"/>
      <c r="GE21" s="249"/>
      <c r="GF21" s="249"/>
      <c r="GG21" s="249"/>
      <c r="GH21" s="249"/>
      <c r="GI21" s="249"/>
      <c r="GJ21" s="249"/>
      <c r="GK21" s="249"/>
      <c r="GL21" s="249"/>
      <c r="GM21" s="249"/>
      <c r="GN21" s="249"/>
      <c r="GO21" s="249"/>
      <c r="GP21" s="249"/>
      <c r="GQ21" s="249"/>
      <c r="GR21" s="249"/>
      <c r="GS21" s="249"/>
      <c r="GT21" s="249"/>
      <c r="GU21" s="249"/>
      <c r="GV21" s="249"/>
      <c r="GW21" s="249"/>
      <c r="GX21" s="249"/>
      <c r="GY21" s="249"/>
      <c r="GZ21" s="249"/>
      <c r="HA21" s="249"/>
      <c r="HB21" s="249"/>
      <c r="HC21" s="249"/>
      <c r="HD21" s="249"/>
      <c r="HE21" s="249"/>
      <c r="HF21" s="249"/>
      <c r="HG21" s="249"/>
      <c r="HH21" s="249"/>
      <c r="HI21" s="249"/>
      <c r="HJ21" s="249"/>
      <c r="HK21" s="249"/>
      <c r="HL21" s="249"/>
      <c r="HM21" s="249"/>
      <c r="HN21" s="249"/>
      <c r="HO21" s="249"/>
      <c r="HP21" s="249"/>
      <c r="HQ21" s="249"/>
      <c r="HR21" s="249"/>
      <c r="HS21" s="249"/>
      <c r="HT21" s="249"/>
      <c r="HU21" s="249"/>
      <c r="HV21" s="249"/>
      <c r="HW21" s="249"/>
      <c r="HX21" s="249"/>
      <c r="HY21" s="249"/>
      <c r="HZ21" s="249"/>
      <c r="IA21" s="249"/>
      <c r="IB21" s="249"/>
      <c r="IC21" s="249"/>
      <c r="ID21" s="249"/>
      <c r="IE21" s="249"/>
      <c r="IF21" s="249"/>
      <c r="IG21" s="249"/>
      <c r="IH21" s="249"/>
      <c r="II21" s="249"/>
      <c r="IJ21" s="249"/>
      <c r="IK21" s="249"/>
      <c r="IL21" s="249"/>
      <c r="IM21" s="249"/>
      <c r="IN21" s="249"/>
      <c r="IO21" s="249"/>
      <c r="IP21" s="249"/>
      <c r="IQ21" s="249"/>
      <c r="IR21" s="249"/>
      <c r="IS21" s="249"/>
      <c r="IT21" s="249"/>
      <c r="IU21" s="249"/>
      <c r="IV21" s="249"/>
    </row>
    <row r="22" spans="1:256" s="193" customFormat="1" ht="12.75" thickBot="1" x14ac:dyDescent="0.25">
      <c r="A22" s="249" t="s">
        <v>43</v>
      </c>
      <c r="B22" s="196" t="str">
        <f>VLOOKUP(VLOOKUP(HLOOKUP($B$2,DB_Artikel,ROW()-1,FALSE),Auswahlfelder!$D$22:$E$23,2,FALSE),Auswahlfelder!$A$22:$B$23,2,FALSE)</f>
        <v>ja</v>
      </c>
      <c r="C22" s="212" t="str">
        <f>'Quick Input'!I27</f>
        <v>Oberfläche Feinputzen</v>
      </c>
      <c r="D22" s="193" t="s">
        <v>44</v>
      </c>
      <c r="E22" s="193" t="s">
        <v>44</v>
      </c>
      <c r="F22" s="193" t="s">
        <v>43</v>
      </c>
      <c r="G22" s="193" t="s">
        <v>43</v>
      </c>
      <c r="H22" s="193" t="s">
        <v>43</v>
      </c>
      <c r="I22" s="193" t="s">
        <v>43</v>
      </c>
      <c r="J22" s="193" t="s">
        <v>44</v>
      </c>
      <c r="K22" s="193" t="s">
        <v>44</v>
      </c>
      <c r="L22" s="193" t="s">
        <v>43</v>
      </c>
      <c r="M22" s="194" t="s">
        <v>43</v>
      </c>
      <c r="N22" s="193" t="s">
        <v>43</v>
      </c>
      <c r="O22" s="193" t="s">
        <v>43</v>
      </c>
      <c r="P22" s="193" t="s">
        <v>44</v>
      </c>
      <c r="Q22" s="193" t="s">
        <v>43</v>
      </c>
      <c r="R22" s="193" t="s">
        <v>43</v>
      </c>
      <c r="S22" s="193" t="s">
        <v>44</v>
      </c>
      <c r="T22" s="193" t="s">
        <v>43</v>
      </c>
      <c r="U22" s="193" t="s">
        <v>43</v>
      </c>
      <c r="EW22" s="249"/>
      <c r="EX22" s="249"/>
      <c r="EY22" s="249"/>
      <c r="EZ22" s="249"/>
      <c r="FA22" s="249"/>
      <c r="FB22" s="249"/>
      <c r="FC22" s="249"/>
      <c r="FD22" s="249"/>
      <c r="FE22" s="249"/>
      <c r="FF22" s="249"/>
      <c r="FG22" s="249"/>
      <c r="FH22" s="249"/>
      <c r="FI22" s="249"/>
      <c r="FJ22" s="249"/>
      <c r="FK22" s="249"/>
      <c r="FL22" s="249"/>
      <c r="FM22" s="249"/>
      <c r="FN22" s="249"/>
      <c r="FO22" s="249"/>
      <c r="FP22" s="249"/>
      <c r="FQ22" s="249"/>
      <c r="FR22" s="249"/>
      <c r="FS22" s="249"/>
      <c r="FT22" s="249"/>
      <c r="FU22" s="249"/>
      <c r="FV22" s="249"/>
      <c r="FW22" s="249"/>
      <c r="FX22" s="249"/>
      <c r="FY22" s="249"/>
      <c r="FZ22" s="249"/>
      <c r="GA22" s="249"/>
      <c r="GB22" s="249"/>
      <c r="GC22" s="249"/>
      <c r="GD22" s="249"/>
      <c r="GE22" s="249"/>
      <c r="GF22" s="249"/>
      <c r="GG22" s="249"/>
      <c r="GH22" s="249"/>
      <c r="GI22" s="249"/>
      <c r="GJ22" s="249"/>
      <c r="GK22" s="249"/>
      <c r="GL22" s="249"/>
      <c r="GM22" s="249"/>
      <c r="GN22" s="249"/>
      <c r="GO22" s="249"/>
      <c r="GP22" s="249"/>
      <c r="GQ22" s="249"/>
      <c r="GR22" s="249"/>
      <c r="GS22" s="249"/>
      <c r="GT22" s="249"/>
      <c r="GU22" s="249"/>
      <c r="GV22" s="249"/>
      <c r="GW22" s="249"/>
      <c r="GX22" s="249"/>
      <c r="GY22" s="249"/>
      <c r="GZ22" s="249"/>
      <c r="HA22" s="249"/>
      <c r="HB22" s="249"/>
      <c r="HC22" s="249"/>
      <c r="HD22" s="249"/>
      <c r="HE22" s="249"/>
      <c r="HF22" s="249"/>
      <c r="HG22" s="249"/>
      <c r="HH22" s="249"/>
      <c r="HI22" s="249"/>
      <c r="HJ22" s="249"/>
      <c r="HK22" s="249"/>
      <c r="HL22" s="249"/>
      <c r="HM22" s="249"/>
      <c r="HN22" s="249"/>
      <c r="HO22" s="249"/>
      <c r="HP22" s="249"/>
      <c r="HQ22" s="249"/>
      <c r="HR22" s="249"/>
      <c r="HS22" s="249"/>
      <c r="HT22" s="249"/>
      <c r="HU22" s="249"/>
      <c r="HV22" s="249"/>
      <c r="HW22" s="249"/>
      <c r="HX22" s="249"/>
      <c r="HY22" s="249"/>
      <c r="HZ22" s="249"/>
      <c r="IA22" s="249"/>
      <c r="IB22" s="249"/>
      <c r="IC22" s="249"/>
      <c r="ID22" s="249"/>
      <c r="IE22" s="249"/>
      <c r="IF22" s="249"/>
      <c r="IG22" s="249"/>
      <c r="IH22" s="249"/>
      <c r="II22" s="249"/>
      <c r="IJ22" s="249"/>
      <c r="IK22" s="249"/>
      <c r="IL22" s="249"/>
      <c r="IM22" s="249"/>
      <c r="IN22" s="249"/>
      <c r="IO22" s="249"/>
      <c r="IP22" s="249"/>
      <c r="IQ22" s="249"/>
      <c r="IR22" s="249"/>
      <c r="IS22" s="249"/>
      <c r="IT22" s="249"/>
      <c r="IU22" s="249"/>
      <c r="IV22" s="249"/>
    </row>
    <row r="23" spans="1:256" s="193" customFormat="1" ht="12.75" thickBot="1" x14ac:dyDescent="0.25">
      <c r="A23" s="249" t="s">
        <v>44</v>
      </c>
      <c r="B23" s="196" t="str">
        <f>VLOOKUP(VLOOKUP(HLOOKUP($B$2,DB_Artikel,ROW()-1,FALSE),Auswahlfelder!$D$22:$E$23,2,FALSE),Auswahlfelder!$A$22:$B$23,2,FALSE)</f>
        <v>nein</v>
      </c>
      <c r="C23" s="212" t="str">
        <f>'Quick Input'!I28</f>
        <v>Ultraschall Prüfung</v>
      </c>
      <c r="D23" s="193" t="s">
        <v>43</v>
      </c>
      <c r="E23" s="193" t="s">
        <v>43</v>
      </c>
      <c r="F23" s="193" t="s">
        <v>44</v>
      </c>
      <c r="G23" s="193" t="s">
        <v>44</v>
      </c>
      <c r="H23" s="193" t="s">
        <v>44</v>
      </c>
      <c r="I23" s="193" t="s">
        <v>44</v>
      </c>
      <c r="J23" s="193" t="s">
        <v>44</v>
      </c>
      <c r="K23" s="193" t="s">
        <v>44</v>
      </c>
      <c r="L23" s="193" t="s">
        <v>43</v>
      </c>
      <c r="M23" s="194" t="s">
        <v>43</v>
      </c>
      <c r="N23" s="193" t="s">
        <v>43</v>
      </c>
      <c r="O23" s="193" t="s">
        <v>43</v>
      </c>
      <c r="P23" s="193" t="s">
        <v>44</v>
      </c>
      <c r="Q23" s="193" t="s">
        <v>43</v>
      </c>
      <c r="R23" s="193" t="s">
        <v>43</v>
      </c>
      <c r="S23" s="193" t="s">
        <v>43</v>
      </c>
      <c r="T23" s="193" t="s">
        <v>44</v>
      </c>
      <c r="U23" s="193" t="s">
        <v>44</v>
      </c>
      <c r="EW23" s="249"/>
      <c r="EX23" s="249"/>
      <c r="EY23" s="249"/>
      <c r="EZ23" s="249"/>
      <c r="FA23" s="249"/>
      <c r="FB23" s="249"/>
      <c r="FC23" s="249"/>
      <c r="FD23" s="249"/>
      <c r="FE23" s="249"/>
      <c r="FF23" s="249"/>
      <c r="FG23" s="249"/>
      <c r="FH23" s="249"/>
      <c r="FI23" s="249"/>
      <c r="FJ23" s="249"/>
      <c r="FK23" s="249"/>
      <c r="FL23" s="249"/>
      <c r="FM23" s="249"/>
      <c r="FN23" s="249"/>
      <c r="FO23" s="249"/>
      <c r="FP23" s="249"/>
      <c r="FQ23" s="249"/>
      <c r="FR23" s="249"/>
      <c r="FS23" s="249"/>
      <c r="FT23" s="249"/>
      <c r="FU23" s="249"/>
      <c r="FV23" s="249"/>
      <c r="FW23" s="249"/>
      <c r="FX23" s="249"/>
      <c r="FY23" s="249"/>
      <c r="FZ23" s="249"/>
      <c r="GA23" s="249"/>
      <c r="GB23" s="249"/>
      <c r="GC23" s="249"/>
      <c r="GD23" s="249"/>
      <c r="GE23" s="249"/>
      <c r="GF23" s="249"/>
      <c r="GG23" s="249"/>
      <c r="GH23" s="249"/>
      <c r="GI23" s="249"/>
      <c r="GJ23" s="249"/>
      <c r="GK23" s="249"/>
      <c r="GL23" s="249"/>
      <c r="GM23" s="249"/>
      <c r="GN23" s="249"/>
      <c r="GO23" s="249"/>
      <c r="GP23" s="249"/>
      <c r="GQ23" s="249"/>
      <c r="GR23" s="249"/>
      <c r="GS23" s="249"/>
      <c r="GT23" s="249"/>
      <c r="GU23" s="249"/>
      <c r="GV23" s="249"/>
      <c r="GW23" s="249"/>
      <c r="GX23" s="249"/>
      <c r="GY23" s="249"/>
      <c r="GZ23" s="249"/>
      <c r="HA23" s="249"/>
      <c r="HB23" s="249"/>
      <c r="HC23" s="249"/>
      <c r="HD23" s="249"/>
      <c r="HE23" s="249"/>
      <c r="HF23" s="249"/>
      <c r="HG23" s="249"/>
      <c r="HH23" s="249"/>
      <c r="HI23" s="249"/>
      <c r="HJ23" s="249"/>
      <c r="HK23" s="249"/>
      <c r="HL23" s="249"/>
      <c r="HM23" s="249"/>
      <c r="HN23" s="249"/>
      <c r="HO23" s="249"/>
      <c r="HP23" s="249"/>
      <c r="HQ23" s="249"/>
      <c r="HR23" s="249"/>
      <c r="HS23" s="249"/>
      <c r="HT23" s="249"/>
      <c r="HU23" s="249"/>
      <c r="HV23" s="249"/>
      <c r="HW23" s="249"/>
      <c r="HX23" s="249"/>
      <c r="HY23" s="249"/>
      <c r="HZ23" s="249"/>
      <c r="IA23" s="249"/>
      <c r="IB23" s="249"/>
      <c r="IC23" s="249"/>
      <c r="ID23" s="249"/>
      <c r="IE23" s="249"/>
      <c r="IF23" s="249"/>
      <c r="IG23" s="249"/>
      <c r="IH23" s="249"/>
      <c r="II23" s="249"/>
      <c r="IJ23" s="249"/>
      <c r="IK23" s="249"/>
      <c r="IL23" s="249"/>
      <c r="IM23" s="249"/>
      <c r="IN23" s="249"/>
      <c r="IO23" s="249"/>
      <c r="IP23" s="249"/>
      <c r="IQ23" s="249"/>
      <c r="IR23" s="249"/>
      <c r="IS23" s="249"/>
      <c r="IT23" s="249"/>
      <c r="IU23" s="249"/>
      <c r="IV23" s="249"/>
    </row>
    <row r="24" spans="1:256" s="193" customFormat="1" ht="12.75" thickBot="1" x14ac:dyDescent="0.25">
      <c r="A24" s="249" t="s">
        <v>43</v>
      </c>
      <c r="B24" s="196" t="str">
        <f>VLOOKUP(VLOOKUP(HLOOKUP($B$2,DB_Artikel,ROW()-1,FALSE),Auswahlfelder!$D$22:$E$23,2,FALSE),Auswahlfelder!$A$22:$B$23,2,FALSE)</f>
        <v>ja</v>
      </c>
      <c r="C24" s="212" t="str">
        <f>'Quick Input'!I29</f>
        <v>Farbeindring Prüfung</v>
      </c>
      <c r="D24" s="193" t="s">
        <v>43</v>
      </c>
      <c r="E24" s="193" t="s">
        <v>43</v>
      </c>
      <c r="F24" s="193" t="s">
        <v>44</v>
      </c>
      <c r="G24" s="193" t="s">
        <v>44</v>
      </c>
      <c r="H24" s="193" t="s">
        <v>43</v>
      </c>
      <c r="I24" s="193" t="s">
        <v>43</v>
      </c>
      <c r="J24" s="193" t="s">
        <v>44</v>
      </c>
      <c r="K24" s="193" t="s">
        <v>44</v>
      </c>
      <c r="L24" s="193" t="s">
        <v>43</v>
      </c>
      <c r="M24" s="194" t="s">
        <v>43</v>
      </c>
      <c r="N24" s="193" t="s">
        <v>43</v>
      </c>
      <c r="O24" s="193" t="s">
        <v>43</v>
      </c>
      <c r="P24" s="193" t="s">
        <v>44</v>
      </c>
      <c r="Q24" s="193" t="s">
        <v>43</v>
      </c>
      <c r="R24" s="193" t="s">
        <v>43</v>
      </c>
      <c r="S24" s="193" t="s">
        <v>43</v>
      </c>
      <c r="T24" s="193" t="s">
        <v>44</v>
      </c>
      <c r="U24" s="193" t="s">
        <v>43</v>
      </c>
      <c r="EW24" s="249"/>
      <c r="EX24" s="249"/>
      <c r="EY24" s="249"/>
      <c r="EZ24" s="249"/>
      <c r="FA24" s="249"/>
      <c r="FB24" s="249"/>
      <c r="FC24" s="249"/>
      <c r="FD24" s="249"/>
      <c r="FE24" s="249"/>
      <c r="FF24" s="249"/>
      <c r="FG24" s="249"/>
      <c r="FH24" s="249"/>
      <c r="FI24" s="249"/>
      <c r="FJ24" s="249"/>
      <c r="FK24" s="249"/>
      <c r="FL24" s="249"/>
      <c r="FM24" s="249"/>
      <c r="FN24" s="249"/>
      <c r="FO24" s="249"/>
      <c r="FP24" s="249"/>
      <c r="FQ24" s="249"/>
      <c r="FR24" s="249"/>
      <c r="FS24" s="249"/>
      <c r="FT24" s="249"/>
      <c r="FU24" s="249"/>
      <c r="FV24" s="249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</row>
    <row r="25" spans="1:256" s="193" customFormat="1" ht="12.75" thickBot="1" x14ac:dyDescent="0.25">
      <c r="A25" s="249" t="s">
        <v>43</v>
      </c>
      <c r="B25" s="196" t="str">
        <f>VLOOKUP(VLOOKUP(HLOOKUP($B$2,DB_Artikel,ROW()-1,FALSE),Auswahlfelder!$D$22:$E$23,2,FALSE),Auswahlfelder!$A$22:$B$23,2,FALSE)</f>
        <v>ja</v>
      </c>
      <c r="C25" s="212" t="str">
        <f>'Quick Input'!I30</f>
        <v>Röntgen Prüfung</v>
      </c>
      <c r="D25" s="193" t="s">
        <v>44</v>
      </c>
      <c r="E25" s="193" t="s">
        <v>44</v>
      </c>
      <c r="F25" s="193" t="s">
        <v>43</v>
      </c>
      <c r="G25" s="193" t="s">
        <v>43</v>
      </c>
      <c r="H25" s="193" t="s">
        <v>43</v>
      </c>
      <c r="I25" s="193" t="s">
        <v>43</v>
      </c>
      <c r="J25" s="193" t="s">
        <v>44</v>
      </c>
      <c r="K25" s="193" t="s">
        <v>44</v>
      </c>
      <c r="L25" s="193" t="s">
        <v>43</v>
      </c>
      <c r="M25" s="194" t="s">
        <v>43</v>
      </c>
      <c r="N25" s="193" t="s">
        <v>43</v>
      </c>
      <c r="O25" s="193" t="s">
        <v>43</v>
      </c>
      <c r="P25" s="193" t="s">
        <v>44</v>
      </c>
      <c r="Q25" s="193" t="s">
        <v>43</v>
      </c>
      <c r="R25" s="193" t="s">
        <v>43</v>
      </c>
      <c r="S25" s="193" t="s">
        <v>44</v>
      </c>
      <c r="T25" s="193" t="s">
        <v>43</v>
      </c>
      <c r="U25" s="193" t="s">
        <v>43</v>
      </c>
      <c r="EW25" s="249"/>
      <c r="EX25" s="249"/>
      <c r="EY25" s="249"/>
      <c r="EZ25" s="249"/>
      <c r="FA25" s="249"/>
      <c r="FB25" s="249"/>
      <c r="FC25" s="249"/>
      <c r="FD25" s="249"/>
      <c r="FE25" s="249"/>
      <c r="FF25" s="249"/>
      <c r="FG25" s="249"/>
      <c r="FH25" s="249"/>
      <c r="FI25" s="249"/>
      <c r="FJ25" s="249"/>
      <c r="FK25" s="249"/>
      <c r="FL25" s="249"/>
      <c r="FM25" s="249"/>
      <c r="FN25" s="249"/>
      <c r="FO25" s="249"/>
      <c r="FP25" s="249"/>
      <c r="FQ25" s="249"/>
      <c r="FR25" s="249"/>
      <c r="FS25" s="249"/>
      <c r="FT25" s="249"/>
      <c r="FU25" s="249"/>
      <c r="FV25" s="249"/>
      <c r="FW25" s="249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49"/>
      <c r="GP25" s="249"/>
      <c r="GQ25" s="249"/>
      <c r="GR25" s="249"/>
      <c r="GS25" s="249"/>
      <c r="GT25" s="249"/>
      <c r="GU25" s="249"/>
      <c r="GV25" s="249"/>
      <c r="GW25" s="249"/>
      <c r="GX25" s="249"/>
      <c r="GY25" s="249"/>
      <c r="GZ25" s="249"/>
      <c r="HA25" s="249"/>
      <c r="HB25" s="249"/>
      <c r="HC25" s="249"/>
      <c r="HD25" s="249"/>
      <c r="HE25" s="249"/>
      <c r="HF25" s="249"/>
      <c r="HG25" s="249"/>
      <c r="HH25" s="249"/>
      <c r="HI25" s="249"/>
      <c r="HJ25" s="249"/>
      <c r="HK25" s="249"/>
      <c r="HL25" s="249"/>
      <c r="HM25" s="249"/>
      <c r="HN25" s="249"/>
      <c r="HO25" s="249"/>
      <c r="HP25" s="249"/>
      <c r="HQ25" s="249"/>
      <c r="HR25" s="249"/>
      <c r="HS25" s="249"/>
      <c r="HT25" s="249"/>
      <c r="HU25" s="249"/>
      <c r="HV25" s="249"/>
      <c r="HW25" s="249"/>
      <c r="HX25" s="249"/>
      <c r="HY25" s="249"/>
      <c r="HZ25" s="249"/>
      <c r="IA25" s="249"/>
      <c r="IB25" s="249"/>
      <c r="IC25" s="249"/>
      <c r="ID25" s="249"/>
      <c r="IE25" s="249"/>
      <c r="IF25" s="249"/>
      <c r="IG25" s="249"/>
      <c r="IH25" s="249"/>
      <c r="II25" s="249"/>
      <c r="IJ25" s="249"/>
      <c r="IK25" s="249"/>
      <c r="IL25" s="249"/>
      <c r="IM25" s="249"/>
      <c r="IN25" s="249"/>
      <c r="IO25" s="249"/>
      <c r="IP25" s="249"/>
      <c r="IQ25" s="249"/>
      <c r="IR25" s="249"/>
      <c r="IS25" s="249"/>
      <c r="IT25" s="249"/>
      <c r="IU25" s="249"/>
      <c r="IV25" s="249"/>
    </row>
    <row r="26" spans="1:256" s="193" customFormat="1" ht="12.75" thickBot="1" x14ac:dyDescent="0.25">
      <c r="A26" s="249" t="s">
        <v>444</v>
      </c>
      <c r="B26" s="196" t="str">
        <f>VLOOKUP(VLOOKUP(HLOOKUP($B$2,DB_Artikel,ROW()-1,FALSE),Auswahlfelder!$D$31:$E$33,2,FALSE),Auswahlfelder!$A$31:$B$33,2,FALSE)</f>
        <v>Abnahmeprüfzeugnis 3.1</v>
      </c>
      <c r="C26" s="212" t="str">
        <f>'Quick Input'!I31</f>
        <v>Materialprüfzertifikat</v>
      </c>
      <c r="D26" s="193" t="s">
        <v>444</v>
      </c>
      <c r="E26" s="193" t="s">
        <v>444</v>
      </c>
      <c r="F26" s="193" t="s">
        <v>444</v>
      </c>
      <c r="G26" s="193" t="s">
        <v>444</v>
      </c>
      <c r="H26" s="193" t="s">
        <v>444</v>
      </c>
      <c r="I26" s="193" t="s">
        <v>444</v>
      </c>
      <c r="J26" s="193" t="s">
        <v>265</v>
      </c>
      <c r="K26" s="193" t="s">
        <v>265</v>
      </c>
      <c r="L26" s="193" t="s">
        <v>265</v>
      </c>
      <c r="M26" s="194" t="s">
        <v>265</v>
      </c>
      <c r="N26" s="193" t="s">
        <v>265</v>
      </c>
      <c r="O26" s="193" t="s">
        <v>265</v>
      </c>
      <c r="P26" s="193" t="s">
        <v>265</v>
      </c>
      <c r="Q26" s="193" t="s">
        <v>265</v>
      </c>
      <c r="R26" s="193" t="s">
        <v>265</v>
      </c>
      <c r="S26" s="193" t="s">
        <v>444</v>
      </c>
      <c r="T26" s="193" t="s">
        <v>444</v>
      </c>
      <c r="U26" s="193" t="s">
        <v>444</v>
      </c>
      <c r="EW26" s="249"/>
      <c r="EX26" s="249"/>
      <c r="EY26" s="249"/>
      <c r="EZ26" s="249"/>
      <c r="FA26" s="249"/>
      <c r="FB26" s="249"/>
      <c r="FC26" s="249"/>
      <c r="FD26" s="249"/>
      <c r="FE26" s="249"/>
      <c r="FF26" s="249"/>
      <c r="FG26" s="249"/>
      <c r="FH26" s="249"/>
      <c r="FI26" s="249"/>
      <c r="FJ26" s="249"/>
      <c r="FK26" s="249"/>
      <c r="FL26" s="249"/>
      <c r="FM26" s="249"/>
      <c r="FN26" s="249"/>
      <c r="FO26" s="249"/>
      <c r="FP26" s="249"/>
      <c r="FQ26" s="249"/>
      <c r="FR26" s="249"/>
      <c r="FS26" s="249"/>
      <c r="FT26" s="249"/>
      <c r="FU26" s="249"/>
      <c r="FV26" s="249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</row>
    <row r="27" spans="1:256" s="193" customFormat="1" ht="12.75" thickBot="1" x14ac:dyDescent="0.25">
      <c r="A27" s="249" t="s">
        <v>570</v>
      </c>
      <c r="B27" s="196" t="str">
        <f>VLOOKUP(VLOOKUP(HLOOKUP($B$2,DB_Artikel,ROW()-1,FALSE),Auswahlfelder!$D$41:$E$46,2,FALSE),Auswahlfelder!$A$41:$B$46,2,FALSE)</f>
        <v>T7</v>
      </c>
      <c r="C27" s="212" t="str">
        <f>'Quick Input'!I32</f>
        <v>Wärmebehandlung</v>
      </c>
      <c r="D27" s="193" t="s">
        <v>299</v>
      </c>
      <c r="E27" s="193" t="s">
        <v>299</v>
      </c>
      <c r="F27" s="193" t="s">
        <v>298</v>
      </c>
      <c r="G27" s="193" t="s">
        <v>298</v>
      </c>
      <c r="H27" s="193" t="s">
        <v>570</v>
      </c>
      <c r="I27" s="193" t="s">
        <v>570</v>
      </c>
      <c r="J27" s="193" t="s">
        <v>572</v>
      </c>
      <c r="K27" s="193" t="s">
        <v>572</v>
      </c>
      <c r="L27" s="193" t="s">
        <v>571</v>
      </c>
      <c r="M27" s="194" t="s">
        <v>571</v>
      </c>
      <c r="N27" s="193" t="s">
        <v>297</v>
      </c>
      <c r="O27" s="193" t="s">
        <v>297</v>
      </c>
      <c r="P27" s="193" t="s">
        <v>572</v>
      </c>
      <c r="Q27" s="193" t="s">
        <v>571</v>
      </c>
      <c r="R27" s="193" t="s">
        <v>297</v>
      </c>
      <c r="S27" s="193" t="s">
        <v>299</v>
      </c>
      <c r="T27" s="193" t="s">
        <v>298</v>
      </c>
      <c r="U27" s="193" t="s">
        <v>570</v>
      </c>
      <c r="EW27" s="249"/>
      <c r="EX27" s="249"/>
      <c r="EY27" s="249"/>
      <c r="EZ27" s="249"/>
      <c r="FA27" s="249"/>
      <c r="FB27" s="249"/>
      <c r="FC27" s="249"/>
      <c r="FD27" s="249"/>
      <c r="FE27" s="249"/>
      <c r="FF27" s="249"/>
      <c r="FG27" s="249"/>
      <c r="FH27" s="249"/>
      <c r="FI27" s="249"/>
      <c r="FJ27" s="249"/>
      <c r="FK27" s="249"/>
      <c r="FL27" s="249"/>
      <c r="FM27" s="249"/>
      <c r="FN27" s="249"/>
      <c r="FO27" s="249"/>
      <c r="FP27" s="249"/>
      <c r="FQ27" s="249"/>
      <c r="FR27" s="249"/>
      <c r="FS27" s="249"/>
      <c r="FT27" s="249"/>
      <c r="FU27" s="249"/>
      <c r="FV27" s="249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</row>
    <row r="28" spans="1:256" s="193" customFormat="1" ht="12.75" thickBot="1" x14ac:dyDescent="0.25">
      <c r="A28" s="249" t="s">
        <v>265</v>
      </c>
      <c r="B28" s="196" t="str">
        <f>VLOOKUP(VLOOKUP(HLOOKUP($B$2,DB_Artikel,ROW()-1,FALSE),Auswahlfelder!$D$60:$E$62,2,FALSE),Auswahlfelder!$A$60:$B$62,2,FALSE)</f>
        <v>ohne</v>
      </c>
      <c r="C28" s="212" t="str">
        <f>'Quick Input'!I33</f>
        <v>Reparaturschweißung</v>
      </c>
      <c r="D28" s="193" t="s">
        <v>455</v>
      </c>
      <c r="E28" s="193" t="s">
        <v>455</v>
      </c>
      <c r="F28" s="193" t="s">
        <v>455</v>
      </c>
      <c r="G28" s="193" t="s">
        <v>455</v>
      </c>
      <c r="H28" s="193" t="s">
        <v>265</v>
      </c>
      <c r="I28" s="193" t="s">
        <v>265</v>
      </c>
      <c r="J28" s="193" t="s">
        <v>265</v>
      </c>
      <c r="K28" s="193" t="s">
        <v>265</v>
      </c>
      <c r="L28" s="193" t="s">
        <v>265</v>
      </c>
      <c r="M28" s="194" t="s">
        <v>265</v>
      </c>
      <c r="N28" s="193" t="s">
        <v>265</v>
      </c>
      <c r="O28" s="193" t="s">
        <v>265</v>
      </c>
      <c r="P28" s="193" t="s">
        <v>265</v>
      </c>
      <c r="Q28" s="193" t="s">
        <v>265</v>
      </c>
      <c r="R28" s="193" t="s">
        <v>265</v>
      </c>
      <c r="S28" s="193" t="s">
        <v>455</v>
      </c>
      <c r="T28" s="193" t="s">
        <v>455</v>
      </c>
      <c r="U28" s="193" t="s">
        <v>265</v>
      </c>
      <c r="EW28" s="249"/>
      <c r="EX28" s="249"/>
      <c r="EY28" s="249"/>
      <c r="EZ28" s="249"/>
      <c r="FA28" s="249"/>
      <c r="FB28" s="249"/>
      <c r="FC28" s="249"/>
      <c r="FD28" s="249"/>
      <c r="FE28" s="249"/>
      <c r="FF28" s="249"/>
      <c r="FG28" s="249"/>
      <c r="FH28" s="249"/>
      <c r="FI28" s="249"/>
      <c r="FJ28" s="249"/>
      <c r="FK28" s="249"/>
      <c r="FL28" s="249"/>
      <c r="FM28" s="249"/>
      <c r="FN28" s="249"/>
      <c r="FO28" s="249"/>
      <c r="FP28" s="249"/>
      <c r="FQ28" s="249"/>
      <c r="FR28" s="249"/>
      <c r="FS28" s="249"/>
      <c r="FT28" s="249"/>
      <c r="FU28" s="249"/>
      <c r="FV28" s="249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</row>
    <row r="29" spans="1:256" s="193" customFormat="1" ht="12" thickBot="1" x14ac:dyDescent="0.25">
      <c r="A29" s="718">
        <v>42947</v>
      </c>
      <c r="B29" s="718">
        <f t="shared" ref="B29:B39" si="12">HLOOKUP($B$2,DB_Artikel,ROW()-1,FALSE)</f>
        <v>42947</v>
      </c>
      <c r="C29" s="212" t="str">
        <f>'Quick Input'!I34</f>
        <v>Datum</v>
      </c>
      <c r="D29" s="198">
        <v>42947</v>
      </c>
      <c r="E29" s="198">
        <v>42936</v>
      </c>
      <c r="F29" s="198">
        <v>42936</v>
      </c>
      <c r="G29" s="198">
        <v>42936</v>
      </c>
      <c r="H29" s="198">
        <v>42936</v>
      </c>
      <c r="I29" s="198">
        <v>42936</v>
      </c>
      <c r="J29" s="198">
        <v>42936</v>
      </c>
      <c r="K29" s="198">
        <v>42936</v>
      </c>
      <c r="L29" s="198">
        <v>42936</v>
      </c>
      <c r="M29" s="198">
        <v>42936</v>
      </c>
      <c r="N29" s="198">
        <v>42936</v>
      </c>
      <c r="O29" s="198">
        <v>42936</v>
      </c>
      <c r="P29" s="198">
        <v>42936</v>
      </c>
      <c r="Q29" s="198">
        <v>42936</v>
      </c>
      <c r="R29" s="198">
        <v>42947</v>
      </c>
      <c r="S29" s="198">
        <v>42936</v>
      </c>
      <c r="T29" s="198">
        <v>42936</v>
      </c>
      <c r="U29" s="198">
        <v>42947</v>
      </c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B29" s="198"/>
      <c r="DC29" s="198"/>
      <c r="DD29" s="198"/>
      <c r="DE29" s="198"/>
      <c r="DF29" s="198"/>
      <c r="DG29" s="198"/>
      <c r="DH29" s="198"/>
      <c r="DI29" s="198"/>
      <c r="DJ29" s="198"/>
      <c r="DK29" s="198"/>
      <c r="DL29" s="198"/>
      <c r="DM29" s="198"/>
      <c r="DN29" s="198"/>
      <c r="DO29" s="198"/>
      <c r="DP29" s="198"/>
      <c r="DQ29" s="198"/>
      <c r="DR29" s="198"/>
      <c r="DS29" s="198"/>
      <c r="DT29" s="198"/>
      <c r="DU29" s="198"/>
      <c r="DV29" s="198"/>
      <c r="DW29" s="198"/>
      <c r="DX29" s="198"/>
      <c r="DY29" s="198"/>
      <c r="DZ29" s="198"/>
      <c r="EA29" s="198"/>
      <c r="EB29" s="198"/>
      <c r="EC29" s="198"/>
      <c r="ED29" s="198"/>
      <c r="EE29" s="198"/>
      <c r="EF29" s="198"/>
      <c r="EG29" s="198"/>
      <c r="EH29" s="198"/>
      <c r="EI29" s="198"/>
      <c r="EJ29" s="198"/>
      <c r="EK29" s="198"/>
      <c r="EL29" s="198"/>
      <c r="EM29" s="198"/>
      <c r="EN29" s="198"/>
      <c r="EO29" s="198"/>
      <c r="EP29" s="198"/>
      <c r="EQ29" s="198"/>
      <c r="ER29" s="198"/>
      <c r="ES29" s="198"/>
      <c r="ET29" s="198"/>
      <c r="EU29" s="198"/>
      <c r="EV29" s="198"/>
      <c r="EW29" s="198"/>
      <c r="EX29" s="198"/>
      <c r="EY29" s="198"/>
      <c r="EZ29" s="198"/>
      <c r="FA29" s="198"/>
      <c r="FB29" s="198"/>
      <c r="FC29" s="198"/>
      <c r="FD29" s="198"/>
      <c r="FE29" s="198"/>
      <c r="FF29" s="198"/>
      <c r="FG29" s="198"/>
      <c r="FH29" s="198"/>
      <c r="FI29" s="198"/>
      <c r="FJ29" s="198"/>
      <c r="FK29" s="198"/>
      <c r="FL29" s="198"/>
      <c r="FM29" s="198"/>
      <c r="FN29" s="198"/>
      <c r="FO29" s="198"/>
      <c r="FP29" s="198"/>
      <c r="FQ29" s="198"/>
      <c r="FR29" s="198"/>
      <c r="FS29" s="198"/>
      <c r="FT29" s="198"/>
      <c r="FU29" s="198"/>
      <c r="FV29" s="198"/>
      <c r="FW29" s="198"/>
      <c r="FX29" s="198"/>
      <c r="FY29" s="198"/>
      <c r="FZ29" s="198"/>
      <c r="GA29" s="198"/>
      <c r="GB29" s="198"/>
      <c r="GC29" s="198"/>
      <c r="GD29" s="198"/>
      <c r="GE29" s="198"/>
      <c r="GF29" s="198"/>
      <c r="GG29" s="198"/>
      <c r="GH29" s="198"/>
      <c r="GI29" s="198"/>
      <c r="GJ29" s="198"/>
      <c r="GK29" s="198"/>
      <c r="GL29" s="198"/>
      <c r="GM29" s="198"/>
      <c r="GN29" s="198"/>
      <c r="GO29" s="198"/>
      <c r="GP29" s="198"/>
      <c r="GQ29" s="198"/>
      <c r="GR29" s="198"/>
      <c r="GS29" s="198"/>
      <c r="GT29" s="198"/>
      <c r="GU29" s="198"/>
      <c r="GV29" s="198"/>
      <c r="GW29" s="198"/>
      <c r="GX29" s="198"/>
      <c r="GY29" s="198"/>
      <c r="GZ29" s="198"/>
      <c r="HA29" s="198"/>
      <c r="HB29" s="198"/>
      <c r="HC29" s="198"/>
      <c r="HD29" s="198"/>
      <c r="HE29" s="198"/>
      <c r="HF29" s="198"/>
      <c r="HG29" s="198"/>
      <c r="HH29" s="198"/>
      <c r="HI29" s="198"/>
      <c r="HJ29" s="198"/>
      <c r="HK29" s="198"/>
      <c r="HL29" s="198"/>
      <c r="HM29" s="198"/>
      <c r="HN29" s="198"/>
      <c r="HO29" s="198"/>
      <c r="HP29" s="198"/>
      <c r="HQ29" s="198"/>
      <c r="HR29" s="198"/>
      <c r="HS29" s="198"/>
      <c r="HT29" s="198"/>
      <c r="HU29" s="198"/>
      <c r="HV29" s="198"/>
      <c r="HW29" s="198"/>
      <c r="HX29" s="198"/>
      <c r="HY29" s="198"/>
      <c r="HZ29" s="198"/>
      <c r="IA29" s="198"/>
      <c r="IB29" s="198"/>
      <c r="IC29" s="198"/>
      <c r="ID29" s="198"/>
      <c r="IE29" s="198"/>
      <c r="IF29" s="198"/>
      <c r="IG29" s="198"/>
      <c r="IH29" s="198"/>
      <c r="II29" s="198"/>
      <c r="IJ29" s="198"/>
      <c r="IK29" s="198"/>
      <c r="IL29" s="198"/>
      <c r="IM29" s="198"/>
      <c r="IN29" s="198"/>
      <c r="IO29" s="198"/>
      <c r="IP29" s="198"/>
      <c r="IQ29" s="198"/>
      <c r="IR29" s="198"/>
      <c r="IS29" s="198"/>
      <c r="IT29" s="198"/>
      <c r="IU29" s="198"/>
      <c r="IV29" s="198"/>
    </row>
    <row r="30" spans="1:256" s="193" customFormat="1" ht="12.75" thickBot="1" x14ac:dyDescent="0.25">
      <c r="A30" s="249">
        <v>6</v>
      </c>
      <c r="B30" s="196">
        <f t="shared" si="12"/>
        <v>6</v>
      </c>
      <c r="C30" s="212" t="str">
        <f>'Quick Input'!I35</f>
        <v>Laufzeit (Jahre)</v>
      </c>
      <c r="D30" s="193">
        <v>6</v>
      </c>
      <c r="E30" s="193">
        <v>6</v>
      </c>
      <c r="F30" s="193">
        <v>6</v>
      </c>
      <c r="G30" s="193">
        <v>6</v>
      </c>
      <c r="H30" s="193">
        <v>6</v>
      </c>
      <c r="I30" s="193">
        <v>6</v>
      </c>
      <c r="J30" s="193">
        <v>6</v>
      </c>
      <c r="K30" s="193">
        <v>6</v>
      </c>
      <c r="L30" s="193">
        <v>6</v>
      </c>
      <c r="M30" s="194">
        <v>6</v>
      </c>
      <c r="N30" s="193">
        <v>6</v>
      </c>
      <c r="O30" s="193">
        <v>6</v>
      </c>
      <c r="P30" s="193">
        <v>6</v>
      </c>
      <c r="Q30" s="193">
        <v>6</v>
      </c>
      <c r="R30" s="193">
        <v>6</v>
      </c>
      <c r="S30" s="193">
        <v>6</v>
      </c>
      <c r="T30" s="193">
        <v>6</v>
      </c>
      <c r="U30" s="193">
        <v>6</v>
      </c>
      <c r="EW30" s="249"/>
      <c r="EX30" s="249"/>
      <c r="EY30" s="249"/>
      <c r="EZ30" s="249"/>
      <c r="FA30" s="249"/>
      <c r="FB30" s="249"/>
      <c r="FC30" s="249"/>
      <c r="FD30" s="249"/>
      <c r="FE30" s="249"/>
      <c r="FF30" s="249"/>
      <c r="FG30" s="249"/>
      <c r="FH30" s="249"/>
      <c r="FI30" s="249"/>
      <c r="FJ30" s="249"/>
      <c r="FK30" s="249"/>
      <c r="FL30" s="249"/>
      <c r="FM30" s="249"/>
      <c r="FN30" s="249"/>
      <c r="FO30" s="249"/>
      <c r="FP30" s="249"/>
      <c r="FQ30" s="249"/>
      <c r="FR30" s="249"/>
      <c r="FS30" s="249"/>
      <c r="FT30" s="249"/>
      <c r="FU30" s="249"/>
      <c r="FV30" s="249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</row>
    <row r="31" spans="1:256" s="193" customFormat="1" ht="12.75" thickBot="1" x14ac:dyDescent="0.25">
      <c r="A31" s="249">
        <v>500</v>
      </c>
      <c r="B31" s="196">
        <f t="shared" si="12"/>
        <v>500</v>
      </c>
      <c r="C31" s="212" t="str">
        <f>'Quick Input'!I36</f>
        <v>Stückzahl pa (peak)</v>
      </c>
      <c r="D31" s="193">
        <v>500</v>
      </c>
      <c r="E31" s="193">
        <v>500</v>
      </c>
      <c r="F31" s="193">
        <v>500</v>
      </c>
      <c r="G31" s="193">
        <v>500</v>
      </c>
      <c r="H31" s="193">
        <v>500</v>
      </c>
      <c r="I31" s="193">
        <v>500</v>
      </c>
      <c r="J31" s="193">
        <v>5000</v>
      </c>
      <c r="K31" s="193">
        <v>5000</v>
      </c>
      <c r="L31" s="193">
        <v>5000</v>
      </c>
      <c r="M31" s="194">
        <v>5000</v>
      </c>
      <c r="N31" s="193">
        <v>5000</v>
      </c>
      <c r="O31" s="193">
        <v>5000</v>
      </c>
      <c r="P31" s="193">
        <v>5000</v>
      </c>
      <c r="Q31" s="193">
        <v>5000</v>
      </c>
      <c r="R31" s="193">
        <v>5000</v>
      </c>
      <c r="S31" s="193">
        <v>500</v>
      </c>
      <c r="T31" s="193">
        <v>500</v>
      </c>
      <c r="U31" s="193">
        <v>500</v>
      </c>
      <c r="EW31" s="249"/>
      <c r="EX31" s="24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49"/>
      <c r="FO31" s="249"/>
      <c r="FP31" s="249"/>
      <c r="FQ31" s="249"/>
      <c r="FR31" s="249"/>
      <c r="FS31" s="249"/>
      <c r="FT31" s="249"/>
      <c r="FU31" s="249"/>
      <c r="FV31" s="249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</row>
    <row r="32" spans="1:256" s="193" customFormat="1" ht="12.75" thickBot="1" x14ac:dyDescent="0.25">
      <c r="A32" s="249">
        <v>250</v>
      </c>
      <c r="B32" s="196">
        <f t="shared" si="12"/>
        <v>250</v>
      </c>
      <c r="C32" s="212" t="str">
        <f ca="1">'Quick Input'!I37</f>
        <v>FY 21/22</v>
      </c>
      <c r="D32" s="193">
        <v>250</v>
      </c>
      <c r="E32" s="193">
        <v>250</v>
      </c>
      <c r="F32" s="193">
        <v>250</v>
      </c>
      <c r="G32" s="193">
        <v>250</v>
      </c>
      <c r="H32" s="193">
        <v>250</v>
      </c>
      <c r="I32" s="193">
        <v>250</v>
      </c>
      <c r="J32" s="193">
        <v>2500</v>
      </c>
      <c r="K32" s="193">
        <v>2500</v>
      </c>
      <c r="L32" s="193">
        <v>2500</v>
      </c>
      <c r="M32" s="194">
        <v>2500</v>
      </c>
      <c r="N32" s="193">
        <v>2500</v>
      </c>
      <c r="O32" s="193">
        <v>2500</v>
      </c>
      <c r="P32" s="193">
        <v>2500</v>
      </c>
      <c r="Q32" s="193">
        <v>2500</v>
      </c>
      <c r="R32" s="193">
        <v>2500</v>
      </c>
      <c r="S32" s="193">
        <v>250</v>
      </c>
      <c r="T32" s="193">
        <v>250</v>
      </c>
      <c r="U32" s="193">
        <v>250</v>
      </c>
      <c r="EW32" s="249"/>
      <c r="EX32" s="249"/>
      <c r="EY32" s="249"/>
      <c r="EZ32" s="249"/>
      <c r="FA32" s="249"/>
      <c r="FB32" s="249"/>
      <c r="FC32" s="249"/>
      <c r="FD32" s="249"/>
      <c r="FE32" s="249"/>
      <c r="FF32" s="249"/>
      <c r="FG32" s="249"/>
      <c r="FH32" s="249"/>
      <c r="FI32" s="249"/>
      <c r="FJ32" s="249"/>
      <c r="FK32" s="249"/>
      <c r="FL32" s="249"/>
      <c r="FM32" s="249"/>
      <c r="FN32" s="249"/>
      <c r="FO32" s="249"/>
      <c r="FP32" s="249"/>
      <c r="FQ32" s="249"/>
      <c r="FR32" s="249"/>
      <c r="FS32" s="249"/>
      <c r="FT32" s="249"/>
      <c r="FU32" s="249"/>
      <c r="FV32" s="249"/>
      <c r="FW32" s="249"/>
      <c r="FX32" s="249"/>
      <c r="FY32" s="249"/>
      <c r="FZ32" s="249"/>
      <c r="GA32" s="249"/>
      <c r="GB32" s="249"/>
      <c r="GC32" s="249"/>
      <c r="GD32" s="249"/>
      <c r="GE32" s="249"/>
      <c r="GF32" s="249"/>
      <c r="GG32" s="249"/>
      <c r="GH32" s="249"/>
      <c r="GI32" s="249"/>
      <c r="GJ32" s="249"/>
      <c r="GK32" s="249"/>
      <c r="GL32" s="249"/>
      <c r="GM32" s="249"/>
      <c r="GN32" s="249"/>
      <c r="GO32" s="249"/>
      <c r="GP32" s="249"/>
      <c r="GQ32" s="249"/>
      <c r="GR32" s="249"/>
      <c r="GS32" s="249"/>
      <c r="GT32" s="249"/>
      <c r="GU32" s="249"/>
      <c r="GV32" s="249"/>
      <c r="GW32" s="249"/>
      <c r="GX32" s="249"/>
      <c r="GY32" s="249"/>
      <c r="GZ32" s="249"/>
      <c r="HA32" s="249"/>
      <c r="HB32" s="249"/>
      <c r="HC32" s="249"/>
      <c r="HD32" s="249"/>
      <c r="HE32" s="249"/>
      <c r="HF32" s="249"/>
      <c r="HG32" s="249"/>
      <c r="HH32" s="249"/>
      <c r="HI32" s="249"/>
      <c r="HJ32" s="249"/>
      <c r="HK32" s="249"/>
      <c r="HL32" s="249"/>
      <c r="HM32" s="249"/>
      <c r="HN32" s="249"/>
      <c r="HO32" s="249"/>
      <c r="HP32" s="249"/>
      <c r="HQ32" s="249"/>
      <c r="HR32" s="249"/>
      <c r="HS32" s="249"/>
      <c r="HT32" s="249"/>
      <c r="HU32" s="249"/>
      <c r="HV32" s="249"/>
      <c r="HW32" s="249"/>
      <c r="HX32" s="249"/>
      <c r="HY32" s="249"/>
      <c r="HZ32" s="249"/>
      <c r="IA32" s="249"/>
      <c r="IB32" s="249"/>
      <c r="IC32" s="249"/>
      <c r="ID32" s="249"/>
      <c r="IE32" s="249"/>
      <c r="IF32" s="249"/>
      <c r="IG32" s="249"/>
      <c r="IH32" s="249"/>
      <c r="II32" s="249"/>
      <c r="IJ32" s="249"/>
      <c r="IK32" s="249"/>
      <c r="IL32" s="249"/>
      <c r="IM32" s="249"/>
      <c r="IN32" s="249"/>
      <c r="IO32" s="249"/>
      <c r="IP32" s="249"/>
      <c r="IQ32" s="249"/>
      <c r="IR32" s="249"/>
      <c r="IS32" s="249"/>
      <c r="IT32" s="249"/>
      <c r="IU32" s="249"/>
      <c r="IV32" s="249"/>
    </row>
    <row r="33" spans="1:256" s="193" customFormat="1" ht="12.75" thickBot="1" x14ac:dyDescent="0.25">
      <c r="A33" s="249">
        <v>500</v>
      </c>
      <c r="B33" s="196">
        <f t="shared" si="12"/>
        <v>500</v>
      </c>
      <c r="C33" s="212" t="str">
        <f ca="1">'Quick Input'!I38</f>
        <v>FY 22/23</v>
      </c>
      <c r="D33" s="193">
        <v>500</v>
      </c>
      <c r="E33" s="193">
        <v>500</v>
      </c>
      <c r="F33" s="193">
        <v>500</v>
      </c>
      <c r="G33" s="193">
        <v>500</v>
      </c>
      <c r="H33" s="193">
        <v>500</v>
      </c>
      <c r="I33" s="193">
        <v>500</v>
      </c>
      <c r="J33" s="193">
        <v>5000</v>
      </c>
      <c r="K33" s="193">
        <v>5000</v>
      </c>
      <c r="L33" s="193">
        <v>5000</v>
      </c>
      <c r="M33" s="193">
        <v>5000</v>
      </c>
      <c r="N33" s="193">
        <v>5000</v>
      </c>
      <c r="O33" s="193">
        <v>5000</v>
      </c>
      <c r="P33" s="193">
        <v>5000</v>
      </c>
      <c r="Q33" s="193">
        <v>5000</v>
      </c>
      <c r="R33" s="193">
        <v>5000</v>
      </c>
      <c r="S33" s="193">
        <v>500</v>
      </c>
      <c r="T33" s="193">
        <v>500</v>
      </c>
      <c r="U33" s="193">
        <v>500</v>
      </c>
      <c r="EW33" s="249"/>
      <c r="EX33" s="249"/>
      <c r="EY33" s="249"/>
      <c r="EZ33" s="249"/>
      <c r="FA33" s="249"/>
      <c r="FB33" s="249"/>
      <c r="FC33" s="249"/>
      <c r="FD33" s="249"/>
      <c r="FE33" s="249"/>
      <c r="FF33" s="249"/>
      <c r="FG33" s="249"/>
      <c r="FH33" s="249"/>
      <c r="FI33" s="249"/>
      <c r="FJ33" s="249"/>
      <c r="FK33" s="249"/>
      <c r="FL33" s="249"/>
      <c r="FM33" s="249"/>
      <c r="FN33" s="249"/>
      <c r="FO33" s="249"/>
      <c r="FP33" s="249"/>
      <c r="FQ33" s="249"/>
      <c r="FR33" s="249"/>
      <c r="FS33" s="249"/>
      <c r="FT33" s="249"/>
      <c r="FU33" s="249"/>
      <c r="FV33" s="249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</row>
    <row r="34" spans="1:256" s="193" customFormat="1" ht="12.75" thickBot="1" x14ac:dyDescent="0.25">
      <c r="A34" s="249">
        <v>500</v>
      </c>
      <c r="B34" s="196">
        <f t="shared" si="12"/>
        <v>500</v>
      </c>
      <c r="C34" s="212" t="str">
        <f ca="1">'Quick Input'!I39</f>
        <v>FY 23/24</v>
      </c>
      <c r="D34" s="193">
        <v>500</v>
      </c>
      <c r="E34" s="193">
        <v>500</v>
      </c>
      <c r="F34" s="193">
        <v>500</v>
      </c>
      <c r="G34" s="193">
        <v>500</v>
      </c>
      <c r="H34" s="193">
        <v>500</v>
      </c>
      <c r="I34" s="193">
        <v>500</v>
      </c>
      <c r="J34" s="193">
        <v>5000</v>
      </c>
      <c r="K34" s="193">
        <v>5000</v>
      </c>
      <c r="L34" s="193">
        <v>5000</v>
      </c>
      <c r="M34" s="193">
        <v>5000</v>
      </c>
      <c r="N34" s="193">
        <v>5000</v>
      </c>
      <c r="O34" s="193">
        <v>5000</v>
      </c>
      <c r="P34" s="193">
        <v>5000</v>
      </c>
      <c r="Q34" s="193">
        <v>5000</v>
      </c>
      <c r="R34" s="193">
        <v>5000</v>
      </c>
      <c r="S34" s="193">
        <v>500</v>
      </c>
      <c r="T34" s="193">
        <v>500</v>
      </c>
      <c r="U34" s="193">
        <v>500</v>
      </c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</row>
    <row r="35" spans="1:256" s="193" customFormat="1" ht="12.75" thickBot="1" x14ac:dyDescent="0.25">
      <c r="A35" s="249">
        <v>500</v>
      </c>
      <c r="B35" s="196">
        <f t="shared" si="12"/>
        <v>500</v>
      </c>
      <c r="C35" s="212" t="str">
        <f ca="1">'Quick Input'!I40</f>
        <v>FY 24/25</v>
      </c>
      <c r="D35" s="193">
        <v>500</v>
      </c>
      <c r="E35" s="193">
        <v>500</v>
      </c>
      <c r="F35" s="193">
        <v>500</v>
      </c>
      <c r="G35" s="193">
        <v>500</v>
      </c>
      <c r="H35" s="193">
        <v>500</v>
      </c>
      <c r="I35" s="193">
        <v>500</v>
      </c>
      <c r="J35" s="193">
        <v>5000</v>
      </c>
      <c r="K35" s="193">
        <v>5000</v>
      </c>
      <c r="L35" s="193">
        <v>5000</v>
      </c>
      <c r="M35" s="193">
        <v>5000</v>
      </c>
      <c r="N35" s="193">
        <v>5000</v>
      </c>
      <c r="O35" s="193">
        <v>5000</v>
      </c>
      <c r="P35" s="193">
        <v>5000</v>
      </c>
      <c r="Q35" s="193">
        <v>5000</v>
      </c>
      <c r="R35" s="193">
        <v>5000</v>
      </c>
      <c r="S35" s="193">
        <v>500</v>
      </c>
      <c r="T35" s="193">
        <v>500</v>
      </c>
      <c r="U35" s="193">
        <v>500</v>
      </c>
      <c r="EW35" s="249"/>
      <c r="EX35" s="249"/>
      <c r="EY35" s="249"/>
      <c r="EZ35" s="249"/>
      <c r="FA35" s="249"/>
      <c r="FB35" s="249"/>
      <c r="FC35" s="249"/>
      <c r="FD35" s="249"/>
      <c r="FE35" s="249"/>
      <c r="FF35" s="249"/>
      <c r="FG35" s="249"/>
      <c r="FH35" s="249"/>
      <c r="FI35" s="249"/>
      <c r="FJ35" s="249"/>
      <c r="FK35" s="249"/>
      <c r="FL35" s="249"/>
      <c r="FM35" s="249"/>
      <c r="FN35" s="249"/>
      <c r="FO35" s="249"/>
      <c r="FP35" s="249"/>
      <c r="FQ35" s="249"/>
      <c r="FR35" s="249"/>
      <c r="FS35" s="249"/>
      <c r="FT35" s="249"/>
      <c r="FU35" s="249"/>
      <c r="FV35" s="249"/>
      <c r="FW35" s="249"/>
      <c r="FX35" s="249"/>
      <c r="FY35" s="249"/>
      <c r="FZ35" s="249"/>
      <c r="GA35" s="249"/>
      <c r="GB35" s="249"/>
      <c r="GC35" s="249"/>
      <c r="GD35" s="249"/>
      <c r="GE35" s="249"/>
      <c r="GF35" s="249"/>
      <c r="GG35" s="249"/>
      <c r="GH35" s="249"/>
      <c r="GI35" s="249"/>
      <c r="GJ35" s="249"/>
      <c r="GK35" s="249"/>
      <c r="GL35" s="249"/>
      <c r="GM35" s="249"/>
      <c r="GN35" s="249"/>
      <c r="GO35" s="249"/>
      <c r="GP35" s="249"/>
      <c r="GQ35" s="249"/>
      <c r="GR35" s="249"/>
      <c r="GS35" s="249"/>
      <c r="GT35" s="249"/>
      <c r="GU35" s="249"/>
      <c r="GV35" s="249"/>
      <c r="GW35" s="249"/>
      <c r="GX35" s="249"/>
      <c r="GY35" s="249"/>
      <c r="GZ35" s="249"/>
      <c r="HA35" s="249"/>
      <c r="HB35" s="249"/>
      <c r="HC35" s="249"/>
      <c r="HD35" s="249"/>
      <c r="HE35" s="249"/>
      <c r="HF35" s="249"/>
      <c r="HG35" s="249"/>
      <c r="HH35" s="249"/>
      <c r="HI35" s="249"/>
      <c r="HJ35" s="249"/>
      <c r="HK35" s="249"/>
      <c r="HL35" s="249"/>
      <c r="HM35" s="249"/>
      <c r="HN35" s="249"/>
      <c r="HO35" s="249"/>
      <c r="HP35" s="249"/>
      <c r="HQ35" s="249"/>
      <c r="HR35" s="249"/>
      <c r="HS35" s="249"/>
      <c r="HT35" s="249"/>
      <c r="HU35" s="249"/>
      <c r="HV35" s="249"/>
      <c r="HW35" s="249"/>
      <c r="HX35" s="249"/>
      <c r="HY35" s="249"/>
      <c r="HZ35" s="249"/>
      <c r="IA35" s="249"/>
      <c r="IB35" s="249"/>
      <c r="IC35" s="249"/>
      <c r="ID35" s="249"/>
      <c r="IE35" s="249"/>
      <c r="IF35" s="249"/>
      <c r="IG35" s="249"/>
      <c r="IH35" s="249"/>
      <c r="II35" s="249"/>
      <c r="IJ35" s="249"/>
      <c r="IK35" s="249"/>
      <c r="IL35" s="249"/>
      <c r="IM35" s="249"/>
      <c r="IN35" s="249"/>
      <c r="IO35" s="249"/>
      <c r="IP35" s="249"/>
      <c r="IQ35" s="249"/>
      <c r="IR35" s="249"/>
      <c r="IS35" s="249"/>
      <c r="IT35" s="249"/>
      <c r="IU35" s="249"/>
      <c r="IV35" s="249"/>
    </row>
    <row r="36" spans="1:256" s="193" customFormat="1" ht="12.75" thickBot="1" x14ac:dyDescent="0.25">
      <c r="A36" s="249">
        <v>500</v>
      </c>
      <c r="B36" s="196">
        <f t="shared" si="12"/>
        <v>500</v>
      </c>
      <c r="C36" s="212" t="str">
        <f ca="1">'Quick Input'!I41</f>
        <v>FY 25/26</v>
      </c>
      <c r="D36" s="193">
        <v>500</v>
      </c>
      <c r="E36" s="193">
        <v>500</v>
      </c>
      <c r="F36" s="193">
        <v>500</v>
      </c>
      <c r="G36" s="193">
        <v>500</v>
      </c>
      <c r="H36" s="193">
        <v>500</v>
      </c>
      <c r="I36" s="193">
        <v>500</v>
      </c>
      <c r="J36" s="193">
        <v>5000</v>
      </c>
      <c r="K36" s="193">
        <v>5000</v>
      </c>
      <c r="L36" s="193">
        <v>5000</v>
      </c>
      <c r="M36" s="193">
        <v>5000</v>
      </c>
      <c r="N36" s="193">
        <v>5000</v>
      </c>
      <c r="O36" s="193">
        <v>5000</v>
      </c>
      <c r="P36" s="193">
        <v>5000</v>
      </c>
      <c r="Q36" s="193">
        <v>5000</v>
      </c>
      <c r="R36" s="193">
        <v>5000</v>
      </c>
      <c r="S36" s="193">
        <v>500</v>
      </c>
      <c r="T36" s="193">
        <v>500</v>
      </c>
      <c r="U36" s="193">
        <v>500</v>
      </c>
      <c r="EW36" s="249"/>
      <c r="EX36" s="249"/>
      <c r="EY36" s="249"/>
      <c r="EZ36" s="249"/>
      <c r="FA36" s="249"/>
      <c r="FB36" s="249"/>
      <c r="FC36" s="249"/>
      <c r="FD36" s="249"/>
      <c r="FE36" s="249"/>
      <c r="FF36" s="249"/>
      <c r="FG36" s="249"/>
      <c r="FH36" s="249"/>
      <c r="FI36" s="249"/>
      <c r="FJ36" s="249"/>
      <c r="FK36" s="249"/>
      <c r="FL36" s="249"/>
      <c r="FM36" s="249"/>
      <c r="FN36" s="249"/>
      <c r="FO36" s="249"/>
      <c r="FP36" s="249"/>
      <c r="FQ36" s="249"/>
      <c r="FR36" s="249"/>
      <c r="FS36" s="249"/>
      <c r="FT36" s="249"/>
      <c r="FU36" s="249"/>
      <c r="FV36" s="249"/>
      <c r="FW36" s="249"/>
      <c r="FX36" s="249"/>
      <c r="FY36" s="249"/>
      <c r="FZ36" s="249"/>
      <c r="GA36" s="249"/>
      <c r="GB36" s="249"/>
      <c r="GC36" s="249"/>
      <c r="GD36" s="249"/>
      <c r="GE36" s="249"/>
      <c r="GF36" s="249"/>
      <c r="GG36" s="249"/>
      <c r="GH36" s="249"/>
      <c r="GI36" s="249"/>
      <c r="GJ36" s="249"/>
      <c r="GK36" s="249"/>
      <c r="GL36" s="249"/>
      <c r="GM36" s="249"/>
      <c r="GN36" s="249"/>
      <c r="GO36" s="249"/>
      <c r="GP36" s="249"/>
      <c r="GQ36" s="249"/>
      <c r="GR36" s="249"/>
      <c r="GS36" s="249"/>
      <c r="GT36" s="249"/>
      <c r="GU36" s="249"/>
      <c r="GV36" s="249"/>
      <c r="GW36" s="249"/>
      <c r="GX36" s="249"/>
      <c r="GY36" s="249"/>
      <c r="GZ36" s="249"/>
      <c r="HA36" s="249"/>
      <c r="HB36" s="249"/>
      <c r="HC36" s="249"/>
      <c r="HD36" s="249"/>
      <c r="HE36" s="249"/>
      <c r="HF36" s="249"/>
      <c r="HG36" s="249"/>
      <c r="HH36" s="249"/>
      <c r="HI36" s="249"/>
      <c r="HJ36" s="249"/>
      <c r="HK36" s="249"/>
      <c r="HL36" s="249"/>
      <c r="HM36" s="249"/>
      <c r="HN36" s="249"/>
      <c r="HO36" s="249"/>
      <c r="HP36" s="249"/>
      <c r="HQ36" s="249"/>
      <c r="HR36" s="249"/>
      <c r="HS36" s="249"/>
      <c r="HT36" s="249"/>
      <c r="HU36" s="249"/>
      <c r="HV36" s="249"/>
      <c r="HW36" s="249"/>
      <c r="HX36" s="249"/>
      <c r="HY36" s="249"/>
      <c r="HZ36" s="249"/>
      <c r="IA36" s="249"/>
      <c r="IB36" s="249"/>
      <c r="IC36" s="249"/>
      <c r="ID36" s="249"/>
      <c r="IE36" s="249"/>
      <c r="IF36" s="249"/>
      <c r="IG36" s="249"/>
      <c r="IH36" s="249"/>
      <c r="II36" s="249"/>
      <c r="IJ36" s="249"/>
      <c r="IK36" s="249"/>
      <c r="IL36" s="249"/>
      <c r="IM36" s="249"/>
      <c r="IN36" s="249"/>
      <c r="IO36" s="249"/>
      <c r="IP36" s="249"/>
      <c r="IQ36" s="249"/>
      <c r="IR36" s="249"/>
      <c r="IS36" s="249"/>
      <c r="IT36" s="249"/>
      <c r="IU36" s="249"/>
      <c r="IV36" s="249"/>
    </row>
    <row r="37" spans="1:256" s="193" customFormat="1" ht="12.75" thickBot="1" x14ac:dyDescent="0.25">
      <c r="A37" s="249">
        <v>500</v>
      </c>
      <c r="B37" s="196">
        <f t="shared" si="12"/>
        <v>500</v>
      </c>
      <c r="C37" s="212" t="str">
        <f ca="1">'Quick Input'!I42</f>
        <v>FY 26/27</v>
      </c>
      <c r="D37" s="193">
        <v>500</v>
      </c>
      <c r="E37" s="193">
        <v>500</v>
      </c>
      <c r="F37" s="193">
        <v>500</v>
      </c>
      <c r="G37" s="193">
        <v>500</v>
      </c>
      <c r="H37" s="193">
        <v>500</v>
      </c>
      <c r="I37" s="193">
        <v>500</v>
      </c>
      <c r="J37" s="193">
        <v>5000</v>
      </c>
      <c r="K37" s="193">
        <v>5000</v>
      </c>
      <c r="L37" s="193">
        <v>5000</v>
      </c>
      <c r="M37" s="193">
        <v>5000</v>
      </c>
      <c r="N37" s="193">
        <v>5000</v>
      </c>
      <c r="O37" s="193">
        <v>5000</v>
      </c>
      <c r="P37" s="193">
        <v>5000</v>
      </c>
      <c r="Q37" s="193">
        <v>5000</v>
      </c>
      <c r="R37" s="193">
        <v>5000</v>
      </c>
      <c r="S37" s="193">
        <v>500</v>
      </c>
      <c r="T37" s="193">
        <v>500</v>
      </c>
      <c r="U37" s="193">
        <v>500</v>
      </c>
      <c r="EW37" s="249"/>
      <c r="EX37" s="249"/>
      <c r="EY37" s="249"/>
      <c r="EZ37" s="249"/>
      <c r="FA37" s="249"/>
      <c r="FB37" s="249"/>
      <c r="FC37" s="249"/>
      <c r="FD37" s="249"/>
      <c r="FE37" s="249"/>
      <c r="FF37" s="249"/>
      <c r="FG37" s="249"/>
      <c r="FH37" s="249"/>
      <c r="FI37" s="249"/>
      <c r="FJ37" s="249"/>
      <c r="FK37" s="249"/>
      <c r="FL37" s="249"/>
      <c r="FM37" s="249"/>
      <c r="FN37" s="249"/>
      <c r="FO37" s="249"/>
      <c r="FP37" s="249"/>
      <c r="FQ37" s="249"/>
      <c r="FR37" s="249"/>
      <c r="FS37" s="249"/>
      <c r="FT37" s="249"/>
      <c r="FU37" s="249"/>
      <c r="FV37" s="249"/>
      <c r="FW37" s="249"/>
      <c r="FX37" s="249"/>
      <c r="FY37" s="249"/>
      <c r="FZ37" s="249"/>
      <c r="GA37" s="249"/>
      <c r="GB37" s="249"/>
      <c r="GC37" s="249"/>
      <c r="GD37" s="249"/>
      <c r="GE37" s="249"/>
      <c r="GF37" s="249"/>
      <c r="GG37" s="249"/>
      <c r="GH37" s="249"/>
      <c r="GI37" s="249"/>
      <c r="GJ37" s="249"/>
      <c r="GK37" s="249"/>
      <c r="GL37" s="249"/>
      <c r="GM37" s="249"/>
      <c r="GN37" s="249"/>
      <c r="GO37" s="249"/>
      <c r="GP37" s="249"/>
      <c r="GQ37" s="249"/>
      <c r="GR37" s="249"/>
      <c r="GS37" s="249"/>
      <c r="GT37" s="249"/>
      <c r="GU37" s="249"/>
      <c r="GV37" s="249"/>
      <c r="GW37" s="249"/>
      <c r="GX37" s="249"/>
      <c r="GY37" s="249"/>
      <c r="GZ37" s="249"/>
      <c r="HA37" s="249"/>
      <c r="HB37" s="249"/>
      <c r="HC37" s="249"/>
      <c r="HD37" s="249"/>
      <c r="HE37" s="249"/>
      <c r="HF37" s="249"/>
      <c r="HG37" s="249"/>
      <c r="HH37" s="249"/>
      <c r="HI37" s="249"/>
      <c r="HJ37" s="249"/>
      <c r="HK37" s="249"/>
      <c r="HL37" s="249"/>
      <c r="HM37" s="249"/>
      <c r="HN37" s="249"/>
      <c r="HO37" s="249"/>
      <c r="HP37" s="249"/>
      <c r="HQ37" s="249"/>
      <c r="HR37" s="249"/>
      <c r="HS37" s="249"/>
      <c r="HT37" s="249"/>
      <c r="HU37" s="249"/>
      <c r="HV37" s="249"/>
      <c r="HW37" s="249"/>
      <c r="HX37" s="249"/>
      <c r="HY37" s="249"/>
      <c r="HZ37" s="249"/>
      <c r="IA37" s="249"/>
      <c r="IB37" s="249"/>
      <c r="IC37" s="249"/>
      <c r="ID37" s="249"/>
      <c r="IE37" s="249"/>
      <c r="IF37" s="249"/>
      <c r="IG37" s="249"/>
      <c r="IH37" s="249"/>
      <c r="II37" s="249"/>
      <c r="IJ37" s="249"/>
      <c r="IK37" s="249"/>
      <c r="IL37" s="249"/>
      <c r="IM37" s="249"/>
      <c r="IN37" s="249"/>
      <c r="IO37" s="249"/>
      <c r="IP37" s="249"/>
      <c r="IQ37" s="249"/>
      <c r="IR37" s="249"/>
      <c r="IS37" s="249"/>
      <c r="IT37" s="249"/>
      <c r="IU37" s="249"/>
      <c r="IV37" s="249"/>
    </row>
    <row r="38" spans="1:256" s="193" customFormat="1" ht="12.75" thickBot="1" x14ac:dyDescent="0.25">
      <c r="A38" s="249">
        <v>187.5</v>
      </c>
      <c r="B38" s="196">
        <f t="shared" si="12"/>
        <v>187.5</v>
      </c>
      <c r="C38" s="212" t="str">
        <f ca="1">'Quick Input'!I43</f>
        <v>FY 27/28</v>
      </c>
      <c r="D38" s="193">
        <v>187.5</v>
      </c>
      <c r="E38" s="193">
        <v>187.5</v>
      </c>
      <c r="F38" s="193">
        <v>187.5</v>
      </c>
      <c r="G38" s="193">
        <v>187.5</v>
      </c>
      <c r="H38" s="193">
        <v>187.5</v>
      </c>
      <c r="I38" s="193">
        <v>187.5</v>
      </c>
      <c r="J38" s="193">
        <v>1875</v>
      </c>
      <c r="K38" s="193">
        <v>1875</v>
      </c>
      <c r="L38" s="193">
        <v>1875</v>
      </c>
      <c r="M38" s="193">
        <v>1875</v>
      </c>
      <c r="N38" s="193">
        <v>1875</v>
      </c>
      <c r="O38" s="193">
        <v>1875</v>
      </c>
      <c r="P38" s="193">
        <v>1875</v>
      </c>
      <c r="Q38" s="193">
        <v>1875</v>
      </c>
      <c r="R38" s="193">
        <v>1875</v>
      </c>
      <c r="S38" s="193">
        <v>187.5</v>
      </c>
      <c r="T38" s="193">
        <v>187.5</v>
      </c>
      <c r="U38" s="193">
        <v>187.5</v>
      </c>
      <c r="EW38" s="249"/>
      <c r="EX38" s="249"/>
      <c r="EY38" s="249"/>
      <c r="EZ38" s="249"/>
      <c r="FA38" s="249"/>
      <c r="FB38" s="249"/>
      <c r="FC38" s="249"/>
      <c r="FD38" s="249"/>
      <c r="FE38" s="249"/>
      <c r="FF38" s="249"/>
      <c r="FG38" s="249"/>
      <c r="FH38" s="249"/>
      <c r="FI38" s="249"/>
      <c r="FJ38" s="249"/>
      <c r="FK38" s="249"/>
      <c r="FL38" s="249"/>
      <c r="FM38" s="249"/>
      <c r="FN38" s="249"/>
      <c r="FO38" s="249"/>
      <c r="FP38" s="249"/>
      <c r="FQ38" s="249"/>
      <c r="FR38" s="249"/>
      <c r="FS38" s="249"/>
      <c r="FT38" s="249"/>
      <c r="FU38" s="249"/>
      <c r="FV38" s="249"/>
      <c r="FW38" s="249"/>
      <c r="FX38" s="249"/>
      <c r="FY38" s="249"/>
      <c r="FZ38" s="249"/>
      <c r="GA38" s="249"/>
      <c r="GB38" s="249"/>
      <c r="GC38" s="249"/>
      <c r="GD38" s="249"/>
      <c r="GE38" s="249"/>
      <c r="GF38" s="249"/>
      <c r="GG38" s="249"/>
      <c r="GH38" s="249"/>
      <c r="GI38" s="249"/>
      <c r="GJ38" s="249"/>
      <c r="GK38" s="249"/>
      <c r="GL38" s="249"/>
      <c r="GM38" s="249"/>
      <c r="GN38" s="249"/>
      <c r="GO38" s="249"/>
      <c r="GP38" s="249"/>
      <c r="GQ38" s="249"/>
      <c r="GR38" s="249"/>
      <c r="GS38" s="249"/>
      <c r="GT38" s="249"/>
      <c r="GU38" s="249"/>
      <c r="GV38" s="249"/>
      <c r="GW38" s="249"/>
      <c r="GX38" s="249"/>
      <c r="GY38" s="249"/>
      <c r="GZ38" s="249"/>
      <c r="HA38" s="249"/>
      <c r="HB38" s="249"/>
      <c r="HC38" s="249"/>
      <c r="HD38" s="249"/>
      <c r="HE38" s="249"/>
      <c r="HF38" s="249"/>
      <c r="HG38" s="249"/>
      <c r="HH38" s="249"/>
      <c r="HI38" s="249"/>
      <c r="HJ38" s="249"/>
      <c r="HK38" s="249"/>
      <c r="HL38" s="249"/>
      <c r="HM38" s="249"/>
      <c r="HN38" s="249"/>
      <c r="HO38" s="249"/>
      <c r="HP38" s="249"/>
      <c r="HQ38" s="249"/>
      <c r="HR38" s="249"/>
      <c r="HS38" s="249"/>
      <c r="HT38" s="249"/>
      <c r="HU38" s="249"/>
      <c r="HV38" s="249"/>
      <c r="HW38" s="249"/>
      <c r="HX38" s="249"/>
      <c r="HY38" s="249"/>
      <c r="HZ38" s="249"/>
      <c r="IA38" s="249"/>
      <c r="IB38" s="249"/>
      <c r="IC38" s="249"/>
      <c r="ID38" s="249"/>
      <c r="IE38" s="249"/>
      <c r="IF38" s="249"/>
      <c r="IG38" s="249"/>
      <c r="IH38" s="249"/>
      <c r="II38" s="249"/>
      <c r="IJ38" s="249"/>
      <c r="IK38" s="249"/>
      <c r="IL38" s="249"/>
      <c r="IM38" s="249"/>
      <c r="IN38" s="249"/>
      <c r="IO38" s="249"/>
      <c r="IP38" s="249"/>
      <c r="IQ38" s="249"/>
      <c r="IR38" s="249"/>
      <c r="IS38" s="249"/>
      <c r="IT38" s="249"/>
      <c r="IU38" s="249"/>
      <c r="IV38" s="249"/>
    </row>
    <row r="39" spans="1:256" s="193" customFormat="1" ht="12.75" thickBot="1" x14ac:dyDescent="0.25">
      <c r="A39" s="249">
        <v>3000</v>
      </c>
      <c r="B39" s="196">
        <f t="shared" si="12"/>
        <v>3000</v>
      </c>
      <c r="C39" s="212" t="str">
        <f>'Quick Input'!I44</f>
        <v>Gesamt</v>
      </c>
      <c r="D39" s="193">
        <v>3000</v>
      </c>
      <c r="E39" s="193">
        <v>3000</v>
      </c>
      <c r="F39" s="193">
        <v>3000</v>
      </c>
      <c r="G39" s="193">
        <v>3000</v>
      </c>
      <c r="H39" s="193">
        <v>3000</v>
      </c>
      <c r="I39" s="193">
        <v>3000</v>
      </c>
      <c r="J39" s="193">
        <v>30000</v>
      </c>
      <c r="K39" s="193">
        <v>30000</v>
      </c>
      <c r="L39" s="193">
        <v>30000</v>
      </c>
      <c r="M39" s="193">
        <v>30000</v>
      </c>
      <c r="N39" s="193">
        <v>30000</v>
      </c>
      <c r="O39" s="193">
        <v>30000</v>
      </c>
      <c r="P39" s="193">
        <v>30000</v>
      </c>
      <c r="Q39" s="193">
        <v>30000</v>
      </c>
      <c r="R39" s="193">
        <v>30000</v>
      </c>
      <c r="S39" s="193">
        <v>3000</v>
      </c>
      <c r="T39" s="193">
        <v>3000</v>
      </c>
      <c r="U39" s="193">
        <v>3000</v>
      </c>
      <c r="EW39" s="249"/>
      <c r="EX39" s="249"/>
      <c r="EY39" s="249"/>
      <c r="EZ39" s="249"/>
      <c r="FA39" s="249"/>
      <c r="FB39" s="249"/>
      <c r="FC39" s="249"/>
      <c r="FD39" s="249"/>
      <c r="FE39" s="249"/>
      <c r="FF39" s="249"/>
      <c r="FG39" s="249"/>
      <c r="FH39" s="249"/>
      <c r="FI39" s="249"/>
      <c r="FJ39" s="249"/>
      <c r="FK39" s="249"/>
      <c r="FL39" s="249"/>
      <c r="FM39" s="249"/>
      <c r="FN39" s="249"/>
      <c r="FO39" s="249"/>
      <c r="FP39" s="249"/>
      <c r="FQ39" s="249"/>
      <c r="FR39" s="249"/>
      <c r="FS39" s="249"/>
      <c r="FT39" s="249"/>
      <c r="FU39" s="249"/>
      <c r="FV39" s="249"/>
      <c r="FW39" s="249"/>
      <c r="FX39" s="249"/>
      <c r="FY39" s="249"/>
      <c r="FZ39" s="249"/>
      <c r="GA39" s="249"/>
      <c r="GB39" s="249"/>
      <c r="GC39" s="249"/>
      <c r="GD39" s="249"/>
      <c r="GE39" s="249"/>
      <c r="GF39" s="249"/>
      <c r="GG39" s="249"/>
      <c r="GH39" s="249"/>
      <c r="GI39" s="249"/>
      <c r="GJ39" s="249"/>
      <c r="GK39" s="249"/>
      <c r="GL39" s="249"/>
      <c r="GM39" s="249"/>
      <c r="GN39" s="249"/>
      <c r="GO39" s="249"/>
      <c r="GP39" s="249"/>
      <c r="GQ39" s="249"/>
      <c r="GR39" s="249"/>
      <c r="GS39" s="249"/>
      <c r="GT39" s="249"/>
      <c r="GU39" s="249"/>
      <c r="GV39" s="249"/>
      <c r="GW39" s="249"/>
      <c r="GX39" s="249"/>
      <c r="GY39" s="249"/>
      <c r="GZ39" s="249"/>
      <c r="HA39" s="249"/>
      <c r="HB39" s="249"/>
      <c r="HC39" s="249"/>
      <c r="HD39" s="249"/>
      <c r="HE39" s="249"/>
      <c r="HF39" s="249"/>
      <c r="HG39" s="249"/>
      <c r="HH39" s="249"/>
      <c r="HI39" s="249"/>
      <c r="HJ39" s="249"/>
      <c r="HK39" s="249"/>
      <c r="HL39" s="249"/>
      <c r="HM39" s="249"/>
      <c r="HN39" s="249"/>
      <c r="HO39" s="249"/>
      <c r="HP39" s="249"/>
      <c r="HQ39" s="249"/>
      <c r="HR39" s="249"/>
      <c r="HS39" s="249"/>
      <c r="HT39" s="249"/>
      <c r="HU39" s="249"/>
      <c r="HV39" s="249"/>
      <c r="HW39" s="249"/>
      <c r="HX39" s="249"/>
      <c r="HY39" s="249"/>
      <c r="HZ39" s="249"/>
      <c r="IA39" s="249"/>
      <c r="IB39" s="249"/>
      <c r="IC39" s="249"/>
      <c r="ID39" s="249"/>
      <c r="IE39" s="249"/>
      <c r="IF39" s="249"/>
      <c r="IG39" s="249"/>
      <c r="IH39" s="249"/>
      <c r="II39" s="249"/>
      <c r="IJ39" s="249"/>
      <c r="IK39" s="249"/>
      <c r="IL39" s="249"/>
      <c r="IM39" s="249"/>
      <c r="IN39" s="249"/>
      <c r="IO39" s="249"/>
      <c r="IP39" s="249"/>
      <c r="IQ39" s="249"/>
      <c r="IR39" s="249"/>
      <c r="IS39" s="249"/>
      <c r="IT39" s="249"/>
      <c r="IU39" s="249"/>
      <c r="IV39" s="249"/>
    </row>
    <row r="40" spans="1:256" s="193" customFormat="1" ht="12.75" thickBot="1" x14ac:dyDescent="0.25">
      <c r="A40" s="249" t="s">
        <v>18</v>
      </c>
      <c r="B40" s="196" t="str">
        <f>VLOOKUP(HLOOKUP($B$2,DB_Artikel,ROW()-1,FALSE),DB_Länder,IF(Deutsch,1,2),FALSE)</f>
        <v>Rumänien</v>
      </c>
      <c r="C40" s="212" t="str">
        <f>'Quick Input'!I45</f>
        <v>Produktionsregion</v>
      </c>
      <c r="D40" s="193" t="s">
        <v>602</v>
      </c>
      <c r="E40" s="193" t="s">
        <v>602</v>
      </c>
      <c r="F40" s="193" t="s">
        <v>14</v>
      </c>
      <c r="G40" s="193" t="s">
        <v>14</v>
      </c>
      <c r="H40" s="193" t="s">
        <v>18</v>
      </c>
      <c r="I40" s="193" t="s">
        <v>18</v>
      </c>
      <c r="J40" s="193" t="s">
        <v>14</v>
      </c>
      <c r="K40" s="193" t="s">
        <v>14</v>
      </c>
      <c r="L40" s="193" t="s">
        <v>14</v>
      </c>
      <c r="M40" s="193" t="s">
        <v>14</v>
      </c>
      <c r="N40" s="193" t="s">
        <v>14</v>
      </c>
      <c r="O40" s="193" t="s">
        <v>14</v>
      </c>
      <c r="P40" s="193" t="s">
        <v>14</v>
      </c>
      <c r="Q40" s="193" t="s">
        <v>14</v>
      </c>
      <c r="R40" s="193" t="s">
        <v>14</v>
      </c>
      <c r="S40" s="193" t="s">
        <v>602</v>
      </c>
      <c r="T40" s="193" t="s">
        <v>14</v>
      </c>
      <c r="U40" s="193" t="s">
        <v>18</v>
      </c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  <c r="GK40" s="249"/>
      <c r="GL40" s="249"/>
      <c r="GM40" s="249"/>
      <c r="GN40" s="249"/>
      <c r="GO40" s="249"/>
      <c r="GP40" s="249"/>
      <c r="GQ40" s="249"/>
      <c r="GR40" s="249"/>
      <c r="GS40" s="249"/>
      <c r="GT40" s="249"/>
      <c r="GU40" s="249"/>
      <c r="GV40" s="249"/>
      <c r="GW40" s="249"/>
      <c r="GX40" s="249"/>
      <c r="GY40" s="249"/>
      <c r="GZ40" s="249"/>
      <c r="HA40" s="249"/>
      <c r="HB40" s="249"/>
      <c r="HC40" s="249"/>
      <c r="HD40" s="249"/>
      <c r="HE40" s="249"/>
      <c r="HF40" s="249"/>
      <c r="HG40" s="249"/>
      <c r="HH40" s="249"/>
      <c r="HI40" s="249"/>
      <c r="HJ40" s="249"/>
      <c r="HK40" s="249"/>
      <c r="HL40" s="249"/>
      <c r="HM40" s="249"/>
      <c r="HN40" s="249"/>
      <c r="HO40" s="249"/>
      <c r="HP40" s="249"/>
      <c r="HQ40" s="249"/>
      <c r="HR40" s="249"/>
      <c r="HS40" s="249"/>
      <c r="HT40" s="249"/>
      <c r="HU40" s="249"/>
      <c r="HV40" s="249"/>
      <c r="HW40" s="249"/>
      <c r="HX40" s="249"/>
      <c r="HY40" s="249"/>
      <c r="HZ40" s="249"/>
      <c r="IA40" s="249"/>
      <c r="IB40" s="249"/>
      <c r="IC40" s="249"/>
      <c r="ID40" s="249"/>
      <c r="IE40" s="249"/>
      <c r="IF40" s="249"/>
      <c r="IG40" s="249"/>
      <c r="IH40" s="249"/>
      <c r="II40" s="249"/>
      <c r="IJ40" s="249"/>
      <c r="IK40" s="249"/>
      <c r="IL40" s="249"/>
      <c r="IM40" s="249"/>
      <c r="IN40" s="249"/>
      <c r="IO40" s="249"/>
      <c r="IP40" s="249"/>
      <c r="IQ40" s="249"/>
      <c r="IR40" s="249"/>
      <c r="IS40" s="249"/>
      <c r="IT40" s="249"/>
      <c r="IU40" s="249"/>
      <c r="IV40" s="249"/>
    </row>
    <row r="41" spans="1:256" s="193" customFormat="1" ht="12.75" thickBot="1" x14ac:dyDescent="0.25">
      <c r="A41" s="249" t="s">
        <v>21</v>
      </c>
      <c r="B41" s="196" t="str">
        <f>VLOOKUP(VLOOKUP(HLOOKUP($B$2,DB_Artikel,ROW()-1,FALSE),Auswahlfelder!$D$7:$E$9,2,FALSE),Auswahlfelder!$A$7:$B$9,2,FALSE)</f>
        <v>3-Schicht</v>
      </c>
      <c r="C41" s="212" t="str">
        <f>'Quick Input'!I46</f>
        <v>Schichtmodel</v>
      </c>
      <c r="D41" s="193" t="s">
        <v>19</v>
      </c>
      <c r="E41" s="193" t="s">
        <v>19</v>
      </c>
      <c r="F41" s="193" t="s">
        <v>20</v>
      </c>
      <c r="G41" s="193" t="s">
        <v>20</v>
      </c>
      <c r="H41" s="193" t="s">
        <v>21</v>
      </c>
      <c r="I41" s="193" t="s">
        <v>21</v>
      </c>
      <c r="J41" s="193" t="s">
        <v>20</v>
      </c>
      <c r="K41" s="193" t="s">
        <v>20</v>
      </c>
      <c r="L41" s="193" t="s">
        <v>20</v>
      </c>
      <c r="M41" s="193" t="s">
        <v>20</v>
      </c>
      <c r="N41" s="193" t="s">
        <v>20</v>
      </c>
      <c r="O41" s="193" t="s">
        <v>20</v>
      </c>
      <c r="P41" s="193" t="s">
        <v>20</v>
      </c>
      <c r="Q41" s="193" t="s">
        <v>20</v>
      </c>
      <c r="R41" s="193" t="s">
        <v>20</v>
      </c>
      <c r="S41" s="193" t="s">
        <v>19</v>
      </c>
      <c r="T41" s="193" t="s">
        <v>20</v>
      </c>
      <c r="U41" s="193" t="s">
        <v>21</v>
      </c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49"/>
      <c r="GP41" s="249"/>
      <c r="GQ41" s="249"/>
      <c r="GR41" s="249"/>
      <c r="GS41" s="249"/>
      <c r="GT41" s="249"/>
      <c r="GU41" s="249"/>
      <c r="GV41" s="249"/>
      <c r="GW41" s="249"/>
      <c r="GX41" s="249"/>
      <c r="GY41" s="249"/>
      <c r="GZ41" s="249"/>
      <c r="HA41" s="249"/>
      <c r="HB41" s="249"/>
      <c r="HC41" s="249"/>
      <c r="HD41" s="249"/>
      <c r="HE41" s="249"/>
      <c r="HF41" s="249"/>
      <c r="HG41" s="249"/>
      <c r="HH41" s="249"/>
      <c r="HI41" s="249"/>
      <c r="HJ41" s="249"/>
      <c r="HK41" s="249"/>
      <c r="HL41" s="249"/>
      <c r="HM41" s="249"/>
      <c r="HN41" s="249"/>
      <c r="HO41" s="249"/>
      <c r="HP41" s="249"/>
      <c r="HQ41" s="249"/>
      <c r="HR41" s="249"/>
      <c r="HS41" s="249"/>
      <c r="HT41" s="249"/>
      <c r="HU41" s="249"/>
      <c r="HV41" s="249"/>
      <c r="HW41" s="249"/>
      <c r="HX41" s="249"/>
      <c r="HY41" s="249"/>
      <c r="HZ41" s="249"/>
      <c r="IA41" s="249"/>
      <c r="IB41" s="249"/>
      <c r="IC41" s="249"/>
      <c r="ID41" s="249"/>
      <c r="IE41" s="249"/>
      <c r="IF41" s="249"/>
      <c r="IG41" s="249"/>
      <c r="IH41" s="249"/>
      <c r="II41" s="249"/>
      <c r="IJ41" s="249"/>
      <c r="IK41" s="249"/>
      <c r="IL41" s="249"/>
      <c r="IM41" s="249"/>
      <c r="IN41" s="249"/>
      <c r="IO41" s="249"/>
      <c r="IP41" s="249"/>
      <c r="IQ41" s="249"/>
      <c r="IR41" s="249"/>
      <c r="IS41" s="249"/>
      <c r="IT41" s="249"/>
      <c r="IU41" s="249"/>
      <c r="IV41" s="249"/>
    </row>
    <row r="42" spans="1:256" s="193" customFormat="1" ht="12.75" thickBot="1" x14ac:dyDescent="0.25">
      <c r="A42" s="249">
        <v>5</v>
      </c>
      <c r="B42" s="196">
        <f>HLOOKUP($B$2,DB_Artikel,ROW()-1,FALSE)</f>
        <v>5</v>
      </c>
      <c r="C42" s="212" t="str">
        <f>'Quick Input'!I47</f>
        <v>Wochenarbeitstage</v>
      </c>
      <c r="D42" s="193">
        <v>5</v>
      </c>
      <c r="E42" s="193">
        <v>5</v>
      </c>
      <c r="F42" s="193">
        <v>5</v>
      </c>
      <c r="G42" s="193">
        <v>5</v>
      </c>
      <c r="H42" s="193">
        <v>5</v>
      </c>
      <c r="I42" s="193">
        <v>5</v>
      </c>
      <c r="J42" s="193">
        <v>5</v>
      </c>
      <c r="K42" s="193">
        <v>5</v>
      </c>
      <c r="L42" s="193">
        <v>5</v>
      </c>
      <c r="M42" s="193">
        <v>5</v>
      </c>
      <c r="N42" s="193">
        <v>5</v>
      </c>
      <c r="O42" s="193">
        <v>5</v>
      </c>
      <c r="P42" s="193">
        <v>5</v>
      </c>
      <c r="Q42" s="193">
        <v>5</v>
      </c>
      <c r="R42" s="193">
        <v>5</v>
      </c>
      <c r="S42" s="193">
        <v>5</v>
      </c>
      <c r="T42" s="193">
        <v>5</v>
      </c>
      <c r="U42" s="193">
        <v>5</v>
      </c>
      <c r="EW42" s="249"/>
      <c r="EX42" s="249"/>
      <c r="EY42" s="249"/>
      <c r="EZ42" s="249"/>
      <c r="FA42" s="249"/>
      <c r="FB42" s="249"/>
      <c r="FC42" s="249"/>
      <c r="FD42" s="249"/>
      <c r="FE42" s="249"/>
      <c r="FF42" s="249"/>
      <c r="FG42" s="249"/>
      <c r="FH42" s="249"/>
      <c r="FI42" s="249"/>
      <c r="FJ42" s="249"/>
      <c r="FK42" s="249"/>
      <c r="FL42" s="249"/>
      <c r="FM42" s="249"/>
      <c r="FN42" s="249"/>
      <c r="FO42" s="249"/>
      <c r="FP42" s="249"/>
      <c r="FQ42" s="249"/>
      <c r="FR42" s="249"/>
      <c r="FS42" s="249"/>
      <c r="FT42" s="249"/>
      <c r="FU42" s="249"/>
      <c r="FV42" s="249"/>
      <c r="FW42" s="249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49"/>
      <c r="GP42" s="249"/>
      <c r="GQ42" s="249"/>
      <c r="GR42" s="249"/>
      <c r="GS42" s="249"/>
      <c r="GT42" s="249"/>
      <c r="GU42" s="249"/>
      <c r="GV42" s="249"/>
      <c r="GW42" s="249"/>
      <c r="GX42" s="249"/>
      <c r="GY42" s="249"/>
      <c r="GZ42" s="249"/>
      <c r="HA42" s="249"/>
      <c r="HB42" s="249"/>
      <c r="HC42" s="249"/>
      <c r="HD42" s="249"/>
      <c r="HE42" s="249"/>
      <c r="HF42" s="249"/>
      <c r="HG42" s="249"/>
      <c r="HH42" s="249"/>
      <c r="HI42" s="249"/>
      <c r="HJ42" s="249"/>
      <c r="HK42" s="249"/>
      <c r="HL42" s="249"/>
      <c r="HM42" s="249"/>
      <c r="HN42" s="249"/>
      <c r="HO42" s="249"/>
      <c r="HP42" s="249"/>
      <c r="HQ42" s="249"/>
      <c r="HR42" s="249"/>
      <c r="HS42" s="249"/>
      <c r="HT42" s="249"/>
      <c r="HU42" s="249"/>
      <c r="HV42" s="249"/>
      <c r="HW42" s="249"/>
      <c r="HX42" s="249"/>
      <c r="HY42" s="249"/>
      <c r="HZ42" s="249"/>
      <c r="IA42" s="249"/>
      <c r="IB42" s="249"/>
      <c r="IC42" s="249"/>
      <c r="ID42" s="249"/>
      <c r="IE42" s="249"/>
      <c r="IF42" s="249"/>
      <c r="IG42" s="249"/>
      <c r="IH42" s="249"/>
      <c r="II42" s="249"/>
      <c r="IJ42" s="249"/>
      <c r="IK42" s="249"/>
      <c r="IL42" s="249"/>
      <c r="IM42" s="249"/>
      <c r="IN42" s="249"/>
      <c r="IO42" s="249"/>
      <c r="IP42" s="249"/>
      <c r="IQ42" s="249"/>
      <c r="IR42" s="249"/>
      <c r="IS42" s="249"/>
      <c r="IT42" s="249"/>
      <c r="IU42" s="249"/>
      <c r="IV42" s="249"/>
    </row>
    <row r="43" spans="1:256" s="193" customFormat="1" ht="12.75" thickBot="1" x14ac:dyDescent="0.25">
      <c r="A43" s="249">
        <v>48</v>
      </c>
      <c r="B43" s="196">
        <f>HLOOKUP($B$2,DB_Artikel,ROW()-1,FALSE)</f>
        <v>48</v>
      </c>
      <c r="C43" s="212" t="str">
        <f>'Quick Input'!I48</f>
        <v>Wochen/Jahr</v>
      </c>
      <c r="D43" s="193">
        <v>48</v>
      </c>
      <c r="E43" s="193">
        <v>48</v>
      </c>
      <c r="F43" s="193">
        <v>48</v>
      </c>
      <c r="G43" s="193">
        <v>48</v>
      </c>
      <c r="H43" s="193">
        <v>48</v>
      </c>
      <c r="I43" s="193">
        <v>48</v>
      </c>
      <c r="J43" s="193">
        <v>48</v>
      </c>
      <c r="K43" s="193">
        <v>48</v>
      </c>
      <c r="L43" s="193">
        <v>48</v>
      </c>
      <c r="M43" s="193">
        <v>48</v>
      </c>
      <c r="N43" s="193">
        <v>48</v>
      </c>
      <c r="O43" s="193">
        <v>48</v>
      </c>
      <c r="P43" s="193">
        <v>48</v>
      </c>
      <c r="Q43" s="193">
        <v>48</v>
      </c>
      <c r="R43" s="193">
        <v>48</v>
      </c>
      <c r="S43" s="193">
        <v>48</v>
      </c>
      <c r="T43" s="193">
        <v>48</v>
      </c>
      <c r="U43" s="193">
        <v>48</v>
      </c>
      <c r="EW43" s="249"/>
      <c r="EX43" s="249"/>
      <c r="EY43" s="249"/>
      <c r="EZ43" s="249"/>
      <c r="FA43" s="249"/>
      <c r="FB43" s="249"/>
      <c r="FC43" s="249"/>
      <c r="FD43" s="249"/>
      <c r="FE43" s="249"/>
      <c r="FF43" s="249"/>
      <c r="FG43" s="249"/>
      <c r="FH43" s="249"/>
      <c r="FI43" s="249"/>
      <c r="FJ43" s="249"/>
      <c r="FK43" s="249"/>
      <c r="FL43" s="249"/>
      <c r="FM43" s="249"/>
      <c r="FN43" s="249"/>
      <c r="FO43" s="249"/>
      <c r="FP43" s="249"/>
      <c r="FQ43" s="249"/>
      <c r="FR43" s="249"/>
      <c r="FS43" s="249"/>
      <c r="FT43" s="249"/>
      <c r="FU43" s="249"/>
      <c r="FV43" s="249"/>
      <c r="FW43" s="249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49"/>
      <c r="GP43" s="249"/>
      <c r="GQ43" s="249"/>
      <c r="GR43" s="249"/>
      <c r="GS43" s="249"/>
      <c r="GT43" s="249"/>
      <c r="GU43" s="249"/>
      <c r="GV43" s="249"/>
      <c r="GW43" s="249"/>
      <c r="GX43" s="249"/>
      <c r="GY43" s="249"/>
      <c r="GZ43" s="249"/>
      <c r="HA43" s="249"/>
      <c r="HB43" s="249"/>
      <c r="HC43" s="249"/>
      <c r="HD43" s="249"/>
      <c r="HE43" s="249"/>
      <c r="HF43" s="249"/>
      <c r="HG43" s="249"/>
      <c r="HH43" s="249"/>
      <c r="HI43" s="249"/>
      <c r="HJ43" s="249"/>
      <c r="HK43" s="249"/>
      <c r="HL43" s="249"/>
      <c r="HM43" s="249"/>
      <c r="HN43" s="249"/>
      <c r="HO43" s="249"/>
      <c r="HP43" s="249"/>
      <c r="HQ43" s="249"/>
      <c r="HR43" s="249"/>
      <c r="HS43" s="249"/>
      <c r="HT43" s="249"/>
      <c r="HU43" s="249"/>
      <c r="HV43" s="249"/>
      <c r="HW43" s="249"/>
      <c r="HX43" s="249"/>
      <c r="HY43" s="249"/>
      <c r="HZ43" s="249"/>
      <c r="IA43" s="249"/>
      <c r="IB43" s="249"/>
      <c r="IC43" s="249"/>
      <c r="ID43" s="249"/>
      <c r="IE43" s="249"/>
      <c r="IF43" s="249"/>
      <c r="IG43" s="249"/>
      <c r="IH43" s="249"/>
      <c r="II43" s="249"/>
      <c r="IJ43" s="249"/>
      <c r="IK43" s="249"/>
      <c r="IL43" s="249"/>
      <c r="IM43" s="249"/>
      <c r="IN43" s="249"/>
      <c r="IO43" s="249"/>
      <c r="IP43" s="249"/>
      <c r="IQ43" s="249"/>
      <c r="IR43" s="249"/>
      <c r="IS43" s="249"/>
      <c r="IT43" s="249"/>
      <c r="IU43" s="249"/>
      <c r="IV43" s="249"/>
    </row>
    <row r="44" spans="1:256" s="193" customFormat="1" ht="12.75" thickBot="1" x14ac:dyDescent="0.25">
      <c r="A44" s="249" t="s">
        <v>118</v>
      </c>
      <c r="B44" s="196" t="str">
        <f>VLOOKUP(VLOOKUP(HLOOKUP($B$2,DB_Artikel,ROW()-1,FALSE),Auswahlfelder!$D$26:$E$28,2,FALSE),Auswahlfelder!$A$26:$B$28,2,FALSE)</f>
        <v>klein</v>
      </c>
      <c r="C44" s="212" t="str">
        <f>'Quick Input'!I49</f>
        <v>Firmengröße</v>
      </c>
      <c r="D44" s="193" t="s">
        <v>118</v>
      </c>
      <c r="E44" s="193" t="s">
        <v>118</v>
      </c>
      <c r="F44" s="193" t="s">
        <v>118</v>
      </c>
      <c r="G44" s="193" t="s">
        <v>118</v>
      </c>
      <c r="H44" s="193" t="s">
        <v>118</v>
      </c>
      <c r="I44" s="193" t="s">
        <v>118</v>
      </c>
      <c r="J44" s="193" t="s">
        <v>27</v>
      </c>
      <c r="K44" s="193" t="s">
        <v>27</v>
      </c>
      <c r="L44" s="193" t="s">
        <v>27</v>
      </c>
      <c r="M44" s="193" t="s">
        <v>27</v>
      </c>
      <c r="N44" s="193" t="s">
        <v>27</v>
      </c>
      <c r="O44" s="193" t="s">
        <v>27</v>
      </c>
      <c r="P44" s="193" t="s">
        <v>27</v>
      </c>
      <c r="Q44" s="193" t="s">
        <v>27</v>
      </c>
      <c r="R44" s="193" t="s">
        <v>27</v>
      </c>
      <c r="S44" s="193" t="s">
        <v>118</v>
      </c>
      <c r="T44" s="193" t="s">
        <v>118</v>
      </c>
      <c r="U44" s="193" t="s">
        <v>118</v>
      </c>
      <c r="EW44" s="249"/>
      <c r="EX44" s="249"/>
      <c r="EY44" s="249"/>
      <c r="EZ44" s="249"/>
      <c r="FA44" s="249"/>
      <c r="FB44" s="249"/>
      <c r="FC44" s="249"/>
      <c r="FD44" s="249"/>
      <c r="FE44" s="249"/>
      <c r="FF44" s="249"/>
      <c r="FG44" s="249"/>
      <c r="FH44" s="249"/>
      <c r="FI44" s="249"/>
      <c r="FJ44" s="249"/>
      <c r="FK44" s="249"/>
      <c r="FL44" s="249"/>
      <c r="FM44" s="249"/>
      <c r="FN44" s="249"/>
      <c r="FO44" s="249"/>
      <c r="FP44" s="249"/>
      <c r="FQ44" s="249"/>
      <c r="FR44" s="249"/>
      <c r="FS44" s="249"/>
      <c r="FT44" s="249"/>
      <c r="FU44" s="249"/>
      <c r="FV44" s="249"/>
      <c r="FW44" s="249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49"/>
      <c r="GP44" s="249"/>
      <c r="GQ44" s="249"/>
      <c r="GR44" s="249"/>
      <c r="GS44" s="249"/>
      <c r="GT44" s="249"/>
      <c r="GU44" s="249"/>
      <c r="GV44" s="249"/>
      <c r="GW44" s="249"/>
      <c r="GX44" s="249"/>
      <c r="GY44" s="249"/>
      <c r="GZ44" s="249"/>
      <c r="HA44" s="249"/>
      <c r="HB44" s="249"/>
      <c r="HC44" s="249"/>
      <c r="HD44" s="249"/>
      <c r="HE44" s="249"/>
      <c r="HF44" s="249"/>
      <c r="HG44" s="249"/>
      <c r="HH44" s="249"/>
      <c r="HI44" s="249"/>
      <c r="HJ44" s="249"/>
      <c r="HK44" s="249"/>
      <c r="HL44" s="249"/>
      <c r="HM44" s="249"/>
      <c r="HN44" s="249"/>
      <c r="HO44" s="249"/>
      <c r="HP44" s="249"/>
      <c r="HQ44" s="249"/>
      <c r="HR44" s="249"/>
      <c r="HS44" s="249"/>
      <c r="HT44" s="249"/>
      <c r="HU44" s="249"/>
      <c r="HV44" s="249"/>
      <c r="HW44" s="249"/>
      <c r="HX44" s="249"/>
      <c r="HY44" s="249"/>
      <c r="HZ44" s="249"/>
      <c r="IA44" s="249"/>
      <c r="IB44" s="249"/>
      <c r="IC44" s="249"/>
      <c r="ID44" s="249"/>
      <c r="IE44" s="249"/>
      <c r="IF44" s="249"/>
      <c r="IG44" s="249"/>
      <c r="IH44" s="249"/>
      <c r="II44" s="249"/>
      <c r="IJ44" s="249"/>
      <c r="IK44" s="249"/>
      <c r="IL44" s="249"/>
      <c r="IM44" s="249"/>
      <c r="IN44" s="249"/>
      <c r="IO44" s="249"/>
      <c r="IP44" s="249"/>
      <c r="IQ44" s="249"/>
      <c r="IR44" s="249"/>
      <c r="IS44" s="249"/>
      <c r="IT44" s="249"/>
      <c r="IU44" s="249"/>
      <c r="IV44" s="249"/>
    </row>
    <row r="45" spans="1:256" s="193" customFormat="1" ht="12.75" thickBot="1" x14ac:dyDescent="0.25">
      <c r="A45" s="252">
        <v>0.85</v>
      </c>
      <c r="B45" s="214">
        <f t="shared" ref="B45:B55" si="13">HLOOKUP($B$2,DB_Artikel,ROW()-1,FALSE)</f>
        <v>0.85</v>
      </c>
      <c r="C45" s="212" t="str">
        <f>'Quick Input'!I50</f>
        <v>Mittl. Maschinennutzung (%)</v>
      </c>
      <c r="D45" s="214">
        <v>0.85</v>
      </c>
      <c r="E45" s="214">
        <v>0.85</v>
      </c>
      <c r="F45" s="214">
        <v>0.85</v>
      </c>
      <c r="G45" s="214">
        <v>0.85</v>
      </c>
      <c r="H45" s="214">
        <v>0.85</v>
      </c>
      <c r="I45" s="214">
        <v>0.85</v>
      </c>
      <c r="J45" s="214">
        <v>0.8</v>
      </c>
      <c r="K45" s="214">
        <v>0.8</v>
      </c>
      <c r="L45" s="214">
        <v>0.8</v>
      </c>
      <c r="M45" s="214">
        <v>0.8</v>
      </c>
      <c r="N45" s="214">
        <v>0.8</v>
      </c>
      <c r="O45" s="214">
        <v>0.8</v>
      </c>
      <c r="P45" s="214">
        <v>0.8</v>
      </c>
      <c r="Q45" s="214">
        <v>0.8</v>
      </c>
      <c r="R45" s="214">
        <v>0.8</v>
      </c>
      <c r="S45" s="214">
        <v>0.85</v>
      </c>
      <c r="T45" s="214">
        <v>0.85</v>
      </c>
      <c r="U45" s="214">
        <v>0.85</v>
      </c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</row>
    <row r="46" spans="1:256" s="193" customFormat="1" ht="12.75" thickBot="1" x14ac:dyDescent="0.25">
      <c r="A46" s="249" t="s">
        <v>842</v>
      </c>
      <c r="B46" s="214" t="str">
        <f t="shared" si="13"/>
        <v>FY 17/18</v>
      </c>
      <c r="C46" s="212" t="str">
        <f>CONCATENATE('Quick Input'!I51,"/start")</f>
        <v>Zielpreis Bauteil/start</v>
      </c>
      <c r="D46" s="193" t="s">
        <v>842</v>
      </c>
      <c r="E46" s="193" t="s">
        <v>842</v>
      </c>
      <c r="F46" s="193" t="s">
        <v>842</v>
      </c>
      <c r="G46" s="193" t="s">
        <v>842</v>
      </c>
      <c r="H46" s="193" t="s">
        <v>842</v>
      </c>
      <c r="I46" s="193" t="s">
        <v>842</v>
      </c>
      <c r="J46" s="193" t="s">
        <v>842</v>
      </c>
      <c r="K46" s="193" t="s">
        <v>842</v>
      </c>
      <c r="L46" s="193" t="s">
        <v>842</v>
      </c>
      <c r="M46" s="193" t="s">
        <v>842</v>
      </c>
      <c r="N46" s="193" t="s">
        <v>842</v>
      </c>
      <c r="O46" s="193" t="s">
        <v>842</v>
      </c>
      <c r="P46" s="193" t="s">
        <v>842</v>
      </c>
      <c r="Q46" s="193" t="s">
        <v>842</v>
      </c>
      <c r="R46" s="193" t="s">
        <v>842</v>
      </c>
      <c r="S46" s="193" t="s">
        <v>842</v>
      </c>
      <c r="T46" s="193" t="s">
        <v>842</v>
      </c>
      <c r="U46" s="193" t="s">
        <v>842</v>
      </c>
      <c r="EW46" s="249"/>
      <c r="EX46" s="249"/>
      <c r="EY46" s="249"/>
      <c r="EZ46" s="249"/>
      <c r="FA46" s="249"/>
      <c r="FB46" s="249"/>
      <c r="FC46" s="249"/>
      <c r="FD46" s="249"/>
      <c r="FE46" s="249"/>
      <c r="FF46" s="249"/>
      <c r="FG46" s="249"/>
      <c r="FH46" s="249"/>
      <c r="FI46" s="249"/>
      <c r="FJ46" s="249"/>
      <c r="FK46" s="249"/>
      <c r="FL46" s="249"/>
      <c r="FM46" s="249"/>
      <c r="FN46" s="249"/>
      <c r="FO46" s="249"/>
      <c r="FP46" s="249"/>
      <c r="FQ46" s="249"/>
      <c r="FR46" s="249"/>
      <c r="FS46" s="249"/>
      <c r="FT46" s="249"/>
      <c r="FU46" s="249"/>
      <c r="FV46" s="249"/>
      <c r="FW46" s="249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49"/>
      <c r="GP46" s="249"/>
      <c r="GQ46" s="249"/>
      <c r="GR46" s="249"/>
      <c r="GS46" s="249"/>
      <c r="GT46" s="249"/>
      <c r="GU46" s="249"/>
      <c r="GV46" s="249"/>
      <c r="GW46" s="249"/>
      <c r="GX46" s="249"/>
      <c r="GY46" s="249"/>
      <c r="GZ46" s="249"/>
      <c r="HA46" s="249"/>
      <c r="HB46" s="249"/>
      <c r="HC46" s="249"/>
      <c r="HD46" s="249"/>
      <c r="HE46" s="249"/>
      <c r="HF46" s="249"/>
      <c r="HG46" s="249"/>
      <c r="HH46" s="249"/>
      <c r="HI46" s="249"/>
      <c r="HJ46" s="249"/>
      <c r="HK46" s="249"/>
      <c r="HL46" s="249"/>
      <c r="HM46" s="249"/>
      <c r="HN46" s="249"/>
      <c r="HO46" s="249"/>
      <c r="HP46" s="249"/>
      <c r="HQ46" s="249"/>
      <c r="HR46" s="249"/>
      <c r="HS46" s="249"/>
      <c r="HT46" s="249"/>
      <c r="HU46" s="249"/>
      <c r="HV46" s="249"/>
      <c r="HW46" s="249"/>
      <c r="HX46" s="249"/>
      <c r="HY46" s="249"/>
      <c r="HZ46" s="249"/>
      <c r="IA46" s="249"/>
      <c r="IB46" s="249"/>
      <c r="IC46" s="249"/>
      <c r="ID46" s="249"/>
      <c r="IE46" s="249"/>
      <c r="IF46" s="249"/>
      <c r="IG46" s="249"/>
      <c r="IH46" s="249"/>
      <c r="II46" s="249"/>
      <c r="IJ46" s="249"/>
      <c r="IK46" s="249"/>
      <c r="IL46" s="249"/>
      <c r="IM46" s="249"/>
      <c r="IN46" s="249"/>
      <c r="IO46" s="249"/>
      <c r="IP46" s="249"/>
      <c r="IQ46" s="249"/>
      <c r="IR46" s="249"/>
      <c r="IS46" s="249"/>
      <c r="IT46" s="249"/>
      <c r="IU46" s="249"/>
      <c r="IV46" s="249"/>
    </row>
    <row r="47" spans="1:256" s="193" customFormat="1" ht="14.25" customHeight="1" thickBot="1" x14ac:dyDescent="0.25">
      <c r="A47" s="249">
        <v>300</v>
      </c>
      <c r="B47" s="196">
        <f t="shared" si="13"/>
        <v>300</v>
      </c>
      <c r="C47" s="212" t="str">
        <f ca="1">'Quick Input'!I52</f>
        <v>FY 21/22</v>
      </c>
      <c r="D47" s="193">
        <v>300</v>
      </c>
      <c r="E47" s="193">
        <v>300</v>
      </c>
      <c r="F47" s="193">
        <v>300</v>
      </c>
      <c r="G47" s="193">
        <v>300</v>
      </c>
      <c r="H47" s="193">
        <v>300</v>
      </c>
      <c r="I47" s="193">
        <v>300</v>
      </c>
      <c r="J47" s="193">
        <v>270</v>
      </c>
      <c r="K47" s="193">
        <v>270</v>
      </c>
      <c r="L47" s="193">
        <v>270</v>
      </c>
      <c r="M47" s="193">
        <v>270</v>
      </c>
      <c r="N47" s="193">
        <v>270</v>
      </c>
      <c r="O47" s="193">
        <v>270</v>
      </c>
      <c r="P47" s="193">
        <v>270</v>
      </c>
      <c r="Q47" s="193">
        <v>270</v>
      </c>
      <c r="R47" s="193">
        <v>270</v>
      </c>
      <c r="S47" s="193">
        <v>300</v>
      </c>
      <c r="T47" s="193">
        <v>300</v>
      </c>
      <c r="U47" s="193">
        <v>300</v>
      </c>
      <c r="EW47" s="249"/>
      <c r="EX47" s="249"/>
      <c r="EY47" s="249"/>
      <c r="EZ47" s="249"/>
      <c r="FA47" s="249"/>
      <c r="FB47" s="249"/>
      <c r="FC47" s="249"/>
      <c r="FD47" s="249"/>
      <c r="FE47" s="249"/>
      <c r="FF47" s="249"/>
      <c r="FG47" s="249"/>
      <c r="FH47" s="249"/>
      <c r="FI47" s="249"/>
      <c r="FJ47" s="249"/>
      <c r="FK47" s="249"/>
      <c r="FL47" s="249"/>
      <c r="FM47" s="249"/>
      <c r="FN47" s="249"/>
      <c r="FO47" s="249"/>
      <c r="FP47" s="249"/>
      <c r="FQ47" s="249"/>
      <c r="FR47" s="249"/>
      <c r="FS47" s="249"/>
      <c r="FT47" s="249"/>
      <c r="FU47" s="249"/>
      <c r="FV47" s="249"/>
      <c r="FW47" s="249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49"/>
      <c r="GP47" s="249"/>
      <c r="GQ47" s="249"/>
      <c r="GR47" s="249"/>
      <c r="GS47" s="249"/>
      <c r="GT47" s="249"/>
      <c r="GU47" s="249"/>
      <c r="GV47" s="249"/>
      <c r="GW47" s="249"/>
      <c r="GX47" s="249"/>
      <c r="GY47" s="249"/>
      <c r="GZ47" s="249"/>
      <c r="HA47" s="249"/>
      <c r="HB47" s="249"/>
      <c r="HC47" s="249"/>
      <c r="HD47" s="249"/>
      <c r="HE47" s="249"/>
      <c r="HF47" s="249"/>
      <c r="HG47" s="249"/>
      <c r="HH47" s="249"/>
      <c r="HI47" s="249"/>
      <c r="HJ47" s="249"/>
      <c r="HK47" s="249"/>
      <c r="HL47" s="249"/>
      <c r="HM47" s="249"/>
      <c r="HN47" s="249"/>
      <c r="HO47" s="249"/>
      <c r="HP47" s="249"/>
      <c r="HQ47" s="249"/>
      <c r="HR47" s="249"/>
      <c r="HS47" s="249"/>
      <c r="HT47" s="249"/>
      <c r="HU47" s="249"/>
      <c r="HV47" s="249"/>
      <c r="HW47" s="249"/>
      <c r="HX47" s="249"/>
      <c r="HY47" s="249"/>
      <c r="HZ47" s="249"/>
      <c r="IA47" s="249"/>
      <c r="IB47" s="249"/>
      <c r="IC47" s="249"/>
      <c r="ID47" s="249"/>
      <c r="IE47" s="249"/>
      <c r="IF47" s="249"/>
      <c r="IG47" s="249"/>
      <c r="IH47" s="249"/>
      <c r="II47" s="249"/>
      <c r="IJ47" s="249"/>
      <c r="IK47" s="249"/>
      <c r="IL47" s="249"/>
      <c r="IM47" s="249"/>
      <c r="IN47" s="249"/>
      <c r="IO47" s="249"/>
      <c r="IP47" s="249"/>
      <c r="IQ47" s="249"/>
      <c r="IR47" s="249"/>
      <c r="IS47" s="249"/>
      <c r="IT47" s="249"/>
      <c r="IU47" s="249"/>
      <c r="IV47" s="249"/>
    </row>
    <row r="48" spans="1:256" s="193" customFormat="1" ht="12.75" thickBot="1" x14ac:dyDescent="0.25">
      <c r="A48" s="249">
        <v>300</v>
      </c>
      <c r="B48" s="196">
        <f t="shared" si="13"/>
        <v>300</v>
      </c>
      <c r="C48" s="212" t="str">
        <f ca="1">'Quick Input'!I53</f>
        <v>FY 22/23</v>
      </c>
      <c r="D48" s="193">
        <v>300</v>
      </c>
      <c r="E48" s="193">
        <v>300</v>
      </c>
      <c r="F48" s="193">
        <v>300</v>
      </c>
      <c r="G48" s="193">
        <v>300</v>
      </c>
      <c r="H48" s="193">
        <v>300</v>
      </c>
      <c r="I48" s="193">
        <v>300</v>
      </c>
      <c r="J48" s="193">
        <v>270</v>
      </c>
      <c r="K48" s="193">
        <v>270</v>
      </c>
      <c r="L48" s="193">
        <v>270</v>
      </c>
      <c r="M48" s="193">
        <v>270</v>
      </c>
      <c r="N48" s="193">
        <v>270</v>
      </c>
      <c r="O48" s="193">
        <v>270</v>
      </c>
      <c r="P48" s="193">
        <v>270</v>
      </c>
      <c r="Q48" s="193">
        <v>270</v>
      </c>
      <c r="R48" s="193">
        <v>270</v>
      </c>
      <c r="S48" s="193">
        <v>300</v>
      </c>
      <c r="T48" s="193">
        <v>300</v>
      </c>
      <c r="U48" s="193">
        <v>300</v>
      </c>
      <c r="EW48" s="249"/>
      <c r="EX48" s="249"/>
      <c r="EY48" s="249"/>
      <c r="EZ48" s="249"/>
      <c r="FA48" s="249"/>
      <c r="FB48" s="249"/>
      <c r="FC48" s="249"/>
      <c r="FD48" s="249"/>
      <c r="FE48" s="249"/>
      <c r="FF48" s="249"/>
      <c r="FG48" s="249"/>
      <c r="FH48" s="249"/>
      <c r="FI48" s="249"/>
      <c r="FJ48" s="249"/>
      <c r="FK48" s="249"/>
      <c r="FL48" s="249"/>
      <c r="FM48" s="249"/>
      <c r="FN48" s="249"/>
      <c r="FO48" s="249"/>
      <c r="FP48" s="249"/>
      <c r="FQ48" s="249"/>
      <c r="FR48" s="249"/>
      <c r="FS48" s="249"/>
      <c r="FT48" s="249"/>
      <c r="FU48" s="249"/>
      <c r="FV48" s="249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</row>
    <row r="49" spans="1:256" s="193" customFormat="1" ht="12.75" thickBot="1" x14ac:dyDescent="0.25">
      <c r="A49" s="249">
        <v>300</v>
      </c>
      <c r="B49" s="196">
        <f t="shared" si="13"/>
        <v>300</v>
      </c>
      <c r="C49" s="212" t="str">
        <f ca="1">'Quick Input'!I54</f>
        <v>FY 23/24</v>
      </c>
      <c r="D49" s="193">
        <v>300</v>
      </c>
      <c r="E49" s="193">
        <v>300</v>
      </c>
      <c r="F49" s="193">
        <v>300</v>
      </c>
      <c r="G49" s="193">
        <v>300</v>
      </c>
      <c r="H49" s="193">
        <v>300</v>
      </c>
      <c r="I49" s="193">
        <v>300</v>
      </c>
      <c r="J49" s="193">
        <v>270</v>
      </c>
      <c r="K49" s="193">
        <v>270</v>
      </c>
      <c r="L49" s="193">
        <v>270</v>
      </c>
      <c r="M49" s="193">
        <v>270</v>
      </c>
      <c r="N49" s="193">
        <v>270</v>
      </c>
      <c r="O49" s="193">
        <v>270</v>
      </c>
      <c r="P49" s="193">
        <v>270</v>
      </c>
      <c r="Q49" s="193">
        <v>270</v>
      </c>
      <c r="R49" s="193">
        <v>270</v>
      </c>
      <c r="S49" s="193">
        <v>300</v>
      </c>
      <c r="T49" s="193">
        <v>300</v>
      </c>
      <c r="U49" s="193">
        <v>300</v>
      </c>
      <c r="EW49" s="249"/>
      <c r="EX49" s="249"/>
      <c r="EY49" s="249"/>
      <c r="EZ49" s="249"/>
      <c r="FA49" s="249"/>
      <c r="FB49" s="249"/>
      <c r="FC49" s="249"/>
      <c r="FD49" s="249"/>
      <c r="FE49" s="249"/>
      <c r="FF49" s="249"/>
      <c r="FG49" s="249"/>
      <c r="FH49" s="249"/>
      <c r="FI49" s="249"/>
      <c r="FJ49" s="249"/>
      <c r="FK49" s="249"/>
      <c r="FL49" s="249"/>
      <c r="FM49" s="249"/>
      <c r="FN49" s="249"/>
      <c r="FO49" s="249"/>
      <c r="FP49" s="249"/>
      <c r="FQ49" s="249"/>
      <c r="FR49" s="249"/>
      <c r="FS49" s="249"/>
      <c r="FT49" s="249"/>
      <c r="FU49" s="249"/>
      <c r="FV49" s="249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</row>
    <row r="50" spans="1:256" s="193" customFormat="1" ht="12.75" thickBot="1" x14ac:dyDescent="0.25">
      <c r="A50" s="249">
        <v>300</v>
      </c>
      <c r="B50" s="196">
        <f t="shared" si="13"/>
        <v>300</v>
      </c>
      <c r="C50" s="212" t="str">
        <f ca="1">'Quick Input'!I55</f>
        <v>FY 24/25</v>
      </c>
      <c r="D50" s="193">
        <v>300</v>
      </c>
      <c r="E50" s="193">
        <v>300</v>
      </c>
      <c r="F50" s="193">
        <v>300</v>
      </c>
      <c r="G50" s="193">
        <v>300</v>
      </c>
      <c r="H50" s="193">
        <v>300</v>
      </c>
      <c r="I50" s="193">
        <v>300</v>
      </c>
      <c r="J50" s="193">
        <v>270</v>
      </c>
      <c r="K50" s="193">
        <v>270</v>
      </c>
      <c r="L50" s="193">
        <v>270</v>
      </c>
      <c r="M50" s="193">
        <v>270</v>
      </c>
      <c r="N50" s="193">
        <v>270</v>
      </c>
      <c r="O50" s="193">
        <v>270</v>
      </c>
      <c r="P50" s="193">
        <v>270</v>
      </c>
      <c r="Q50" s="193">
        <v>270</v>
      </c>
      <c r="R50" s="193">
        <v>270</v>
      </c>
      <c r="S50" s="193">
        <v>300</v>
      </c>
      <c r="T50" s="193">
        <v>300</v>
      </c>
      <c r="U50" s="193">
        <v>300</v>
      </c>
      <c r="EW50" s="249"/>
      <c r="EX50" s="249"/>
      <c r="EY50" s="249"/>
      <c r="EZ50" s="249"/>
      <c r="FA50" s="249"/>
      <c r="FB50" s="249"/>
      <c r="FC50" s="249"/>
      <c r="FD50" s="249"/>
      <c r="FE50" s="249"/>
      <c r="FF50" s="249"/>
      <c r="FG50" s="249"/>
      <c r="FH50" s="249"/>
      <c r="FI50" s="249"/>
      <c r="FJ50" s="249"/>
      <c r="FK50" s="249"/>
      <c r="FL50" s="249"/>
      <c r="FM50" s="249"/>
      <c r="FN50" s="249"/>
      <c r="FO50" s="249"/>
      <c r="FP50" s="249"/>
      <c r="FQ50" s="249"/>
      <c r="FR50" s="249"/>
      <c r="FS50" s="249"/>
      <c r="FT50" s="249"/>
      <c r="FU50" s="249"/>
      <c r="FV50" s="249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</row>
    <row r="51" spans="1:256" s="193" customFormat="1" ht="12.75" thickBot="1" x14ac:dyDescent="0.25">
      <c r="A51" s="249">
        <v>300</v>
      </c>
      <c r="B51" s="196">
        <f t="shared" si="13"/>
        <v>300</v>
      </c>
      <c r="C51" s="212" t="str">
        <f ca="1">'Quick Input'!I56</f>
        <v>FY 25/26</v>
      </c>
      <c r="D51" s="193">
        <v>300</v>
      </c>
      <c r="E51" s="193">
        <v>300</v>
      </c>
      <c r="F51" s="193">
        <v>300</v>
      </c>
      <c r="G51" s="193">
        <v>300</v>
      </c>
      <c r="H51" s="193">
        <v>300</v>
      </c>
      <c r="I51" s="193">
        <v>300</v>
      </c>
      <c r="J51" s="193">
        <v>270</v>
      </c>
      <c r="K51" s="193">
        <v>270</v>
      </c>
      <c r="L51" s="193">
        <v>270</v>
      </c>
      <c r="M51" s="193">
        <v>270</v>
      </c>
      <c r="N51" s="193">
        <v>270</v>
      </c>
      <c r="O51" s="193">
        <v>270</v>
      </c>
      <c r="P51" s="193">
        <v>270</v>
      </c>
      <c r="Q51" s="193">
        <v>270</v>
      </c>
      <c r="R51" s="193">
        <v>270</v>
      </c>
      <c r="S51" s="193">
        <v>300</v>
      </c>
      <c r="T51" s="193">
        <v>300</v>
      </c>
      <c r="U51" s="193">
        <v>300</v>
      </c>
      <c r="EW51" s="249"/>
      <c r="EX51" s="249"/>
      <c r="EY51" s="249"/>
      <c r="EZ51" s="249"/>
      <c r="FA51" s="249"/>
      <c r="FB51" s="249"/>
      <c r="FC51" s="249"/>
      <c r="FD51" s="249"/>
      <c r="FE51" s="249"/>
      <c r="FF51" s="249"/>
      <c r="FG51" s="249"/>
      <c r="FH51" s="249"/>
      <c r="FI51" s="249"/>
      <c r="FJ51" s="249"/>
      <c r="FK51" s="249"/>
      <c r="FL51" s="249"/>
      <c r="FM51" s="249"/>
      <c r="FN51" s="249"/>
      <c r="FO51" s="249"/>
      <c r="FP51" s="249"/>
      <c r="FQ51" s="249"/>
      <c r="FR51" s="249"/>
      <c r="FS51" s="249"/>
      <c r="FT51" s="249"/>
      <c r="FU51" s="249"/>
      <c r="FV51" s="249"/>
      <c r="FW51" s="249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49"/>
      <c r="GP51" s="249"/>
      <c r="GQ51" s="249"/>
      <c r="GR51" s="249"/>
      <c r="GS51" s="249"/>
      <c r="GT51" s="249"/>
      <c r="GU51" s="249"/>
      <c r="GV51" s="249"/>
      <c r="GW51" s="249"/>
      <c r="GX51" s="249"/>
      <c r="GY51" s="249"/>
      <c r="GZ51" s="249"/>
      <c r="HA51" s="249"/>
      <c r="HB51" s="249"/>
      <c r="HC51" s="249"/>
      <c r="HD51" s="249"/>
      <c r="HE51" s="249"/>
      <c r="HF51" s="249"/>
      <c r="HG51" s="249"/>
      <c r="HH51" s="249"/>
      <c r="HI51" s="249"/>
      <c r="HJ51" s="249"/>
      <c r="HK51" s="249"/>
      <c r="HL51" s="249"/>
      <c r="HM51" s="249"/>
      <c r="HN51" s="249"/>
      <c r="HO51" s="249"/>
      <c r="HP51" s="249"/>
      <c r="HQ51" s="249"/>
      <c r="HR51" s="249"/>
      <c r="HS51" s="249"/>
      <c r="HT51" s="249"/>
      <c r="HU51" s="249"/>
      <c r="HV51" s="249"/>
      <c r="HW51" s="249"/>
      <c r="HX51" s="249"/>
      <c r="HY51" s="249"/>
      <c r="HZ51" s="249"/>
      <c r="IA51" s="249"/>
      <c r="IB51" s="249"/>
      <c r="IC51" s="249"/>
      <c r="ID51" s="249"/>
      <c r="IE51" s="249"/>
      <c r="IF51" s="249"/>
      <c r="IG51" s="249"/>
      <c r="IH51" s="249"/>
      <c r="II51" s="249"/>
      <c r="IJ51" s="249"/>
      <c r="IK51" s="249"/>
      <c r="IL51" s="249"/>
      <c r="IM51" s="249"/>
      <c r="IN51" s="249"/>
      <c r="IO51" s="249"/>
      <c r="IP51" s="249"/>
      <c r="IQ51" s="249"/>
      <c r="IR51" s="249"/>
      <c r="IS51" s="249"/>
      <c r="IT51" s="249"/>
      <c r="IU51" s="249"/>
      <c r="IV51" s="249"/>
    </row>
    <row r="52" spans="1:256" s="193" customFormat="1" ht="12.75" thickBot="1" x14ac:dyDescent="0.25">
      <c r="A52" s="249">
        <v>13000</v>
      </c>
      <c r="B52" s="196">
        <f t="shared" si="13"/>
        <v>13000</v>
      </c>
      <c r="C52" s="212" t="str">
        <f>'Quick Input'!I57</f>
        <v>Modellkosten</v>
      </c>
      <c r="D52" s="193">
        <v>16000</v>
      </c>
      <c r="E52" s="193">
        <v>16000</v>
      </c>
      <c r="F52" s="193">
        <v>15000</v>
      </c>
      <c r="G52" s="193">
        <v>15000</v>
      </c>
      <c r="H52" s="193">
        <v>13000</v>
      </c>
      <c r="I52" s="193">
        <v>13000</v>
      </c>
      <c r="J52" s="193">
        <v>15000</v>
      </c>
      <c r="K52" s="193">
        <v>15000</v>
      </c>
      <c r="L52" s="193">
        <v>15000</v>
      </c>
      <c r="M52" s="193">
        <v>15000</v>
      </c>
      <c r="N52" s="193">
        <v>15000</v>
      </c>
      <c r="O52" s="193">
        <v>15000</v>
      </c>
      <c r="P52" s="193">
        <v>15000</v>
      </c>
      <c r="Q52" s="193">
        <v>15000</v>
      </c>
      <c r="R52" s="193">
        <v>15000</v>
      </c>
      <c r="S52" s="193">
        <v>16000</v>
      </c>
      <c r="T52" s="193">
        <v>15000</v>
      </c>
      <c r="U52" s="193">
        <v>13000</v>
      </c>
      <c r="EW52" s="249"/>
      <c r="EX52" s="249"/>
      <c r="EY52" s="249"/>
      <c r="EZ52" s="249"/>
      <c r="FA52" s="249"/>
      <c r="FB52" s="249"/>
      <c r="FC52" s="249"/>
      <c r="FD52" s="249"/>
      <c r="FE52" s="249"/>
      <c r="FF52" s="249"/>
      <c r="FG52" s="249"/>
      <c r="FH52" s="249"/>
      <c r="FI52" s="249"/>
      <c r="FJ52" s="249"/>
      <c r="FK52" s="249"/>
      <c r="FL52" s="249"/>
      <c r="FM52" s="249"/>
      <c r="FN52" s="249"/>
      <c r="FO52" s="249"/>
      <c r="FP52" s="249"/>
      <c r="FQ52" s="249"/>
      <c r="FR52" s="249"/>
      <c r="FS52" s="249"/>
      <c r="FT52" s="249"/>
      <c r="FU52" s="249"/>
      <c r="FV52" s="249"/>
      <c r="FW52" s="249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49"/>
      <c r="GP52" s="249"/>
      <c r="GQ52" s="249"/>
      <c r="GR52" s="249"/>
      <c r="GS52" s="249"/>
      <c r="GT52" s="249"/>
      <c r="GU52" s="249"/>
      <c r="GV52" s="249"/>
      <c r="GW52" s="249"/>
      <c r="GX52" s="249"/>
      <c r="GY52" s="249"/>
      <c r="GZ52" s="249"/>
      <c r="HA52" s="249"/>
      <c r="HB52" s="249"/>
      <c r="HC52" s="249"/>
      <c r="HD52" s="249"/>
      <c r="HE52" s="249"/>
      <c r="HF52" s="249"/>
      <c r="HG52" s="249"/>
      <c r="HH52" s="249"/>
      <c r="HI52" s="249"/>
      <c r="HJ52" s="249"/>
      <c r="HK52" s="249"/>
      <c r="HL52" s="249"/>
      <c r="HM52" s="249"/>
      <c r="HN52" s="249"/>
      <c r="HO52" s="249"/>
      <c r="HP52" s="249"/>
      <c r="HQ52" s="249"/>
      <c r="HR52" s="249"/>
      <c r="HS52" s="249"/>
      <c r="HT52" s="249"/>
      <c r="HU52" s="249"/>
      <c r="HV52" s="249"/>
      <c r="HW52" s="249"/>
      <c r="HX52" s="249"/>
      <c r="HY52" s="249"/>
      <c r="HZ52" s="249"/>
      <c r="IA52" s="249"/>
      <c r="IB52" s="249"/>
      <c r="IC52" s="249"/>
      <c r="ID52" s="249"/>
      <c r="IE52" s="249"/>
      <c r="IF52" s="249"/>
      <c r="IG52" s="249"/>
      <c r="IH52" s="249"/>
      <c r="II52" s="249"/>
      <c r="IJ52" s="249"/>
      <c r="IK52" s="249"/>
      <c r="IL52" s="249"/>
      <c r="IM52" s="249"/>
      <c r="IN52" s="249"/>
      <c r="IO52" s="249"/>
      <c r="IP52" s="249"/>
      <c r="IQ52" s="249"/>
      <c r="IR52" s="249"/>
      <c r="IS52" s="249"/>
      <c r="IT52" s="249"/>
      <c r="IU52" s="249"/>
      <c r="IV52" s="249"/>
    </row>
    <row r="53" spans="1:256" s="193" customFormat="1" ht="12" x14ac:dyDescent="0.2">
      <c r="A53" s="249">
        <v>3200</v>
      </c>
      <c r="B53" s="196">
        <f t="shared" si="13"/>
        <v>3200</v>
      </c>
      <c r="C53" s="212" t="str">
        <f>'Quick Input'!I58</f>
        <v>Kosten Kernkästen</v>
      </c>
      <c r="D53" s="193">
        <v>4500</v>
      </c>
      <c r="E53" s="193">
        <v>0</v>
      </c>
      <c r="F53" s="193">
        <v>2000</v>
      </c>
      <c r="G53" s="193">
        <v>2000</v>
      </c>
      <c r="H53" s="193">
        <v>3200</v>
      </c>
      <c r="I53" s="193">
        <v>3200</v>
      </c>
      <c r="J53" s="193">
        <v>2000</v>
      </c>
      <c r="K53" s="193">
        <v>2000</v>
      </c>
      <c r="L53" s="193">
        <v>2000</v>
      </c>
      <c r="M53" s="193">
        <v>2000</v>
      </c>
      <c r="N53" s="193">
        <v>2000</v>
      </c>
      <c r="O53" s="193">
        <v>2000</v>
      </c>
      <c r="P53" s="193">
        <v>2000</v>
      </c>
      <c r="Q53" s="193">
        <v>2000</v>
      </c>
      <c r="R53" s="193">
        <v>2000</v>
      </c>
      <c r="S53" s="193">
        <v>0</v>
      </c>
      <c r="T53" s="193">
        <v>2000</v>
      </c>
      <c r="U53" s="193">
        <v>3200</v>
      </c>
      <c r="EW53" s="249"/>
      <c r="EX53" s="249"/>
      <c r="EY53" s="249"/>
      <c r="EZ53" s="249"/>
      <c r="FA53" s="249"/>
      <c r="FB53" s="249"/>
      <c r="FC53" s="249"/>
      <c r="FD53" s="249"/>
      <c r="FE53" s="249"/>
      <c r="FF53" s="249"/>
      <c r="FG53" s="249"/>
      <c r="FH53" s="249"/>
      <c r="FI53" s="249"/>
      <c r="FJ53" s="249"/>
      <c r="FK53" s="249"/>
      <c r="FL53" s="249"/>
      <c r="FM53" s="249"/>
      <c r="FN53" s="249"/>
      <c r="FO53" s="249"/>
      <c r="FP53" s="249"/>
      <c r="FQ53" s="249"/>
      <c r="FR53" s="249"/>
      <c r="FS53" s="249"/>
      <c r="FT53" s="249"/>
      <c r="FU53" s="249"/>
      <c r="FV53" s="249"/>
      <c r="FW53" s="249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49"/>
      <c r="GP53" s="249"/>
      <c r="GQ53" s="249"/>
      <c r="GR53" s="249"/>
      <c r="GS53" s="249"/>
      <c r="GT53" s="249"/>
      <c r="GU53" s="249"/>
      <c r="GV53" s="249"/>
      <c r="GW53" s="249"/>
      <c r="GX53" s="249"/>
      <c r="GY53" s="249"/>
      <c r="GZ53" s="249"/>
      <c r="HA53" s="249"/>
      <c r="HB53" s="249"/>
      <c r="HC53" s="249"/>
      <c r="HD53" s="249"/>
      <c r="HE53" s="249"/>
      <c r="HF53" s="249"/>
      <c r="HG53" s="249"/>
      <c r="HH53" s="249"/>
      <c r="HI53" s="249"/>
      <c r="HJ53" s="249"/>
      <c r="HK53" s="249"/>
      <c r="HL53" s="249"/>
      <c r="HM53" s="249"/>
      <c r="HN53" s="249"/>
      <c r="HO53" s="249"/>
      <c r="HP53" s="249"/>
      <c r="HQ53" s="249"/>
      <c r="HR53" s="249"/>
      <c r="HS53" s="249"/>
      <c r="HT53" s="249"/>
      <c r="HU53" s="249"/>
      <c r="HV53" s="249"/>
      <c r="HW53" s="249"/>
      <c r="HX53" s="249"/>
      <c r="HY53" s="249"/>
      <c r="HZ53" s="249"/>
      <c r="IA53" s="249"/>
      <c r="IB53" s="249"/>
      <c r="IC53" s="249"/>
      <c r="ID53" s="249"/>
      <c r="IE53" s="249"/>
      <c r="IF53" s="249"/>
      <c r="IG53" s="249"/>
      <c r="IH53" s="249"/>
      <c r="II53" s="249"/>
      <c r="IJ53" s="249"/>
      <c r="IK53" s="249"/>
      <c r="IL53" s="249"/>
      <c r="IM53" s="249"/>
      <c r="IN53" s="249"/>
      <c r="IO53" s="249"/>
      <c r="IP53" s="249"/>
      <c r="IQ53" s="249"/>
      <c r="IR53" s="249"/>
      <c r="IS53" s="249"/>
      <c r="IT53" s="249"/>
      <c r="IU53" s="249"/>
      <c r="IV53" s="249"/>
    </row>
    <row r="54" spans="1:256" s="215" customFormat="1" ht="13.5" customHeight="1" x14ac:dyDescent="0.2">
      <c r="A54" s="253">
        <v>7.0000000000000007E-2</v>
      </c>
      <c r="B54" s="467">
        <f t="shared" si="13"/>
        <v>7.0000000000000007E-2</v>
      </c>
      <c r="C54" s="465" t="str">
        <f>'Quick Input'!I59</f>
        <v>Schmelzverlust in %</v>
      </c>
      <c r="D54" s="215">
        <v>7.7000000000000013E-2</v>
      </c>
      <c r="E54" s="215">
        <v>7.7000000000000013E-2</v>
      </c>
      <c r="F54" s="215">
        <v>0.06</v>
      </c>
      <c r="G54" s="215">
        <v>0.06</v>
      </c>
      <c r="H54" s="215">
        <v>7.0000000000000007E-2</v>
      </c>
      <c r="I54" s="215">
        <v>7.0000000000000007E-2</v>
      </c>
      <c r="J54" s="215">
        <v>5.5500000000000001E-2</v>
      </c>
      <c r="K54" s="215">
        <v>5.5500000000000001E-2</v>
      </c>
      <c r="L54" s="215">
        <v>5.5500000000000001E-2</v>
      </c>
      <c r="M54" s="215">
        <v>5.5500000000000001E-2</v>
      </c>
      <c r="N54" s="215">
        <v>5.0500000000000003E-2</v>
      </c>
      <c r="O54" s="215">
        <v>5.0500000000000003E-2</v>
      </c>
      <c r="P54" s="215">
        <v>5.5500000000000001E-2</v>
      </c>
      <c r="Q54" s="215">
        <v>5.5500000000000001E-2</v>
      </c>
      <c r="R54" s="215">
        <v>5.2500000000000005E-2</v>
      </c>
      <c r="S54" s="215">
        <v>7.7000000000000013E-2</v>
      </c>
      <c r="T54" s="215">
        <v>0.06</v>
      </c>
      <c r="U54" s="215">
        <v>7.0000000000000007E-2</v>
      </c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</row>
    <row r="55" spans="1:256" s="215" customFormat="1" ht="12" x14ac:dyDescent="0.2">
      <c r="A55" s="253">
        <v>7.0000000000000007E-2</v>
      </c>
      <c r="B55" s="467">
        <f t="shared" si="13"/>
        <v>7.0000000000000007E-2</v>
      </c>
      <c r="C55" s="465" t="str">
        <f>'Quick Input'!I60</f>
        <v>Materialgemeinkostensatz</v>
      </c>
      <c r="D55" s="215">
        <v>7.0000000000000007E-2</v>
      </c>
      <c r="E55" s="215">
        <v>7.0000000000000007E-2</v>
      </c>
      <c r="F55" s="215">
        <v>0.08</v>
      </c>
      <c r="G55" s="215">
        <v>0.08</v>
      </c>
      <c r="H55" s="215">
        <v>7.0000000000000007E-2</v>
      </c>
      <c r="I55" s="215">
        <v>7.0000000000000007E-2</v>
      </c>
      <c r="J55" s="215">
        <v>7.0000000000000007E-2</v>
      </c>
      <c r="K55" s="215">
        <v>7.0000000000000007E-2</v>
      </c>
      <c r="L55" s="215">
        <v>7.0000000000000007E-2</v>
      </c>
      <c r="M55" s="215">
        <v>7.0000000000000007E-2</v>
      </c>
      <c r="N55" s="215">
        <v>7.0000000000000007E-2</v>
      </c>
      <c r="O55" s="215">
        <v>7.0000000000000007E-2</v>
      </c>
      <c r="P55" s="215">
        <v>7.0000000000000007E-2</v>
      </c>
      <c r="Q55" s="215">
        <v>7.0000000000000007E-2</v>
      </c>
      <c r="R55" s="215">
        <v>7.0000000000000007E-2</v>
      </c>
      <c r="S55" s="215">
        <v>7.0000000000000007E-2</v>
      </c>
      <c r="T55" s="215">
        <v>0.08</v>
      </c>
      <c r="U55" s="215">
        <v>7.0000000000000007E-2</v>
      </c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</row>
    <row r="56" spans="1:256" s="215" customFormat="1" ht="12" x14ac:dyDescent="0.2">
      <c r="A56" s="253" t="s">
        <v>811</v>
      </c>
      <c r="B56" s="467" t="str">
        <f>VLOOKUP(VLOOKUP(HLOOKUP($B$2,DB_Artikel,ROW()-1,FALSE),Auswahlfelder!$D$71:$E$73,2,FALSE),Auswahlfelder!$A$71:$B$73,2,FALSE)</f>
        <v>Heizöl</v>
      </c>
      <c r="C56" s="465" t="str">
        <f>'Quick Input'!I61</f>
        <v>Energieart</v>
      </c>
      <c r="D56" s="215" t="s">
        <v>110</v>
      </c>
      <c r="E56" s="215" t="s">
        <v>110</v>
      </c>
      <c r="F56" s="215" t="s">
        <v>110</v>
      </c>
      <c r="G56" s="215" t="s">
        <v>110</v>
      </c>
      <c r="H56" s="215" t="s">
        <v>110</v>
      </c>
      <c r="I56" s="215" t="s">
        <v>110</v>
      </c>
      <c r="J56" s="215" t="s">
        <v>110</v>
      </c>
      <c r="K56" s="215" t="s">
        <v>110</v>
      </c>
      <c r="L56" s="215" t="s">
        <v>110</v>
      </c>
      <c r="M56" s="215" t="s">
        <v>110</v>
      </c>
      <c r="N56" s="215" t="s">
        <v>110</v>
      </c>
      <c r="O56" s="215" t="s">
        <v>110</v>
      </c>
      <c r="P56" s="215" t="s">
        <v>110</v>
      </c>
      <c r="Q56" s="215" t="s">
        <v>110</v>
      </c>
      <c r="R56" s="215" t="s">
        <v>107</v>
      </c>
      <c r="S56" s="215" t="s">
        <v>110</v>
      </c>
      <c r="T56" s="215" t="s">
        <v>110</v>
      </c>
      <c r="U56" s="215" t="s">
        <v>811</v>
      </c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</row>
    <row r="57" spans="1:256" s="249" customFormat="1" ht="12" x14ac:dyDescent="0.2">
      <c r="A57" s="249">
        <v>1400</v>
      </c>
      <c r="B57" s="249">
        <f>HLOOKUP($B$2,DB_Artikel,ROW()-1,FALSE)</f>
        <v>1400</v>
      </c>
      <c r="C57" s="465" t="str">
        <f>'Quick Input'!I62</f>
        <v>Ofenleistung</v>
      </c>
      <c r="D57" s="249">
        <v>3000</v>
      </c>
      <c r="R57" s="249">
        <v>2700</v>
      </c>
      <c r="U57" s="249">
        <v>1400</v>
      </c>
    </row>
    <row r="58" spans="1:256" s="215" customFormat="1" ht="12" x14ac:dyDescent="0.2">
      <c r="A58" s="249">
        <v>1</v>
      </c>
      <c r="B58" s="196">
        <f>HLOOKUP($B$2,DB_Artikel,ROW()-1,FALSE)</f>
        <v>1</v>
      </c>
      <c r="C58" s="465" t="str">
        <f>'Quick Input'!I63</f>
        <v>Modelle/Platte</v>
      </c>
      <c r="D58" s="193">
        <v>1</v>
      </c>
      <c r="E58" s="215">
        <v>1</v>
      </c>
      <c r="F58" s="215">
        <v>1</v>
      </c>
      <c r="G58" s="215">
        <v>1</v>
      </c>
      <c r="H58" s="215">
        <v>1</v>
      </c>
      <c r="I58" s="215">
        <v>1</v>
      </c>
      <c r="J58" s="215">
        <v>1</v>
      </c>
      <c r="K58" s="215">
        <v>1</v>
      </c>
      <c r="L58" s="215">
        <v>1</v>
      </c>
      <c r="M58" s="215">
        <v>1</v>
      </c>
      <c r="N58" s="215">
        <v>1</v>
      </c>
      <c r="O58" s="215">
        <v>1</v>
      </c>
      <c r="P58" s="215">
        <v>1</v>
      </c>
      <c r="Q58" s="215">
        <v>1</v>
      </c>
      <c r="R58" s="215">
        <v>1</v>
      </c>
      <c r="S58" s="215">
        <v>1</v>
      </c>
      <c r="T58" s="215">
        <v>1</v>
      </c>
      <c r="U58" s="215">
        <v>1</v>
      </c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</row>
    <row r="59" spans="1:256" s="193" customFormat="1" ht="12" x14ac:dyDescent="0.2">
      <c r="A59" s="249">
        <v>1</v>
      </c>
      <c r="B59" s="196">
        <f>HLOOKUP($B$2,DB_Artikel,ROW()-1,FALSE)</f>
        <v>1</v>
      </c>
      <c r="C59" s="465" t="str">
        <f>'Quick Input'!I64</f>
        <v>Maschine Nr.</v>
      </c>
      <c r="D59" s="193">
        <v>11</v>
      </c>
      <c r="E59" s="193">
        <v>11</v>
      </c>
      <c r="F59" s="193">
        <v>11</v>
      </c>
      <c r="G59" s="193">
        <v>11</v>
      </c>
      <c r="H59" s="193">
        <v>1</v>
      </c>
      <c r="I59" s="193">
        <v>1</v>
      </c>
      <c r="J59" s="193">
        <v>9</v>
      </c>
      <c r="K59" s="193">
        <v>9</v>
      </c>
      <c r="L59" s="193">
        <v>9</v>
      </c>
      <c r="M59" s="193">
        <v>9</v>
      </c>
      <c r="N59" s="193">
        <v>7</v>
      </c>
      <c r="O59" s="193">
        <v>7</v>
      </c>
      <c r="P59" s="193">
        <v>9</v>
      </c>
      <c r="Q59" s="193">
        <v>9</v>
      </c>
      <c r="R59" s="193">
        <v>7</v>
      </c>
      <c r="S59" s="193">
        <v>11</v>
      </c>
      <c r="T59" s="193">
        <v>11</v>
      </c>
      <c r="U59" s="193">
        <v>1</v>
      </c>
      <c r="EW59" s="249"/>
      <c r="EX59" s="249"/>
      <c r="EY59" s="249"/>
      <c r="EZ59" s="249"/>
      <c r="FA59" s="249"/>
      <c r="FB59" s="249"/>
      <c r="FC59" s="249"/>
      <c r="FD59" s="249"/>
      <c r="FE59" s="249"/>
      <c r="FF59" s="249"/>
      <c r="FG59" s="249"/>
      <c r="FH59" s="249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249"/>
      <c r="HH59" s="249"/>
      <c r="HI59" s="249"/>
      <c r="HJ59" s="249"/>
      <c r="HK59" s="249"/>
      <c r="HL59" s="249"/>
      <c r="HM59" s="249"/>
      <c r="HN59" s="249"/>
      <c r="HO59" s="249"/>
      <c r="HP59" s="249"/>
      <c r="HQ59" s="249"/>
      <c r="HR59" s="249"/>
      <c r="HS59" s="249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249"/>
      <c r="IM59" s="249"/>
      <c r="IN59" s="249"/>
      <c r="IO59" s="249"/>
      <c r="IP59" s="249"/>
      <c r="IQ59" s="249"/>
      <c r="IR59" s="249"/>
      <c r="IS59" s="249"/>
      <c r="IT59" s="249"/>
      <c r="IU59" s="249"/>
      <c r="IV59" s="249"/>
    </row>
    <row r="60" spans="1:256" s="215" customFormat="1" ht="12" x14ac:dyDescent="0.2">
      <c r="A60" s="252">
        <v>0.1</v>
      </c>
      <c r="B60" s="214">
        <f>VLOOKUP(VLOOKUP(HLOOKUP($B$2,DB_Artikel,ROW()-1,FALSE),Auswahlfelder!$D$65:$E$68,2,FALSE),Auswahlfelder!$A$65:$B$68,2,FALSE)</f>
        <v>0.1</v>
      </c>
      <c r="C60" s="796" t="str">
        <f>'Quick Input'!I65</f>
        <v>Anteil Kühleisen Volumen</v>
      </c>
      <c r="D60" s="797" t="s">
        <v>265</v>
      </c>
      <c r="E60" s="215" t="s">
        <v>265</v>
      </c>
      <c r="F60" s="215" t="s">
        <v>265</v>
      </c>
      <c r="G60" s="215" t="s">
        <v>265</v>
      </c>
      <c r="H60" s="215">
        <v>0.1</v>
      </c>
      <c r="I60" s="215">
        <v>0.1</v>
      </c>
      <c r="J60" s="215" t="s">
        <v>265</v>
      </c>
      <c r="K60" s="215" t="s">
        <v>265</v>
      </c>
      <c r="L60" s="215" t="s">
        <v>265</v>
      </c>
      <c r="M60" s="215" t="s">
        <v>265</v>
      </c>
      <c r="N60" s="215" t="s">
        <v>265</v>
      </c>
      <c r="O60" s="215" t="s">
        <v>265</v>
      </c>
      <c r="P60" s="215" t="s">
        <v>265</v>
      </c>
      <c r="Q60" s="215" t="s">
        <v>265</v>
      </c>
      <c r="R60" s="215" t="s">
        <v>265</v>
      </c>
      <c r="S60" s="215" t="s">
        <v>265</v>
      </c>
      <c r="T60" s="215" t="s">
        <v>265</v>
      </c>
      <c r="U60" s="215">
        <v>0.1</v>
      </c>
      <c r="EW60" s="252"/>
      <c r="EX60" s="252"/>
      <c r="EY60" s="252"/>
      <c r="EZ60" s="252"/>
      <c r="FA60" s="252"/>
      <c r="FB60" s="252"/>
      <c r="FC60" s="252"/>
      <c r="FD60" s="252"/>
      <c r="FE60" s="252"/>
      <c r="FF60" s="252"/>
      <c r="FG60" s="252"/>
      <c r="FH60" s="252"/>
      <c r="FI60" s="252"/>
      <c r="FJ60" s="252"/>
      <c r="FK60" s="252"/>
      <c r="FL60" s="252"/>
      <c r="FM60" s="252"/>
      <c r="FN60" s="252"/>
      <c r="FO60" s="252"/>
      <c r="FP60" s="252"/>
      <c r="FQ60" s="252"/>
      <c r="FR60" s="252"/>
      <c r="FS60" s="252"/>
      <c r="FT60" s="252"/>
      <c r="FU60" s="252"/>
      <c r="FV60" s="252"/>
      <c r="FW60" s="252"/>
      <c r="FX60" s="252"/>
      <c r="FY60" s="252"/>
      <c r="FZ60" s="252"/>
      <c r="GA60" s="252"/>
      <c r="GB60" s="252"/>
      <c r="GC60" s="252"/>
      <c r="GD60" s="252"/>
      <c r="GE60" s="252"/>
      <c r="GF60" s="252"/>
      <c r="GG60" s="252"/>
      <c r="GH60" s="252"/>
      <c r="GI60" s="252"/>
      <c r="GJ60" s="252"/>
      <c r="GK60" s="252"/>
      <c r="GL60" s="252"/>
      <c r="GM60" s="252"/>
      <c r="GN60" s="252"/>
      <c r="GO60" s="252"/>
      <c r="GP60" s="252"/>
      <c r="GQ60" s="252"/>
      <c r="GR60" s="252"/>
      <c r="GS60" s="252"/>
      <c r="GT60" s="252"/>
      <c r="GU60" s="252"/>
      <c r="GV60" s="252"/>
      <c r="GW60" s="252"/>
      <c r="GX60" s="252"/>
      <c r="GY60" s="252"/>
      <c r="GZ60" s="252"/>
      <c r="HA60" s="252"/>
      <c r="HB60" s="252"/>
      <c r="HC60" s="252"/>
      <c r="HD60" s="252"/>
      <c r="HE60" s="252"/>
      <c r="HF60" s="252"/>
      <c r="HG60" s="252"/>
      <c r="HH60" s="252"/>
      <c r="HI60" s="252"/>
      <c r="HJ60" s="252"/>
      <c r="HK60" s="252"/>
      <c r="HL60" s="252"/>
      <c r="HM60" s="252"/>
      <c r="HN60" s="252"/>
      <c r="HO60" s="252"/>
      <c r="HP60" s="252"/>
      <c r="HQ60" s="252"/>
      <c r="HR60" s="252"/>
      <c r="HS60" s="252"/>
      <c r="HT60" s="252"/>
      <c r="HU60" s="252"/>
      <c r="HV60" s="252"/>
      <c r="HW60" s="252"/>
      <c r="HX60" s="252"/>
      <c r="HY60" s="252"/>
      <c r="HZ60" s="252"/>
      <c r="IA60" s="252"/>
      <c r="IB60" s="252"/>
      <c r="IC60" s="252"/>
      <c r="ID60" s="252"/>
      <c r="IE60" s="252"/>
      <c r="IF60" s="252"/>
      <c r="IG60" s="252"/>
      <c r="IH60" s="252"/>
      <c r="II60" s="252"/>
      <c r="IJ60" s="252"/>
      <c r="IK60" s="252"/>
      <c r="IL60" s="252"/>
      <c r="IM60" s="252"/>
      <c r="IN60" s="252"/>
      <c r="IO60" s="252"/>
      <c r="IP60" s="252"/>
      <c r="IQ60" s="252"/>
      <c r="IR60" s="252"/>
      <c r="IS60" s="252"/>
      <c r="IT60" s="252"/>
      <c r="IU60" s="252"/>
      <c r="IV60" s="252"/>
    </row>
    <row r="61" spans="1:256" s="193" customFormat="1" ht="12" x14ac:dyDescent="0.2">
      <c r="A61" s="249">
        <v>125</v>
      </c>
      <c r="B61" s="196">
        <f t="shared" ref="B61:B78" si="14">HLOOKUP($B$2,DB_Artikel,ROW()-1,FALSE)</f>
        <v>125</v>
      </c>
      <c r="C61" s="465" t="str">
        <f>'Quick Input'!I66</f>
        <v>Fertigungslosgröße</v>
      </c>
      <c r="D61" s="193">
        <v>40</v>
      </c>
      <c r="E61" s="193">
        <v>40</v>
      </c>
      <c r="F61" s="193">
        <v>40</v>
      </c>
      <c r="G61" s="193">
        <v>40</v>
      </c>
      <c r="H61" s="193">
        <v>125</v>
      </c>
      <c r="I61" s="193">
        <v>125</v>
      </c>
      <c r="J61" s="193">
        <v>409</v>
      </c>
      <c r="K61" s="193">
        <v>409</v>
      </c>
      <c r="L61" s="193">
        <v>409</v>
      </c>
      <c r="M61" s="193">
        <v>409</v>
      </c>
      <c r="N61" s="193">
        <v>403</v>
      </c>
      <c r="O61" s="193">
        <v>403</v>
      </c>
      <c r="P61" s="193">
        <v>409</v>
      </c>
      <c r="Q61" s="193">
        <v>409</v>
      </c>
      <c r="R61" s="193">
        <v>403</v>
      </c>
      <c r="S61" s="193">
        <v>40</v>
      </c>
      <c r="T61" s="193">
        <v>40</v>
      </c>
      <c r="U61" s="193">
        <v>125</v>
      </c>
      <c r="EW61" s="249"/>
      <c r="EX61" s="249"/>
      <c r="EY61" s="249"/>
      <c r="EZ61" s="249"/>
      <c r="FA61" s="249"/>
      <c r="FB61" s="249"/>
      <c r="FC61" s="249"/>
      <c r="FD61" s="249"/>
      <c r="FE61" s="249"/>
      <c r="FF61" s="249"/>
      <c r="FG61" s="249"/>
      <c r="FH61" s="249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249"/>
      <c r="HH61" s="249"/>
      <c r="HI61" s="249"/>
      <c r="HJ61" s="249"/>
      <c r="HK61" s="249"/>
      <c r="HL61" s="249"/>
      <c r="HM61" s="249"/>
      <c r="HN61" s="249"/>
      <c r="HO61" s="249"/>
      <c r="HP61" s="249"/>
      <c r="HQ61" s="249"/>
      <c r="HR61" s="249"/>
      <c r="HS61" s="249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249"/>
      <c r="IM61" s="249"/>
      <c r="IN61" s="249"/>
      <c r="IO61" s="249"/>
      <c r="IP61" s="249"/>
      <c r="IQ61" s="249"/>
      <c r="IR61" s="249"/>
      <c r="IS61" s="249"/>
      <c r="IT61" s="249"/>
      <c r="IU61" s="249"/>
      <c r="IV61" s="249"/>
    </row>
    <row r="62" spans="1:256" s="193" customFormat="1" ht="12" x14ac:dyDescent="0.2">
      <c r="A62" s="249">
        <v>0.7</v>
      </c>
      <c r="B62" s="196">
        <f t="shared" si="14"/>
        <v>0.7</v>
      </c>
      <c r="C62" s="465" t="str">
        <f>'Quick Input'!I67</f>
        <v>Kernvolumen (l)</v>
      </c>
      <c r="D62" s="193">
        <v>500</v>
      </c>
      <c r="E62" s="193">
        <v>500</v>
      </c>
      <c r="F62" s="193">
        <v>501.1</v>
      </c>
      <c r="G62" s="193">
        <v>501.1</v>
      </c>
      <c r="H62" s="193">
        <v>0.7</v>
      </c>
      <c r="I62" s="193">
        <v>0.7</v>
      </c>
      <c r="J62" s="193">
        <v>43.9</v>
      </c>
      <c r="K62" s="193">
        <v>43.9</v>
      </c>
      <c r="L62" s="193">
        <v>43.9</v>
      </c>
      <c r="M62" s="193">
        <v>43.9</v>
      </c>
      <c r="N62" s="193">
        <v>25.9</v>
      </c>
      <c r="O62" s="193">
        <v>25.9</v>
      </c>
      <c r="P62" s="193">
        <v>43.9</v>
      </c>
      <c r="Q62" s="193">
        <v>43.9</v>
      </c>
      <c r="R62" s="193">
        <v>25.9</v>
      </c>
      <c r="S62" s="193">
        <v>500</v>
      </c>
      <c r="T62" s="193">
        <v>501.1</v>
      </c>
      <c r="U62" s="193">
        <v>0.7</v>
      </c>
      <c r="EW62" s="249"/>
      <c r="EX62" s="249"/>
      <c r="EY62" s="249"/>
      <c r="EZ62" s="249"/>
      <c r="FA62" s="249"/>
      <c r="FB62" s="249"/>
      <c r="FC62" s="249"/>
      <c r="FD62" s="249"/>
      <c r="FE62" s="249"/>
      <c r="FF62" s="249"/>
      <c r="FG62" s="249"/>
      <c r="FH62" s="249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249"/>
      <c r="HH62" s="249"/>
      <c r="HI62" s="249"/>
      <c r="HJ62" s="249"/>
      <c r="HK62" s="249"/>
      <c r="HL62" s="249"/>
      <c r="HM62" s="249"/>
      <c r="HN62" s="249"/>
      <c r="HO62" s="249"/>
      <c r="HP62" s="249"/>
      <c r="HQ62" s="249"/>
      <c r="HR62" s="249"/>
      <c r="HS62" s="249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249"/>
      <c r="IM62" s="249"/>
      <c r="IN62" s="249"/>
      <c r="IO62" s="249"/>
      <c r="IP62" s="249"/>
      <c r="IQ62" s="249"/>
      <c r="IR62" s="249"/>
      <c r="IS62" s="249"/>
      <c r="IT62" s="249"/>
      <c r="IU62" s="249"/>
      <c r="IV62" s="249"/>
    </row>
    <row r="63" spans="1:256" s="193" customFormat="1" ht="12" x14ac:dyDescent="0.2">
      <c r="A63" s="253">
        <v>3.8053333333333335E-2</v>
      </c>
      <c r="B63" s="467">
        <f t="shared" si="14"/>
        <v>3.8053333333333335E-2</v>
      </c>
      <c r="C63" s="465" t="str">
        <f>'Quick Input'!I68</f>
        <v>Fertigungsausschuss Formen</v>
      </c>
      <c r="D63" s="253">
        <v>3.2250000000000001E-2</v>
      </c>
      <c r="E63" s="253">
        <v>3.2250000000000001E-2</v>
      </c>
      <c r="F63" s="253">
        <v>3.4049999999999997E-2</v>
      </c>
      <c r="G63" s="253">
        <v>3.4049999999999997E-2</v>
      </c>
      <c r="H63" s="253">
        <v>5.4720000000000005E-2</v>
      </c>
      <c r="I63" s="253">
        <v>5.4720000000000005E-2</v>
      </c>
      <c r="J63" s="253">
        <v>5.2720048899755505E-2</v>
      </c>
      <c r="K63" s="253">
        <v>5.2720048899755505E-2</v>
      </c>
      <c r="L63" s="253">
        <v>5.2720048899755505E-2</v>
      </c>
      <c r="M63" s="253">
        <v>5.2720048899755505E-2</v>
      </c>
      <c r="N63" s="253">
        <v>5.672332506203475E-2</v>
      </c>
      <c r="O63" s="253">
        <v>5.672332506203475E-2</v>
      </c>
      <c r="P63" s="253">
        <v>5.2720048899755505E-2</v>
      </c>
      <c r="Q63" s="253">
        <v>5.2720048899755505E-2</v>
      </c>
      <c r="R63" s="253">
        <v>4.0056658395368074E-2</v>
      </c>
      <c r="S63" s="253">
        <v>3.2250000000000001E-2</v>
      </c>
      <c r="T63" s="253">
        <v>3.4049999999999997E-2</v>
      </c>
      <c r="U63" s="253">
        <v>3.8053333333333335E-2</v>
      </c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</row>
    <row r="64" spans="1:256" s="193" customFormat="1" ht="12" x14ac:dyDescent="0.2">
      <c r="A64" s="249">
        <v>0</v>
      </c>
      <c r="B64" s="196">
        <f t="shared" si="14"/>
        <v>0</v>
      </c>
      <c r="C64" s="465" t="str">
        <f>'Quick Input'!I69</f>
        <v>Zeit Auspacken (min)</v>
      </c>
      <c r="D64" s="193">
        <v>1.3</v>
      </c>
      <c r="E64" s="253">
        <v>1.3</v>
      </c>
      <c r="F64" s="253">
        <v>1.3</v>
      </c>
      <c r="G64" s="253">
        <v>1.3</v>
      </c>
      <c r="H64" s="253">
        <v>0</v>
      </c>
      <c r="I64" s="253">
        <v>0</v>
      </c>
      <c r="J64" s="193">
        <v>0.8</v>
      </c>
      <c r="K64" s="253">
        <v>0.8</v>
      </c>
      <c r="L64" s="253">
        <v>0.8</v>
      </c>
      <c r="M64" s="253">
        <v>0.8</v>
      </c>
      <c r="N64" s="253">
        <v>0</v>
      </c>
      <c r="O64" s="253">
        <v>0</v>
      </c>
      <c r="P64" s="253">
        <v>0.8</v>
      </c>
      <c r="Q64" s="253">
        <v>0.8</v>
      </c>
      <c r="R64" s="253">
        <v>0</v>
      </c>
      <c r="S64" s="253">
        <v>1.3</v>
      </c>
      <c r="T64" s="253">
        <v>1.3</v>
      </c>
      <c r="U64" s="253">
        <v>0</v>
      </c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</row>
    <row r="65" spans="1:256" s="193" customFormat="1" ht="12" x14ac:dyDescent="0.2">
      <c r="A65" s="249">
        <v>0.3</v>
      </c>
      <c r="B65" s="196">
        <f t="shared" si="14"/>
        <v>0.3</v>
      </c>
      <c r="C65" s="465" t="str">
        <f>'Quick Input'!I70</f>
        <v>Anschnitt trennen (min)</v>
      </c>
      <c r="D65" s="193">
        <v>2.2000000000000002</v>
      </c>
      <c r="E65" s="253">
        <v>2.2000000000000002</v>
      </c>
      <c r="F65" s="253">
        <v>2.1</v>
      </c>
      <c r="G65" s="253">
        <v>2.1</v>
      </c>
      <c r="H65" s="253">
        <v>0.3</v>
      </c>
      <c r="I65" s="253">
        <v>0.3</v>
      </c>
      <c r="J65" s="193">
        <v>1.5</v>
      </c>
      <c r="K65" s="253">
        <v>1.5</v>
      </c>
      <c r="L65" s="253">
        <v>1.5</v>
      </c>
      <c r="M65" s="253">
        <v>1.5</v>
      </c>
      <c r="N65" s="253">
        <v>1.5</v>
      </c>
      <c r="O65" s="253">
        <v>1.5</v>
      </c>
      <c r="P65" s="253">
        <v>1.5</v>
      </c>
      <c r="Q65" s="253">
        <v>1.5</v>
      </c>
      <c r="R65" s="253">
        <v>1.5</v>
      </c>
      <c r="S65" s="253">
        <v>2.2000000000000002</v>
      </c>
      <c r="T65" s="253">
        <v>2.1</v>
      </c>
      <c r="U65" s="253">
        <v>0.3</v>
      </c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</row>
    <row r="66" spans="1:256" s="193" customFormat="1" ht="12" customHeight="1" x14ac:dyDescent="0.2">
      <c r="A66" s="249">
        <v>0.127</v>
      </c>
      <c r="B66" s="196">
        <f t="shared" si="14"/>
        <v>0.127</v>
      </c>
      <c r="C66" s="465" t="str">
        <f>'Quick Input'!I71</f>
        <v>Wärmebehandlung</v>
      </c>
      <c r="D66" s="193">
        <v>0.121</v>
      </c>
      <c r="E66" s="193">
        <v>0.121</v>
      </c>
      <c r="F66" s="193">
        <v>0.22600000000000001</v>
      </c>
      <c r="G66" s="193">
        <v>0.22600000000000001</v>
      </c>
      <c r="H66" s="193">
        <v>0.127</v>
      </c>
      <c r="I66" s="193">
        <v>0.127</v>
      </c>
      <c r="J66" s="193">
        <v>0</v>
      </c>
      <c r="K66" s="193">
        <v>0</v>
      </c>
      <c r="L66" s="193">
        <v>0</v>
      </c>
      <c r="M66" s="193">
        <v>0</v>
      </c>
      <c r="N66" s="193">
        <v>0.157</v>
      </c>
      <c r="O66" s="193">
        <v>0.157</v>
      </c>
      <c r="P66" s="193">
        <v>0</v>
      </c>
      <c r="Q66" s="193">
        <v>0</v>
      </c>
      <c r="R66" s="193">
        <v>0.157</v>
      </c>
      <c r="S66" s="193">
        <v>0.121</v>
      </c>
      <c r="T66" s="193">
        <v>0.22600000000000001</v>
      </c>
      <c r="U66" s="193">
        <v>0.127</v>
      </c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249"/>
      <c r="HH66" s="249"/>
      <c r="HI66" s="249"/>
      <c r="HJ66" s="249"/>
      <c r="HK66" s="249"/>
      <c r="HL66" s="249"/>
      <c r="HM66" s="249"/>
      <c r="HN66" s="249"/>
      <c r="HO66" s="249"/>
      <c r="HP66" s="249"/>
      <c r="HQ66" s="249"/>
      <c r="HR66" s="249"/>
      <c r="HS66" s="249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249"/>
      <c r="IM66" s="249"/>
      <c r="IN66" s="249"/>
      <c r="IO66" s="249"/>
      <c r="IP66" s="249"/>
      <c r="IQ66" s="249"/>
      <c r="IR66" s="249"/>
      <c r="IS66" s="249"/>
      <c r="IT66" s="249"/>
      <c r="IU66" s="249"/>
      <c r="IV66" s="249"/>
    </row>
    <row r="67" spans="1:256" s="193" customFormat="1" ht="12" x14ac:dyDescent="0.2">
      <c r="A67" s="253">
        <v>1.796E-2</v>
      </c>
      <c r="B67" s="467">
        <f t="shared" si="14"/>
        <v>1.796E-2</v>
      </c>
      <c r="C67" s="465" t="str">
        <f>'Quick Input'!I72</f>
        <v>Fertigungsausschuss 2</v>
      </c>
      <c r="D67" s="253">
        <v>1.4999999999999999E-2</v>
      </c>
      <c r="E67" s="253">
        <v>1.4999999999999999E-2</v>
      </c>
      <c r="F67" s="253">
        <v>1.95E-2</v>
      </c>
      <c r="G67" s="253">
        <v>1.95E-2</v>
      </c>
      <c r="H67" s="253">
        <v>1.8499999999999999E-2</v>
      </c>
      <c r="I67" s="253">
        <v>1.8499999999999999E-2</v>
      </c>
      <c r="J67" s="253">
        <v>1.3500000000000002E-2</v>
      </c>
      <c r="K67" s="253">
        <v>1.3500000000000002E-2</v>
      </c>
      <c r="L67" s="253">
        <v>1.3500000000000002E-2</v>
      </c>
      <c r="M67" s="253">
        <v>1.3500000000000002E-2</v>
      </c>
      <c r="N67" s="253">
        <v>1.8499999999999999E-2</v>
      </c>
      <c r="O67" s="253">
        <v>1.8499999999999999E-2</v>
      </c>
      <c r="P67" s="253">
        <v>1.3500000000000002E-2</v>
      </c>
      <c r="Q67" s="253">
        <v>1.3500000000000002E-2</v>
      </c>
      <c r="R67" s="253">
        <v>2.0297766749379654E-2</v>
      </c>
      <c r="S67" s="253">
        <v>1.4999999999999999E-2</v>
      </c>
      <c r="T67" s="253">
        <v>1.95E-2</v>
      </c>
      <c r="U67" s="253">
        <v>1.796E-2</v>
      </c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</row>
    <row r="68" spans="1:256" s="193" customFormat="1" ht="12" x14ac:dyDescent="0.2">
      <c r="A68" s="249">
        <v>43.4</v>
      </c>
      <c r="B68" s="196">
        <f t="shared" si="14"/>
        <v>43.4</v>
      </c>
      <c r="C68" s="465" t="str">
        <f>'Quick Input'!I73</f>
        <v>VT Prüfzeit/Teil (sec)</v>
      </c>
      <c r="D68" s="193">
        <v>61.2</v>
      </c>
      <c r="E68" s="193">
        <v>61.2</v>
      </c>
      <c r="F68" s="193">
        <v>44.2</v>
      </c>
      <c r="G68" s="193">
        <v>44.2</v>
      </c>
      <c r="H68" s="193">
        <v>43.4</v>
      </c>
      <c r="I68" s="193">
        <v>43.4</v>
      </c>
      <c r="J68" s="193">
        <v>37.9</v>
      </c>
      <c r="K68" s="193">
        <v>37.9</v>
      </c>
      <c r="L68" s="193">
        <v>37.9</v>
      </c>
      <c r="M68" s="193">
        <v>37.9</v>
      </c>
      <c r="N68" s="193">
        <v>45.7</v>
      </c>
      <c r="O68" s="193">
        <v>45.7</v>
      </c>
      <c r="P68" s="193">
        <v>37.9</v>
      </c>
      <c r="Q68" s="193">
        <v>37.9</v>
      </c>
      <c r="R68" s="193">
        <v>45.7</v>
      </c>
      <c r="S68" s="193">
        <v>61.2</v>
      </c>
      <c r="T68" s="193">
        <v>44.2</v>
      </c>
      <c r="U68" s="193">
        <v>43.4</v>
      </c>
      <c r="EW68" s="249"/>
      <c r="EX68" s="249"/>
      <c r="EY68" s="249"/>
      <c r="EZ68" s="249"/>
      <c r="FA68" s="249"/>
      <c r="FB68" s="249"/>
      <c r="FC68" s="249"/>
      <c r="FD68" s="249"/>
      <c r="FE68" s="249"/>
      <c r="FF68" s="249"/>
      <c r="FG68" s="249"/>
      <c r="FH68" s="249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249"/>
      <c r="HH68" s="249"/>
      <c r="HI68" s="249"/>
      <c r="HJ68" s="249"/>
      <c r="HK68" s="249"/>
      <c r="HL68" s="249"/>
      <c r="HM68" s="249"/>
      <c r="HN68" s="249"/>
      <c r="HO68" s="249"/>
      <c r="HP68" s="249"/>
      <c r="HQ68" s="249"/>
      <c r="HR68" s="249"/>
      <c r="HS68" s="249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249"/>
      <c r="IM68" s="249"/>
      <c r="IN68" s="249"/>
      <c r="IO68" s="249"/>
      <c r="IP68" s="249"/>
      <c r="IQ68" s="249"/>
      <c r="IR68" s="249"/>
      <c r="IS68" s="249"/>
      <c r="IT68" s="249"/>
      <c r="IU68" s="249"/>
      <c r="IV68" s="249"/>
    </row>
    <row r="69" spans="1:256" s="193" customFormat="1" ht="12" x14ac:dyDescent="0.2">
      <c r="A69" s="249">
        <v>0</v>
      </c>
      <c r="B69" s="196">
        <f t="shared" si="14"/>
        <v>0</v>
      </c>
      <c r="C69" s="465" t="str">
        <f>'Quick Input'!I74</f>
        <v>Kosten US-Prüfung</v>
      </c>
      <c r="D69" s="800">
        <v>7.33</v>
      </c>
      <c r="E69" s="193">
        <v>7.33</v>
      </c>
      <c r="F69" s="193">
        <v>0</v>
      </c>
      <c r="G69" s="193">
        <v>0</v>
      </c>
      <c r="H69" s="193">
        <v>0</v>
      </c>
      <c r="I69" s="193">
        <v>0</v>
      </c>
      <c r="J69" s="193">
        <v>0</v>
      </c>
      <c r="K69" s="193">
        <v>0</v>
      </c>
      <c r="L69" s="193">
        <v>15.03</v>
      </c>
      <c r="M69" s="193">
        <v>15.03</v>
      </c>
      <c r="N69" s="193">
        <v>15.03</v>
      </c>
      <c r="O69" s="193">
        <v>15.03</v>
      </c>
      <c r="P69" s="193">
        <v>0</v>
      </c>
      <c r="Q69" s="193">
        <v>15.03</v>
      </c>
      <c r="R69" s="193">
        <v>15.03</v>
      </c>
      <c r="S69" s="193">
        <v>7.33</v>
      </c>
      <c r="T69" s="193">
        <v>0</v>
      </c>
      <c r="U69" s="193">
        <v>0</v>
      </c>
      <c r="EW69" s="249"/>
      <c r="EX69" s="249"/>
      <c r="EY69" s="249"/>
      <c r="EZ69" s="249"/>
      <c r="FA69" s="249"/>
      <c r="FB69" s="249"/>
      <c r="FC69" s="249"/>
      <c r="FD69" s="249"/>
      <c r="FE69" s="249"/>
      <c r="FF69" s="249"/>
      <c r="FG69" s="249"/>
      <c r="FH69" s="249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249"/>
      <c r="HH69" s="249"/>
      <c r="HI69" s="249"/>
      <c r="HJ69" s="249"/>
      <c r="HK69" s="249"/>
      <c r="HL69" s="249"/>
      <c r="HM69" s="249"/>
      <c r="HN69" s="249"/>
      <c r="HO69" s="249"/>
      <c r="HP69" s="249"/>
      <c r="HQ69" s="249"/>
      <c r="HR69" s="249"/>
      <c r="HS69" s="249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249"/>
      <c r="IM69" s="249"/>
      <c r="IN69" s="249"/>
      <c r="IO69" s="249"/>
      <c r="IP69" s="249"/>
      <c r="IQ69" s="249"/>
      <c r="IR69" s="249"/>
      <c r="IS69" s="249"/>
      <c r="IT69" s="249"/>
      <c r="IU69" s="249"/>
      <c r="IV69" s="249"/>
    </row>
    <row r="70" spans="1:256" s="193" customFormat="1" ht="12" x14ac:dyDescent="0.2">
      <c r="A70" s="249">
        <v>5.45</v>
      </c>
      <c r="B70" s="196">
        <f t="shared" si="14"/>
        <v>5.45</v>
      </c>
      <c r="C70" s="465" t="str">
        <f>'Quick Input'!I75</f>
        <v>Kosten FE-Prüfung</v>
      </c>
      <c r="D70" s="800">
        <v>17.82</v>
      </c>
      <c r="E70" s="193">
        <v>17.82</v>
      </c>
      <c r="F70" s="193">
        <v>0</v>
      </c>
      <c r="G70" s="193">
        <v>0</v>
      </c>
      <c r="H70" s="193">
        <v>5.45</v>
      </c>
      <c r="I70" s="193">
        <v>5.45</v>
      </c>
      <c r="J70" s="193">
        <v>0</v>
      </c>
      <c r="K70" s="193">
        <v>0</v>
      </c>
      <c r="L70" s="193">
        <v>26.68</v>
      </c>
      <c r="M70" s="193">
        <v>26.68</v>
      </c>
      <c r="N70" s="193">
        <v>26.68</v>
      </c>
      <c r="O70" s="193">
        <v>26.68</v>
      </c>
      <c r="P70" s="193">
        <v>0</v>
      </c>
      <c r="Q70" s="193">
        <v>26.68</v>
      </c>
      <c r="R70" s="193">
        <v>26.68</v>
      </c>
      <c r="S70" s="193">
        <v>17.82</v>
      </c>
      <c r="T70" s="193">
        <v>0</v>
      </c>
      <c r="U70" s="193">
        <v>5.45</v>
      </c>
      <c r="EW70" s="249"/>
      <c r="EX70" s="249"/>
      <c r="EY70" s="249"/>
      <c r="EZ70" s="249"/>
      <c r="FA70" s="249"/>
      <c r="FB70" s="249"/>
      <c r="FC70" s="249"/>
      <c r="FD70" s="249"/>
      <c r="FE70" s="249"/>
      <c r="FF70" s="249"/>
      <c r="FG70" s="249"/>
      <c r="FH70" s="249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249"/>
      <c r="HH70" s="249"/>
      <c r="HI70" s="249"/>
      <c r="HJ70" s="249"/>
      <c r="HK70" s="249"/>
      <c r="HL70" s="249"/>
      <c r="HM70" s="249"/>
      <c r="HN70" s="249"/>
      <c r="HO70" s="249"/>
      <c r="HP70" s="249"/>
      <c r="HQ70" s="249"/>
      <c r="HR70" s="249"/>
      <c r="HS70" s="249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249"/>
      <c r="IM70" s="249"/>
      <c r="IN70" s="249"/>
      <c r="IO70" s="249"/>
      <c r="IP70" s="249"/>
      <c r="IQ70" s="249"/>
      <c r="IR70" s="249"/>
      <c r="IS70" s="249"/>
      <c r="IT70" s="249"/>
      <c r="IU70" s="249"/>
      <c r="IV70" s="249"/>
    </row>
    <row r="71" spans="1:256" s="193" customFormat="1" ht="12" x14ac:dyDescent="0.2">
      <c r="A71" s="249">
        <v>10.54</v>
      </c>
      <c r="B71" s="196">
        <f t="shared" si="14"/>
        <v>10.54</v>
      </c>
      <c r="C71" s="465" t="str">
        <f>'Quick Input'!I76</f>
        <v>Kosten X-Prüfung</v>
      </c>
      <c r="D71" s="800">
        <v>0</v>
      </c>
      <c r="E71" s="193">
        <v>0</v>
      </c>
      <c r="F71" s="193">
        <v>36.19</v>
      </c>
      <c r="G71" s="193">
        <v>36.19</v>
      </c>
      <c r="H71" s="193">
        <v>10.54</v>
      </c>
      <c r="I71" s="193">
        <v>10.54</v>
      </c>
      <c r="J71" s="193">
        <v>0</v>
      </c>
      <c r="K71" s="193">
        <v>0</v>
      </c>
      <c r="L71" s="193">
        <v>30.71</v>
      </c>
      <c r="M71" s="193">
        <v>30.71</v>
      </c>
      <c r="N71" s="193">
        <v>30.71</v>
      </c>
      <c r="O71" s="193">
        <v>30.71</v>
      </c>
      <c r="P71" s="193">
        <v>0</v>
      </c>
      <c r="Q71" s="193">
        <v>30.71</v>
      </c>
      <c r="R71" s="193">
        <v>30.71</v>
      </c>
      <c r="S71" s="193">
        <v>0</v>
      </c>
      <c r="T71" s="193">
        <v>36.19</v>
      </c>
      <c r="U71" s="193">
        <v>10.54</v>
      </c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</row>
    <row r="72" spans="1:256" s="799" customFormat="1" ht="12" x14ac:dyDescent="0.2">
      <c r="A72" s="797">
        <v>0</v>
      </c>
      <c r="B72" s="214">
        <f t="shared" si="14"/>
        <v>0</v>
      </c>
      <c r="C72" s="798" t="str">
        <f>'Quick Input'!I77</f>
        <v>Anteil Nachprüfung</v>
      </c>
      <c r="D72" s="797">
        <v>0.2</v>
      </c>
      <c r="E72" s="797">
        <v>0.2</v>
      </c>
      <c r="F72" s="797">
        <v>0</v>
      </c>
      <c r="G72" s="797">
        <v>0</v>
      </c>
      <c r="H72" s="797">
        <v>0</v>
      </c>
      <c r="I72" s="797">
        <v>0</v>
      </c>
      <c r="J72" s="797">
        <v>0</v>
      </c>
      <c r="K72" s="797">
        <v>0</v>
      </c>
      <c r="L72" s="797">
        <v>0.5</v>
      </c>
      <c r="M72" s="797">
        <v>0.5</v>
      </c>
      <c r="N72" s="797">
        <v>0</v>
      </c>
      <c r="O72" s="797">
        <v>0</v>
      </c>
      <c r="P72" s="797">
        <v>0</v>
      </c>
      <c r="Q72" s="797">
        <v>0.5</v>
      </c>
      <c r="R72" s="797">
        <v>0</v>
      </c>
      <c r="S72" s="797">
        <v>0.2</v>
      </c>
      <c r="T72" s="797">
        <v>0</v>
      </c>
      <c r="U72" s="797">
        <v>0</v>
      </c>
      <c r="V72" s="797"/>
      <c r="W72" s="797"/>
      <c r="X72" s="797"/>
      <c r="Y72" s="797"/>
      <c r="Z72" s="797"/>
      <c r="AA72" s="797"/>
      <c r="AB72" s="797"/>
      <c r="AC72" s="797"/>
      <c r="AD72" s="797"/>
      <c r="AE72" s="797"/>
      <c r="AF72" s="797"/>
      <c r="AG72" s="797"/>
      <c r="AH72" s="797"/>
      <c r="AI72" s="797"/>
      <c r="AJ72" s="797"/>
      <c r="AK72" s="797"/>
      <c r="AL72" s="797"/>
      <c r="AM72" s="797"/>
      <c r="AN72" s="797"/>
      <c r="AO72" s="797"/>
      <c r="AP72" s="797"/>
      <c r="AQ72" s="797"/>
      <c r="AR72" s="797"/>
      <c r="AS72" s="797"/>
      <c r="AT72" s="797"/>
      <c r="AU72" s="797"/>
      <c r="AV72" s="797"/>
      <c r="AW72" s="797"/>
      <c r="AX72" s="797"/>
      <c r="AY72" s="797"/>
      <c r="AZ72" s="797"/>
      <c r="BA72" s="797"/>
      <c r="BB72" s="797"/>
      <c r="BC72" s="797"/>
      <c r="BD72" s="797"/>
      <c r="BE72" s="797"/>
      <c r="BF72" s="797"/>
      <c r="BG72" s="797"/>
      <c r="BH72" s="797"/>
      <c r="BI72" s="797"/>
      <c r="BJ72" s="797"/>
      <c r="BK72" s="797"/>
      <c r="BL72" s="797"/>
      <c r="BM72" s="797"/>
      <c r="BN72" s="797"/>
      <c r="BO72" s="797"/>
      <c r="BP72" s="797"/>
      <c r="BQ72" s="797"/>
      <c r="BR72" s="797"/>
      <c r="BS72" s="797"/>
      <c r="BT72" s="797"/>
      <c r="BU72" s="797"/>
      <c r="BV72" s="797"/>
      <c r="BW72" s="797"/>
      <c r="BX72" s="797"/>
      <c r="BY72" s="797"/>
      <c r="BZ72" s="797"/>
      <c r="CA72" s="797"/>
      <c r="CB72" s="797"/>
      <c r="CC72" s="797"/>
      <c r="CD72" s="797"/>
      <c r="CE72" s="797"/>
      <c r="CF72" s="797"/>
      <c r="CG72" s="797"/>
      <c r="CH72" s="797"/>
      <c r="CI72" s="797"/>
      <c r="CJ72" s="797"/>
      <c r="CK72" s="797"/>
      <c r="CL72" s="797"/>
      <c r="CM72" s="797"/>
      <c r="CN72" s="797"/>
      <c r="CO72" s="797"/>
      <c r="CP72" s="797"/>
      <c r="CQ72" s="797"/>
      <c r="CR72" s="797"/>
      <c r="CS72" s="797"/>
      <c r="CT72" s="797"/>
      <c r="CU72" s="797"/>
      <c r="CV72" s="797"/>
      <c r="CW72" s="797"/>
      <c r="CX72" s="797"/>
      <c r="CY72" s="797"/>
      <c r="CZ72" s="797"/>
      <c r="DA72" s="797"/>
      <c r="DB72" s="797"/>
      <c r="DC72" s="797"/>
      <c r="DD72" s="797"/>
      <c r="DE72" s="797"/>
      <c r="DF72" s="797"/>
      <c r="DG72" s="797"/>
      <c r="DH72" s="797"/>
      <c r="DI72" s="797"/>
      <c r="DJ72" s="797"/>
      <c r="DK72" s="797"/>
      <c r="DL72" s="797"/>
      <c r="DM72" s="797"/>
      <c r="DN72" s="797"/>
      <c r="DO72" s="797"/>
      <c r="DP72" s="797"/>
      <c r="DQ72" s="797"/>
      <c r="DR72" s="797"/>
      <c r="DS72" s="797"/>
      <c r="DT72" s="797"/>
      <c r="DU72" s="797"/>
      <c r="DV72" s="797"/>
      <c r="DW72" s="797"/>
      <c r="DX72" s="797"/>
      <c r="DY72" s="797"/>
      <c r="DZ72" s="797"/>
      <c r="EA72" s="797"/>
      <c r="EB72" s="797"/>
      <c r="EC72" s="797"/>
      <c r="ED72" s="797"/>
      <c r="EE72" s="797"/>
      <c r="EF72" s="797"/>
      <c r="EG72" s="797"/>
      <c r="EH72" s="797"/>
      <c r="EI72" s="797"/>
      <c r="EJ72" s="797"/>
      <c r="EK72" s="797"/>
      <c r="EL72" s="797"/>
      <c r="EM72" s="797"/>
      <c r="EN72" s="797"/>
      <c r="EO72" s="797"/>
      <c r="EP72" s="797"/>
      <c r="EQ72" s="797"/>
      <c r="ER72" s="797"/>
      <c r="ES72" s="797"/>
      <c r="ET72" s="797"/>
      <c r="EU72" s="797"/>
      <c r="EV72" s="797"/>
      <c r="EW72" s="797"/>
      <c r="EX72" s="797"/>
      <c r="EY72" s="797"/>
      <c r="EZ72" s="797"/>
      <c r="FA72" s="797"/>
      <c r="FB72" s="797"/>
      <c r="FC72" s="797"/>
      <c r="FD72" s="797"/>
      <c r="FE72" s="797"/>
      <c r="FF72" s="797"/>
      <c r="FG72" s="797"/>
      <c r="FH72" s="797"/>
      <c r="FI72" s="797"/>
      <c r="FJ72" s="797"/>
      <c r="FK72" s="797"/>
      <c r="FL72" s="797"/>
      <c r="FM72" s="797"/>
      <c r="FN72" s="797"/>
      <c r="FO72" s="797"/>
      <c r="FP72" s="797"/>
      <c r="FQ72" s="797"/>
      <c r="FR72" s="797"/>
      <c r="FS72" s="797"/>
      <c r="FT72" s="797"/>
      <c r="FU72" s="797"/>
      <c r="FV72" s="797"/>
      <c r="FW72" s="797"/>
      <c r="FX72" s="797"/>
      <c r="FY72" s="797"/>
      <c r="FZ72" s="797"/>
      <c r="GA72" s="797"/>
      <c r="GB72" s="797"/>
      <c r="GC72" s="797"/>
      <c r="GD72" s="797"/>
      <c r="GE72" s="797"/>
      <c r="GF72" s="797"/>
      <c r="GG72" s="797"/>
      <c r="GH72" s="797"/>
      <c r="GI72" s="797"/>
      <c r="GJ72" s="797"/>
      <c r="GK72" s="797"/>
      <c r="GL72" s="797"/>
      <c r="GM72" s="797"/>
      <c r="GN72" s="797"/>
      <c r="GO72" s="797"/>
      <c r="GP72" s="797"/>
      <c r="GQ72" s="797"/>
      <c r="GR72" s="797"/>
      <c r="GS72" s="797"/>
      <c r="GT72" s="797"/>
      <c r="GU72" s="797"/>
      <c r="GV72" s="797"/>
      <c r="GW72" s="797"/>
      <c r="GX72" s="797"/>
      <c r="GY72" s="797"/>
      <c r="GZ72" s="797"/>
      <c r="HA72" s="797"/>
      <c r="HB72" s="797"/>
      <c r="HC72" s="797"/>
      <c r="HD72" s="797"/>
      <c r="HE72" s="797"/>
      <c r="HF72" s="797"/>
      <c r="HG72" s="797"/>
      <c r="HH72" s="797"/>
      <c r="HI72" s="797"/>
      <c r="HJ72" s="797"/>
      <c r="HK72" s="797"/>
      <c r="HL72" s="797"/>
      <c r="HM72" s="797"/>
      <c r="HN72" s="797"/>
      <c r="HO72" s="797"/>
      <c r="HP72" s="797"/>
      <c r="HQ72" s="797"/>
      <c r="HR72" s="797"/>
      <c r="HS72" s="797"/>
      <c r="HT72" s="797"/>
      <c r="HU72" s="797"/>
      <c r="HV72" s="797"/>
      <c r="HW72" s="797"/>
      <c r="HX72" s="797"/>
      <c r="HY72" s="797"/>
      <c r="HZ72" s="797"/>
      <c r="IA72" s="797"/>
      <c r="IB72" s="797"/>
      <c r="IC72" s="797"/>
      <c r="ID72" s="797"/>
      <c r="IE72" s="797"/>
      <c r="IF72" s="797"/>
      <c r="IG72" s="797"/>
      <c r="IH72" s="797"/>
      <c r="II72" s="797"/>
      <c r="IJ72" s="797"/>
      <c r="IK72" s="797"/>
      <c r="IL72" s="797"/>
      <c r="IM72" s="797"/>
      <c r="IN72" s="797"/>
      <c r="IO72" s="797"/>
      <c r="IP72" s="797"/>
      <c r="IQ72" s="797"/>
      <c r="IR72" s="797"/>
      <c r="IS72" s="797"/>
      <c r="IT72" s="797"/>
      <c r="IU72" s="797"/>
      <c r="IV72" s="797"/>
    </row>
    <row r="73" spans="1:256" s="193" customFormat="1" ht="12" x14ac:dyDescent="0.2">
      <c r="A73" s="797">
        <v>0</v>
      </c>
      <c r="B73" s="214">
        <f t="shared" si="14"/>
        <v>0</v>
      </c>
      <c r="C73" s="465" t="str">
        <f>'Quick Input'!I78</f>
        <v>Reparaturanteil (%)</v>
      </c>
      <c r="D73" s="797">
        <v>0.02</v>
      </c>
      <c r="E73" s="253">
        <v>0.02</v>
      </c>
      <c r="F73" s="253">
        <v>0.02</v>
      </c>
      <c r="G73" s="253">
        <v>0.02</v>
      </c>
      <c r="H73" s="253">
        <v>0</v>
      </c>
      <c r="I73" s="253">
        <v>0</v>
      </c>
      <c r="J73" s="797">
        <v>0</v>
      </c>
      <c r="K73" s="253">
        <v>0</v>
      </c>
      <c r="L73" s="253">
        <v>0</v>
      </c>
      <c r="M73" s="253">
        <v>0</v>
      </c>
      <c r="N73" s="253">
        <v>0</v>
      </c>
      <c r="O73" s="253">
        <v>0</v>
      </c>
      <c r="P73" s="253">
        <v>0</v>
      </c>
      <c r="Q73" s="253">
        <v>0</v>
      </c>
      <c r="R73" s="253">
        <v>0</v>
      </c>
      <c r="S73" s="253">
        <v>0.02</v>
      </c>
      <c r="T73" s="253">
        <v>0.02</v>
      </c>
      <c r="U73" s="253">
        <v>0</v>
      </c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</row>
    <row r="74" spans="1:256" s="193" customFormat="1" ht="12" x14ac:dyDescent="0.2">
      <c r="A74" s="253">
        <v>0.15740000000000001</v>
      </c>
      <c r="B74" s="214">
        <f t="shared" si="14"/>
        <v>0.15740000000000001</v>
      </c>
      <c r="C74" s="465" t="str">
        <f>'Quick Input'!I79</f>
        <v>Fertigungsgemeinkosten</v>
      </c>
      <c r="D74" s="253">
        <v>0.14660000000000001</v>
      </c>
      <c r="E74" s="253">
        <v>0.14660000000000001</v>
      </c>
      <c r="F74" s="253">
        <v>0.1666</v>
      </c>
      <c r="G74" s="253">
        <v>0.1666</v>
      </c>
      <c r="H74" s="253">
        <v>0.15740000000000001</v>
      </c>
      <c r="I74" s="253">
        <v>0.15740000000000001</v>
      </c>
      <c r="J74" s="253">
        <v>0.16800000000000001</v>
      </c>
      <c r="K74" s="253">
        <v>0.16800000000000001</v>
      </c>
      <c r="L74" s="253">
        <v>0.16800000000000001</v>
      </c>
      <c r="M74" s="253">
        <v>0.16800000000000001</v>
      </c>
      <c r="N74" s="253">
        <v>0.16800000000000001</v>
      </c>
      <c r="O74" s="253">
        <v>0.16800000000000001</v>
      </c>
      <c r="P74" s="253">
        <v>0.16800000000000001</v>
      </c>
      <c r="Q74" s="253">
        <v>0.16800000000000001</v>
      </c>
      <c r="R74" s="253">
        <v>0.16800000000000001</v>
      </c>
      <c r="S74" s="253">
        <v>0.14660000000000001</v>
      </c>
      <c r="T74" s="253">
        <v>0.1666</v>
      </c>
      <c r="U74" s="253">
        <v>0.15740000000000001</v>
      </c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</row>
    <row r="75" spans="1:256" s="193" customFormat="1" ht="12" x14ac:dyDescent="0.2">
      <c r="A75" s="253">
        <v>0.12</v>
      </c>
      <c r="B75" s="214">
        <f t="shared" si="14"/>
        <v>0.12</v>
      </c>
      <c r="C75" s="465" t="str">
        <f>'Quick Input'!I80</f>
        <v>Vertriebs- und Verw. GK satz</v>
      </c>
      <c r="D75" s="253">
        <v>0.12</v>
      </c>
      <c r="E75" s="253">
        <v>0.12</v>
      </c>
      <c r="F75" s="253">
        <v>0.12</v>
      </c>
      <c r="G75" s="253">
        <v>0.12</v>
      </c>
      <c r="H75" s="253">
        <v>0.12</v>
      </c>
      <c r="I75" s="253">
        <v>0.12</v>
      </c>
      <c r="J75" s="253">
        <v>0.12</v>
      </c>
      <c r="K75" s="253">
        <v>0.12</v>
      </c>
      <c r="L75" s="253">
        <v>0.12</v>
      </c>
      <c r="M75" s="253">
        <v>0.12</v>
      </c>
      <c r="N75" s="253">
        <v>0.12</v>
      </c>
      <c r="O75" s="253">
        <v>0.12</v>
      </c>
      <c r="P75" s="253">
        <v>0.12</v>
      </c>
      <c r="Q75" s="253">
        <v>0.12</v>
      </c>
      <c r="R75" s="253">
        <v>0.12</v>
      </c>
      <c r="S75" s="253">
        <v>0.12</v>
      </c>
      <c r="T75" s="253">
        <v>0.12</v>
      </c>
      <c r="U75" s="253">
        <v>0.12</v>
      </c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</row>
    <row r="76" spans="1:256" s="193" customFormat="1" ht="12" x14ac:dyDescent="0.2">
      <c r="A76" s="253">
        <v>0</v>
      </c>
      <c r="B76" s="214">
        <f t="shared" si="14"/>
        <v>0</v>
      </c>
      <c r="C76" s="465" t="str">
        <f>'Quick Input'!I81</f>
        <v>Gewinn auf Material</v>
      </c>
      <c r="D76" s="253">
        <v>0</v>
      </c>
      <c r="E76" s="253">
        <v>0</v>
      </c>
      <c r="F76" s="253">
        <v>0</v>
      </c>
      <c r="G76" s="253">
        <v>0</v>
      </c>
      <c r="H76" s="253">
        <v>0</v>
      </c>
      <c r="I76" s="253">
        <v>0</v>
      </c>
      <c r="J76" s="253">
        <v>0</v>
      </c>
      <c r="K76" s="253">
        <v>0</v>
      </c>
      <c r="L76" s="253">
        <v>0</v>
      </c>
      <c r="M76" s="253">
        <v>0</v>
      </c>
      <c r="N76" s="253">
        <v>0</v>
      </c>
      <c r="O76" s="253">
        <v>0</v>
      </c>
      <c r="P76" s="253">
        <v>0</v>
      </c>
      <c r="Q76" s="253">
        <v>0</v>
      </c>
      <c r="R76" s="253">
        <v>0</v>
      </c>
      <c r="S76" s="253">
        <v>0</v>
      </c>
      <c r="T76" s="253">
        <v>0</v>
      </c>
      <c r="U76" s="253">
        <v>0</v>
      </c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</row>
    <row r="77" spans="1:256" s="195" customFormat="1" ht="12" x14ac:dyDescent="0.2">
      <c r="A77" s="253">
        <v>0.115</v>
      </c>
      <c r="B77" s="214">
        <f t="shared" si="14"/>
        <v>0.115</v>
      </c>
      <c r="C77" s="465" t="str">
        <f>'Quick Input'!I82</f>
        <v>Gewinn auf Wertschöpfung</v>
      </c>
      <c r="D77" s="253">
        <v>0.115</v>
      </c>
      <c r="E77" s="253">
        <v>0.115</v>
      </c>
      <c r="F77" s="253">
        <v>0.1</v>
      </c>
      <c r="G77" s="253">
        <v>0.1</v>
      </c>
      <c r="H77" s="253">
        <v>0.115</v>
      </c>
      <c r="I77" s="253">
        <v>0.115</v>
      </c>
      <c r="J77" s="253">
        <v>0.08</v>
      </c>
      <c r="K77" s="253">
        <v>0.08</v>
      </c>
      <c r="L77" s="253">
        <v>0.08</v>
      </c>
      <c r="M77" s="253">
        <v>0.08</v>
      </c>
      <c r="N77" s="253">
        <v>0.08</v>
      </c>
      <c r="O77" s="253">
        <v>0.08</v>
      </c>
      <c r="P77" s="253">
        <v>0.08</v>
      </c>
      <c r="Q77" s="253">
        <v>0.08</v>
      </c>
      <c r="R77" s="253">
        <v>0.08</v>
      </c>
      <c r="S77" s="253">
        <v>0.115</v>
      </c>
      <c r="T77" s="253">
        <v>0.1</v>
      </c>
      <c r="U77" s="253">
        <v>0.115</v>
      </c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</row>
    <row r="78" spans="1:256" s="198" customFormat="1" ht="11.25" customHeight="1" x14ac:dyDescent="0.2">
      <c r="A78" s="251" t="s">
        <v>884</v>
      </c>
      <c r="B78" s="197" t="str">
        <f t="shared" si="14"/>
        <v>P. Pawar</v>
      </c>
      <c r="C78" s="465" t="str">
        <f>'Quick Input'!I83</f>
        <v>Bearbeiter</v>
      </c>
      <c r="D78" s="198" t="s">
        <v>884</v>
      </c>
      <c r="E78" s="198" t="s">
        <v>884</v>
      </c>
      <c r="F78" s="198" t="s">
        <v>884</v>
      </c>
      <c r="G78" s="198" t="s">
        <v>884</v>
      </c>
      <c r="H78" s="198" t="s">
        <v>884</v>
      </c>
      <c r="I78" s="198" t="s">
        <v>884</v>
      </c>
      <c r="J78" s="198" t="s">
        <v>884</v>
      </c>
      <c r="K78" s="198" t="s">
        <v>884</v>
      </c>
      <c r="L78" s="198" t="s">
        <v>884</v>
      </c>
      <c r="M78" s="199" t="s">
        <v>884</v>
      </c>
      <c r="N78" s="198" t="s">
        <v>884</v>
      </c>
      <c r="O78" s="198" t="s">
        <v>884</v>
      </c>
      <c r="P78" s="198" t="s">
        <v>884</v>
      </c>
      <c r="Q78" s="198" t="s">
        <v>884</v>
      </c>
      <c r="R78" s="198" t="s">
        <v>884</v>
      </c>
      <c r="S78" s="198" t="s">
        <v>884</v>
      </c>
      <c r="T78" s="198" t="s">
        <v>884</v>
      </c>
      <c r="U78" s="198" t="s">
        <v>884</v>
      </c>
      <c r="EW78" s="251"/>
      <c r="EX78" s="251"/>
      <c r="EY78" s="251"/>
      <c r="EZ78" s="251"/>
      <c r="FA78" s="251"/>
      <c r="FB78" s="251"/>
      <c r="FC78" s="251"/>
      <c r="FD78" s="251"/>
      <c r="FE78" s="251"/>
      <c r="FF78" s="251"/>
      <c r="FG78" s="251"/>
      <c r="FH78" s="251"/>
      <c r="FI78" s="251"/>
      <c r="FJ78" s="251"/>
      <c r="FK78" s="251"/>
      <c r="FL78" s="251"/>
      <c r="FM78" s="251"/>
      <c r="FN78" s="251"/>
      <c r="FO78" s="251"/>
      <c r="FP78" s="251"/>
      <c r="FQ78" s="251"/>
      <c r="FR78" s="251"/>
      <c r="FS78" s="251"/>
      <c r="FT78" s="251"/>
      <c r="FU78" s="251"/>
      <c r="FV78" s="251"/>
      <c r="FW78" s="251"/>
      <c r="FX78" s="251"/>
      <c r="FY78" s="251"/>
      <c r="FZ78" s="251"/>
      <c r="GA78" s="251"/>
      <c r="GB78" s="251"/>
      <c r="GC78" s="251"/>
      <c r="GD78" s="251"/>
      <c r="GE78" s="251"/>
      <c r="GF78" s="251"/>
      <c r="GG78" s="251"/>
      <c r="GH78" s="251"/>
      <c r="GI78" s="251"/>
      <c r="GJ78" s="251"/>
      <c r="GK78" s="251"/>
      <c r="GL78" s="251"/>
      <c r="GM78" s="251"/>
      <c r="GN78" s="251"/>
      <c r="GO78" s="251"/>
      <c r="GP78" s="251"/>
      <c r="GQ78" s="251"/>
      <c r="GR78" s="251"/>
      <c r="GS78" s="251"/>
      <c r="GT78" s="251"/>
      <c r="GU78" s="251"/>
      <c r="GV78" s="251"/>
      <c r="GW78" s="251"/>
      <c r="GX78" s="251"/>
      <c r="GY78" s="251"/>
      <c r="GZ78" s="251"/>
      <c r="HA78" s="251"/>
      <c r="HB78" s="251"/>
      <c r="HC78" s="251"/>
      <c r="HD78" s="251"/>
      <c r="HE78" s="251"/>
      <c r="HF78" s="251"/>
      <c r="HG78" s="251"/>
      <c r="HH78" s="251"/>
      <c r="HI78" s="251"/>
      <c r="HJ78" s="251"/>
      <c r="HK78" s="251"/>
      <c r="HL78" s="251"/>
      <c r="HM78" s="251"/>
      <c r="HN78" s="251"/>
      <c r="HO78" s="251"/>
      <c r="HP78" s="251"/>
      <c r="HQ78" s="251"/>
      <c r="HR78" s="251"/>
      <c r="HS78" s="251"/>
      <c r="HT78" s="251"/>
      <c r="HU78" s="251"/>
      <c r="HV78" s="251"/>
      <c r="HW78" s="251"/>
      <c r="HX78" s="251"/>
      <c r="HY78" s="251"/>
      <c r="HZ78" s="251"/>
      <c r="IA78" s="251"/>
      <c r="IB78" s="251"/>
      <c r="IC78" s="251"/>
      <c r="ID78" s="251"/>
      <c r="IE78" s="251"/>
      <c r="IF78" s="251"/>
      <c r="IG78" s="251"/>
      <c r="IH78" s="251"/>
      <c r="II78" s="251"/>
      <c r="IJ78" s="251"/>
      <c r="IK78" s="251"/>
      <c r="IL78" s="251"/>
      <c r="IM78" s="251"/>
      <c r="IN78" s="251"/>
      <c r="IO78" s="251"/>
      <c r="IP78" s="251"/>
      <c r="IQ78" s="251"/>
      <c r="IR78" s="251"/>
      <c r="IS78" s="251"/>
      <c r="IT78" s="251"/>
      <c r="IU78" s="251"/>
      <c r="IV78" s="251"/>
    </row>
    <row r="79" spans="1:256" s="257" customFormat="1" x14ac:dyDescent="0.2">
      <c r="A79" s="254"/>
      <c r="B79" s="254"/>
      <c r="C79" s="255"/>
      <c r="D79" s="256"/>
      <c r="E79" s="256"/>
      <c r="F79" s="256"/>
      <c r="G79" s="256"/>
      <c r="H79" s="256"/>
    </row>
    <row r="80" spans="1:256" s="257" customFormat="1" x14ac:dyDescent="0.2">
      <c r="A80" s="254"/>
      <c r="B80" s="254"/>
      <c r="C80" s="255"/>
    </row>
    <row r="81" spans="1:3" s="257" customFormat="1" x14ac:dyDescent="0.2">
      <c r="A81" s="254"/>
      <c r="B81" s="254"/>
      <c r="C81" s="255"/>
    </row>
    <row r="82" spans="1:3" s="257" customFormat="1" x14ac:dyDescent="0.2">
      <c r="A82" s="254"/>
      <c r="B82" s="254"/>
      <c r="C82" s="255"/>
    </row>
    <row r="83" spans="1:3" s="257" customFormat="1" x14ac:dyDescent="0.2">
      <c r="A83" s="254"/>
      <c r="B83" s="254"/>
      <c r="C83" s="255"/>
    </row>
    <row r="84" spans="1:3" s="257" customFormat="1" x14ac:dyDescent="0.2">
      <c r="A84" s="254"/>
      <c r="B84" s="254"/>
      <c r="C84" s="255"/>
    </row>
    <row r="85" spans="1:3" s="257" customFormat="1" x14ac:dyDescent="0.2">
      <c r="A85" s="254"/>
      <c r="B85" s="254"/>
      <c r="C85" s="255"/>
    </row>
    <row r="86" spans="1:3" s="257" customFormat="1" x14ac:dyDescent="0.2">
      <c r="A86" s="254"/>
      <c r="B86" s="254"/>
      <c r="C86" s="255"/>
    </row>
    <row r="87" spans="1:3" s="257" customFormat="1" x14ac:dyDescent="0.2">
      <c r="A87" s="254"/>
      <c r="B87" s="254"/>
      <c r="C87" s="255"/>
    </row>
    <row r="88" spans="1:3" s="257" customFormat="1" x14ac:dyDescent="0.2">
      <c r="A88" s="254"/>
      <c r="B88" s="254"/>
      <c r="C88" s="255"/>
    </row>
    <row r="89" spans="1:3" s="257" customFormat="1" x14ac:dyDescent="0.2">
      <c r="A89" s="254"/>
      <c r="B89" s="254"/>
      <c r="C89" s="255"/>
    </row>
    <row r="90" spans="1:3" s="257" customFormat="1" x14ac:dyDescent="0.2">
      <c r="A90" s="254"/>
      <c r="B90" s="254"/>
      <c r="C90" s="255"/>
    </row>
    <row r="91" spans="1:3" s="257" customFormat="1" x14ac:dyDescent="0.2">
      <c r="A91" s="254"/>
      <c r="B91" s="254"/>
      <c r="C91" s="255"/>
    </row>
    <row r="92" spans="1:3" s="257" customFormat="1" x14ac:dyDescent="0.2">
      <c r="A92" s="254"/>
      <c r="B92" s="254"/>
      <c r="C92" s="255"/>
    </row>
    <row r="93" spans="1:3" s="257" customFormat="1" x14ac:dyDescent="0.2">
      <c r="A93" s="254"/>
      <c r="B93" s="254"/>
      <c r="C93" s="255"/>
    </row>
    <row r="94" spans="1:3" s="257" customFormat="1" x14ac:dyDescent="0.2">
      <c r="A94" s="254"/>
      <c r="B94" s="254"/>
      <c r="C94" s="255"/>
    </row>
    <row r="95" spans="1:3" s="257" customFormat="1" x14ac:dyDescent="0.2">
      <c r="A95" s="254"/>
      <c r="B95" s="254"/>
      <c r="C95" s="255"/>
    </row>
    <row r="96" spans="1:3" s="257" customFormat="1" x14ac:dyDescent="0.2">
      <c r="A96" s="254"/>
      <c r="B96" s="254"/>
      <c r="C96" s="255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5">
    <tabColor rgb="FFFFCCCC"/>
  </sheetPr>
  <dimension ref="A1:Y292"/>
  <sheetViews>
    <sheetView workbookViewId="0">
      <pane xSplit="4" ySplit="3" topLeftCell="E137" activePane="bottomRight" state="frozenSplit"/>
      <selection activeCell="L30" sqref="L30"/>
      <selection pane="topRight" activeCell="L30" sqref="L30"/>
      <selection pane="bottomLeft" activeCell="L30" sqref="L30"/>
      <selection pane="bottomRight" activeCell="F154" sqref="F154"/>
    </sheetView>
  </sheetViews>
  <sheetFormatPr baseColWidth="10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3" width="1.25" customWidth="1"/>
    <col min="14" max="14" width="0.5" customWidth="1"/>
    <col min="15" max="15" width="14.625" customWidth="1"/>
    <col min="16" max="16" width="1.5" customWidth="1"/>
    <col min="17" max="17" width="0.375" customWidth="1"/>
    <col min="18" max="18" width="14.625" customWidth="1"/>
    <col min="19" max="19" width="1.5" customWidth="1"/>
    <col min="20" max="20" width="0.375" customWidth="1"/>
    <col min="21" max="21" width="14.625" customWidth="1"/>
    <col min="22" max="22" width="1.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8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366</v>
      </c>
      <c r="E3" s="584" t="s">
        <v>499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 t="str">
        <f>'Quick Input'!U$8</f>
        <v>?</v>
      </c>
      <c r="P3" s="10"/>
      <c r="Q3" s="10"/>
      <c r="R3" s="147" t="str">
        <f>'Quick Input'!X$8</f>
        <v>?</v>
      </c>
      <c r="S3" s="10"/>
      <c r="T3" s="10"/>
      <c r="U3" s="147" t="str">
        <f>'Quick Input'!AA$8</f>
        <v>?</v>
      </c>
      <c r="V3" s="11"/>
    </row>
    <row r="4" spans="2:24" ht="15" x14ac:dyDescent="0.25">
      <c r="B4" s="482">
        <v>42</v>
      </c>
      <c r="C4" s="95" t="s">
        <v>99</v>
      </c>
      <c r="D4" s="98" t="s">
        <v>94</v>
      </c>
      <c r="E4" s="589" t="s">
        <v>501</v>
      </c>
      <c r="F4" s="684">
        <f>IFERROR(IF(Refkalkulation!H$24=0,SUM(F$5:F$7),Refkalkulation!H$24),0)</f>
        <v>7.0000000000000007E-2</v>
      </c>
      <c r="G4" s="7"/>
      <c r="H4" s="7"/>
      <c r="I4" s="684">
        <f>IFERROR(IF(Refkalkulation!K$24=0,SUM(I$5:I$7),Refkalkulation!K$24),0)</f>
        <v>7.0000000000000007E-2</v>
      </c>
      <c r="J4" s="7"/>
      <c r="K4" s="7"/>
      <c r="L4" s="684">
        <f>IFERROR(IF(Refkalkulation!N$24=0,SUM(L$5:L$7),Refkalkulation!N$24),0)</f>
        <v>7.0000000000000007E-2</v>
      </c>
      <c r="M4" s="7"/>
      <c r="N4" s="7"/>
      <c r="O4" s="684">
        <f>IFERROR(IF(Refkalkulation!Q$24=0,SUM(O$5:O$7),Refkalkulation!Q$24),0)</f>
        <v>7.0000000000000007E-2</v>
      </c>
      <c r="P4" s="7"/>
      <c r="Q4" s="7"/>
      <c r="R4" s="684">
        <f>IFERROR(IF(Refkalkulation!T$24=0,SUM(R$5:R$7),Refkalkulation!T$24),0)</f>
        <v>7.0000000000000007E-2</v>
      </c>
      <c r="S4" s="7"/>
      <c r="T4" s="7"/>
      <c r="U4" s="684">
        <f>IFERROR(IF(Refkalkulation!W$24=0,SUM(U$5:U$7),Refkalkulation!W$24),0)</f>
        <v>7.0000000000000007E-2</v>
      </c>
      <c r="V4" s="11"/>
      <c r="X4" s="526"/>
    </row>
    <row r="5" spans="2:24" x14ac:dyDescent="0.2">
      <c r="B5" s="482">
        <v>42</v>
      </c>
      <c r="C5" s="96" t="s">
        <v>191</v>
      </c>
      <c r="D5" s="100" t="s">
        <v>94</v>
      </c>
      <c r="E5" s="584" t="s">
        <v>500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>
        <f>'Länder-DB'!$I$19</f>
        <v>7.0000000000000007E-2</v>
      </c>
      <c r="P5" s="4"/>
      <c r="Q5" s="4"/>
      <c r="R5" s="149">
        <f>'Länder-DB'!$I$19</f>
        <v>7.0000000000000007E-2</v>
      </c>
      <c r="S5" s="4"/>
      <c r="T5" s="4"/>
      <c r="U5" s="149">
        <f>'Länder-DB'!$I$19</f>
        <v>7.0000000000000007E-2</v>
      </c>
      <c r="V5" s="11"/>
    </row>
    <row r="6" spans="2:24" x14ac:dyDescent="0.2">
      <c r="B6" s="482">
        <v>42</v>
      </c>
      <c r="C6" s="96" t="s">
        <v>125</v>
      </c>
      <c r="D6" s="100" t="s">
        <v>362</v>
      </c>
      <c r="E6" s="584" t="s">
        <v>500</v>
      </c>
      <c r="F6" s="149">
        <f>VLOOKUP(F19,DB_Länder,10,FALSE)</f>
        <v>0</v>
      </c>
      <c r="G6" s="10"/>
      <c r="H6" s="10"/>
      <c r="I6" s="149">
        <f>VLOOKUP(I19,DB_Länder,10,FALSE)</f>
        <v>-0.01</v>
      </c>
      <c r="J6" s="10"/>
      <c r="K6" s="10"/>
      <c r="L6" s="149">
        <f>VLOOKUP(L19,DB_Länder,10,FALSE)</f>
        <v>-5.0000000000000001E-3</v>
      </c>
      <c r="M6" s="10"/>
      <c r="N6" s="10"/>
      <c r="O6" s="149">
        <f>VLOOKUP(O19,DB_Länder,10,FALSE)</f>
        <v>0</v>
      </c>
      <c r="P6" s="10"/>
      <c r="Q6" s="10"/>
      <c r="R6" s="149">
        <f>VLOOKUP(R19,DB_Länder,10,FALSE)</f>
        <v>0</v>
      </c>
      <c r="S6" s="10"/>
      <c r="T6" s="10"/>
      <c r="U6" s="149">
        <f>VLOOKUP(U19,DB_Länder,10,FALSE)</f>
        <v>0</v>
      </c>
      <c r="V6" s="11"/>
    </row>
    <row r="7" spans="2:24" ht="15" thickBot="1" x14ac:dyDescent="0.25">
      <c r="B7" s="482">
        <v>42</v>
      </c>
      <c r="C7" s="97" t="s">
        <v>124</v>
      </c>
      <c r="D7" s="102" t="s">
        <v>362</v>
      </c>
      <c r="E7" s="585" t="s">
        <v>500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>
        <f>IF('Quick Input'!V$49=Auswahlfelder!$D$26,1%,IF('Quick Input'!V$49=Auswahlfelder!$D$28,-0.5%,0))</f>
        <v>0</v>
      </c>
      <c r="P7" s="27"/>
      <c r="Q7" s="27"/>
      <c r="R7" s="150">
        <f>IF('Quick Input'!Y$49=Auswahlfelder!$D$26,1%,IF('Quick Input'!Y$49=Auswahlfelder!$D$28,-0.5%,0))</f>
        <v>0</v>
      </c>
      <c r="S7" s="27"/>
      <c r="T7" s="27"/>
      <c r="U7" s="150">
        <f>IF('Quick Input'!AB$49=Auswahlfelder!$D$26,1%,IF('Quick Input'!AB$49=Auswahlfelder!$D$28,-0.5%,0))</f>
        <v>0</v>
      </c>
      <c r="V7" s="11"/>
    </row>
    <row r="8" spans="2:24" ht="15" x14ac:dyDescent="0.25">
      <c r="B8" s="482">
        <v>43</v>
      </c>
      <c r="C8" s="95" t="s">
        <v>129</v>
      </c>
      <c r="D8" s="98"/>
      <c r="E8" s="589" t="s">
        <v>501</v>
      </c>
      <c r="F8" s="684">
        <f>IFERROR(IF(Refkalkulation!H$102=0,SUM(F$9:F$12),Refkalkulation!H$102),0)</f>
        <v>0.1</v>
      </c>
      <c r="G8" s="7"/>
      <c r="H8" s="7"/>
      <c r="I8" s="684">
        <f>IFERROR(IF(Refkalkulation!K$102=0,SUM(I$9:I$12),Refkalkulation!K$102),0)</f>
        <v>0.1</v>
      </c>
      <c r="J8" s="7"/>
      <c r="K8" s="7"/>
      <c r="L8" s="684">
        <f>IFERROR(IF(Refkalkulation!N$102=0,SUM(L$9:L$12),Refkalkulation!N$102),0)</f>
        <v>0.1</v>
      </c>
      <c r="M8" s="7"/>
      <c r="N8" s="7"/>
      <c r="O8" s="684">
        <f>IFERROR(IF(Refkalkulation!Q$102=0,SUM(O$9:O$12),Refkalkulation!Q$102),0)</f>
        <v>0.16639999999999999</v>
      </c>
      <c r="P8" s="7"/>
      <c r="Q8" s="7"/>
      <c r="R8" s="684">
        <f>IFERROR(IF(Refkalkulation!T$102=0,SUM(R$9:R$12),Refkalkulation!T$102),0)</f>
        <v>0.16639999999999999</v>
      </c>
      <c r="S8" s="7"/>
      <c r="T8" s="7"/>
      <c r="U8" s="684">
        <f>IFERROR(IF(Refkalkulation!W$102=0,SUM(U$9:U$12),Refkalkulation!W$102),0)</f>
        <v>0.16639999999999999</v>
      </c>
      <c r="V8" s="11"/>
      <c r="X8" s="526"/>
    </row>
    <row r="9" spans="2:24" x14ac:dyDescent="0.2">
      <c r="B9" s="482">
        <v>43</v>
      </c>
      <c r="C9" s="96" t="s">
        <v>116</v>
      </c>
      <c r="D9" s="100" t="s">
        <v>94</v>
      </c>
      <c r="E9" s="584" t="s">
        <v>500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>
        <f>'Länder-DB'!$I$21</f>
        <v>0.16</v>
      </c>
      <c r="P9" s="4"/>
      <c r="Q9" s="4"/>
      <c r="R9" s="149">
        <f>'Länder-DB'!$I$21</f>
        <v>0.16</v>
      </c>
      <c r="S9" s="4"/>
      <c r="T9" s="4"/>
      <c r="U9" s="149">
        <f>'Länder-DB'!$I$21</f>
        <v>0.16</v>
      </c>
      <c r="V9" s="11"/>
    </row>
    <row r="10" spans="2:24" x14ac:dyDescent="0.2">
      <c r="B10" s="482">
        <v>43</v>
      </c>
      <c r="C10" s="96" t="s">
        <v>125</v>
      </c>
      <c r="D10" s="100" t="s">
        <v>362</v>
      </c>
      <c r="E10" s="584" t="s">
        <v>500</v>
      </c>
      <c r="F10" s="149">
        <f>VLOOKUP(F19,DB_Länder,11,FALSE)</f>
        <v>0</v>
      </c>
      <c r="G10" s="10"/>
      <c r="H10" s="10"/>
      <c r="I10" s="149">
        <f>VLOOKUP(I19,DB_Länder,11,FALSE)</f>
        <v>-0.02</v>
      </c>
      <c r="J10" s="10"/>
      <c r="K10" s="10"/>
      <c r="L10" s="149">
        <f>VLOOKUP(L19,DB_Länder,11,FALSE)</f>
        <v>-0.01</v>
      </c>
      <c r="M10" s="10"/>
      <c r="N10" s="10"/>
      <c r="O10" s="149">
        <f>VLOOKUP(O19,DB_Länder,11,FALSE)</f>
        <v>0</v>
      </c>
      <c r="P10" s="10"/>
      <c r="Q10" s="10"/>
      <c r="R10" s="149">
        <f>VLOOKUP(R19,DB_Länder,11,FALSE)</f>
        <v>0</v>
      </c>
      <c r="S10" s="10"/>
      <c r="T10" s="10"/>
      <c r="U10" s="149">
        <f>VLOOKUP(U19,DB_Länder,11,FALSE)</f>
        <v>0</v>
      </c>
      <c r="V10" s="11"/>
    </row>
    <row r="11" spans="2:24" x14ac:dyDescent="0.2">
      <c r="B11" s="482">
        <v>43</v>
      </c>
      <c r="C11" s="96" t="s">
        <v>124</v>
      </c>
      <c r="D11" s="100" t="s">
        <v>362</v>
      </c>
      <c r="E11" s="584" t="s">
        <v>500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>
        <f>IF('Quick Input'!V$49=Auswahlfelder!$D$26,-0.5%,IF('Quick Input'!V$49=Auswahlfelder!$D$28,1.5%,0))</f>
        <v>0</v>
      </c>
      <c r="P11" s="4"/>
      <c r="Q11" s="4"/>
      <c r="R11" s="149">
        <f>IF('Quick Input'!Y$49=Auswahlfelder!$D$26,-0.5%,IF('Quick Input'!Y$49=Auswahlfelder!$D$28,1.5%,0))</f>
        <v>0</v>
      </c>
      <c r="S11" s="4"/>
      <c r="T11" s="4"/>
      <c r="U11" s="149">
        <f>IF('Quick Input'!AB$49=Auswahlfelder!$D$26,-0.5%,IF('Quick Input'!AB$49=Auswahlfelder!$D$28,1.5%,0))</f>
        <v>0</v>
      </c>
      <c r="V11" s="11"/>
    </row>
    <row r="12" spans="2:24" ht="15" thickBot="1" x14ac:dyDescent="0.25">
      <c r="B12" s="482">
        <v>43</v>
      </c>
      <c r="C12" s="97" t="s">
        <v>139</v>
      </c>
      <c r="D12" s="102" t="s">
        <v>362</v>
      </c>
      <c r="E12" s="585" t="s">
        <v>500</v>
      </c>
      <c r="F12" s="151">
        <f>MIN(3%,MAX(-1%,-0.1*(F$27-80%)))</f>
        <v>9.5999999999999974E-3</v>
      </c>
      <c r="G12" s="13"/>
      <c r="H12" s="13"/>
      <c r="I12" s="151">
        <f>MIN(3%,MAX(-1%,-0.1*(I$27-80%)))</f>
        <v>1.9280000000000009E-2</v>
      </c>
      <c r="J12" s="13"/>
      <c r="K12" s="13"/>
      <c r="L12" s="151">
        <f>MIN(3%,MAX(-1%,-0.1*(L$27-80%)))</f>
        <v>0.03</v>
      </c>
      <c r="M12" s="13"/>
      <c r="N12" s="13"/>
      <c r="O12" s="151">
        <f>MIN(3%,MAX(-1%,-0.1*(O$27-80%)))</f>
        <v>6.3999999999999951E-3</v>
      </c>
      <c r="P12" s="27"/>
      <c r="Q12" s="27"/>
      <c r="R12" s="151">
        <f>MIN(3%,MAX(-1%,-0.1*(R$27-80%)))</f>
        <v>6.3999999999999951E-3</v>
      </c>
      <c r="S12" s="27"/>
      <c r="T12" s="27"/>
      <c r="U12" s="151">
        <f>MIN(3%,MAX(-1%,-0.1*(U$27-80%)))</f>
        <v>6.3999999999999951E-3</v>
      </c>
      <c r="V12" s="11"/>
    </row>
    <row r="13" spans="2:24" ht="15" x14ac:dyDescent="0.25">
      <c r="B13" s="482">
        <v>32</v>
      </c>
      <c r="C13" s="95" t="s">
        <v>239</v>
      </c>
      <c r="D13" s="98" t="s">
        <v>94</v>
      </c>
      <c r="E13" s="589" t="s">
        <v>501</v>
      </c>
      <c r="F13" s="684">
        <f>IFERROR(IF(Refkalkulation!H$112=0,'Länder-DB'!$I$25*F$14,Refkalkulation!H$112),0)</f>
        <v>0</v>
      </c>
      <c r="G13" s="7"/>
      <c r="H13" s="7"/>
      <c r="I13" s="684">
        <f>IFERROR(IF(Refkalkulation!K$112=0,'Länder-DB'!$I$25*I$14,Refkalkulation!K$112),0)</f>
        <v>0</v>
      </c>
      <c r="J13" s="7"/>
      <c r="K13" s="7"/>
      <c r="L13" s="684">
        <f>IFERROR(IF(Refkalkulation!N$112=0,'Länder-DB'!$I$25*L$14,Refkalkulation!N$112),0)</f>
        <v>0</v>
      </c>
      <c r="M13" s="7"/>
      <c r="N13" s="7"/>
      <c r="O13" s="684">
        <f>IFERROR(IF(Refkalkulation!Q$112=0,'Länder-DB'!$I$25*O$14,Refkalkulation!Q$112),0)</f>
        <v>0</v>
      </c>
      <c r="P13" s="7"/>
      <c r="Q13" s="7"/>
      <c r="R13" s="684">
        <f>IFERROR(IF(Refkalkulation!T$112=0,'Länder-DB'!$I$25*R$14,Refkalkulation!T$112),0)</f>
        <v>0</v>
      </c>
      <c r="S13" s="7"/>
      <c r="T13" s="7"/>
      <c r="U13" s="684">
        <f>IFERROR(IF(Refkalkulation!W$112=0,'Länder-DB'!$I$25*U$14,Refkalkulation!W$112),0)</f>
        <v>0</v>
      </c>
      <c r="V13" s="11"/>
      <c r="X13" s="526"/>
    </row>
    <row r="14" spans="2:24" ht="15" thickBot="1" x14ac:dyDescent="0.25">
      <c r="B14" s="482">
        <v>32</v>
      </c>
      <c r="C14" s="96" t="s">
        <v>559</v>
      </c>
      <c r="D14" s="811">
        <v>0.15</v>
      </c>
      <c r="E14" s="584" t="s">
        <v>500</v>
      </c>
      <c r="F14" s="211">
        <f>1+$D$14*(2-VLOOKUP('Quick Input'!M$49,Auswahlfelder!$D$26:$E$28,2,FALSE))</f>
        <v>1</v>
      </c>
      <c r="G14" s="10"/>
      <c r="H14" s="10"/>
      <c r="I14" s="211">
        <f>1+$D$14*(2-VLOOKUP('Quick Input'!P$49,Auswahlfelder!$D$26:$E$28,2,FALSE))</f>
        <v>1</v>
      </c>
      <c r="J14" s="10"/>
      <c r="K14" s="10"/>
      <c r="L14" s="211">
        <f>1+$D$14*(2-VLOOKUP('Quick Input'!S$49,Auswahlfelder!$D$26:$E$28,2,FALSE))</f>
        <v>1</v>
      </c>
      <c r="M14" s="10"/>
      <c r="N14" s="10"/>
      <c r="O14" s="211">
        <f>1+$D$14*(2-VLOOKUP('Quick Input'!V$49,Auswahlfelder!$D$26:$E$28,2,FALSE))</f>
        <v>1</v>
      </c>
      <c r="P14" s="10"/>
      <c r="Q14" s="10"/>
      <c r="R14" s="211">
        <f>1+$D$14*(2-VLOOKUP('Quick Input'!Y$49,Auswahlfelder!$D$26:$E$28,2,FALSE))</f>
        <v>1</v>
      </c>
      <c r="S14" s="10"/>
      <c r="T14" s="10"/>
      <c r="U14" s="211">
        <f>1+$D$14*(2-VLOOKUP('Quick Input'!AB$49,Auswahlfelder!$D$26:$E$28,2,FALSE))</f>
        <v>1</v>
      </c>
      <c r="V14" s="11"/>
    </row>
    <row r="15" spans="2:24" ht="15" x14ac:dyDescent="0.25">
      <c r="B15" s="482">
        <v>32</v>
      </c>
      <c r="C15" s="95" t="s">
        <v>235</v>
      </c>
      <c r="D15" s="98"/>
      <c r="E15" s="589" t="s">
        <v>501</v>
      </c>
      <c r="F15" s="684">
        <f>IFERROR(IF(Refkalkulation!H$113=0,SUM(F$16:F$18),Refkalkulation!H$113),0)</f>
        <v>0.08</v>
      </c>
      <c r="G15" s="7"/>
      <c r="H15" s="7"/>
      <c r="I15" s="684">
        <f>IFERROR(IF(Refkalkulation!K$113=0,SUM(I$16:I$18),Refkalkulation!K$113),0)</f>
        <v>0.11</v>
      </c>
      <c r="J15" s="7"/>
      <c r="K15" s="7"/>
      <c r="L15" s="684">
        <f>IFERROR(IF(Refkalkulation!N$113=0,SUM(L$16:L$18),Refkalkulation!N$113),0)</f>
        <v>0.09</v>
      </c>
      <c r="M15" s="7"/>
      <c r="N15" s="7"/>
      <c r="O15" s="684">
        <f>IFERROR(IF(Refkalkulation!Q$113=0,SUM(O$16:O$18),Refkalkulation!Q$113),0)</f>
        <v>0.08</v>
      </c>
      <c r="P15" s="7"/>
      <c r="Q15" s="7"/>
      <c r="R15" s="684">
        <f>IFERROR(IF(Refkalkulation!T$113=0,SUM(R$16:R$18),Refkalkulation!T$113),0)</f>
        <v>0.08</v>
      </c>
      <c r="S15" s="7"/>
      <c r="T15" s="7"/>
      <c r="U15" s="684">
        <f>IFERROR(IF(Refkalkulation!W$113=0,SUM(U$16:U$18),Refkalkulation!W$113),0)</f>
        <v>0.08</v>
      </c>
      <c r="V15" s="11"/>
      <c r="X15" s="526"/>
    </row>
    <row r="16" spans="2:24" x14ac:dyDescent="0.2">
      <c r="B16" s="482">
        <v>32</v>
      </c>
      <c r="C16" s="96" t="s">
        <v>116</v>
      </c>
      <c r="D16" s="100" t="s">
        <v>94</v>
      </c>
      <c r="E16" s="584" t="s">
        <v>500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>
        <f>'Länder-DB'!$I$23</f>
        <v>0.08</v>
      </c>
      <c r="P16" s="4"/>
      <c r="Q16" s="4"/>
      <c r="R16" s="149">
        <f>'Länder-DB'!$I$23</f>
        <v>0.08</v>
      </c>
      <c r="S16" s="4"/>
      <c r="T16" s="4"/>
      <c r="U16" s="149">
        <f>'Länder-DB'!$I$23</f>
        <v>0.08</v>
      </c>
      <c r="V16" s="11"/>
    </row>
    <row r="17" spans="2:24" x14ac:dyDescent="0.2">
      <c r="B17" s="482">
        <v>32</v>
      </c>
      <c r="C17" s="96" t="s">
        <v>125</v>
      </c>
      <c r="D17" s="100" t="s">
        <v>362</v>
      </c>
      <c r="E17" s="584" t="s">
        <v>500</v>
      </c>
      <c r="F17" s="149">
        <f>VLOOKUP(F19,DB_Länder,12,FALSE)</f>
        <v>0</v>
      </c>
      <c r="G17" s="10"/>
      <c r="H17" s="10"/>
      <c r="I17" s="149">
        <f>VLOOKUP(I19,DB_Länder,12,FALSE)</f>
        <v>0.03</v>
      </c>
      <c r="J17" s="10"/>
      <c r="K17" s="10"/>
      <c r="L17" s="149">
        <f>VLOOKUP(L19,DB_Länder,12,FALSE)</f>
        <v>0.01</v>
      </c>
      <c r="M17" s="10"/>
      <c r="N17" s="10"/>
      <c r="O17" s="149">
        <f>VLOOKUP(O19,DB_Länder,12,FALSE)</f>
        <v>0</v>
      </c>
      <c r="P17" s="10"/>
      <c r="Q17" s="10"/>
      <c r="R17" s="149">
        <f>VLOOKUP(R19,DB_Länder,12,FALSE)</f>
        <v>0</v>
      </c>
      <c r="S17" s="10"/>
      <c r="T17" s="10"/>
      <c r="U17" s="149">
        <f>VLOOKUP(U19,DB_Länder,12,FALSE)</f>
        <v>0</v>
      </c>
      <c r="V17" s="11"/>
    </row>
    <row r="18" spans="2:24" ht="15" thickBot="1" x14ac:dyDescent="0.25">
      <c r="B18" s="482">
        <v>32</v>
      </c>
      <c r="C18" s="96" t="s">
        <v>124</v>
      </c>
      <c r="D18" s="100" t="s">
        <v>362</v>
      </c>
      <c r="E18" s="584" t="s">
        <v>500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>
        <f>IF('Quick Input'!V$49=Auswahlfelder!$D$26,2%,IF('Quick Input'!V$49=Auswahlfelder!$D$28,-1%,0))</f>
        <v>0</v>
      </c>
      <c r="P18" s="4"/>
      <c r="Q18" s="4"/>
      <c r="R18" s="152">
        <f>IF('Quick Input'!Y$49=Auswahlfelder!$D$26,2%,IF('Quick Input'!Y$49=Auswahlfelder!$D$28,-1%,0))</f>
        <v>0</v>
      </c>
      <c r="S18" s="4"/>
      <c r="T18" s="4"/>
      <c r="U18" s="152">
        <f>IF('Quick Input'!AB$49=Auswahlfelder!$D$26,2%,IF('Quick Input'!AB$49=Auswahlfelder!$D$28,-1%,0))</f>
        <v>0</v>
      </c>
      <c r="V18" s="11"/>
    </row>
    <row r="19" spans="2:24" ht="15" x14ac:dyDescent="0.25">
      <c r="B19" s="546">
        <v>35</v>
      </c>
      <c r="C19" s="95" t="s">
        <v>660</v>
      </c>
      <c r="D19" s="98"/>
      <c r="E19" s="589" t="s">
        <v>501</v>
      </c>
      <c r="F19" s="665" t="str">
        <f>'Quick Input'!M$45</f>
        <v>Deutschland</v>
      </c>
      <c r="G19" s="434"/>
      <c r="H19" s="435"/>
      <c r="I19" s="665" t="str">
        <f>'Quick Input'!P$45</f>
        <v>Türkei</v>
      </c>
      <c r="J19" s="434"/>
      <c r="K19" s="435"/>
      <c r="L19" s="665" t="str">
        <f>'Quick Input'!S$45</f>
        <v>Polen</v>
      </c>
      <c r="M19" s="434"/>
      <c r="N19" s="435"/>
      <c r="O19" s="665" t="str">
        <f>'Quick Input'!V$45</f>
        <v>Deutschland</v>
      </c>
      <c r="P19" s="434"/>
      <c r="Q19" s="435"/>
      <c r="R19" s="665" t="str">
        <f>'Quick Input'!Y$45</f>
        <v>Deutschland</v>
      </c>
      <c r="S19" s="434"/>
      <c r="T19" s="435"/>
      <c r="U19" s="665" t="str">
        <f>'Quick Input'!AB$45</f>
        <v>Deutschland</v>
      </c>
      <c r="V19" s="8"/>
      <c r="X19" s="722"/>
    </row>
    <row r="20" spans="2:24" x14ac:dyDescent="0.2">
      <c r="B20" s="482">
        <v>35</v>
      </c>
      <c r="C20" s="96" t="s">
        <v>273</v>
      </c>
      <c r="D20" s="100" t="s">
        <v>94</v>
      </c>
      <c r="E20" s="584" t="s">
        <v>501</v>
      </c>
      <c r="F20" s="211">
        <f>VLOOKUP(F$19,DB_Länder,3,FALSE)*(1+IF('Quick Input'!M$46=Auswahlfelder!$D$7,0,IF('Quick Input'!M$46=Auswahlfelder!$D$8,0.5*VLOOKUP(F$19,DB_Länder,14,FALSE),(VLOOKUP(F$19,DB_Länder,14,FALSE)+VLOOKUP(F$19,DB_Länder,15,FALSE))/3)))</f>
        <v>27.399866666666668</v>
      </c>
      <c r="G20" s="444"/>
      <c r="H20" s="448"/>
      <c r="I20" s="211">
        <f>VLOOKUP(I$19,DB_Länder,3,FALSE)*(1+IF('Quick Input'!P$46=Auswahlfelder!$D$7,0,IF('Quick Input'!P$46=Auswahlfelder!$D$8,0.5*VLOOKUP(I$19,DB_Länder,14,FALSE),(VLOOKUP(I$19,DB_Länder,14,FALSE)+VLOOKUP(I$19,DB_Länder,15,FALSE))/3)))</f>
        <v>4.1240200000000007</v>
      </c>
      <c r="J20" s="444"/>
      <c r="K20" s="448"/>
      <c r="L20" s="211">
        <f>VLOOKUP(L$19,DB_Länder,3,FALSE)*(1+IF('Quick Input'!S$46=Auswahlfelder!$D$7,0,IF('Quick Input'!S$46=Auswahlfelder!$D$8,0.5*VLOOKUP(L$19,DB_Länder,14,FALSE),(VLOOKUP(L$19,DB_Länder,14,FALSE)+VLOOKUP(L$19,DB_Länder,15,FALSE))/3)))</f>
        <v>5.4818280000000001</v>
      </c>
      <c r="M20" s="444"/>
      <c r="N20" s="448"/>
      <c r="O20" s="211">
        <f>VLOOKUP(O$19,DB_Länder,3,FALSE)*(1+IF('Quick Input'!V$46=Auswahlfelder!$D$7,0,IF('Quick Input'!V$46=Auswahlfelder!$D$8,0.5*VLOOKUP(O$19,DB_Länder,14,FALSE),(VLOOKUP(O$19,DB_Länder,14,FALSE)+VLOOKUP(O$19,DB_Länder,15,FALSE))/3)))</f>
        <v>24.820870000000003</v>
      </c>
      <c r="P20" s="444"/>
      <c r="Q20" s="448"/>
      <c r="R20" s="211">
        <f>VLOOKUP(R$19,DB_Länder,3,FALSE)*(1+IF('Quick Input'!Y$46=Auswahlfelder!$D$7,0,IF('Quick Input'!Y$46=Auswahlfelder!$D$8,0.5*VLOOKUP(R$19,DB_Länder,14,FALSE),(VLOOKUP(R$19,DB_Länder,14,FALSE)+VLOOKUP(R$19,DB_Länder,15,FALSE))/3)))</f>
        <v>24.820870000000003</v>
      </c>
      <c r="S20" s="444"/>
      <c r="T20" s="448"/>
      <c r="U20" s="211">
        <f>VLOOKUP(U$19,DB_Länder,3,FALSE)*(1+IF('Quick Input'!AB$46=Auswahlfelder!$D$7,0,IF('Quick Input'!AB$46=Auswahlfelder!$D$8,0.5*VLOOKUP(U$19,DB_Länder,14,FALSE),(VLOOKUP(U$19,DB_Länder,14,FALSE)+VLOOKUP(U$19,DB_Länder,15,FALSE))/3)))</f>
        <v>24.820870000000003</v>
      </c>
      <c r="V20" s="11"/>
      <c r="X20" s="526"/>
    </row>
    <row r="21" spans="2:24" x14ac:dyDescent="0.2">
      <c r="B21" s="482">
        <v>35</v>
      </c>
      <c r="C21" s="96" t="s">
        <v>274</v>
      </c>
      <c r="D21" s="100" t="s">
        <v>94</v>
      </c>
      <c r="E21" s="584" t="s">
        <v>501</v>
      </c>
      <c r="F21" s="211">
        <f>VLOOKUP(F$19,DB_Länder,4,FALSE)*(1+IF('Quick Input'!M$46=Auswahlfelder!$D$7,0,IF('Quick Input'!M$46=Auswahlfelder!$D$8,0.5*VLOOKUP(F$19,DB_Länder,14,FALSE),(VLOOKUP(F$19,DB_Länder,14,FALSE)+VLOOKUP(F$19,DB_Länder,15,FALSE))/3)))</f>
        <v>32.477666666666664</v>
      </c>
      <c r="G21" s="444"/>
      <c r="H21" s="448"/>
      <c r="I21" s="211">
        <f>VLOOKUP(I$19,DB_Länder,4,FALSE)*(1+IF('Quick Input'!P$46=Auswahlfelder!$D$7,0,IF('Quick Input'!P$46=Auswahlfelder!$D$8,0.5*VLOOKUP(I$19,DB_Länder,14,FALSE),(VLOOKUP(I$19,DB_Länder,14,FALSE)+VLOOKUP(I$19,DB_Länder,15,FALSE))/3)))</f>
        <v>5.4197425000000008</v>
      </c>
      <c r="J21" s="444"/>
      <c r="K21" s="448"/>
      <c r="L21" s="211">
        <f>VLOOKUP(L$19,DB_Länder,4,FALSE)*(1+IF('Quick Input'!S$46=Auswahlfelder!$D$7,0,IF('Quick Input'!S$46=Auswahlfelder!$D$8,0.5*VLOOKUP(L$19,DB_Länder,14,FALSE),(VLOOKUP(L$19,DB_Länder,14,FALSE)+VLOOKUP(L$19,DB_Länder,15,FALSE))/3)))</f>
        <v>7.4557889999999984</v>
      </c>
      <c r="M21" s="444"/>
      <c r="N21" s="448"/>
      <c r="O21" s="211">
        <f>VLOOKUP(O$19,DB_Länder,4,FALSE)*(1+IF('Quick Input'!V$46=Auswahlfelder!$D$7,0,IF('Quick Input'!V$46=Auswahlfelder!$D$8,0.5*VLOOKUP(O$19,DB_Länder,14,FALSE),(VLOOKUP(O$19,DB_Länder,14,FALSE)+VLOOKUP(O$19,DB_Länder,15,FALSE))/3)))</f>
        <v>29.420724999999997</v>
      </c>
      <c r="P21" s="444"/>
      <c r="Q21" s="448"/>
      <c r="R21" s="211">
        <f>VLOOKUP(R$19,DB_Länder,4,FALSE)*(1+IF('Quick Input'!Y$46=Auswahlfelder!$D$7,0,IF('Quick Input'!Y$46=Auswahlfelder!$D$8,0.5*VLOOKUP(R$19,DB_Länder,14,FALSE),(VLOOKUP(R$19,DB_Länder,14,FALSE)+VLOOKUP(R$19,DB_Länder,15,FALSE))/3)))</f>
        <v>29.420724999999997</v>
      </c>
      <c r="S21" s="444"/>
      <c r="T21" s="448"/>
      <c r="U21" s="211">
        <f>VLOOKUP(U$19,DB_Länder,4,FALSE)*(1+IF('Quick Input'!AB$46=Auswahlfelder!$D$7,0,IF('Quick Input'!AB$46=Auswahlfelder!$D$8,0.5*VLOOKUP(U$19,DB_Länder,14,FALSE),(VLOOKUP(U$19,DB_Länder,14,FALSE)+VLOOKUP(U$19,DB_Länder,15,FALSE))/3)))</f>
        <v>29.420724999999997</v>
      </c>
      <c r="V21" s="11"/>
      <c r="X21" s="526"/>
    </row>
    <row r="22" spans="2:24" ht="15" thickBot="1" x14ac:dyDescent="0.25">
      <c r="B22" s="547">
        <v>35</v>
      </c>
      <c r="C22" s="97" t="s">
        <v>275</v>
      </c>
      <c r="D22" s="102" t="s">
        <v>94</v>
      </c>
      <c r="E22" s="585" t="s">
        <v>501</v>
      </c>
      <c r="F22" s="211">
        <f>VLOOKUP(F$19,DB_Länder,5,FALSE)*(1+IF('Quick Input'!M$46=Auswahlfelder!$D$7,0,IF('Quick Input'!M$46=Auswahlfelder!$D$8,0.5*VLOOKUP(F$19,DB_Länder,14,FALSE),(VLOOKUP(F$19,DB_Länder,14,FALSE)+VLOOKUP(F$19,DB_Länder,15,FALSE))/3)))</f>
        <v>37.020199999999996</v>
      </c>
      <c r="G22" s="449"/>
      <c r="H22" s="450"/>
      <c r="I22" s="211">
        <f>VLOOKUP(I$19,DB_Länder,5,FALSE)*(1+IF('Quick Input'!P$46=Auswahlfelder!$D$7,0,IF('Quick Input'!P$46=Auswahlfelder!$D$8,0.5*VLOOKUP(I$19,DB_Länder,14,FALSE),(VLOOKUP(I$19,DB_Länder,14,FALSE)+VLOOKUP(I$19,DB_Länder,15,FALSE))/3)))</f>
        <v>5.8795150000000005</v>
      </c>
      <c r="J22" s="449"/>
      <c r="K22" s="450"/>
      <c r="L22" s="211">
        <f>VLOOKUP(L$19,DB_Länder,5,FALSE)*(1+IF('Quick Input'!S$46=Auswahlfelder!$D$7,0,IF('Quick Input'!S$46=Auswahlfelder!$D$8,0.5*VLOOKUP(L$19,DB_Länder,14,FALSE),(VLOOKUP(L$19,DB_Länder,14,FALSE)+VLOOKUP(L$19,DB_Länder,15,FALSE))/3)))</f>
        <v>10.008107999999998</v>
      </c>
      <c r="M22" s="449"/>
      <c r="N22" s="450"/>
      <c r="O22" s="211">
        <f>VLOOKUP(O$19,DB_Länder,5,FALSE)*(1+IF('Quick Input'!V$46=Auswahlfelder!$D$7,0,IF('Quick Input'!V$46=Auswahlfelder!$D$8,0.5*VLOOKUP(O$19,DB_Länder,14,FALSE),(VLOOKUP(O$19,DB_Länder,14,FALSE)+VLOOKUP(O$19,DB_Länder,15,FALSE))/3)))</f>
        <v>33.535694999999997</v>
      </c>
      <c r="P22" s="449"/>
      <c r="Q22" s="450"/>
      <c r="R22" s="211">
        <f>VLOOKUP(R$19,DB_Länder,5,FALSE)*(1+IF('Quick Input'!Y$46=Auswahlfelder!$D$7,0,IF('Quick Input'!Y$46=Auswahlfelder!$D$8,0.5*VLOOKUP(R$19,DB_Länder,14,FALSE),(VLOOKUP(R$19,DB_Länder,14,FALSE)+VLOOKUP(R$19,DB_Länder,15,FALSE))/3)))</f>
        <v>33.535694999999997</v>
      </c>
      <c r="S22" s="449"/>
      <c r="T22" s="450"/>
      <c r="U22" s="211">
        <f>VLOOKUP(U$19,DB_Länder,5,FALSE)*(1+IF('Quick Input'!AB$46=Auswahlfelder!$D$7,0,IF('Quick Input'!AB$46=Auswahlfelder!$D$8,0.5*VLOOKUP(U$19,DB_Länder,14,FALSE),(VLOOKUP(U$19,DB_Länder,14,FALSE)+VLOOKUP(U$19,DB_Länder,15,FALSE))/3)))</f>
        <v>33.535694999999997</v>
      </c>
      <c r="V22" s="126"/>
      <c r="X22" s="526"/>
    </row>
    <row r="23" spans="2:24" ht="15" x14ac:dyDescent="0.25">
      <c r="B23" s="482">
        <v>15</v>
      </c>
      <c r="C23" s="95" t="s">
        <v>370</v>
      </c>
      <c r="D23" s="98" t="s">
        <v>94</v>
      </c>
      <c r="E23" s="589" t="s">
        <v>501</v>
      </c>
      <c r="F23" s="684">
        <f>IFERROR(IF(Refkalkulation!H$16=0,'Länder-DB'!$M$21-2%+SUM(F$24:F$26),Refkalkulation!H$16),0)</f>
        <v>5.5500000000000001E-2</v>
      </c>
      <c r="G23" s="7"/>
      <c r="H23" s="7"/>
      <c r="I23" s="684">
        <f>IFERROR(IF(Refkalkulation!K$16=0,'Länder-DB'!$M$21-2%+SUM(I$24:I$26),Refkalkulation!K$16),0)</f>
        <v>5.5500000000000001E-2</v>
      </c>
      <c r="J23" s="7"/>
      <c r="K23" s="7"/>
      <c r="L23" s="684">
        <f>IFERROR(IF(Refkalkulation!N$16=0,'Länder-DB'!$M$21-2%+SUM(L$24:L$26),Refkalkulation!N$16),0)</f>
        <v>5.5500000000000001E-2</v>
      </c>
      <c r="M23" s="7"/>
      <c r="N23" s="7"/>
      <c r="O23" s="684">
        <f>IFERROR(IF(Refkalkulation!Q$16=0,'Länder-DB'!$M$21-2%+SUM(O$24:O$26),Refkalkulation!Q$16),0)</f>
        <v>0</v>
      </c>
      <c r="P23" s="7"/>
      <c r="Q23" s="7"/>
      <c r="R23" s="684">
        <f>IFERROR(IF(Refkalkulation!T$16=0,'Länder-DB'!$M$21-2%+SUM(R$24:R$26),Refkalkulation!T$16),0)</f>
        <v>0</v>
      </c>
      <c r="S23" s="7"/>
      <c r="T23" s="7"/>
      <c r="U23" s="684">
        <f>IFERROR(IF(Refkalkulation!W$16=0,'Länder-DB'!$M$21-2%+SUM(U$24:U$26),Refkalkulation!W$16),0)</f>
        <v>0</v>
      </c>
      <c r="V23" s="11"/>
      <c r="X23" s="526"/>
    </row>
    <row r="24" spans="2:24" x14ac:dyDescent="0.2">
      <c r="B24" s="482">
        <v>15</v>
      </c>
      <c r="C24" s="96" t="s">
        <v>371</v>
      </c>
      <c r="D24" s="100" t="s">
        <v>94</v>
      </c>
      <c r="E24" s="584" t="s">
        <v>500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 t="e">
        <f>VLOOKUP(O$98,DB_Ofen,15,FALSE)</f>
        <v>#VALUE!</v>
      </c>
      <c r="P24" s="10"/>
      <c r="Q24" s="10"/>
      <c r="R24" s="153" t="e">
        <f>VLOOKUP(R$98,DB_Ofen,15,FALSE)</f>
        <v>#VALUE!</v>
      </c>
      <c r="S24" s="10"/>
      <c r="T24" s="10"/>
      <c r="U24" s="153" t="e">
        <f>VLOOKUP(U$98,DB_Ofen,15,FALSE)</f>
        <v>#VALUE!</v>
      </c>
      <c r="V24" s="11"/>
    </row>
    <row r="25" spans="2:24" x14ac:dyDescent="0.2">
      <c r="B25" s="482">
        <v>15</v>
      </c>
      <c r="C25" s="96" t="s">
        <v>124</v>
      </c>
      <c r="D25" s="100" t="s">
        <v>94</v>
      </c>
      <c r="E25" s="584" t="s">
        <v>500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>
        <f>IF('Quick Input'!V$49=Auswahlfelder!$D$26,0.7%,IF('Quick Input'!V$49=Auswahlfelder!$D$27,0.25%,0))</f>
        <v>2.5000000000000001E-3</v>
      </c>
      <c r="P25" s="10"/>
      <c r="Q25" s="10"/>
      <c r="R25" s="154">
        <f>IF('Quick Input'!Y$49=Auswahlfelder!$D$26,0.7%,IF('Quick Input'!Y$49=Auswahlfelder!$D$27,0.25%,0))</f>
        <v>2.5000000000000001E-3</v>
      </c>
      <c r="S25" s="10"/>
      <c r="T25" s="10"/>
      <c r="U25" s="154">
        <f>IF('Quick Input'!AB$49=Auswahlfelder!$D$26,0.7%,IF('Quick Input'!AB$49=Auswahlfelder!$D$27,0.25%,0))</f>
        <v>2.5000000000000001E-3</v>
      </c>
      <c r="V25" s="5"/>
    </row>
    <row r="26" spans="2:24" ht="15" thickBot="1" x14ac:dyDescent="0.25">
      <c r="B26" s="482">
        <v>15</v>
      </c>
      <c r="C26" s="97" t="s">
        <v>125</v>
      </c>
      <c r="D26" s="102" t="s">
        <v>452</v>
      </c>
      <c r="E26" s="585" t="s">
        <v>500</v>
      </c>
      <c r="F26" s="151">
        <f>-VLOOKUP(F$19,DB_Länder,10,FALSE)</f>
        <v>0</v>
      </c>
      <c r="G26" s="13"/>
      <c r="H26" s="13"/>
      <c r="I26" s="151">
        <f>-VLOOKUP(I$19,DB_Länder,10,FALSE)</f>
        <v>0.01</v>
      </c>
      <c r="J26" s="13"/>
      <c r="K26" s="13"/>
      <c r="L26" s="151">
        <f>-VLOOKUP(L$19,DB_Länder,10,FALSE)</f>
        <v>5.0000000000000001E-3</v>
      </c>
      <c r="M26" s="13"/>
      <c r="N26" s="13"/>
      <c r="O26" s="151">
        <f>-VLOOKUP(O$19,DB_Länder,10,FALSE)</f>
        <v>0</v>
      </c>
      <c r="P26" s="13"/>
      <c r="Q26" s="13"/>
      <c r="R26" s="151">
        <f>-VLOOKUP(R$19,DB_Länder,10,FALSE)</f>
        <v>0</v>
      </c>
      <c r="S26" s="13"/>
      <c r="T26" s="13"/>
      <c r="U26" s="151">
        <f>-VLOOKUP(U$19,DB_Länder,10,FALSE)</f>
        <v>0</v>
      </c>
      <c r="V26" s="32"/>
    </row>
    <row r="27" spans="2:24" ht="15" x14ac:dyDescent="0.25">
      <c r="B27" s="482">
        <v>30</v>
      </c>
      <c r="C27" s="95" t="s">
        <v>131</v>
      </c>
      <c r="D27" s="98">
        <v>1</v>
      </c>
      <c r="E27" s="589" t="s">
        <v>501</v>
      </c>
      <c r="F27" s="148">
        <f>MIN(100%,('Quick Input'!M$50+F$28+F$29)*F$30)</f>
        <v>0.70400000000000007</v>
      </c>
      <c r="G27" s="7"/>
      <c r="H27" s="7"/>
      <c r="I27" s="148">
        <f>MIN(100%,('Quick Input'!P$50+I$28+I$29)*I$30)</f>
        <v>0.60719999999999996</v>
      </c>
      <c r="J27" s="7"/>
      <c r="K27" s="7"/>
      <c r="L27" s="148">
        <f>MIN(100%,('Quick Input'!S$50+L$28+L$29)*L$30)</f>
        <v>0.44159999999999999</v>
      </c>
      <c r="M27" s="7"/>
      <c r="N27" s="7"/>
      <c r="O27" s="148">
        <f>MIN(100%,('Quick Input'!V$50+O$28+O$29)*O$30)</f>
        <v>0.7360000000000001</v>
      </c>
      <c r="P27" s="7"/>
      <c r="Q27" s="7"/>
      <c r="R27" s="148">
        <f>MIN(100%,('Quick Input'!Y$50+R$28+R$29)*R$30)</f>
        <v>0.7360000000000001</v>
      </c>
      <c r="S27" s="7"/>
      <c r="T27" s="7"/>
      <c r="U27" s="148">
        <f>MIN(100%,('Quick Input'!AB$50+U$28+U$29)*U$30)</f>
        <v>0.7360000000000001</v>
      </c>
      <c r="V27" s="11"/>
    </row>
    <row r="28" spans="2:24" x14ac:dyDescent="0.2">
      <c r="B28" s="482">
        <v>30</v>
      </c>
      <c r="C28" s="96" t="s">
        <v>124</v>
      </c>
      <c r="D28" s="100" t="s">
        <v>395</v>
      </c>
      <c r="E28" s="584" t="s">
        <v>500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>
        <f>IF('Quick Input'!V$49=Auswahlfelder!$D$26,-9%,IF('Quick Input'!V$49=Auswahlfelder!$D$28,5%,0))</f>
        <v>0</v>
      </c>
      <c r="P28" s="10"/>
      <c r="Q28" s="10"/>
      <c r="R28" s="155">
        <f>IF('Quick Input'!Y$49=Auswahlfelder!$D$26,-9%,IF('Quick Input'!Y$49=Auswahlfelder!$D$28,5%,0))</f>
        <v>0</v>
      </c>
      <c r="S28" s="10"/>
      <c r="T28" s="10"/>
      <c r="U28" s="155">
        <f>IF('Quick Input'!AB$49=Auswahlfelder!$D$26,-9%,IF('Quick Input'!AB$49=Auswahlfelder!$D$28,5%,0))</f>
        <v>0</v>
      </c>
      <c r="V28" s="11"/>
      <c r="X28" s="526"/>
    </row>
    <row r="29" spans="2:24" x14ac:dyDescent="0.2">
      <c r="B29" s="482">
        <v>30</v>
      </c>
      <c r="C29" s="96" t="s">
        <v>125</v>
      </c>
      <c r="D29" s="100"/>
      <c r="E29" s="584" t="s">
        <v>500</v>
      </c>
      <c r="F29" s="155">
        <f>VLOOKUP(F19,DB_Länder,11,FALSE)*2</f>
        <v>0</v>
      </c>
      <c r="G29" s="10"/>
      <c r="H29" s="10"/>
      <c r="I29" s="155">
        <f>VLOOKUP(I19,DB_Länder,11,FALSE)*2</f>
        <v>-0.04</v>
      </c>
      <c r="J29" s="10"/>
      <c r="K29" s="10"/>
      <c r="L29" s="155">
        <f>VLOOKUP(L19,DB_Länder,11,FALSE)*2</f>
        <v>-0.02</v>
      </c>
      <c r="M29" s="10"/>
      <c r="N29" s="10"/>
      <c r="O29" s="155">
        <f>VLOOKUP(O19,DB_Länder,11,FALSE)*2</f>
        <v>0</v>
      </c>
      <c r="P29" s="10"/>
      <c r="Q29" s="10"/>
      <c r="R29" s="155">
        <f>VLOOKUP(R19,DB_Länder,11,FALSE)*2</f>
        <v>0</v>
      </c>
      <c r="S29" s="10"/>
      <c r="T29" s="10"/>
      <c r="U29" s="155">
        <f>VLOOKUP(U19,DB_Länder,11,FALSE)*2</f>
        <v>0</v>
      </c>
      <c r="V29" s="5"/>
      <c r="X29" s="526"/>
    </row>
    <row r="30" spans="2:24" ht="15" thickBot="1" x14ac:dyDescent="0.25">
      <c r="B30" s="482">
        <v>30</v>
      </c>
      <c r="C30" s="96" t="s">
        <v>130</v>
      </c>
      <c r="D30" s="100"/>
      <c r="E30" s="584" t="s">
        <v>500</v>
      </c>
      <c r="F30" s="155">
        <f>IF('Quick Input'!M$46=Auswahlfelder!$D$7,0.95,IF('Quick Input'!M$46=Auswahlfelder!$D$8,0.92,0.88))</f>
        <v>0.88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>
        <f>IF('Quick Input'!V$46=Auswahlfelder!$D$7,0.95,IF('Quick Input'!V$46=Auswahlfelder!$D$8,0.92,0.88))</f>
        <v>0.92</v>
      </c>
      <c r="P30" s="10"/>
      <c r="Q30" s="10"/>
      <c r="R30" s="155">
        <f>IF('Quick Input'!Y$46=Auswahlfelder!$D$7,0.95,IF('Quick Input'!Y$46=Auswahlfelder!$D$8,0.92,0.88))</f>
        <v>0.92</v>
      </c>
      <c r="S30" s="10"/>
      <c r="T30" s="10"/>
      <c r="U30" s="155">
        <f>IF('Quick Input'!AB$46=Auswahlfelder!$D$7,0.95,IF('Quick Input'!AB$46=Auswahlfelder!$D$8,0.92,0.88))</f>
        <v>0.92</v>
      </c>
      <c r="V30" s="5"/>
    </row>
    <row r="31" spans="2:24" ht="15" x14ac:dyDescent="0.25">
      <c r="B31" s="482">
        <v>58</v>
      </c>
      <c r="C31" s="95" t="s">
        <v>365</v>
      </c>
      <c r="D31" s="98"/>
      <c r="E31" s="583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 t="e">
        <f>O$32*O$33*O$34</f>
        <v>#VALUE!</v>
      </c>
      <c r="P31" s="28"/>
      <c r="Q31" s="28"/>
      <c r="R31" s="156" t="e">
        <f>R$32*R$33*R$34</f>
        <v>#VALUE!</v>
      </c>
      <c r="S31" s="28"/>
      <c r="T31" s="28"/>
      <c r="U31" s="156" t="e">
        <f>U$32*U$33*U$34</f>
        <v>#VALUE!</v>
      </c>
      <c r="V31" s="11"/>
    </row>
    <row r="32" spans="2:24" x14ac:dyDescent="0.2">
      <c r="B32" s="482">
        <f>B31</f>
        <v>58</v>
      </c>
      <c r="C32" s="96" t="s">
        <v>140</v>
      </c>
      <c r="D32" s="100" t="s">
        <v>94</v>
      </c>
      <c r="E32" s="584" t="s">
        <v>501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>
        <f>MAX('Quick Input'!V$14,'Quick Input'!V$15)/10</f>
        <v>0</v>
      </c>
      <c r="P32" s="4"/>
      <c r="Q32" s="4"/>
      <c r="R32" s="157">
        <f>MAX('Quick Input'!Y$14,'Quick Input'!Y$15)/10</f>
        <v>0</v>
      </c>
      <c r="S32" s="4"/>
      <c r="T32" s="4"/>
      <c r="U32" s="157">
        <f>MAX('Quick Input'!AB$14,'Quick Input'!AB$15)/10</f>
        <v>0</v>
      </c>
      <c r="V32" s="11"/>
    </row>
    <row r="33" spans="2:24" x14ac:dyDescent="0.2">
      <c r="B33" s="482">
        <f>B32</f>
        <v>58</v>
      </c>
      <c r="C33" s="96" t="s">
        <v>132</v>
      </c>
      <c r="D33" s="100" t="s">
        <v>94</v>
      </c>
      <c r="E33" s="584" t="s">
        <v>501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>
        <f>MIN('Quick Input'!V$14,'Quick Input'!V$15)/10</f>
        <v>0</v>
      </c>
      <c r="P33" s="4"/>
      <c r="Q33" s="4"/>
      <c r="R33" s="158">
        <f>MIN('Quick Input'!Y$14,'Quick Input'!Y$15)/10</f>
        <v>0</v>
      </c>
      <c r="S33" s="4"/>
      <c r="T33" s="4"/>
      <c r="U33" s="158">
        <f>MIN('Quick Input'!AB$14,'Quick Input'!AB$15)/10</f>
        <v>0</v>
      </c>
      <c r="V33" s="5"/>
    </row>
    <row r="34" spans="2:24" ht="15" thickBot="1" x14ac:dyDescent="0.25">
      <c r="B34" s="482">
        <f>B33</f>
        <v>58</v>
      </c>
      <c r="C34" s="96" t="s">
        <v>133</v>
      </c>
      <c r="D34" s="100" t="s">
        <v>395</v>
      </c>
      <c r="E34" s="584" t="s">
        <v>500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 t="e">
        <f>MAX(0.9,SQRT(MIN(1,O$39+65%)))</f>
        <v>#VALUE!</v>
      </c>
      <c r="P34" s="4"/>
      <c r="Q34" s="4"/>
      <c r="R34" s="159" t="e">
        <f>MAX(0.9,SQRT(MIN(1,R$39+65%)))</f>
        <v>#VALUE!</v>
      </c>
      <c r="S34" s="4"/>
      <c r="T34" s="4"/>
      <c r="U34" s="159" t="e">
        <f>MAX(0.9,SQRT(MIN(1,U$39+65%)))</f>
        <v>#VALUE!</v>
      </c>
      <c r="V34" s="5"/>
    </row>
    <row r="35" spans="2:24" ht="15" x14ac:dyDescent="0.25">
      <c r="B35" s="482">
        <f>B34</f>
        <v>58</v>
      </c>
      <c r="C35" s="95" t="s">
        <v>137</v>
      </c>
      <c r="D35" s="98"/>
      <c r="E35" s="583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 t="e">
        <f>O$31*(1+O$36)*O$46</f>
        <v>#VALUE!</v>
      </c>
      <c r="P35" s="28"/>
      <c r="Q35" s="28"/>
      <c r="R35" s="156" t="e">
        <f>R$31*(1+R$36)*R$46</f>
        <v>#VALUE!</v>
      </c>
      <c r="S35" s="28"/>
      <c r="T35" s="28"/>
      <c r="U35" s="156" t="e">
        <f>U$31*(1+U$36)*U$46</f>
        <v>#VALUE!</v>
      </c>
      <c r="V35" s="8"/>
    </row>
    <row r="36" spans="2:24" ht="15" thickBot="1" x14ac:dyDescent="0.25">
      <c r="B36" s="482">
        <f>B35</f>
        <v>58</v>
      </c>
      <c r="C36" s="96" t="s">
        <v>135</v>
      </c>
      <c r="D36" s="100"/>
      <c r="E36" s="584" t="s">
        <v>500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 t="e">
        <f>IF(OR(O$39&lt;23%,VLOOKUP(Refkalkulation!Q$52,DB_Maschinen,2,FALSE)='Maschinen-DB'!$D$22),0,5.25%+O$46*0.75%)</f>
        <v>#VALUE!</v>
      </c>
      <c r="P36" s="10"/>
      <c r="Q36" s="10"/>
      <c r="R36" s="149" t="e">
        <f>IF(OR(R$39&lt;23%,VLOOKUP(Refkalkulation!T$52,DB_Maschinen,2,FALSE)='Maschinen-DB'!$D$22),0,5.25%+R$46*0.75%)</f>
        <v>#VALUE!</v>
      </c>
      <c r="S36" s="10"/>
      <c r="T36" s="10"/>
      <c r="U36" s="149" t="e">
        <f>IF(OR(U$39&lt;23%,VLOOKUP(Refkalkulation!W$52,DB_Maschinen,2,FALSE)='Maschinen-DB'!$D$22),0,5.25%+U$46*0.75%)</f>
        <v>#VALUE!</v>
      </c>
      <c r="V36" s="11"/>
    </row>
    <row r="37" spans="2:24" ht="15" x14ac:dyDescent="0.25">
      <c r="B37" s="482">
        <v>6</v>
      </c>
      <c r="C37" s="95" t="s">
        <v>505</v>
      </c>
      <c r="D37" s="98" t="s">
        <v>94</v>
      </c>
      <c r="E37" s="589" t="s">
        <v>501</v>
      </c>
      <c r="F37" s="351">
        <f>F$31*'Quick Input'!M$16/10000</f>
        <v>36</v>
      </c>
      <c r="G37" s="7"/>
      <c r="H37" s="7"/>
      <c r="I37" s="351">
        <f>I$31*'Quick Input'!P$16/10000</f>
        <v>36</v>
      </c>
      <c r="J37" s="7"/>
      <c r="K37" s="7"/>
      <c r="L37" s="351">
        <f>L$31*'Quick Input'!S$16/10000</f>
        <v>36</v>
      </c>
      <c r="M37" s="7"/>
      <c r="N37" s="7"/>
      <c r="O37" s="351" t="e">
        <f>O$31*'Quick Input'!V$16/10000</f>
        <v>#VALUE!</v>
      </c>
      <c r="P37" s="28"/>
      <c r="Q37" s="28"/>
      <c r="R37" s="351" t="e">
        <f>R$31*'Quick Input'!Y$16/10000</f>
        <v>#VALUE!</v>
      </c>
      <c r="S37" s="28"/>
      <c r="T37" s="28"/>
      <c r="U37" s="351" t="e">
        <f>U$31*'Quick Input'!AB$16/10000</f>
        <v>#VALUE!</v>
      </c>
      <c r="V37" s="11"/>
    </row>
    <row r="38" spans="2:24" x14ac:dyDescent="0.2">
      <c r="B38" s="482">
        <v>6</v>
      </c>
      <c r="C38" s="96" t="s">
        <v>510</v>
      </c>
      <c r="D38" s="100" t="s">
        <v>94</v>
      </c>
      <c r="E38" s="584" t="s">
        <v>501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 t="e">
        <f>O$37*VLOOKUP('Quick Input'!V$10,DB_Material,5,FALSE)</f>
        <v>#VALUE!</v>
      </c>
      <c r="P38" s="10"/>
      <c r="Q38" s="10"/>
      <c r="R38" s="159" t="e">
        <f>R$37*VLOOKUP('Quick Input'!Y$10,DB_Material,5,FALSE)</f>
        <v>#VALUE!</v>
      </c>
      <c r="S38" s="10"/>
      <c r="T38" s="10"/>
      <c r="U38" s="159" t="e">
        <f>U$37*VLOOKUP('Quick Input'!AB$10,DB_Material,5,FALSE)</f>
        <v>#VALUE!</v>
      </c>
      <c r="V38" s="5"/>
    </row>
    <row r="39" spans="2:24" ht="15" thickBot="1" x14ac:dyDescent="0.25">
      <c r="B39" s="482">
        <v>6</v>
      </c>
      <c r="C39" s="96" t="s">
        <v>134</v>
      </c>
      <c r="D39" s="100" t="s">
        <v>94</v>
      </c>
      <c r="E39" s="584" t="s">
        <v>501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 t="e">
        <f>'Quick Input'!V$20/(O$32*O$33*'Quick Input'!V$16/10)</f>
        <v>#VALUE!</v>
      </c>
      <c r="P39" s="4"/>
      <c r="Q39" s="4"/>
      <c r="R39" s="160" t="e">
        <f>'Quick Input'!Y$20/(R$32*R$33*'Quick Input'!Y$16/10)</f>
        <v>#VALUE!</v>
      </c>
      <c r="S39" s="4"/>
      <c r="T39" s="4"/>
      <c r="U39" s="160" t="e">
        <f>'Quick Input'!AB$20/(U$32*U$33*'Quick Input'!AB$16/10)</f>
        <v>#VALUE!</v>
      </c>
      <c r="V39" s="5"/>
    </row>
    <row r="40" spans="2:24" ht="15" x14ac:dyDescent="0.25">
      <c r="B40" s="482">
        <v>3</v>
      </c>
      <c r="C40" s="95" t="s">
        <v>396</v>
      </c>
      <c r="D40" s="98">
        <v>1</v>
      </c>
      <c r="E40" s="589" t="s">
        <v>501</v>
      </c>
      <c r="F40" s="351">
        <f>(F$41+F$43)*F$46</f>
        <v>7.3060572213343722</v>
      </c>
      <c r="G40" s="7"/>
      <c r="H40" s="7"/>
      <c r="I40" s="351">
        <f>(I$41+I$43)*I$46</f>
        <v>7.3082233762111191</v>
      </c>
      <c r="J40" s="7"/>
      <c r="K40" s="7"/>
      <c r="L40" s="351">
        <f>(L$41+L$43)*L$46</f>
        <v>7.3082233762111191</v>
      </c>
      <c r="M40" s="7"/>
      <c r="N40" s="7"/>
      <c r="O40" s="351" t="e">
        <f>(O$41+O$43)*O$46</f>
        <v>#VALUE!</v>
      </c>
      <c r="P40" s="7"/>
      <c r="Q40" s="7"/>
      <c r="R40" s="351" t="e">
        <f>(R$41+R$43)*R$46</f>
        <v>#VALUE!</v>
      </c>
      <c r="S40" s="7"/>
      <c r="T40" s="7"/>
      <c r="U40" s="351" t="e">
        <f>(U$41+U$43)*U$46</f>
        <v>#VALUE!</v>
      </c>
      <c r="V40" s="11"/>
    </row>
    <row r="41" spans="2:24" x14ac:dyDescent="0.2">
      <c r="B41" s="482">
        <v>3</v>
      </c>
      <c r="C41" s="96" t="s">
        <v>369</v>
      </c>
      <c r="D41" s="100">
        <v>1</v>
      </c>
      <c r="E41" s="584" t="s">
        <v>501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 t="str">
        <f>'Quick Input'!V$19</f>
        <v>?</v>
      </c>
      <c r="P41" s="10"/>
      <c r="Q41" s="10"/>
      <c r="R41" s="159" t="str">
        <f>'Quick Input'!Y$19</f>
        <v>?</v>
      </c>
      <c r="S41" s="10"/>
      <c r="T41" s="10"/>
      <c r="U41" s="159" t="str">
        <f>'Quick Input'!AB$19</f>
        <v>?</v>
      </c>
      <c r="V41" s="11"/>
    </row>
    <row r="42" spans="2:24" ht="15" x14ac:dyDescent="0.25">
      <c r="B42" s="482">
        <v>3</v>
      </c>
      <c r="C42" s="96" t="s">
        <v>271</v>
      </c>
      <c r="D42" s="595" t="s">
        <v>395</v>
      </c>
      <c r="E42" s="584" t="s">
        <v>500</v>
      </c>
      <c r="F42" s="202">
        <f>'Länder-DB'!$M$19+F$44+F$45+F$47</f>
        <v>0.46121144426687438</v>
      </c>
      <c r="G42" s="10"/>
      <c r="H42" s="10"/>
      <c r="I42" s="202">
        <f>'Länder-DB'!$M$19+I$44+I$45+I$47</f>
        <v>0.46164467524222386</v>
      </c>
      <c r="J42" s="10"/>
      <c r="K42" s="10"/>
      <c r="L42" s="202">
        <f>'Länder-DB'!$M$19+L$44+L$45+L$47</f>
        <v>0.46164467524222386</v>
      </c>
      <c r="M42" s="10"/>
      <c r="N42" s="10"/>
      <c r="O42" s="202" t="e">
        <f>'Länder-DB'!$M$19+O$44+O$45+O$47</f>
        <v>#VALUE!</v>
      </c>
      <c r="P42" s="10"/>
      <c r="Q42" s="10"/>
      <c r="R42" s="202" t="e">
        <f>'Länder-DB'!$M$19+R$44+R$45+R$47</f>
        <v>#VALUE!</v>
      </c>
      <c r="S42" s="10"/>
      <c r="T42" s="10"/>
      <c r="U42" s="202" t="e">
        <f>'Länder-DB'!$M$19+U$44+U$45+U$47</f>
        <v>#VALUE!</v>
      </c>
      <c r="V42" s="11"/>
      <c r="X42" s="526"/>
    </row>
    <row r="43" spans="2:24" x14ac:dyDescent="0.2">
      <c r="B43" s="482">
        <v>3</v>
      </c>
      <c r="C43" s="96" t="s">
        <v>479</v>
      </c>
      <c r="D43" s="100">
        <v>1</v>
      </c>
      <c r="E43" s="584" t="s">
        <v>500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 t="e">
        <f>O$41*O$42</f>
        <v>#VALUE!</v>
      </c>
      <c r="P43" s="10"/>
      <c r="Q43" s="10"/>
      <c r="R43" s="159" t="e">
        <f>R$41*R$42</f>
        <v>#VALUE!</v>
      </c>
      <c r="S43" s="10"/>
      <c r="T43" s="10"/>
      <c r="U43" s="159" t="e">
        <f>U$41*U$42</f>
        <v>#VALUE!</v>
      </c>
      <c r="V43" s="11"/>
    </row>
    <row r="44" spans="2:24" x14ac:dyDescent="0.2">
      <c r="B44" s="482">
        <v>3</v>
      </c>
      <c r="C44" s="96" t="s">
        <v>477</v>
      </c>
      <c r="D44" s="100" t="s">
        <v>395</v>
      </c>
      <c r="E44" s="584" t="s">
        <v>500</v>
      </c>
      <c r="F44" s="202">
        <f>2.5%*MAX(0,('Quick Input'!M$17-8)/4)</f>
        <v>4.3750000000000004E-2</v>
      </c>
      <c r="G44" s="10"/>
      <c r="H44" s="10"/>
      <c r="I44" s="202">
        <f>2.5%*MAX(0,('Quick Input'!P$17-8)/4)</f>
        <v>4.3750000000000004E-2</v>
      </c>
      <c r="J44" s="10"/>
      <c r="K44" s="10"/>
      <c r="L44" s="202">
        <f>2.5%*MAX(0,('Quick Input'!S$17-8)/4)</f>
        <v>4.3750000000000004E-2</v>
      </c>
      <c r="M44" s="10"/>
      <c r="N44" s="10"/>
      <c r="O44" s="202" t="e">
        <f>2.5%*MAX(0,('Quick Input'!V$17-8)/4)</f>
        <v>#VALUE!</v>
      </c>
      <c r="P44" s="10"/>
      <c r="Q44" s="10"/>
      <c r="R44" s="202" t="e">
        <f>2.5%*MAX(0,('Quick Input'!Y$17-8)/4)</f>
        <v>#VALUE!</v>
      </c>
      <c r="S44" s="10"/>
      <c r="T44" s="10"/>
      <c r="U44" s="202" t="e">
        <f>2.5%*MAX(0,('Quick Input'!AB$17-8)/4)</f>
        <v>#VALUE!</v>
      </c>
      <c r="V44" s="11"/>
      <c r="X44" s="526"/>
    </row>
    <row r="45" spans="2:24" x14ac:dyDescent="0.2">
      <c r="B45" s="482">
        <v>3</v>
      </c>
      <c r="C45" s="96" t="s">
        <v>480</v>
      </c>
      <c r="D45" s="100">
        <v>1</v>
      </c>
      <c r="E45" s="584" t="s">
        <v>500</v>
      </c>
      <c r="F45" s="202">
        <f>MAX(0%,20%*(40%-F$58))</f>
        <v>7.7461444266874346E-2</v>
      </c>
      <c r="G45" s="10"/>
      <c r="H45" s="10"/>
      <c r="I45" s="202">
        <f>MAX(0%,20%*(40%-I$58))</f>
        <v>7.7894675242223807E-2</v>
      </c>
      <c r="J45" s="10"/>
      <c r="K45" s="10"/>
      <c r="L45" s="202">
        <f>20%*(40%-L$58)</f>
        <v>7.7894675242223807E-2</v>
      </c>
      <c r="M45" s="10"/>
      <c r="N45" s="10"/>
      <c r="O45" s="202" t="e">
        <f>20%*(40%-O$58)</f>
        <v>#VALUE!</v>
      </c>
      <c r="P45" s="10"/>
      <c r="Q45" s="10"/>
      <c r="R45" s="202" t="e">
        <f>20%*(40%-R$58)</f>
        <v>#VALUE!</v>
      </c>
      <c r="S45" s="10"/>
      <c r="T45" s="10"/>
      <c r="U45" s="202" t="e">
        <f>20%*(40%-U$58)</f>
        <v>#VALUE!</v>
      </c>
      <c r="V45" s="11"/>
      <c r="X45" s="526"/>
    </row>
    <row r="46" spans="2:24" x14ac:dyDescent="0.2">
      <c r="B46" s="482">
        <v>3</v>
      </c>
      <c r="C46" s="96" t="s">
        <v>379</v>
      </c>
      <c r="D46" s="100">
        <v>1</v>
      </c>
      <c r="E46" s="584" t="s">
        <v>501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>
        <f>Refkalkulation!Q$50</f>
        <v>1</v>
      </c>
      <c r="P46" s="4"/>
      <c r="Q46" s="4"/>
      <c r="R46" s="162">
        <f>Refkalkulation!T$50</f>
        <v>1</v>
      </c>
      <c r="S46" s="4"/>
      <c r="T46" s="4"/>
      <c r="U46" s="162">
        <f>Refkalkulation!W$50</f>
        <v>1</v>
      </c>
      <c r="V46" s="5"/>
    </row>
    <row r="47" spans="2:24" ht="15.75" thickBot="1" x14ac:dyDescent="0.3">
      <c r="B47" s="547">
        <v>3</v>
      </c>
      <c r="C47" s="97" t="s">
        <v>478</v>
      </c>
      <c r="D47" s="1063" t="s">
        <v>395</v>
      </c>
      <c r="E47" s="585" t="s">
        <v>500</v>
      </c>
      <c r="F47" s="349">
        <f>-4%*F$46+12%*ABS(F$46/2-1)</f>
        <v>1.9999999999999997E-2</v>
      </c>
      <c r="G47" s="13"/>
      <c r="H47" s="13"/>
      <c r="I47" s="349">
        <f>-4%*I$46+12%*ABS(I$46/2-1)</f>
        <v>1.9999999999999997E-2</v>
      </c>
      <c r="J47" s="13"/>
      <c r="K47" s="13"/>
      <c r="L47" s="349">
        <f>-4%*L$46+12%*ABS(L$46/2-1)</f>
        <v>1.9999999999999997E-2</v>
      </c>
      <c r="M47" s="13"/>
      <c r="N47" s="13"/>
      <c r="O47" s="349">
        <f>-4%*O$46+12%*ABS(O$46/2-1)</f>
        <v>1.9999999999999997E-2</v>
      </c>
      <c r="P47" s="13"/>
      <c r="Q47" s="13"/>
      <c r="R47" s="349">
        <f>-4%*R$46+12%*ABS(R$46/2-1)</f>
        <v>1.9999999999999997E-2</v>
      </c>
      <c r="S47" s="13"/>
      <c r="T47" s="13"/>
      <c r="U47" s="349">
        <f>-4%*U$46+12%*ABS(U$46/2-1)</f>
        <v>1.9999999999999997E-2</v>
      </c>
      <c r="V47" s="126"/>
      <c r="X47" s="526"/>
    </row>
    <row r="48" spans="2:24" ht="15.75" thickBot="1" x14ac:dyDescent="0.3">
      <c r="B48" s="974"/>
      <c r="C48" s="1061" t="s">
        <v>910</v>
      </c>
      <c r="D48" s="102"/>
      <c r="E48" s="585" t="s">
        <v>500</v>
      </c>
      <c r="F48" s="1062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62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62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62">
        <f>IFERROR(IF(VLOOKUP(VLOOKUP(Refkalkulation!Q$31,'Maschinen-DB'!$I$5:$R$15,10,FALSE),DB_Ofen,2,FALSE)=O211,VLOOKUP(Refkalkulation!Q$31,'Maschinen-DB'!$I$5:$R$15,10,FALSE),0),0)</f>
        <v>0</v>
      </c>
      <c r="P48" s="13"/>
      <c r="Q48" s="13"/>
      <c r="R48" s="1062">
        <f>IFERROR(IF(VLOOKUP(VLOOKUP(Refkalkulation!T$31,'Maschinen-DB'!$I$5:$R$15,10,FALSE),DB_Ofen,2,FALSE)=R211,VLOOKUP(Refkalkulation!T$31,'Maschinen-DB'!$I$5:$R$15,10,FALSE),0),0)</f>
        <v>0</v>
      </c>
      <c r="S48" s="13"/>
      <c r="T48" s="13"/>
      <c r="U48" s="1062">
        <f>IFERROR(IF(VLOOKUP(VLOOKUP(Refkalkulation!W$31,'Maschinen-DB'!$I$5:$R$15,10,FALSE),DB_Ofen,2,FALSE)=U211,VLOOKUP(Refkalkulation!W$31,'Maschinen-DB'!$I$5:$R$15,10,FALSE),0),0)</f>
        <v>0</v>
      </c>
      <c r="V48" s="32"/>
      <c r="X48" s="526"/>
    </row>
    <row r="49" spans="2:22" ht="15" x14ac:dyDescent="0.25">
      <c r="B49" s="482">
        <v>47</v>
      </c>
      <c r="C49" s="95" t="s">
        <v>387</v>
      </c>
      <c r="D49" s="98" t="s">
        <v>94</v>
      </c>
      <c r="E49" s="589" t="s">
        <v>501</v>
      </c>
      <c r="F49" s="203">
        <f>F$56*IF(F$52,F$33,F$32)+2*F$53+(F$56-1)*(F$53+2.5)</f>
        <v>65.79473319220206</v>
      </c>
      <c r="G49" s="7"/>
      <c r="H49" s="7"/>
      <c r="I49" s="203">
        <f>I$56*IF(I$52,I$33,I$32)+2*I$53+(I$56-1)*(I$53+2.5)</f>
        <v>68.79473319220206</v>
      </c>
      <c r="J49" s="7"/>
      <c r="K49" s="7"/>
      <c r="L49" s="203">
        <f>L$56*IF(L$52,L$33,L$32)+2*L$53+(L$56-1)*(L$53+2.5)</f>
        <v>68.79473319220206</v>
      </c>
      <c r="M49" s="7"/>
      <c r="N49" s="7"/>
      <c r="O49" s="203">
        <f>O$56*IF(O$52,O$33,O$32)+2*O$53+(O$56-1)*(O$53+2.5)</f>
        <v>9</v>
      </c>
      <c r="P49" s="28"/>
      <c r="Q49" s="28"/>
      <c r="R49" s="203">
        <f>R$56*IF(R$52,R$33,R$32)+2*R$53+(R$56-1)*(R$53+2.5)</f>
        <v>9</v>
      </c>
      <c r="S49" s="28"/>
      <c r="T49" s="28"/>
      <c r="U49" s="203">
        <f>U$56*IF(U$52,U$33,U$32)+2*U$53+(U$56-1)*(U$53+2.5)</f>
        <v>9</v>
      </c>
      <c r="V49" s="11"/>
    </row>
    <row r="50" spans="2:22" ht="15" x14ac:dyDescent="0.25">
      <c r="B50" s="482">
        <v>47</v>
      </c>
      <c r="C50" s="99" t="s">
        <v>388</v>
      </c>
      <c r="D50" s="100" t="s">
        <v>94</v>
      </c>
      <c r="E50" s="584" t="s">
        <v>501</v>
      </c>
      <c r="F50" s="204">
        <f>F$57*IF(F$52,F$32,F$33)+2*F$53+(F$57-1)*(2.5+F$53)</f>
        <v>55.79473319220206</v>
      </c>
      <c r="G50" s="10"/>
      <c r="H50" s="10"/>
      <c r="I50" s="204">
        <f>I$57*IF(I$52,I$32,I$33)+2*I$53+(I$57-1)*(2.5+I$53)</f>
        <v>58.79473319220206</v>
      </c>
      <c r="J50" s="10"/>
      <c r="K50" s="10"/>
      <c r="L50" s="204">
        <f>L$57*IF(L$52,L$32,L$33)+2*L$53+(L$57-1)*(2.5+L$53)</f>
        <v>58.79473319220206</v>
      </c>
      <c r="M50" s="10"/>
      <c r="N50" s="10"/>
      <c r="O50" s="204">
        <f>O$57*IF(O$52,O$32,O$33)+2*O$53+(O$57-1)*(2.5+O$53)</f>
        <v>9</v>
      </c>
      <c r="P50" s="4"/>
      <c r="Q50" s="4"/>
      <c r="R50" s="204">
        <f>R$57*IF(R$52,R$32,R$33)+2*R$53+(R$57-1)*(2.5+R$53)</f>
        <v>9</v>
      </c>
      <c r="S50" s="4"/>
      <c r="T50" s="4"/>
      <c r="U50" s="204">
        <f>U$57*IF(U$52,U$32,U$33)+2*U$53+(U$57-1)*(2.5+U$53)</f>
        <v>9</v>
      </c>
      <c r="V50" s="11"/>
    </row>
    <row r="51" spans="2:22" ht="15" x14ac:dyDescent="0.25">
      <c r="B51" s="482">
        <v>47</v>
      </c>
      <c r="C51" s="99" t="s">
        <v>386</v>
      </c>
      <c r="D51" s="100" t="s">
        <v>94</v>
      </c>
      <c r="E51" s="584" t="s">
        <v>501</v>
      </c>
      <c r="F51" s="204">
        <f>'Quick Input'!M16/10+2.5*F$53</f>
        <v>39.743416490252571</v>
      </c>
      <c r="G51" s="10"/>
      <c r="H51" s="10"/>
      <c r="I51" s="204">
        <f>'Quick Input'!P16/10+2.5*I$53</f>
        <v>43.493416490252571</v>
      </c>
      <c r="J51" s="10"/>
      <c r="K51" s="10"/>
      <c r="L51" s="204">
        <f>'Quick Input'!S16/10+2.5*L$53</f>
        <v>43.493416490252571</v>
      </c>
      <c r="M51" s="10"/>
      <c r="N51" s="10"/>
      <c r="O51" s="204" t="e">
        <f>'Quick Input'!V16/10+2.5*O$53</f>
        <v>#VALUE!</v>
      </c>
      <c r="P51" s="10"/>
      <c r="Q51" s="10"/>
      <c r="R51" s="204" t="e">
        <f>'Quick Input'!Y16/10+2.5*R$53</f>
        <v>#VALUE!</v>
      </c>
      <c r="S51" s="10"/>
      <c r="T51" s="10"/>
      <c r="U51" s="204" t="e">
        <f>'Quick Input'!AB16/10+2.5*U$53</f>
        <v>#VALUE!</v>
      </c>
      <c r="V51" s="11"/>
    </row>
    <row r="52" spans="2:22" x14ac:dyDescent="0.2">
      <c r="B52" s="482">
        <v>47</v>
      </c>
      <c r="C52" s="96" t="s">
        <v>481</v>
      </c>
      <c r="D52" s="100" t="s">
        <v>94</v>
      </c>
      <c r="E52" s="584" t="s">
        <v>500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 t="b">
        <f>OR(AND(O46=2,O54/O55&lt;2.2),AND(O46=3,O54/O55&gt;1.7),AND(O46=4,O46/2.5&gt;O54/O55),FALSE)</f>
        <v>0</v>
      </c>
      <c r="P52" s="4"/>
      <c r="Q52" s="4"/>
      <c r="R52" s="157" t="b">
        <f>OR(AND(R46=2,R54/R55&lt;2.2),AND(R46=3,R54/R55&gt;1.7),AND(R46=4,R46/2.5&gt;R54/R55),FALSE)</f>
        <v>0</v>
      </c>
      <c r="S52" s="4"/>
      <c r="T52" s="4"/>
      <c r="U52" s="157" t="b">
        <f>OR(AND(U46=2,U54/U55&lt;2.2),AND(U46=3,U54/U55&gt;1.7),AND(U46=4,U46/2.5&gt;U54/U55),FALSE)</f>
        <v>0</v>
      </c>
      <c r="V52" s="11"/>
    </row>
    <row r="53" spans="2:22" x14ac:dyDescent="0.2">
      <c r="B53" s="482">
        <v>47</v>
      </c>
      <c r="C53" s="96" t="s">
        <v>397</v>
      </c>
      <c r="D53" s="100" t="s">
        <v>395</v>
      </c>
      <c r="E53" s="584" t="s">
        <v>500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>
        <f>3+0.3*SQRT(O$33)+1.5*(4-VLOOKUP('Quick Input'!V$22,Auswahlfelder!$D$36:$E$38,2,FALSE))</f>
        <v>4.5</v>
      </c>
      <c r="P53" s="4"/>
      <c r="Q53" s="4"/>
      <c r="R53" s="157">
        <f>3+0.3*SQRT(R$33)+1.5*(4-VLOOKUP('Quick Input'!Y$22,Auswahlfelder!$D$36:$E$38,2,FALSE))</f>
        <v>4.5</v>
      </c>
      <c r="S53" s="4"/>
      <c r="T53" s="4"/>
      <c r="U53" s="157">
        <f>3+0.3*SQRT(U$33)+1.5*(4-VLOOKUP('Quick Input'!AB$22,Auswahlfelder!$D$36:$E$38,2,FALSE))</f>
        <v>4.5</v>
      </c>
      <c r="V53" s="11"/>
    </row>
    <row r="54" spans="2:22" x14ac:dyDescent="0.2">
      <c r="B54" s="482">
        <v>47</v>
      </c>
      <c r="C54" s="96" t="s">
        <v>482</v>
      </c>
      <c r="D54" s="100" t="s">
        <v>94</v>
      </c>
      <c r="E54" s="584" t="s">
        <v>500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>
        <f>O32+O53*1.75</f>
        <v>7.875</v>
      </c>
      <c r="P54" s="4"/>
      <c r="Q54" s="4"/>
      <c r="R54" s="157">
        <f>R32+R53*1.75</f>
        <v>7.875</v>
      </c>
      <c r="S54" s="4"/>
      <c r="T54" s="4"/>
      <c r="U54" s="157">
        <f>U32+U53*1.75</f>
        <v>7.875</v>
      </c>
      <c r="V54" s="11"/>
    </row>
    <row r="55" spans="2:22" x14ac:dyDescent="0.2">
      <c r="B55" s="482">
        <v>47</v>
      </c>
      <c r="C55" s="96" t="s">
        <v>483</v>
      </c>
      <c r="D55" s="100" t="s">
        <v>94</v>
      </c>
      <c r="E55" s="584" t="s">
        <v>500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>
        <f>O33+O53*1.75</f>
        <v>7.875</v>
      </c>
      <c r="P55" s="4"/>
      <c r="Q55" s="4"/>
      <c r="R55" s="157">
        <f>R33+R53*1.75</f>
        <v>7.875</v>
      </c>
      <c r="S55" s="4"/>
      <c r="T55" s="4"/>
      <c r="U55" s="157">
        <f>U33+U53*1.75</f>
        <v>7.875</v>
      </c>
      <c r="V55" s="11"/>
    </row>
    <row r="56" spans="2:22" x14ac:dyDescent="0.2">
      <c r="B56" s="482">
        <v>47</v>
      </c>
      <c r="C56" s="96" t="s">
        <v>462</v>
      </c>
      <c r="D56" s="100" t="s">
        <v>395</v>
      </c>
      <c r="E56" s="584" t="s">
        <v>500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>
        <f>IF(AND(O52,OR(O$46=3,O46=2)),O$46,IF(AND(NOT(O52),O$46&lt;4),1,IF(O$54&lt;2.5*O$55,ROUNDDOWN(SQRT(O$46),0),IF(AND(O52,O46&gt;2),1,MIN(O$46,ROUNDUP(1.6*SQRT(O$46),0))))))</f>
        <v>1</v>
      </c>
      <c r="P56" s="4"/>
      <c r="Q56" s="4"/>
      <c r="R56" s="158">
        <f>IF(AND(R52,OR(R$46=3,R46=2)),R$46,IF(AND(NOT(R52),R$46&lt;4),1,IF(R$54&lt;2.5*R$55,ROUNDDOWN(SQRT(R$46),0),IF(AND(R52,R46&gt;2),1,MIN(R$46,ROUNDUP(1.6*SQRT(R$46),0))))))</f>
        <v>1</v>
      </c>
      <c r="S56" s="4"/>
      <c r="T56" s="4"/>
      <c r="U56" s="158">
        <f>IF(AND(U52,OR(U$46=3,U46=2)),U$46,IF(AND(NOT(U52),U$46&lt;4),1,IF(U$54&lt;2.5*U$55,ROUNDDOWN(SQRT(U$46),0),IF(AND(U52,U46&gt;2),1,MIN(U$46,ROUNDUP(1.6*SQRT(U$46),0))))))</f>
        <v>1</v>
      </c>
      <c r="V56" s="11"/>
    </row>
    <row r="57" spans="2:22" x14ac:dyDescent="0.2">
      <c r="B57" s="482">
        <v>47</v>
      </c>
      <c r="C57" s="96" t="s">
        <v>389</v>
      </c>
      <c r="D57" s="100" t="s">
        <v>94</v>
      </c>
      <c r="E57" s="584" t="s">
        <v>500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>
        <f>ROUNDUP(O$46/O$56,0)</f>
        <v>1</v>
      </c>
      <c r="P57" s="4"/>
      <c r="Q57" s="4"/>
      <c r="R57" s="158">
        <f>ROUNDUP(R$46/R$56,0)</f>
        <v>1</v>
      </c>
      <c r="S57" s="4"/>
      <c r="T57" s="4"/>
      <c r="U57" s="158">
        <f>ROUNDUP(U$46/U$56,0)</f>
        <v>1</v>
      </c>
      <c r="V57" s="5"/>
    </row>
    <row r="58" spans="2:22" ht="15" thickBot="1" x14ac:dyDescent="0.25">
      <c r="B58" s="482">
        <v>47</v>
      </c>
      <c r="C58" s="96" t="s">
        <v>431</v>
      </c>
      <c r="D58" s="611" t="s">
        <v>485</v>
      </c>
      <c r="E58" s="584" t="s">
        <v>501</v>
      </c>
      <c r="F58" s="290">
        <f>(F$41*F$46)/2.7/(F$49*F$50*F$51/1000)</f>
        <v>1.269277866562827E-2</v>
      </c>
      <c r="G58" s="10"/>
      <c r="H58" s="10"/>
      <c r="I58" s="290">
        <f>(I$41*I$46)/2.7/(I$49*I$50*I$51/1000)</f>
        <v>1.0526623788881013E-2</v>
      </c>
      <c r="J58" s="10"/>
      <c r="K58" s="10"/>
      <c r="L58" s="290">
        <f>(L$41*L$46)/2.7/(L$49*L$50*L$51/1000)</f>
        <v>1.0526623788881013E-2</v>
      </c>
      <c r="M58" s="10"/>
      <c r="N58" s="10"/>
      <c r="O58" s="290" t="e">
        <f>(O$41*O$46)/2.7/(O$49*O$50*O$51/1000)</f>
        <v>#VALUE!</v>
      </c>
      <c r="P58" s="4"/>
      <c r="Q58" s="4"/>
      <c r="R58" s="290" t="e">
        <f>(R$41*R$46)/2.7/(R$49*R$50*R$51/1000)</f>
        <v>#VALUE!</v>
      </c>
      <c r="S58" s="4"/>
      <c r="T58" s="4"/>
      <c r="U58" s="290" t="e">
        <f>(U$41*U$46)/2.7/(U$49*U$50*U$51/1000)</f>
        <v>#VALUE!</v>
      </c>
      <c r="V58" s="5"/>
    </row>
    <row r="59" spans="2:22" ht="15" x14ac:dyDescent="0.25">
      <c r="B59" s="546">
        <v>24</v>
      </c>
      <c r="C59" s="95" t="s">
        <v>514</v>
      </c>
      <c r="D59" s="98"/>
      <c r="E59" s="589" t="s">
        <v>501</v>
      </c>
      <c r="F59" s="161">
        <f>IFERROR(MAX(F$61,MIN(F$62,IF(F$73,F$72,F$72+1))),F$61)</f>
        <v>9</v>
      </c>
      <c r="G59" s="434"/>
      <c r="H59" s="435"/>
      <c r="I59" s="161">
        <f>IFERROR(MAX(I$61,MIN(I$62,IF(I$73,I$72,I$72+1))),I$61)</f>
        <v>12</v>
      </c>
      <c r="J59" s="434"/>
      <c r="K59" s="435"/>
      <c r="L59" s="161">
        <f>IFERROR(MAX(L$61,MIN(L$62,IF(L$73,L$72,L$72+1))),L$61)</f>
        <v>12</v>
      </c>
      <c r="M59" s="434"/>
      <c r="N59" s="435"/>
      <c r="O59" s="161">
        <f>IFERROR(MAX(O$61,MIN(O$62,IF(O$73,O$72,O$72+1))),O$61)</f>
        <v>1</v>
      </c>
      <c r="P59" s="434"/>
      <c r="Q59" s="435"/>
      <c r="R59" s="161">
        <f>IFERROR(MAX(R$61,MIN(R$62,IF(R$73,R$72,R$72+1))),R$61)</f>
        <v>1</v>
      </c>
      <c r="S59" s="434"/>
      <c r="T59" s="435"/>
      <c r="U59" s="161">
        <f>IFERROR(MAX(U$61,MIN(U$62,IF(U$73,U$72,U$72+1))),U$61)</f>
        <v>1</v>
      </c>
      <c r="V59" s="8"/>
    </row>
    <row r="60" spans="2:22" x14ac:dyDescent="0.2">
      <c r="B60" s="568">
        <v>24</v>
      </c>
      <c r="C60" s="569" t="s">
        <v>830</v>
      </c>
      <c r="D60" s="100"/>
      <c r="E60" s="584" t="s">
        <v>500</v>
      </c>
      <c r="F60" s="558" t="str">
        <f>'Quick Input'!M$22</f>
        <v>halbautomatisch</v>
      </c>
      <c r="G60" s="436"/>
      <c r="H60" s="437"/>
      <c r="I60" s="558" t="str">
        <f>'Quick Input'!P$22</f>
        <v>Handformen</v>
      </c>
      <c r="J60" s="436"/>
      <c r="K60" s="437"/>
      <c r="L60" s="558" t="str">
        <f>'Quick Input'!S$22</f>
        <v>Handformen</v>
      </c>
      <c r="M60" s="436"/>
      <c r="N60" s="437"/>
      <c r="O60" s="558" t="str">
        <f>'Quick Input'!V$22</f>
        <v>automatisch</v>
      </c>
      <c r="P60" s="436"/>
      <c r="Q60" s="437"/>
      <c r="R60" s="558" t="str">
        <f>'Quick Input'!Y$22</f>
        <v>automatisch</v>
      </c>
      <c r="S60" s="436"/>
      <c r="T60" s="437"/>
      <c r="U60" s="558" t="str">
        <f>'Quick Input'!AB$22</f>
        <v>automatisch</v>
      </c>
      <c r="V60" s="11"/>
    </row>
    <row r="61" spans="2:22" x14ac:dyDescent="0.2">
      <c r="B61" s="568">
        <v>24</v>
      </c>
      <c r="C61" s="96" t="s">
        <v>464</v>
      </c>
      <c r="D61" s="100" t="s">
        <v>531</v>
      </c>
      <c r="E61" s="584" t="s">
        <v>501</v>
      </c>
      <c r="F61" s="705">
        <f>VLOOKUP(F$60,'Maschinen-DB'!$B$22:$C$37,2,FALSE)</f>
        <v>9</v>
      </c>
      <c r="G61" s="436"/>
      <c r="H61" s="437"/>
      <c r="I61" s="705">
        <f>VLOOKUP(I$60,'Maschinen-DB'!$B$22:$C$37,2,FALSE)</f>
        <v>12</v>
      </c>
      <c r="J61" s="436"/>
      <c r="K61" s="437"/>
      <c r="L61" s="705">
        <f>VLOOKUP(L$60,'Maschinen-DB'!$B$22:$C$37,2,FALSE)</f>
        <v>12</v>
      </c>
      <c r="M61" s="436"/>
      <c r="N61" s="437"/>
      <c r="O61" s="705">
        <f>VLOOKUP(O$60,'Maschinen-DB'!$B$22:$C$37,2,FALSE)</f>
        <v>1</v>
      </c>
      <c r="P61" s="436"/>
      <c r="Q61" s="437"/>
      <c r="R61" s="705">
        <f>VLOOKUP(R$60,'Maschinen-DB'!$B$22:$C$37,2,FALSE)</f>
        <v>1</v>
      </c>
      <c r="S61" s="436"/>
      <c r="T61" s="437"/>
      <c r="U61" s="705">
        <f>VLOOKUP(U$60,'Maschinen-DB'!$B$22:$C$37,2,FALSE)</f>
        <v>1</v>
      </c>
      <c r="V61" s="5"/>
    </row>
    <row r="62" spans="2:22" x14ac:dyDescent="0.2">
      <c r="B62" s="568">
        <v>24</v>
      </c>
      <c r="C62" s="96" t="s">
        <v>463</v>
      </c>
      <c r="D62" s="100"/>
      <c r="E62" s="584" t="s">
        <v>501</v>
      </c>
      <c r="F62" s="158">
        <f>VLOOKUP(F$60,'Maschinen-DB'!$B$22:$C$37,2,TRUE)</f>
        <v>11</v>
      </c>
      <c r="G62" s="436"/>
      <c r="H62" s="437"/>
      <c r="I62" s="158">
        <f>VLOOKUP(I$60,'Maschinen-DB'!$B$22:$C$37,2,TRUE)</f>
        <v>15</v>
      </c>
      <c r="J62" s="436"/>
      <c r="K62" s="437"/>
      <c r="L62" s="158">
        <f>VLOOKUP(L$60,'Maschinen-DB'!$B$22:$C$37,2,TRUE)</f>
        <v>15</v>
      </c>
      <c r="M62" s="436"/>
      <c r="N62" s="437"/>
      <c r="O62" s="158">
        <f>VLOOKUP(O$60,'Maschinen-DB'!$B$22:$C$37,2,TRUE)</f>
        <v>8</v>
      </c>
      <c r="P62" s="436"/>
      <c r="Q62" s="437"/>
      <c r="R62" s="158">
        <f>VLOOKUP(R$60,'Maschinen-DB'!$B$22:$C$37,2,TRUE)</f>
        <v>8</v>
      </c>
      <c r="S62" s="436"/>
      <c r="T62" s="437"/>
      <c r="U62" s="158">
        <f>VLOOKUP(U$60,'Maschinen-DB'!$B$22:$C$37,2,TRUE)</f>
        <v>8</v>
      </c>
      <c r="V62" s="5"/>
    </row>
    <row r="63" spans="2:22" x14ac:dyDescent="0.2">
      <c r="B63" s="568">
        <v>24</v>
      </c>
      <c r="C63" s="96" t="s">
        <v>465</v>
      </c>
      <c r="D63" s="100"/>
      <c r="E63" s="586"/>
      <c r="F63" s="158">
        <f>VLOOKUP(F$61,DB_Maschinen,5,FALSE)/10</f>
        <v>130</v>
      </c>
      <c r="G63" s="436"/>
      <c r="H63" s="437"/>
      <c r="I63" s="158">
        <f>VLOOKUP(I$61,DB_Maschinen,5,FALSE)/10</f>
        <v>250</v>
      </c>
      <c r="J63" s="436"/>
      <c r="K63" s="437"/>
      <c r="L63" s="158">
        <f>VLOOKUP(L$61,DB_Maschinen,5,FALSE)/10</f>
        <v>250</v>
      </c>
      <c r="M63" s="436"/>
      <c r="N63" s="437"/>
      <c r="O63" s="158">
        <f>VLOOKUP(O$61,DB_Maschinen,5,FALSE)/10</f>
        <v>60</v>
      </c>
      <c r="P63" s="436"/>
      <c r="Q63" s="437"/>
      <c r="R63" s="158">
        <f>VLOOKUP(R$61,DB_Maschinen,5,FALSE)/10</f>
        <v>60</v>
      </c>
      <c r="S63" s="436"/>
      <c r="T63" s="437"/>
      <c r="U63" s="158">
        <f>VLOOKUP(U$61,DB_Maschinen,5,FALSE)/10</f>
        <v>60</v>
      </c>
      <c r="V63" s="5"/>
    </row>
    <row r="64" spans="2:22" ht="15" thickBot="1" x14ac:dyDescent="0.25">
      <c r="B64" s="568">
        <v>24</v>
      </c>
      <c r="C64" s="97" t="s">
        <v>466</v>
      </c>
      <c r="D64" s="102"/>
      <c r="E64" s="586"/>
      <c r="F64" s="158">
        <f>VLOOKUP(F$62,DB_Maschinen,5,FALSE)/10</f>
        <v>180</v>
      </c>
      <c r="G64" s="436"/>
      <c r="H64" s="437"/>
      <c r="I64" s="158">
        <f>VLOOKUP(I$62,DB_Maschinen,5,FALSE)/10</f>
        <v>500</v>
      </c>
      <c r="J64" s="436"/>
      <c r="K64" s="437"/>
      <c r="L64" s="158">
        <f>VLOOKUP(L$62,DB_Maschinen,5,FALSE)/10</f>
        <v>500</v>
      </c>
      <c r="M64" s="436"/>
      <c r="N64" s="437"/>
      <c r="O64" s="158">
        <f>VLOOKUP(O$62,DB_Maschinen,5,FALSE)/10</f>
        <v>110</v>
      </c>
      <c r="P64" s="436"/>
      <c r="Q64" s="437"/>
      <c r="R64" s="158">
        <f>VLOOKUP(R$62,DB_Maschinen,5,FALSE)/10</f>
        <v>110</v>
      </c>
      <c r="S64" s="436"/>
      <c r="T64" s="437"/>
      <c r="U64" s="158">
        <f>VLOOKUP(U$62,DB_Maschinen,5,FALSE)/10</f>
        <v>110</v>
      </c>
      <c r="V64" s="5"/>
    </row>
    <row r="65" spans="2:24" ht="15" x14ac:dyDescent="0.25">
      <c r="B65" s="482">
        <v>25</v>
      </c>
      <c r="C65" s="99" t="s">
        <v>536</v>
      </c>
      <c r="D65" s="100"/>
      <c r="E65" s="586"/>
      <c r="F65" s="662">
        <f>IFERROR(Refkalkulation!H$52,F$61)</f>
        <v>9</v>
      </c>
      <c r="G65" s="436"/>
      <c r="H65" s="437"/>
      <c r="I65" s="662">
        <f>IFERROR(Refkalkulation!K$52,I$61)</f>
        <v>3</v>
      </c>
      <c r="J65" s="436"/>
      <c r="K65" s="437"/>
      <c r="L65" s="662">
        <f>IFERROR(Refkalkulation!N$52,L$61)</f>
        <v>3</v>
      </c>
      <c r="M65" s="436"/>
      <c r="N65" s="437"/>
      <c r="O65" s="662">
        <f>IFERROR(Refkalkulation!Q$52,O$61)</f>
        <v>1</v>
      </c>
      <c r="P65" s="436"/>
      <c r="Q65" s="437"/>
      <c r="R65" s="662">
        <f>IFERROR(Refkalkulation!T$52,R$61)</f>
        <v>1</v>
      </c>
      <c r="S65" s="436"/>
      <c r="T65" s="437"/>
      <c r="U65" s="662">
        <f>IFERROR(Refkalkulation!W$52,U$61)</f>
        <v>1</v>
      </c>
      <c r="V65" s="11"/>
      <c r="W65" s="526"/>
    </row>
    <row r="66" spans="2:24" x14ac:dyDescent="0.2">
      <c r="B66" s="568">
        <f>B65</f>
        <v>25</v>
      </c>
      <c r="C66" s="96" t="s">
        <v>513</v>
      </c>
      <c r="D66" s="100"/>
      <c r="E66" s="586"/>
      <c r="F66" s="663">
        <f>VLOOKUP(F$65,DB_Maschinen,5,FALSE)/10</f>
        <v>130</v>
      </c>
      <c r="G66" s="436"/>
      <c r="H66" s="437"/>
      <c r="I66" s="663">
        <f>VLOOKUP(I$65,DB_Maschinen,5,FALSE)/10</f>
        <v>80</v>
      </c>
      <c r="J66" s="436"/>
      <c r="K66" s="437"/>
      <c r="L66" s="663">
        <f>VLOOKUP(L$65,DB_Maschinen,5,FALSE)/10</f>
        <v>80</v>
      </c>
      <c r="M66" s="436"/>
      <c r="N66" s="437"/>
      <c r="O66" s="663">
        <f>VLOOKUP(O$65,DB_Maschinen,5,FALSE)/10</f>
        <v>60</v>
      </c>
      <c r="P66" s="436"/>
      <c r="Q66" s="437"/>
      <c r="R66" s="663">
        <f>VLOOKUP(R$65,DB_Maschinen,5,FALSE)/10</f>
        <v>60</v>
      </c>
      <c r="S66" s="436"/>
      <c r="T66" s="437"/>
      <c r="U66" s="663">
        <f>VLOOKUP(U$65,DB_Maschinen,5,FALSE)/10</f>
        <v>60</v>
      </c>
      <c r="V66" s="5"/>
      <c r="W66" s="526"/>
    </row>
    <row r="67" spans="2:24" x14ac:dyDescent="0.2">
      <c r="B67" s="568">
        <f>B66</f>
        <v>25</v>
      </c>
      <c r="C67" s="96" t="s">
        <v>515</v>
      </c>
      <c r="D67" s="100"/>
      <c r="E67" s="586"/>
      <c r="F67" s="663">
        <f>VLOOKUP(F$65,DB_Maschinen,6,FALSE)/10</f>
        <v>130</v>
      </c>
      <c r="G67" s="436"/>
      <c r="H67" s="437"/>
      <c r="I67" s="663">
        <f>VLOOKUP(I$65,DB_Maschinen,6,FALSE)/10</f>
        <v>60</v>
      </c>
      <c r="J67" s="436"/>
      <c r="K67" s="437"/>
      <c r="L67" s="663">
        <f>VLOOKUP(L$65,DB_Maschinen,6,FALSE)/10</f>
        <v>60</v>
      </c>
      <c r="M67" s="436"/>
      <c r="N67" s="437"/>
      <c r="O67" s="663">
        <f>VLOOKUP(O$65,DB_Maschinen,6,FALSE)/10</f>
        <v>48</v>
      </c>
      <c r="P67" s="436"/>
      <c r="Q67" s="437"/>
      <c r="R67" s="663">
        <f>VLOOKUP(R$65,DB_Maschinen,6,FALSE)/10</f>
        <v>48</v>
      </c>
      <c r="S67" s="436"/>
      <c r="T67" s="437"/>
      <c r="U67" s="663">
        <f>VLOOKUP(U$65,DB_Maschinen,6,FALSE)/10</f>
        <v>48</v>
      </c>
      <c r="V67" s="5"/>
      <c r="W67" s="526"/>
    </row>
    <row r="68" spans="2:24" x14ac:dyDescent="0.2">
      <c r="B68" s="568">
        <f>B67</f>
        <v>25</v>
      </c>
      <c r="C68" s="96" t="s">
        <v>516</v>
      </c>
      <c r="D68" s="100"/>
      <c r="E68" s="586"/>
      <c r="F68" s="663">
        <f>VLOOKUP(F$65,DB_Maschinen,7,FALSE)/10</f>
        <v>80</v>
      </c>
      <c r="G68" s="436"/>
      <c r="H68" s="437"/>
      <c r="I68" s="663">
        <f>VLOOKUP(I$65,DB_Maschinen,7,FALSE)/10</f>
        <v>60</v>
      </c>
      <c r="J68" s="436"/>
      <c r="K68" s="437"/>
      <c r="L68" s="663">
        <f>VLOOKUP(L$65,DB_Maschinen,7,FALSE)/10</f>
        <v>60</v>
      </c>
      <c r="M68" s="436"/>
      <c r="N68" s="437"/>
      <c r="O68" s="663">
        <f>VLOOKUP(O$65,DB_Maschinen,7,FALSE)/10</f>
        <v>36</v>
      </c>
      <c r="P68" s="436"/>
      <c r="Q68" s="437"/>
      <c r="R68" s="663">
        <f>VLOOKUP(R$65,DB_Maschinen,7,FALSE)/10</f>
        <v>36</v>
      </c>
      <c r="S68" s="436"/>
      <c r="T68" s="437"/>
      <c r="U68" s="663">
        <f>VLOOKUP(U$65,DB_Maschinen,7,FALSE)/10</f>
        <v>36</v>
      </c>
      <c r="V68" s="5"/>
      <c r="W68" s="526"/>
    </row>
    <row r="69" spans="2:24" ht="15" thickBot="1" x14ac:dyDescent="0.25">
      <c r="B69" s="650">
        <f>B68</f>
        <v>25</v>
      </c>
      <c r="C69" s="97" t="s">
        <v>517</v>
      </c>
      <c r="D69" s="102"/>
      <c r="E69" s="587"/>
      <c r="F69" s="664">
        <f>F$68/VLOOKUP(F$65,DB_Maschinen,10,FALSE)*VLOOKUP(F$65,DB_Maschinen,11,FALSE)</f>
        <v>60</v>
      </c>
      <c r="G69" s="438"/>
      <c r="H69" s="439"/>
      <c r="I69" s="664">
        <f>I$68/VLOOKUP(I$65,DB_Maschinen,10,FALSE)*VLOOKUP(I$65,DB_Maschinen,11,FALSE)</f>
        <v>40</v>
      </c>
      <c r="J69" s="438"/>
      <c r="K69" s="439"/>
      <c r="L69" s="664">
        <f>L$68/VLOOKUP(L$65,DB_Maschinen,10,FALSE)*VLOOKUP(L$65,DB_Maschinen,11,FALSE)</f>
        <v>40</v>
      </c>
      <c r="M69" s="438"/>
      <c r="N69" s="439"/>
      <c r="O69" s="664">
        <f>O$68/VLOOKUP(O$65,DB_Maschinen,10,FALSE)*VLOOKUP(O$65,DB_Maschinen,11,FALSE)</f>
        <v>12.152777777777777</v>
      </c>
      <c r="P69" s="438"/>
      <c r="Q69" s="439"/>
      <c r="R69" s="664">
        <f>R$68/VLOOKUP(R$65,DB_Maschinen,10,FALSE)*VLOOKUP(R$65,DB_Maschinen,11,FALSE)</f>
        <v>12.152777777777777</v>
      </c>
      <c r="S69" s="438"/>
      <c r="T69" s="439"/>
      <c r="U69" s="664">
        <f>U$68/VLOOKUP(U$65,DB_Maschinen,10,FALSE)*VLOOKUP(U$65,DB_Maschinen,11,FALSE)</f>
        <v>12.152777777777777</v>
      </c>
      <c r="V69" s="32"/>
      <c r="W69" s="526"/>
    </row>
    <row r="70" spans="2:24" ht="15" x14ac:dyDescent="0.25">
      <c r="B70" s="482">
        <v>48</v>
      </c>
      <c r="C70" s="99" t="s">
        <v>511</v>
      </c>
      <c r="D70" s="100"/>
      <c r="E70" s="584" t="s">
        <v>501</v>
      </c>
      <c r="F70" s="649">
        <f>IF(F$65&lt;F$72,F$72,MAX(F$61,MIN(F$62,IF(F$73,F$72,F$72+1))))</f>
        <v>9</v>
      </c>
      <c r="G70" s="436"/>
      <c r="H70" s="437"/>
      <c r="I70" s="649">
        <f>IF(I$65&lt;I$72,I$72,MAX(I$61,MIN(I$62,IF(I$73,I$72,I$72+1))))</f>
        <v>12</v>
      </c>
      <c r="J70" s="436"/>
      <c r="K70" s="437"/>
      <c r="L70" s="649">
        <f>IF(L$65&lt;L$72,L$72,MAX(L$61,MIN(L$62,IF(L$73,L$72,L$72+1))))</f>
        <v>12</v>
      </c>
      <c r="M70" s="436"/>
      <c r="N70" s="437"/>
      <c r="O70" s="649" t="e">
        <f>IF(O$65&lt;O$72,O$72,MAX(O$61,MIN(O$62,IF(O$73,O$72,O$72+1))))</f>
        <v>#VALUE!</v>
      </c>
      <c r="P70" s="436"/>
      <c r="Q70" s="437"/>
      <c r="R70" s="649" t="e">
        <f>IF(R$65&lt;R$72,R$72,MAX(R$61,MIN(R$62,IF(R$73,R$72,R$72+1))))</f>
        <v>#VALUE!</v>
      </c>
      <c r="S70" s="436"/>
      <c r="T70" s="437"/>
      <c r="U70" s="649" t="e">
        <f>IF(U$65&lt;U$72,U$72,MAX(U$61,MIN(U$62,IF(U$73,U$72,U$72+1))))</f>
        <v>#VALUE!</v>
      </c>
      <c r="V70" s="11"/>
      <c r="X70" s="526"/>
    </row>
    <row r="71" spans="2:24" x14ac:dyDescent="0.2">
      <c r="B71" s="568">
        <f>B70</f>
        <v>48</v>
      </c>
      <c r="C71" s="569" t="s">
        <v>829</v>
      </c>
      <c r="D71" s="100"/>
      <c r="E71" s="584" t="s">
        <v>500</v>
      </c>
      <c r="F71" s="558" t="str">
        <f>VLOOKUP(F$72,DB_Maschinen,17,FALSE)</f>
        <v>automatisch</v>
      </c>
      <c r="G71" s="436"/>
      <c r="H71" s="437"/>
      <c r="I71" s="558" t="str">
        <f>VLOOKUP(I$72,DB_Maschinen,17,FALSE)</f>
        <v>automatisch</v>
      </c>
      <c r="J71" s="436"/>
      <c r="K71" s="437"/>
      <c r="L71" s="558" t="str">
        <f>VLOOKUP(L$72,DB_Maschinen,17,FALSE)</f>
        <v>automatisch</v>
      </c>
      <c r="M71" s="436"/>
      <c r="N71" s="437"/>
      <c r="O71" s="558" t="str">
        <f>VLOOKUP(O$72,DB_Maschinen,17,FALSE)</f>
        <v>automatisch</v>
      </c>
      <c r="P71" s="436"/>
      <c r="Q71" s="437"/>
      <c r="R71" s="558" t="str">
        <f>VLOOKUP(R$72,DB_Maschinen,17,FALSE)</f>
        <v>automatisch</v>
      </c>
      <c r="S71" s="436"/>
      <c r="T71" s="437"/>
      <c r="U71" s="558" t="str">
        <f>VLOOKUP(U$72,DB_Maschinen,17,FALSE)</f>
        <v>automatisch</v>
      </c>
      <c r="V71" s="11"/>
    </row>
    <row r="72" spans="2:24" x14ac:dyDescent="0.2">
      <c r="B72" s="568">
        <f>B71</f>
        <v>48</v>
      </c>
      <c r="C72" s="96" t="s">
        <v>467</v>
      </c>
      <c r="D72" s="100"/>
      <c r="E72" s="584" t="s">
        <v>500</v>
      </c>
      <c r="F72" s="158">
        <f>VLOOKUP(F$49*10,'Maschinen-DB'!$G$21:$R$37,12,TRUE)+1</f>
        <v>2</v>
      </c>
      <c r="G72" s="436"/>
      <c r="H72" s="437"/>
      <c r="I72" s="158">
        <f>VLOOKUP(I$49*10,'Maschinen-DB'!$G$21:$R$37,12,TRUE)+1</f>
        <v>3</v>
      </c>
      <c r="J72" s="436"/>
      <c r="K72" s="437"/>
      <c r="L72" s="158">
        <f>VLOOKUP(L$49*10,'Maschinen-DB'!$G$21:$R$37,12,TRUE)+1</f>
        <v>3</v>
      </c>
      <c r="M72" s="436"/>
      <c r="N72" s="437"/>
      <c r="O72" s="158">
        <f>VLOOKUP(O$49*10,'Maschinen-DB'!$G$21:$R$37,12,TRUE)+1</f>
        <v>1</v>
      </c>
      <c r="P72" s="436"/>
      <c r="Q72" s="437"/>
      <c r="R72" s="158">
        <f>VLOOKUP(R$49*10,'Maschinen-DB'!$G$21:$R$37,12,TRUE)+1</f>
        <v>1</v>
      </c>
      <c r="S72" s="436"/>
      <c r="T72" s="437"/>
      <c r="U72" s="158">
        <f>VLOOKUP(U$49*10,'Maschinen-DB'!$G$21:$R$37,12,TRUE)+1</f>
        <v>1</v>
      </c>
      <c r="V72" s="5"/>
    </row>
    <row r="73" spans="2:24" x14ac:dyDescent="0.2">
      <c r="B73" s="568">
        <f>B72</f>
        <v>48</v>
      </c>
      <c r="C73" s="96" t="s">
        <v>468</v>
      </c>
      <c r="D73" s="100"/>
      <c r="E73" s="584" t="s">
        <v>500</v>
      </c>
      <c r="F73" s="158" t="b">
        <f>AND(VLOOKUP(F$72,DB_Maschinen,6,FALSE)&gt;F$50*10,VLOOKUP(F$72,DB_Maschinen,7,FALSE)&gt;F$51)</f>
        <v>0</v>
      </c>
      <c r="G73" s="436"/>
      <c r="H73" s="437"/>
      <c r="I73" s="158" t="b">
        <f>AND(VLOOKUP(I$72,DB_Maschinen,6,FALSE)&gt;I$50*10,VLOOKUP(I$72,DB_Maschinen,7,FALSE)&gt;I$51)</f>
        <v>1</v>
      </c>
      <c r="J73" s="436"/>
      <c r="K73" s="437"/>
      <c r="L73" s="158" t="b">
        <f>AND(VLOOKUP(L$72,DB_Maschinen,6,FALSE)&gt;L$50*10,VLOOKUP(L$72,DB_Maschinen,7,FALSE)&gt;L$51)</f>
        <v>1</v>
      </c>
      <c r="M73" s="436"/>
      <c r="N73" s="437"/>
      <c r="O73" s="158" t="e">
        <f>AND(VLOOKUP(O$72,DB_Maschinen,6,FALSE)&gt;O$50*10,VLOOKUP(O$72,DB_Maschinen,7,FALSE)&gt;O$51)</f>
        <v>#VALUE!</v>
      </c>
      <c r="P73" s="436"/>
      <c r="Q73" s="437"/>
      <c r="R73" s="158" t="e">
        <f>AND(VLOOKUP(R$72,DB_Maschinen,6,FALSE)&gt;R$50*10,VLOOKUP(R$72,DB_Maschinen,7,FALSE)&gt;R$51)</f>
        <v>#VALUE!</v>
      </c>
      <c r="S73" s="436"/>
      <c r="T73" s="437"/>
      <c r="U73" s="158" t="e">
        <f>AND(VLOOKUP(U$72,DB_Maschinen,6,FALSE)&gt;U$50*10,VLOOKUP(U$72,DB_Maschinen,7,FALSE)&gt;U$51)</f>
        <v>#VALUE!</v>
      </c>
      <c r="V73" s="5"/>
      <c r="X73" s="526"/>
    </row>
    <row r="74" spans="2:24" ht="15" thickBot="1" x14ac:dyDescent="0.25">
      <c r="B74" s="568">
        <f>B73</f>
        <v>48</v>
      </c>
      <c r="C74" s="569" t="str">
        <f>CONCATENATE(IF('Quick Input'!$G$2,"Empfehlung ","suggestion "),'Quick Input'!$I$22)</f>
        <v>Empfehlung Formverfahren</v>
      </c>
      <c r="D74" s="598" t="s">
        <v>398</v>
      </c>
      <c r="E74" s="586"/>
      <c r="F74" s="570" t="str">
        <f>VLOOKUP(VLOOKUP(F71,Auswahlfelder!$D$36:$E$38,2,FALSE),Auswahlfelder!$A$36:$B$38,2,FALSE)</f>
        <v>automatisch</v>
      </c>
      <c r="G74" s="438"/>
      <c r="H74" s="439"/>
      <c r="I74" s="570" t="str">
        <f>VLOOKUP(VLOOKUP(I71,Auswahlfelder!$D$36:$E$38,2,FALSE),Auswahlfelder!$A$36:$B$38,2,FALSE)</f>
        <v>automatisch</v>
      </c>
      <c r="J74" s="438"/>
      <c r="K74" s="439"/>
      <c r="L74" s="570" t="str">
        <f>VLOOKUP(VLOOKUP(L71,Auswahlfelder!$D$36:$E$38,2,FALSE),Auswahlfelder!$A$36:$B$38,2,FALSE)</f>
        <v>automatisch</v>
      </c>
      <c r="M74" s="438"/>
      <c r="N74" s="439"/>
      <c r="O74" s="570" t="str">
        <f>VLOOKUP(VLOOKUP(O71,Auswahlfelder!$D$36:$E$38,2,FALSE),Auswahlfelder!$A$36:$B$38,2,FALSE)</f>
        <v>automatisch</v>
      </c>
      <c r="P74" s="438"/>
      <c r="Q74" s="439"/>
      <c r="R74" s="570" t="str">
        <f>VLOOKUP(VLOOKUP(R71,Auswahlfelder!$D$36:$E$38,2,FALSE),Auswahlfelder!$A$36:$B$38,2,FALSE)</f>
        <v>automatisch</v>
      </c>
      <c r="S74" s="438"/>
      <c r="T74" s="439"/>
      <c r="U74" s="570" t="str">
        <f>VLOOKUP(VLOOKUP(U71,Auswahlfelder!$D$36:$E$38,2,FALSE),Auswahlfelder!$A$36:$B$38,2,FALSE)</f>
        <v>automatisch</v>
      </c>
      <c r="V74" s="5"/>
    </row>
    <row r="75" spans="2:24" ht="15" x14ac:dyDescent="0.25">
      <c r="B75" s="482">
        <v>56</v>
      </c>
      <c r="C75" s="95" t="s">
        <v>392</v>
      </c>
      <c r="D75" s="98" t="s">
        <v>395</v>
      </c>
      <c r="E75" s="589" t="s">
        <v>501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 t="e">
        <f>(O$77-O$78)/1000/1.64/O$46</f>
        <v>#VALUE!</v>
      </c>
      <c r="P75" s="28"/>
      <c r="Q75" s="28"/>
      <c r="R75" s="156" t="e">
        <f>(R$77-R$78)/1000/1.64/R$46</f>
        <v>#VALUE!</v>
      </c>
      <c r="S75" s="28"/>
      <c r="T75" s="28"/>
      <c r="U75" s="156" t="e">
        <f>(U$77-U$78)/1000/1.64/U$46</f>
        <v>#VALUE!</v>
      </c>
      <c r="V75" s="11"/>
    </row>
    <row r="76" spans="2:24" x14ac:dyDescent="0.2">
      <c r="B76" s="482">
        <v>56</v>
      </c>
      <c r="C76" s="96" t="str">
        <f>IF('Quick Input'!$G$2,"Kastenausnutzung (Volumen)","used box size")</f>
        <v>Kastenausnutzung (Volumen)</v>
      </c>
      <c r="D76" s="598" t="s">
        <v>398</v>
      </c>
      <c r="E76" s="584" t="s">
        <v>501</v>
      </c>
      <c r="F76" s="519">
        <f>F$78/F$77</f>
        <v>2.6685869023794183E-3</v>
      </c>
      <c r="G76" s="612" t="str">
        <f>TEXT(F$76,"0,0 %")</f>
        <v>0,3 %</v>
      </c>
      <c r="H76" s="10"/>
      <c r="I76" s="519">
        <f>I$78/I$77</f>
        <v>9.3775963088855007E-3</v>
      </c>
      <c r="J76" s="612" t="str">
        <f>TEXT(I$76,"0,0 %")</f>
        <v>0,9 %</v>
      </c>
      <c r="K76" s="10"/>
      <c r="L76" s="519">
        <f>L$78/L$77</f>
        <v>9.3775963088855007E-3</v>
      </c>
      <c r="M76" s="612" t="str">
        <f>TEXT(L$76,"0,0 %")</f>
        <v>0,9 %</v>
      </c>
      <c r="N76" s="10"/>
      <c r="O76" s="519" t="e">
        <f>O$78/O$77</f>
        <v>#VALUE!</v>
      </c>
      <c r="P76" s="612" t="e">
        <f>TEXT(O$76,"0,0 %")</f>
        <v>#VALUE!</v>
      </c>
      <c r="Q76" s="4"/>
      <c r="R76" s="519" t="e">
        <f>R$78/R$77</f>
        <v>#VALUE!</v>
      </c>
      <c r="S76" s="612" t="e">
        <f>TEXT(R$76,"0,0 %")</f>
        <v>#VALUE!</v>
      </c>
      <c r="T76" s="4"/>
      <c r="U76" s="519" t="e">
        <f>U$78/U$77</f>
        <v>#VALUE!</v>
      </c>
      <c r="V76" s="5"/>
    </row>
    <row r="77" spans="2:24" x14ac:dyDescent="0.2">
      <c r="B77" s="482">
        <v>56</v>
      </c>
      <c r="C77" s="96" t="s">
        <v>393</v>
      </c>
      <c r="D77" s="100">
        <v>1</v>
      </c>
      <c r="E77" s="586"/>
      <c r="F77" s="282">
        <f>F$66*F$67*IF(VLOOKUP(F$70,DB_Maschinen,2,FALSE)='Maschinen-DB'!$D$21,MAX(F$51,F$69),IF(F$69&gt;F$51,F$69,F$68))</f>
        <v>1014000</v>
      </c>
      <c r="G77" s="10"/>
      <c r="H77" s="10"/>
      <c r="I77" s="282">
        <f>I$66*I$67*IF(VLOOKUP(I$70,DB_Maschinen,2,FALSE)='Maschinen-DB'!$D$21,MAX(I$51,I$69),IF(I$69&gt;I$51,I$69,I$68))</f>
        <v>288000</v>
      </c>
      <c r="J77" s="10"/>
      <c r="K77" s="10"/>
      <c r="L77" s="282">
        <f>L$66*L$67*IF(VLOOKUP(L$70,DB_Maschinen,2,FALSE)='Maschinen-DB'!$D$21,MAX(L$51,L$69),IF(L$69&gt;L$51,L$69,L$68))</f>
        <v>288000</v>
      </c>
      <c r="M77" s="10"/>
      <c r="N77" s="10"/>
      <c r="O77" s="282" t="e">
        <f>O$66*O$67*IF(VLOOKUP(O$70,DB_Maschinen,2,FALSE)='Maschinen-DB'!$D$21,MAX(O$51,O$69),IF(O$69&gt;O$51,O$69,O$68))</f>
        <v>#VALUE!</v>
      </c>
      <c r="P77" s="10"/>
      <c r="Q77" s="10"/>
      <c r="R77" s="282" t="e">
        <f>R$66*R$67*IF(VLOOKUP(R$70,DB_Maschinen,2,FALSE)='Maschinen-DB'!$D$21,MAX(R$51,R$69),IF(R$69&gt;R$51,R$69,R$68))</f>
        <v>#VALUE!</v>
      </c>
      <c r="S77" s="10"/>
      <c r="T77" s="10"/>
      <c r="U77" s="282" t="e">
        <f>U$66*U$67*IF(VLOOKUP(U$70,DB_Maschinen,2,FALSE)='Maschinen-DB'!$D$21,MAX(U$51,U$69),IF(U$69&gt;U$51,U$69,U$68))</f>
        <v>#VALUE!</v>
      </c>
      <c r="V77" s="5"/>
      <c r="X77" s="526"/>
    </row>
    <row r="78" spans="2:24" ht="15" thickBot="1" x14ac:dyDescent="0.25">
      <c r="B78" s="482">
        <v>56</v>
      </c>
      <c r="C78" s="97" t="s">
        <v>394</v>
      </c>
      <c r="D78" s="102">
        <v>1</v>
      </c>
      <c r="E78" s="587"/>
      <c r="F78" s="613">
        <f>F$40*1000/VLOOKUP('Quick Input'!M$10,DB_Material,5,FALSE)</f>
        <v>2705.9471190127301</v>
      </c>
      <c r="G78" s="13"/>
      <c r="H78" s="13"/>
      <c r="I78" s="613">
        <f>I$40*1000/VLOOKUP('Quick Input'!P$10,DB_Material,5,FALSE)</f>
        <v>2700.7477369590242</v>
      </c>
      <c r="J78" s="13"/>
      <c r="K78" s="13"/>
      <c r="L78" s="613">
        <f>L$40*1000/VLOOKUP('Quick Input'!S$10,DB_Material,5,FALSE)</f>
        <v>2700.7477369590242</v>
      </c>
      <c r="M78" s="13"/>
      <c r="N78" s="13"/>
      <c r="O78" s="613" t="e">
        <f>O$40*1000/VLOOKUP('Quick Input'!V$10,DB_Material,5,FALSE)</f>
        <v>#VALUE!</v>
      </c>
      <c r="P78" s="13"/>
      <c r="Q78" s="13"/>
      <c r="R78" s="613" t="e">
        <f>R$40*1000/VLOOKUP('Quick Input'!Y$10,DB_Material,5,FALSE)</f>
        <v>#VALUE!</v>
      </c>
      <c r="S78" s="13"/>
      <c r="T78" s="13"/>
      <c r="U78" s="613" t="e">
        <f>U$40*1000/VLOOKUP('Quick Input'!AB$10,DB_Material,5,FALSE)</f>
        <v>#VALUE!</v>
      </c>
      <c r="V78" s="32"/>
    </row>
    <row r="79" spans="2:24" ht="15" x14ac:dyDescent="0.25">
      <c r="B79" s="482">
        <v>57</v>
      </c>
      <c r="C79" s="95" t="s">
        <v>385</v>
      </c>
      <c r="D79" s="98">
        <v>1</v>
      </c>
      <c r="E79" s="589" t="s">
        <v>501</v>
      </c>
      <c r="F79" s="940">
        <f>(1-F$82)*('Länder-DB'!$M$23+4%)*F$80*F$81+F$82*F$83*F$84</f>
        <v>2.2750000000000001E-3</v>
      </c>
      <c r="G79" s="7"/>
      <c r="H79" s="7"/>
      <c r="I79" s="940">
        <f>(1-I$82)*('Länder-DB'!$M$23+4%)*I$80*I$81+I$82*I$84*I$83</f>
        <v>2.2750000000000001E-3</v>
      </c>
      <c r="J79" s="7"/>
      <c r="K79" s="7"/>
      <c r="L79" s="940">
        <f>(1-L$82)*('Länder-DB'!$M$23+4%)*L$80*L$81+L$82*L$84*L$83</f>
        <v>2.2750000000000001E-3</v>
      </c>
      <c r="M79" s="7"/>
      <c r="N79" s="7"/>
      <c r="O79" s="940">
        <f>(1-O$82)*('Länder-DB'!$M$23+4%)*O$80*O$81+O$82*O$84*O$83</f>
        <v>2.2750000000000001E-3</v>
      </c>
      <c r="P79" s="28"/>
      <c r="Q79" s="28"/>
      <c r="R79" s="940">
        <f>(1-R$82)*('Länder-DB'!$M$23+4%)*R$80*R$81+R$82*R$84*R$83</f>
        <v>2.2750000000000001E-3</v>
      </c>
      <c r="S79" s="28"/>
      <c r="T79" s="28"/>
      <c r="U79" s="940">
        <f>(1-U$82)*('Länder-DB'!$M$23+4%)*U$80*U$81+U$82*U$84*U$83</f>
        <v>2.2750000000000001E-3</v>
      </c>
      <c r="V79" s="11"/>
      <c r="W79" s="117"/>
    </row>
    <row r="80" spans="2:24" x14ac:dyDescent="0.2">
      <c r="B80" s="482">
        <v>57</v>
      </c>
      <c r="C80" s="96" t="s">
        <v>484</v>
      </c>
      <c r="D80" s="100" t="s">
        <v>395</v>
      </c>
      <c r="E80" s="584" t="s">
        <v>578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>
        <f>6%+0.5%*(VLOOKUP('Quick Input'!V$21,Auswahlfelder!$D$16:$E$19,2,FALSE)-1)</f>
        <v>6.5000000000000002E-2</v>
      </c>
      <c r="P80" s="10"/>
      <c r="Q80" s="10"/>
      <c r="R80" s="154">
        <f>6%+0.5%*(VLOOKUP('Quick Input'!Y$21,Auswahlfelder!$D$16:$E$19,2,FALSE)-1)</f>
        <v>6.5000000000000002E-2</v>
      </c>
      <c r="S80" s="10"/>
      <c r="T80" s="10"/>
      <c r="U80" s="154">
        <f>6%+0.5%*(VLOOKUP('Quick Input'!AB$21,Auswahlfelder!$D$16:$E$19,2,FALSE)-1)</f>
        <v>6.5000000000000002E-2</v>
      </c>
      <c r="V80" s="5"/>
      <c r="X80" s="526"/>
    </row>
    <row r="81" spans="2:24" x14ac:dyDescent="0.2">
      <c r="B81" s="482">
        <v>57</v>
      </c>
      <c r="C81" s="96" t="s">
        <v>865</v>
      </c>
      <c r="D81" s="100">
        <v>1</v>
      </c>
      <c r="E81" s="584" t="s">
        <v>578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>
        <f>'Länder-DB'!$M$27/1000</f>
        <v>0.25</v>
      </c>
      <c r="P81" s="10"/>
      <c r="Q81" s="10"/>
      <c r="R81" s="159">
        <f>'Länder-DB'!$M$27/1000</f>
        <v>0.25</v>
      </c>
      <c r="S81" s="10"/>
      <c r="T81" s="10"/>
      <c r="U81" s="159">
        <f>'Länder-DB'!$M$27/1000</f>
        <v>0.25</v>
      </c>
      <c r="V81" s="11"/>
      <c r="X81" s="526"/>
    </row>
    <row r="82" spans="2:24" x14ac:dyDescent="0.2">
      <c r="B82" s="482">
        <v>57</v>
      </c>
      <c r="C82" s="96" t="s">
        <v>866</v>
      </c>
      <c r="D82" s="100" t="s">
        <v>395</v>
      </c>
      <c r="E82" s="584" t="s">
        <v>578</v>
      </c>
      <c r="F82" s="154">
        <f>IF(VLOOKUP('Quick Input'!M$23,Auswahlfelder!$D$49:$E$51,2,FALSE)=1,0,1.05*Refkalkulation!H$67*Refkalkulation!H$50/(F$77-F$78)*1000)</f>
        <v>0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>
        <f>IF(VLOOKUP('Quick Input'!V$23,Auswahlfelder!$D$49:$E$51,2,FALSE)=1,0,1.05*Refkalkulation!Q$67*Refkalkulation!Q$50/(O$77-O$78)*1000)</f>
        <v>0</v>
      </c>
      <c r="P82" s="10"/>
      <c r="Q82" s="10"/>
      <c r="R82" s="154">
        <f>IF(VLOOKUP('Quick Input'!Y$23,Auswahlfelder!$D$49:$E$51,2,FALSE)=1,0,1.05*Refkalkulation!T$67*Refkalkulation!T$50/(R$77-R$78)*1000)</f>
        <v>0</v>
      </c>
      <c r="S82" s="10"/>
      <c r="T82" s="10"/>
      <c r="U82" s="154">
        <f>IF(VLOOKUP('Quick Input'!AB$23,Auswahlfelder!$D$49:$E$51,2,FALSE)=1,0,1.05*Refkalkulation!W$67*Refkalkulation!W$50/(U$77-U$78)*1000)</f>
        <v>0</v>
      </c>
      <c r="V82" s="11"/>
      <c r="X82" s="526"/>
    </row>
    <row r="83" spans="2:24" ht="15" x14ac:dyDescent="0.25">
      <c r="B83" s="482">
        <v>57</v>
      </c>
      <c r="C83" s="96" t="s">
        <v>429</v>
      </c>
      <c r="D83" s="972">
        <v>1.4999999999999999E-2</v>
      </c>
      <c r="E83" s="584" t="s">
        <v>578</v>
      </c>
      <c r="F83" s="153">
        <f>$D$83+0.2%-0.15%*VLOOKUP('Quick Input'!M$24,Auswahlfelder!$D$54:$E$57,2,FALSE)</f>
        <v>1.5500000000000002E-2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>
        <f>$D$83+0.2%-0.15%*VLOOKUP('Quick Input'!V$24,Auswahlfelder!$D$54:$E$57,2,FALSE)</f>
        <v>1.5500000000000002E-2</v>
      </c>
      <c r="P83" s="10"/>
      <c r="Q83" s="10"/>
      <c r="R83" s="153">
        <f>$D$83+0.2%-0.15%*VLOOKUP('Quick Input'!Y$24,Auswahlfelder!$D$54:$E$57,2,FALSE)</f>
        <v>1.5500000000000002E-2</v>
      </c>
      <c r="S83" s="10"/>
      <c r="T83" s="10"/>
      <c r="U83" s="153">
        <f>$D$83+0.2%-0.15%*VLOOKUP('Quick Input'!AB$24,Auswahlfelder!$D$54:$E$57,2,FALSE)</f>
        <v>1.5500000000000002E-2</v>
      </c>
      <c r="V83" s="11"/>
      <c r="X83" s="526"/>
    </row>
    <row r="84" spans="2:24" ht="15" thickBot="1" x14ac:dyDescent="0.25">
      <c r="B84" s="482">
        <v>57</v>
      </c>
      <c r="C84" s="96" t="s">
        <v>428</v>
      </c>
      <c r="D84" s="100">
        <v>1</v>
      </c>
      <c r="E84" s="584" t="s">
        <v>578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>
        <f>'Länder-DB'!$M$29/1000*1.25</f>
        <v>3.8874999999999997</v>
      </c>
      <c r="P84" s="10"/>
      <c r="Q84" s="10"/>
      <c r="R84" s="159">
        <f>'Länder-DB'!$M$29/1000*1.25</f>
        <v>3.8874999999999997</v>
      </c>
      <c r="S84" s="10"/>
      <c r="T84" s="10"/>
      <c r="U84" s="159">
        <f>'Länder-DB'!$M$29/1000*1.25</f>
        <v>3.8874999999999997</v>
      </c>
      <c r="V84" s="11"/>
      <c r="X84" s="878"/>
    </row>
    <row r="85" spans="2:24" ht="15" x14ac:dyDescent="0.25">
      <c r="B85" s="482">
        <v>40</v>
      </c>
      <c r="C85" s="95" t="s">
        <v>96</v>
      </c>
      <c r="D85" s="98">
        <v>1</v>
      </c>
      <c r="E85" s="589" t="s">
        <v>500</v>
      </c>
      <c r="F85" s="205">
        <f>MIN(F$92*F$91,F$88)</f>
        <v>117</v>
      </c>
      <c r="G85" s="7"/>
      <c r="H85" s="7"/>
      <c r="I85" s="205">
        <f>MIN(I$92*I$91,I$88)</f>
        <v>117</v>
      </c>
      <c r="J85" s="7"/>
      <c r="K85" s="7"/>
      <c r="L85" s="205">
        <f>MIN(L$92*L$91,L$88)</f>
        <v>117</v>
      </c>
      <c r="M85" s="7"/>
      <c r="N85" s="7"/>
      <c r="O85" s="205" t="e">
        <f>MIN(O$92*O$91,O$88)</f>
        <v>#VALUE!</v>
      </c>
      <c r="P85" s="7"/>
      <c r="Q85" s="7"/>
      <c r="R85" s="205" t="e">
        <f>MIN(R$92*R$91,R$88)</f>
        <v>#VALUE!</v>
      </c>
      <c r="S85" s="7"/>
      <c r="T85" s="7"/>
      <c r="U85" s="205" t="e">
        <f>MIN(U$92*U$91,U$88)</f>
        <v>#VALUE!</v>
      </c>
      <c r="V85" s="11"/>
    </row>
    <row r="86" spans="2:24" x14ac:dyDescent="0.2">
      <c r="B86" s="482">
        <v>40</v>
      </c>
      <c r="C86" s="96" t="s">
        <v>159</v>
      </c>
      <c r="D86" s="598" t="s">
        <v>507</v>
      </c>
      <c r="E86" s="586"/>
      <c r="F86" s="207">
        <f>52/'Quick Input'!M$36*F$85</f>
        <v>1.2167999999999999</v>
      </c>
      <c r="G86" s="10"/>
      <c r="H86" s="10"/>
      <c r="I86" s="207">
        <f>52/'Quick Input'!P$36*I$85</f>
        <v>1.2167999999999999</v>
      </c>
      <c r="J86" s="10"/>
      <c r="K86" s="10"/>
      <c r="L86" s="207">
        <f>52/'Quick Input'!S$36*L$85</f>
        <v>1.2167999999999999</v>
      </c>
      <c r="M86" s="10"/>
      <c r="N86" s="10"/>
      <c r="O86" s="207" t="e">
        <f>52/'Quick Input'!V$36*O$85</f>
        <v>#VALUE!</v>
      </c>
      <c r="P86" s="10"/>
      <c r="Q86" s="10"/>
      <c r="R86" s="207" t="e">
        <f>52/'Quick Input'!Y$36*R$85</f>
        <v>#VALUE!</v>
      </c>
      <c r="S86" s="10"/>
      <c r="T86" s="10"/>
      <c r="U86" s="207" t="e">
        <f>52/'Quick Input'!AB$36*U$85</f>
        <v>#VALUE!</v>
      </c>
      <c r="V86" s="11"/>
    </row>
    <row r="87" spans="2:24" x14ac:dyDescent="0.2">
      <c r="B87" s="482">
        <v>40</v>
      </c>
      <c r="C87" s="96" t="s">
        <v>161</v>
      </c>
      <c r="D87" s="100" t="s">
        <v>94</v>
      </c>
      <c r="E87" s="584" t="s">
        <v>501</v>
      </c>
      <c r="F87" s="207">
        <f>'Quick Input'!M$36/F$145</f>
        <v>104.16666666666667</v>
      </c>
      <c r="G87" s="10"/>
      <c r="H87" s="10"/>
      <c r="I87" s="207">
        <f>'Quick Input'!P$36/I145</f>
        <v>104.16666666666667</v>
      </c>
      <c r="J87" s="10"/>
      <c r="K87" s="10"/>
      <c r="L87" s="207">
        <f>'Quick Input'!S$36/L145</f>
        <v>104.16666666666667</v>
      </c>
      <c r="M87" s="10"/>
      <c r="N87" s="10"/>
      <c r="O87" s="207" t="e">
        <f>'Quick Input'!V$36/O145</f>
        <v>#VALUE!</v>
      </c>
      <c r="P87" s="10"/>
      <c r="Q87" s="10"/>
      <c r="R87" s="207" t="e">
        <f>'Quick Input'!Y$36/R145</f>
        <v>#VALUE!</v>
      </c>
      <c r="S87" s="10"/>
      <c r="T87" s="10"/>
      <c r="U87" s="207" t="e">
        <f>'Quick Input'!AB$36/U145</f>
        <v>#VALUE!</v>
      </c>
      <c r="V87" s="11"/>
    </row>
    <row r="88" spans="2:24" x14ac:dyDescent="0.2">
      <c r="B88" s="482">
        <v>40</v>
      </c>
      <c r="C88" s="96" t="s">
        <v>160</v>
      </c>
      <c r="D88" s="100" t="s">
        <v>94</v>
      </c>
      <c r="E88" s="584" t="s">
        <v>500</v>
      </c>
      <c r="F88" s="206">
        <f>'Quick Input'!M$36/4</f>
        <v>1250</v>
      </c>
      <c r="G88" s="10"/>
      <c r="H88" s="10"/>
      <c r="I88" s="206">
        <f>'Quick Input'!P$36/4</f>
        <v>1250</v>
      </c>
      <c r="J88" s="10"/>
      <c r="K88" s="10"/>
      <c r="L88" s="206">
        <f>'Quick Input'!S$36/4</f>
        <v>1250</v>
      </c>
      <c r="M88" s="10"/>
      <c r="N88" s="10"/>
      <c r="O88" s="206" t="e">
        <f>'Quick Input'!V$36/4</f>
        <v>#VALUE!</v>
      </c>
      <c r="P88" s="10"/>
      <c r="Q88" s="10"/>
      <c r="R88" s="206" t="e">
        <f>'Quick Input'!Y$36/4</f>
        <v>#VALUE!</v>
      </c>
      <c r="S88" s="10"/>
      <c r="T88" s="10"/>
      <c r="U88" s="206" t="e">
        <f>'Quick Input'!AB$36/4</f>
        <v>#VALUE!</v>
      </c>
      <c r="V88" s="11"/>
    </row>
    <row r="89" spans="2:24" x14ac:dyDescent="0.2">
      <c r="B89" s="482">
        <v>40</v>
      </c>
      <c r="C89" s="96" t="s">
        <v>528</v>
      </c>
      <c r="D89" s="100" t="s">
        <v>94</v>
      </c>
      <c r="E89" s="584" t="s">
        <v>500</v>
      </c>
      <c r="F89" s="207">
        <f>F$87*F$41/1000</f>
        <v>0.52083333333333337</v>
      </c>
      <c r="G89" s="10"/>
      <c r="H89" s="10"/>
      <c r="I89" s="207">
        <f>I$87*I$41/1000</f>
        <v>0.52083333333333337</v>
      </c>
      <c r="J89" s="10"/>
      <c r="K89" s="10"/>
      <c r="L89" s="207">
        <f>L$87*L$41/1000</f>
        <v>0.52083333333333337</v>
      </c>
      <c r="M89" s="10"/>
      <c r="N89" s="10"/>
      <c r="O89" s="207" t="e">
        <f>O$87*O$41/1000</f>
        <v>#VALUE!</v>
      </c>
      <c r="P89" s="10"/>
      <c r="Q89" s="10"/>
      <c r="R89" s="207" t="e">
        <f>R$87*R$41/1000</f>
        <v>#VALUE!</v>
      </c>
      <c r="S89" s="10"/>
      <c r="T89" s="10"/>
      <c r="U89" s="207" t="e">
        <f>U$87*U$41/1000</f>
        <v>#VALUE!</v>
      </c>
      <c r="V89" s="11"/>
    </row>
    <row r="90" spans="2:24" x14ac:dyDescent="0.2">
      <c r="B90" s="482">
        <v>40</v>
      </c>
      <c r="C90" s="96" t="s">
        <v>148</v>
      </c>
      <c r="D90" s="100" t="s">
        <v>94</v>
      </c>
      <c r="E90" s="584" t="s">
        <v>500</v>
      </c>
      <c r="F90" s="206">
        <f>F$87*'Quick Input'!M$14*'Quick Input'!M$15*'Quick Input'!M$16/1000000</f>
        <v>4166.666666666667</v>
      </c>
      <c r="G90" s="10"/>
      <c r="H90" s="10"/>
      <c r="I90" s="206">
        <f>I$87*'Quick Input'!P$14*'Quick Input'!P$15*'Quick Input'!P$16/1000000</f>
        <v>4166.666666666667</v>
      </c>
      <c r="J90" s="10"/>
      <c r="K90" s="10"/>
      <c r="L90" s="206">
        <f>L$87*'Quick Input'!S$14*'Quick Input'!S$15*'Quick Input'!S$16/1000000</f>
        <v>4166.666666666667</v>
      </c>
      <c r="M90" s="10"/>
      <c r="N90" s="10"/>
      <c r="O90" s="206" t="e">
        <f>O$87*'Quick Input'!V$14*'Quick Input'!V$15*'Quick Input'!V$16/1000000</f>
        <v>#VALUE!</v>
      </c>
      <c r="P90" s="10"/>
      <c r="Q90" s="10"/>
      <c r="R90" s="206" t="e">
        <f>R$87*'Quick Input'!Y$14*'Quick Input'!Y$15*'Quick Input'!Y$16/1000000</f>
        <v>#VALUE!</v>
      </c>
      <c r="S90" s="10"/>
      <c r="T90" s="10"/>
      <c r="U90" s="206" t="e">
        <f>U$87*'Quick Input'!AB$14*'Quick Input'!AB$15*'Quick Input'!AB$16/1000000</f>
        <v>#VALUE!</v>
      </c>
      <c r="V90" s="5"/>
    </row>
    <row r="91" spans="2:24" x14ac:dyDescent="0.2">
      <c r="B91" s="482">
        <v>40</v>
      </c>
      <c r="C91" s="96" t="s">
        <v>147</v>
      </c>
      <c r="D91" s="100" t="s">
        <v>94</v>
      </c>
      <c r="E91" s="584" t="s">
        <v>500</v>
      </c>
      <c r="F91" s="206">
        <f>ROUNDUP(MIN(520/F$90*F$87,1200/F$89*F$87),0)</f>
        <v>13</v>
      </c>
      <c r="G91" s="10"/>
      <c r="H91" s="10"/>
      <c r="I91" s="206">
        <f>ROUNDUP(MIN(520/I$90*I$87,1200/I$89*I$87),0)</f>
        <v>13</v>
      </c>
      <c r="J91" s="10"/>
      <c r="K91" s="10"/>
      <c r="L91" s="206">
        <f>ROUNDUP(MIN(520/L$90*L$87,1200/L$89*L$87),0)</f>
        <v>13</v>
      </c>
      <c r="M91" s="10"/>
      <c r="N91" s="10"/>
      <c r="O91" s="206" t="e">
        <f>ROUNDUP(MIN(520/O$90*O$87,1200/O$89*O$87),0)</f>
        <v>#VALUE!</v>
      </c>
      <c r="P91" s="10"/>
      <c r="Q91" s="10"/>
      <c r="R91" s="206" t="e">
        <f>ROUNDUP(MIN(520/R$90*R$87,1200/R$89*R$87),0)</f>
        <v>#VALUE!</v>
      </c>
      <c r="S91" s="10"/>
      <c r="T91" s="10"/>
      <c r="U91" s="206" t="e">
        <f>ROUNDUP(MIN(520/U$90*U$87,1200/U$89*U$87),0)</f>
        <v>#VALUE!</v>
      </c>
      <c r="V91" s="5"/>
    </row>
    <row r="92" spans="2:24" x14ac:dyDescent="0.2">
      <c r="B92" s="482">
        <v>40</v>
      </c>
      <c r="C92" s="96" t="s">
        <v>146</v>
      </c>
      <c r="D92" s="100" t="s">
        <v>94</v>
      </c>
      <c r="E92" s="584" t="s">
        <v>500</v>
      </c>
      <c r="F92" s="206">
        <f>IF(F$91&gt;F$87,1,ROUNDUP(F$87/F$91,0))</f>
        <v>9</v>
      </c>
      <c r="G92" s="10"/>
      <c r="H92" s="10"/>
      <c r="I92" s="206">
        <f>IF(I$91&gt;I$87,1,ROUNDUP(I$87/I$91,0))</f>
        <v>9</v>
      </c>
      <c r="J92" s="10"/>
      <c r="K92" s="10"/>
      <c r="L92" s="206">
        <f>IF(L$91&gt;L$87,1,ROUNDUP(L$87/L$91,0))</f>
        <v>9</v>
      </c>
      <c r="M92" s="10"/>
      <c r="N92" s="10"/>
      <c r="O92" s="206" t="e">
        <f>IF(O$91&gt;O$87,1,ROUNDUP(O$87/O$91,0))</f>
        <v>#VALUE!</v>
      </c>
      <c r="P92" s="10"/>
      <c r="Q92" s="10"/>
      <c r="R92" s="206" t="e">
        <f>IF(R$91&gt;R$87,1,ROUNDUP(R$87/R$91,0))</f>
        <v>#VALUE!</v>
      </c>
      <c r="S92" s="10"/>
      <c r="T92" s="10"/>
      <c r="U92" s="206" t="e">
        <f>IF(U$91&gt;U$87,1,ROUNDUP(U$87/U$91,0))</f>
        <v>#VALUE!</v>
      </c>
      <c r="V92" s="5"/>
    </row>
    <row r="93" spans="2:24" ht="15" thickBot="1" x14ac:dyDescent="0.25">
      <c r="B93" s="482">
        <v>40</v>
      </c>
      <c r="C93" s="96" t="s">
        <v>248</v>
      </c>
      <c r="D93" s="100" t="s">
        <v>94</v>
      </c>
      <c r="E93" s="584" t="s">
        <v>501</v>
      </c>
      <c r="F93" s="206">
        <f>IF(F$92&gt;3,IF(F$86&gt;3,F$92-1,1),IF(F$92&gt;1,IF(F$86&gt;2,2,1),0))</f>
        <v>1</v>
      </c>
      <c r="G93" s="10"/>
      <c r="H93" s="10"/>
      <c r="I93" s="206">
        <f>IF(I$92&gt;3,IF(I$86&gt;3,I$92-1,1),IF(I$92&gt;1,IF(I$86&gt;2,2,1),0))</f>
        <v>1</v>
      </c>
      <c r="J93" s="10"/>
      <c r="K93" s="10"/>
      <c r="L93" s="206">
        <f>IF(L$92&gt;3,IF(L$86&gt;3,L$92-1,1),IF(L$92&gt;1,IF(L$86&gt;2,2,1),0))</f>
        <v>1</v>
      </c>
      <c r="M93" s="10"/>
      <c r="N93" s="10"/>
      <c r="O93" s="206" t="e">
        <f>IF(O$92&gt;3,IF(O$86&gt;3,O$92-1,1),IF(O$92&gt;1,IF(O$86&gt;2,2,1),0))</f>
        <v>#VALUE!</v>
      </c>
      <c r="P93" s="4"/>
      <c r="Q93" s="4"/>
      <c r="R93" s="206" t="e">
        <f>IF(R$92&gt;3,IF(R$86&gt;3,R$92-1,1),IF(R$92&gt;1,IF(R$86&gt;2,2,1),0))</f>
        <v>#VALUE!</v>
      </c>
      <c r="S93" s="4"/>
      <c r="T93" s="4"/>
      <c r="U93" s="206" t="e">
        <f>IF(U$92&gt;3,IF(U$86&gt;3,U$92-1,1),IF(U$92&gt;1,IF(U$86&gt;2,2,1),0))</f>
        <v>#VALUE!</v>
      </c>
      <c r="V93" s="5"/>
    </row>
    <row r="94" spans="2:24" ht="15" x14ac:dyDescent="0.25">
      <c r="B94" s="482">
        <v>10</v>
      </c>
      <c r="C94" s="95" t="s">
        <v>97</v>
      </c>
      <c r="D94" s="98" t="s">
        <v>94</v>
      </c>
      <c r="E94" s="589" t="s">
        <v>501</v>
      </c>
      <c r="F94" s="683">
        <f>IFERROR(IF(Refkalkulation!H61=0,Refkalkulation!H$50*ROUNDUP(F$95*F$97/Refkalkulation!H$50,0),Refkalkulation!H61),0)</f>
        <v>100</v>
      </c>
      <c r="G94" s="451"/>
      <c r="H94" s="477"/>
      <c r="I94" s="683">
        <f>IFERROR(IF(Refkalkulation!K61=0,Refkalkulation!K$50*ROUNDUP(I$95*I$97/Refkalkulation!K$50,0),Refkalkulation!K61),0)</f>
        <v>100</v>
      </c>
      <c r="J94" s="451"/>
      <c r="K94" s="477"/>
      <c r="L94" s="683">
        <f>IFERROR(IF(Refkalkulation!N61=0,Refkalkulation!N$50*ROUNDUP(L$95*L$97/Refkalkulation!N$50,0),Refkalkulation!N61),0)</f>
        <v>100</v>
      </c>
      <c r="M94" s="451"/>
      <c r="N94" s="477"/>
      <c r="O94" s="683">
        <f>IFERROR(IF(Refkalkulation!Q61=0,Refkalkulation!Q$50*ROUNDUP(O$95*O$97/Refkalkulation!Q$50,0),Refkalkulation!Q61),0)</f>
        <v>0</v>
      </c>
      <c r="P94" s="451"/>
      <c r="Q94" s="477"/>
      <c r="R94" s="683">
        <f>IFERROR(IF(Refkalkulation!T61=0,Refkalkulation!T$50*ROUNDUP(R$95*R$97/Refkalkulation!T$50,0),Refkalkulation!T61),0)</f>
        <v>0</v>
      </c>
      <c r="S94" s="451"/>
      <c r="T94" s="477"/>
      <c r="U94" s="683">
        <f>IFERROR(IF(Refkalkulation!W61=0,Refkalkulation!W$50*ROUNDUP(U$95*U$97/Refkalkulation!W$50,0),Refkalkulation!W61),0)</f>
        <v>0</v>
      </c>
      <c r="V94" s="11"/>
      <c r="X94" s="526"/>
    </row>
    <row r="95" spans="2:24" x14ac:dyDescent="0.2">
      <c r="B95" s="482">
        <v>10</v>
      </c>
      <c r="C95" s="96" t="s">
        <v>526</v>
      </c>
      <c r="D95" s="100" t="s">
        <v>94</v>
      </c>
      <c r="E95" s="584" t="s">
        <v>500</v>
      </c>
      <c r="F95" s="206">
        <f>MAX(Refkalkulation!H$50,MAX(F$85,F$87*2)-F$93*F$91)</f>
        <v>195.33333333333334</v>
      </c>
      <c r="G95" s="10"/>
      <c r="H95" s="10"/>
      <c r="I95" s="206">
        <f>MAX(Refkalkulation!K$50,MAX(I$85,I$87*2)-I$93*I$91)</f>
        <v>195.33333333333334</v>
      </c>
      <c r="J95" s="10"/>
      <c r="K95" s="10"/>
      <c r="L95" s="206">
        <f>MAX(Refkalkulation!N$50,MAX(L$85,L$87*2)-L$93*L$91)</f>
        <v>195.33333333333334</v>
      </c>
      <c r="M95" s="10"/>
      <c r="N95" s="10"/>
      <c r="O95" s="206" t="e">
        <f>MAX(Refkalkulation!Q$50,MAX(O$85,O$87*2)-O$93*O$91)</f>
        <v>#VALUE!</v>
      </c>
      <c r="P95" s="10"/>
      <c r="Q95" s="10"/>
      <c r="R95" s="206" t="e">
        <f>MAX(Refkalkulation!T$50,MAX(R$85,R$87*2)-R$93*R$91)</f>
        <v>#VALUE!</v>
      </c>
      <c r="S95" s="10"/>
      <c r="T95" s="10"/>
      <c r="U95" s="206" t="e">
        <f>MAX(Refkalkulation!W$50,MAX(U$85,U$87*2)-U$93*U$91)</f>
        <v>#VALUE!</v>
      </c>
      <c r="V95" s="11"/>
    </row>
    <row r="96" spans="2:24" x14ac:dyDescent="0.2">
      <c r="B96" s="482">
        <v>10</v>
      </c>
      <c r="C96" s="96" t="s">
        <v>527</v>
      </c>
      <c r="D96" s="100" t="s">
        <v>94</v>
      </c>
      <c r="E96" s="584" t="s">
        <v>500</v>
      </c>
      <c r="F96" s="207">
        <f>F$95/F$87</f>
        <v>1.8752</v>
      </c>
      <c r="G96" s="288"/>
      <c r="H96" s="288"/>
      <c r="I96" s="207">
        <f>I$95/I$87</f>
        <v>1.8752</v>
      </c>
      <c r="J96" s="288"/>
      <c r="K96" s="288"/>
      <c r="L96" s="207">
        <f>L$95/L$87</f>
        <v>1.8752</v>
      </c>
      <c r="M96" s="288"/>
      <c r="N96" s="288"/>
      <c r="O96" s="207" t="e">
        <f>O$95/O$87</f>
        <v>#VALUE!</v>
      </c>
      <c r="P96" s="289"/>
      <c r="Q96" s="289"/>
      <c r="R96" s="207" t="e">
        <f>R$95/R$87</f>
        <v>#VALUE!</v>
      </c>
      <c r="S96" s="289"/>
      <c r="T96" s="289"/>
      <c r="U96" s="207" t="e">
        <f>U$95/U$87</f>
        <v>#VALUE!</v>
      </c>
      <c r="V96" s="11"/>
    </row>
    <row r="97" spans="2:24" ht="15" thickBot="1" x14ac:dyDescent="0.25">
      <c r="B97" s="482">
        <v>10</v>
      </c>
      <c r="C97" s="96" t="s">
        <v>162</v>
      </c>
      <c r="D97" s="100" t="s">
        <v>94</v>
      </c>
      <c r="E97" s="584" t="s">
        <v>500</v>
      </c>
      <c r="F97" s="206">
        <f>IF(F$96&lt;2.2,2,IF(F$96&gt;6,1,2))</f>
        <v>2</v>
      </c>
      <c r="G97" s="10"/>
      <c r="H97" s="10"/>
      <c r="I97" s="206">
        <f>IF(I$96&lt;2.2,2,IF(I$96&gt;6,1,2))</f>
        <v>2</v>
      </c>
      <c r="J97" s="10"/>
      <c r="K97" s="10"/>
      <c r="L97" s="206">
        <f>IF(L$96&lt;2.2,2,IF(L$96&gt;6,1,2))</f>
        <v>2</v>
      </c>
      <c r="M97" s="10"/>
      <c r="N97" s="10"/>
      <c r="O97" s="206" t="e">
        <f>IF(O$96&lt;2.2,2,IF(O$96&gt;6,1,2))</f>
        <v>#VALUE!</v>
      </c>
      <c r="P97" s="4"/>
      <c r="Q97" s="4"/>
      <c r="R97" s="206" t="e">
        <f>IF(R$96&lt;2.2,2,IF(R$96&gt;6,1,2))</f>
        <v>#VALUE!</v>
      </c>
      <c r="S97" s="4"/>
      <c r="T97" s="4"/>
      <c r="U97" s="206" t="e">
        <f>IF(U$96&lt;2.2,2,IF(U$96&gt;6,1,2))</f>
        <v>#VALUE!</v>
      </c>
      <c r="V97" s="5"/>
    </row>
    <row r="98" spans="2:24" ht="15" x14ac:dyDescent="0.25">
      <c r="B98" s="482">
        <v>20</v>
      </c>
      <c r="C98" s="95" t="s">
        <v>821</v>
      </c>
      <c r="D98" s="98"/>
      <c r="E98" s="589" t="s">
        <v>500</v>
      </c>
      <c r="F98" s="161">
        <f>IF(F48=0,MAX(MIN(11,F$105+3,F$105+ROUNDDOWN(IF(ISERROR(F$100),F$99,F$99+F$100),0)),F$106),F48)</f>
        <v>2</v>
      </c>
      <c r="G98" s="434"/>
      <c r="H98" s="435"/>
      <c r="I98" s="161">
        <f>IF(I48=0,MAX(MIN(11,I$105+3,I$105+ROUNDDOWN(IF(ISERROR(I$100),I$99,I$99+I$100),0)),I$106),I48)</f>
        <v>2</v>
      </c>
      <c r="J98" s="434"/>
      <c r="K98" s="435"/>
      <c r="L98" s="161">
        <f t="shared" ref="L98" si="0">IF(L48=0,MAX(MIN(11,L$105+3,L$105+ROUNDDOWN(IF(ISERROR(L$100),L$99,L$99+L$100),0)),L$106),L48)</f>
        <v>2</v>
      </c>
      <c r="M98" s="434"/>
      <c r="N98" s="435"/>
      <c r="O98" s="161" t="e">
        <f t="shared" ref="O98" si="1">IF(O48=0,MAX(MIN(11,O$105+3,O$105+ROUNDDOWN(IF(ISERROR(O$100),O$99,O$99+O$100),0)),O$106),O48)</f>
        <v>#VALUE!</v>
      </c>
      <c r="P98" s="434"/>
      <c r="Q98" s="435"/>
      <c r="R98" s="161" t="e">
        <f t="shared" ref="R98" si="2">IF(R48=0,MAX(MIN(11,R$105+3,R$105+ROUNDDOWN(IF(ISERROR(R$100),R$99,R$99+R$100),0)),R$106),R48)</f>
        <v>#VALUE!</v>
      </c>
      <c r="S98" s="434"/>
      <c r="T98" s="435"/>
      <c r="U98" s="161" t="e">
        <f t="shared" ref="U98" si="3">IF(U48=0,MAX(MIN(11,U$105+3,U$105+ROUNDDOWN(IF(ISERROR(U$100),U$99,U$99+U$100),0)),U$106),U48)</f>
        <v>#VALUE!</v>
      </c>
      <c r="V98" s="11"/>
      <c r="X98" s="526"/>
    </row>
    <row r="99" spans="2:24" x14ac:dyDescent="0.2">
      <c r="B99" s="482">
        <v>20</v>
      </c>
      <c r="C99" s="96" t="s">
        <v>176</v>
      </c>
      <c r="D99" s="100" t="s">
        <v>395</v>
      </c>
      <c r="E99" s="584" t="s">
        <v>500</v>
      </c>
      <c r="F99" s="208">
        <f>VLOOKUP('Quick Input'!M$49,Auswahlfelder!$D$26:$E$28,2,FALSE)*0.4</f>
        <v>0.8</v>
      </c>
      <c r="G99" s="440"/>
      <c r="H99" s="437"/>
      <c r="I99" s="208">
        <f>VLOOKUP('Quick Input'!P$49,Auswahlfelder!$D$26:$E$28,2,FALSE)*0.4</f>
        <v>0.8</v>
      </c>
      <c r="J99" s="440"/>
      <c r="K99" s="437"/>
      <c r="L99" s="208">
        <f>VLOOKUP('Quick Input'!S$49,Auswahlfelder!$D$26:$E$28,2,FALSE)*0.4</f>
        <v>0.8</v>
      </c>
      <c r="M99" s="440"/>
      <c r="N99" s="437"/>
      <c r="O99" s="208">
        <f>VLOOKUP('Quick Input'!V$49,Auswahlfelder!$D$26:$E$28,2,FALSE)*0.4</f>
        <v>0.8</v>
      </c>
      <c r="P99" s="440"/>
      <c r="Q99" s="437"/>
      <c r="R99" s="208">
        <f>VLOOKUP('Quick Input'!Y$49,Auswahlfelder!$D$26:$E$28,2,FALSE)*0.4</f>
        <v>0.8</v>
      </c>
      <c r="S99" s="440"/>
      <c r="T99" s="437"/>
      <c r="U99" s="208">
        <f>VLOOKUP('Quick Input'!AB$49,Auswahlfelder!$D$26:$E$28,2,FALSE)*0.4</f>
        <v>0.8</v>
      </c>
      <c r="V99" s="11"/>
    </row>
    <row r="100" spans="2:24" x14ac:dyDescent="0.2">
      <c r="B100" s="482">
        <v>20</v>
      </c>
      <c r="C100" s="96" t="s">
        <v>546</v>
      </c>
      <c r="D100" s="100" t="s">
        <v>395</v>
      </c>
      <c r="E100" s="584" t="s">
        <v>500</v>
      </c>
      <c r="F100" s="208">
        <f>0.7*VLOOKUP('Quick Input'!M$46,Auswahlfelder!$D$7:$E$9,2,FALSE)-1</f>
        <v>1.0999999999999996</v>
      </c>
      <c r="G100" s="440"/>
      <c r="H100" s="437"/>
      <c r="I100" s="208">
        <f>0.7*VLOOKUP('Quick Input'!P$46,Auswahlfelder!$D$7:$E$9,2,FALSE)-1</f>
        <v>0.39999999999999991</v>
      </c>
      <c r="J100" s="440"/>
      <c r="K100" s="437"/>
      <c r="L100" s="208">
        <f>0.7*VLOOKUP('Quick Input'!S$46,Auswahlfelder!$D$7:$E$9,2,FALSE)-1</f>
        <v>0.39999999999999991</v>
      </c>
      <c r="M100" s="440"/>
      <c r="N100" s="437"/>
      <c r="O100" s="208">
        <f>0.7*VLOOKUP('Quick Input'!V$46,Auswahlfelder!$D$7:$E$9,2,FALSE)-1</f>
        <v>0.39999999999999991</v>
      </c>
      <c r="P100" s="440"/>
      <c r="Q100" s="437"/>
      <c r="R100" s="208">
        <f>0.7*VLOOKUP('Quick Input'!Y$46,Auswahlfelder!$D$7:$E$9,2,FALSE)-1</f>
        <v>0.39999999999999991</v>
      </c>
      <c r="S100" s="440"/>
      <c r="T100" s="437"/>
      <c r="U100" s="208">
        <f>0.7*VLOOKUP('Quick Input'!AB$46,Auswahlfelder!$D$7:$E$9,2,FALSE)-1</f>
        <v>0.39999999999999991</v>
      </c>
      <c r="V100" s="11"/>
      <c r="X100" s="526"/>
    </row>
    <row r="101" spans="2:24" x14ac:dyDescent="0.2">
      <c r="B101" s="482">
        <v>20</v>
      </c>
      <c r="C101" s="96" t="s">
        <v>512</v>
      </c>
      <c r="D101" s="100">
        <v>1</v>
      </c>
      <c r="E101" s="584" t="s">
        <v>501</v>
      </c>
      <c r="F101" s="282">
        <f>97%*VLOOKUP(F$98,DB_Ofen,5,FALSE)-10</f>
        <v>2900</v>
      </c>
      <c r="G101" s="440"/>
      <c r="H101" s="441"/>
      <c r="I101" s="282">
        <f>97%*VLOOKUP(I$98,DB_Ofen,5,FALSE)-10</f>
        <v>2900</v>
      </c>
      <c r="J101" s="440"/>
      <c r="K101" s="441"/>
      <c r="L101" s="282">
        <f>97%*VLOOKUP(L$98,DB_Ofen,5,FALSE)-10</f>
        <v>2900</v>
      </c>
      <c r="M101" s="440"/>
      <c r="N101" s="441"/>
      <c r="O101" s="282" t="e">
        <f>97%*VLOOKUP(O$98,DB_Ofen,5,FALSE)-10</f>
        <v>#VALUE!</v>
      </c>
      <c r="P101" s="440"/>
      <c r="Q101" s="441"/>
      <c r="R101" s="282" t="e">
        <f>97%*VLOOKUP(R$98,DB_Ofen,5,FALSE)-10</f>
        <v>#VALUE!</v>
      </c>
      <c r="S101" s="440"/>
      <c r="T101" s="441"/>
      <c r="U101" s="282" t="e">
        <f>97%*VLOOKUP(U$98,DB_Ofen,5,FALSE)-10</f>
        <v>#VALUE!</v>
      </c>
      <c r="V101" s="11"/>
    </row>
    <row r="102" spans="2:24" x14ac:dyDescent="0.2">
      <c r="B102" s="482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86"/>
      <c r="F102" s="282">
        <f>VLOOKUP(Parametrikber!F$98,DB_Ofen,7,FALSE)</f>
        <v>2000</v>
      </c>
      <c r="G102" s="440"/>
      <c r="H102" s="441"/>
      <c r="I102" s="282">
        <f>VLOOKUP(Parametrikber!I$98,DB_Ofen,7,FALSE)</f>
        <v>2000</v>
      </c>
      <c r="J102" s="440"/>
      <c r="K102" s="441"/>
      <c r="L102" s="282">
        <f>VLOOKUP(Parametrikber!L$98,DB_Ofen,7,FALSE)</f>
        <v>2000</v>
      </c>
      <c r="M102" s="440"/>
      <c r="N102" s="441"/>
      <c r="O102" s="282" t="e">
        <f>VLOOKUP(Parametrikber!O$98,DB_Ofen,7,FALSE)</f>
        <v>#VALUE!</v>
      </c>
      <c r="P102" s="440"/>
      <c r="Q102" s="441"/>
      <c r="R102" s="282" t="e">
        <f>VLOOKUP(Parametrikber!R$98,DB_Ofen,7,FALSE)</f>
        <v>#VALUE!</v>
      </c>
      <c r="S102" s="440"/>
      <c r="T102" s="441"/>
      <c r="U102" s="282" t="e">
        <f>VLOOKUP(Parametrikber!U$98,DB_Ofen,7,FALSE)</f>
        <v>#VALUE!</v>
      </c>
      <c r="V102" s="11"/>
    </row>
    <row r="103" spans="2:24" x14ac:dyDescent="0.2">
      <c r="B103" s="482">
        <v>20</v>
      </c>
      <c r="C103" s="96" t="str">
        <f>IF('Quick Input'!$G$2,"Nutzungsgrad Ofen (%)","Nutzungsgrad Ofen (%)")</f>
        <v>Nutzungsgrad Ofen (%)</v>
      </c>
      <c r="D103" s="100" t="s">
        <v>395</v>
      </c>
      <c r="E103" s="584" t="s">
        <v>500</v>
      </c>
      <c r="F103" s="283">
        <f>Parametrikber!F$27-12%</f>
        <v>0.58400000000000007</v>
      </c>
      <c r="G103" s="440"/>
      <c r="H103" s="441"/>
      <c r="I103" s="283">
        <f>Parametrikber!I$27-12%</f>
        <v>0.48719999999999997</v>
      </c>
      <c r="J103" s="440"/>
      <c r="K103" s="441"/>
      <c r="L103" s="283">
        <f>Parametrikber!L$27-12%</f>
        <v>0.3216</v>
      </c>
      <c r="M103" s="440"/>
      <c r="N103" s="441"/>
      <c r="O103" s="283">
        <f>Parametrikber!O$27-12%</f>
        <v>0.6160000000000001</v>
      </c>
      <c r="P103" s="440"/>
      <c r="Q103" s="441"/>
      <c r="R103" s="283">
        <f>Parametrikber!R$27-12%</f>
        <v>0.6160000000000001</v>
      </c>
      <c r="S103" s="440"/>
      <c r="T103" s="441"/>
      <c r="U103" s="283">
        <f>Parametrikber!U$27-12%</f>
        <v>0.6160000000000001</v>
      </c>
      <c r="V103" s="11"/>
      <c r="X103" s="526"/>
    </row>
    <row r="104" spans="2:24" x14ac:dyDescent="0.2">
      <c r="B104" s="482">
        <v>20</v>
      </c>
      <c r="C104" s="96" t="s">
        <v>538</v>
      </c>
      <c r="D104" s="598" t="s">
        <v>507</v>
      </c>
      <c r="E104" s="584"/>
      <c r="F104" s="282">
        <f>F$40/(Refkalkulation!H$59/3600)*1.2</f>
        <v>70.138149324809973</v>
      </c>
      <c r="G104" s="440"/>
      <c r="H104" s="441"/>
      <c r="I104" s="282">
        <f>I$40/(Refkalkulation!K$59/3600)*1.2</f>
        <v>789.28812463080078</v>
      </c>
      <c r="J104" s="440"/>
      <c r="K104" s="441"/>
      <c r="L104" s="282">
        <f>L$40/(Refkalkulation!N$59/3600)*1.2</f>
        <v>789.28812463080078</v>
      </c>
      <c r="M104" s="440"/>
      <c r="N104" s="441"/>
      <c r="O104" s="282" t="e">
        <f>O$40/(Refkalkulation!Q$59/3600)*1.2</f>
        <v>#VALUE!</v>
      </c>
      <c r="P104" s="440"/>
      <c r="Q104" s="441"/>
      <c r="R104" s="282" t="e">
        <f>R$40/(Refkalkulation!T$59/3600)*1.2</f>
        <v>#VALUE!</v>
      </c>
      <c r="S104" s="440"/>
      <c r="T104" s="441"/>
      <c r="U104" s="282" t="e">
        <f>U$40/(Refkalkulation!W$59/3600)*1.2</f>
        <v>#VALUE!</v>
      </c>
      <c r="V104" s="11"/>
    </row>
    <row r="105" spans="2:24" x14ac:dyDescent="0.2">
      <c r="B105" s="482">
        <v>20</v>
      </c>
      <c r="C105" s="96" t="s">
        <v>820</v>
      </c>
      <c r="D105" s="100">
        <v>1</v>
      </c>
      <c r="E105" s="584"/>
      <c r="F105" s="282">
        <f>VLOOKUP(F211,'Maschinen-DB'!$D$4:$R$15,15,FALSE)</f>
        <v>1</v>
      </c>
      <c r="G105" s="440"/>
      <c r="H105" s="441"/>
      <c r="I105" s="282">
        <f>VLOOKUP(I211,'Maschinen-DB'!$D$4:$R$15,15,FALSE)</f>
        <v>1</v>
      </c>
      <c r="J105" s="440"/>
      <c r="K105" s="441"/>
      <c r="L105" s="282">
        <f>VLOOKUP(L211,'Maschinen-DB'!$D$4:$R$15,15,FALSE)</f>
        <v>1</v>
      </c>
      <c r="M105" s="440"/>
      <c r="N105" s="441"/>
      <c r="O105" s="282">
        <f>VLOOKUP(O211,'Maschinen-DB'!$D$4:$R$15,15,FALSE)</f>
        <v>1</v>
      </c>
      <c r="P105" s="440"/>
      <c r="Q105" s="441"/>
      <c r="R105" s="282">
        <f>VLOOKUP(R211,'Maschinen-DB'!$D$4:$R$15,15,FALSE)</f>
        <v>1</v>
      </c>
      <c r="S105" s="440"/>
      <c r="T105" s="441"/>
      <c r="U105" s="282">
        <f>VLOOKUP(U211,'Maschinen-DB'!$D$4:$R$15,15,FALSE)</f>
        <v>1</v>
      </c>
      <c r="V105" s="11"/>
    </row>
    <row r="106" spans="2:24" x14ac:dyDescent="0.2">
      <c r="B106" s="482">
        <v>20</v>
      </c>
      <c r="C106" s="96" t="s">
        <v>539</v>
      </c>
      <c r="D106" s="100">
        <v>1</v>
      </c>
      <c r="E106" s="584"/>
      <c r="F106" s="282">
        <f>IF(VLOOKUP(F$105,DB_Ofen,7,FALSE)&gt;F$104,F$105,IF(VLOOKUP(F$105+1,DB_Ofen,7,FALSE)&gt;F$104,F$105+1,IF(VLOOKUP(F$105+2,DB_Ofen,7,FALSE)&gt;F$104,F$105+2,MIN(11,F$105+3))))</f>
        <v>1</v>
      </c>
      <c r="G106" s="440"/>
      <c r="H106" s="441"/>
      <c r="I106" s="282">
        <f>IF(VLOOKUP(I$105,DB_Ofen,7,FALSE)&gt;I$104,I$105,IF(VLOOKUP(I$105+1,DB_Ofen,7,FALSE)&gt;I$104,I$105+1,IF(VLOOKUP(I$105+2,DB_Ofen,7,FALSE)&gt;I$104,I$105+2,MIN(11,I$105+3))))</f>
        <v>2</v>
      </c>
      <c r="J106" s="440"/>
      <c r="K106" s="441"/>
      <c r="L106" s="282">
        <f>IF(VLOOKUP(L$105,DB_Ofen,7,FALSE)&gt;L$104,L$105,IF(VLOOKUP(L$105+1,DB_Ofen,7,FALSE)&gt;L$104,L$105+1,IF(VLOOKUP(L$105+2,DB_Ofen,7,FALSE)&gt;L$104,L$105+2,MIN(11,L$105+3))))</f>
        <v>2</v>
      </c>
      <c r="M106" s="440"/>
      <c r="N106" s="441"/>
      <c r="O106" s="282" t="e">
        <f>IF(VLOOKUP(O$105,DB_Ofen,7,FALSE)&gt;O$104,O$105,IF(VLOOKUP(O$105+1,DB_Ofen,7,FALSE)&gt;O$104,O$105+1,IF(VLOOKUP(O$105+2,DB_Ofen,7,FALSE)&gt;O$104,O$105+2,MIN(11,O$105+3))))</f>
        <v>#VALUE!</v>
      </c>
      <c r="P106" s="440"/>
      <c r="Q106" s="441"/>
      <c r="R106" s="282" t="e">
        <f>IF(VLOOKUP(R$105,DB_Ofen,7,FALSE)&gt;R$104,R$105,IF(VLOOKUP(R$105+1,DB_Ofen,7,FALSE)&gt;R$104,R$105+1,IF(VLOOKUP(R$105+2,DB_Ofen,7,FALSE)&gt;R$104,R$105+2,MIN(11,R$105+3))))</f>
        <v>#VALUE!</v>
      </c>
      <c r="S106" s="440"/>
      <c r="T106" s="441"/>
      <c r="U106" s="282" t="e">
        <f>IF(VLOOKUP(U$105,DB_Ofen,7,FALSE)&gt;U$104,U$105,IF(VLOOKUP(U$105+1,DB_Ofen,7,FALSE)&gt;U$104,U$105+1,IF(VLOOKUP(U$105+2,DB_Ofen,7,FALSE)&gt;U$104,U$105+2,MIN(11,U$105+3))))</f>
        <v>#VALUE!</v>
      </c>
      <c r="V106" s="11"/>
    </row>
    <row r="107" spans="2:24" x14ac:dyDescent="0.2">
      <c r="B107" s="482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84" t="s">
        <v>500</v>
      </c>
      <c r="F107" s="282">
        <f>VLOOKUP(F$98,DB_Ofen,8,FALSE)</f>
        <v>148000</v>
      </c>
      <c r="G107" s="440"/>
      <c r="H107" s="441"/>
      <c r="I107" s="282">
        <f>VLOOKUP(I$98,DB_Ofen,8,FALSE)</f>
        <v>148000</v>
      </c>
      <c r="J107" s="440"/>
      <c r="K107" s="441"/>
      <c r="L107" s="282">
        <f>VLOOKUP(L$98,DB_Ofen,8,FALSE)</f>
        <v>148000</v>
      </c>
      <c r="M107" s="440"/>
      <c r="N107" s="441"/>
      <c r="O107" s="282" t="e">
        <f>VLOOKUP(O$98,DB_Ofen,8,FALSE)</f>
        <v>#VALUE!</v>
      </c>
      <c r="P107" s="440"/>
      <c r="Q107" s="441"/>
      <c r="R107" s="282" t="e">
        <f>VLOOKUP(R$98,DB_Ofen,8,FALSE)</f>
        <v>#VALUE!</v>
      </c>
      <c r="S107" s="440"/>
      <c r="T107" s="441"/>
      <c r="U107" s="282" t="e">
        <f>VLOOKUP(U$98,DB_Ofen,8,FALSE)</f>
        <v>#VALUE!</v>
      </c>
      <c r="V107" s="11"/>
    </row>
    <row r="108" spans="2:24" ht="15" thickBot="1" x14ac:dyDescent="0.25">
      <c r="B108" s="482">
        <v>20</v>
      </c>
      <c r="C108" s="96" t="str">
        <f>IF('Quick Input'!$G$2,"Prozesskosten Ofen (€/h)","Prozesskosten Ofen (€/h)")</f>
        <v>Prozesskosten Ofen (€/h)</v>
      </c>
      <c r="D108" s="100"/>
      <c r="E108" s="586"/>
      <c r="F108" s="284">
        <f>(F$107/'Länder-DB'!$I$27+F$107*'Länder-DB'!$I$29)/(F$103*F$146)</f>
        <v>8.7994672754946706</v>
      </c>
      <c r="G108" s="440"/>
      <c r="H108" s="437"/>
      <c r="I108" s="284">
        <f>(I$107/'Länder-DB'!$I$27+I$107*'Länder-DB'!$I$29)/(I$103*I$146)</f>
        <v>15.821702244116038</v>
      </c>
      <c r="J108" s="440"/>
      <c r="K108" s="437"/>
      <c r="L108" s="284">
        <f>(L$107/'Länder-DB'!$I$27+L$107*'Länder-DB'!$I$29)/(L$103*L$146)</f>
        <v>23.968698175787729</v>
      </c>
      <c r="M108" s="440"/>
      <c r="N108" s="437"/>
      <c r="O108" s="284" t="e">
        <f>(O$107/'Länder-DB'!$I$27+O$107*'Länder-DB'!$I$29)/(O$103*O$146)</f>
        <v>#VALUE!</v>
      </c>
      <c r="P108" s="440"/>
      <c r="Q108" s="437"/>
      <c r="R108" s="284" t="e">
        <f>(R$107/'Länder-DB'!$I$27+R$107*'Länder-DB'!$I$29)/(R$103*R$146)</f>
        <v>#VALUE!</v>
      </c>
      <c r="S108" s="440"/>
      <c r="T108" s="437"/>
      <c r="U108" s="284" t="e">
        <f>(U$107/'Länder-DB'!$I$27+U$107*'Länder-DB'!$I$29)/(U$103*U$146)</f>
        <v>#VALUE!</v>
      </c>
      <c r="V108" s="11"/>
    </row>
    <row r="109" spans="2:24" ht="15" x14ac:dyDescent="0.25">
      <c r="B109" s="482">
        <v>50</v>
      </c>
      <c r="C109" s="95" t="s">
        <v>491</v>
      </c>
      <c r="D109" s="98"/>
      <c r="E109" s="589" t="s">
        <v>501</v>
      </c>
      <c r="F109" s="205">
        <f>F$110+F$111+F$112</f>
        <v>50</v>
      </c>
      <c r="G109" s="434"/>
      <c r="H109" s="435"/>
      <c r="I109" s="205">
        <f>I$110+I$111+I$112</f>
        <v>50.406745185862235</v>
      </c>
      <c r="J109" s="434"/>
      <c r="K109" s="435"/>
      <c r="L109" s="205">
        <f>L$110+L$111+L$112</f>
        <v>50.406745185862235</v>
      </c>
      <c r="M109" s="434"/>
      <c r="N109" s="435"/>
      <c r="O109" s="205">
        <f>O$110+O$111+O$112</f>
        <v>45</v>
      </c>
      <c r="P109" s="434"/>
      <c r="Q109" s="435"/>
      <c r="R109" s="205">
        <f>R$110+R$111+R$112</f>
        <v>45</v>
      </c>
      <c r="S109" s="434"/>
      <c r="T109" s="435"/>
      <c r="U109" s="205">
        <f>U$110+U$111+U$112</f>
        <v>45</v>
      </c>
      <c r="V109" s="11"/>
    </row>
    <row r="110" spans="2:24" x14ac:dyDescent="0.2">
      <c r="B110" s="482">
        <v>50</v>
      </c>
      <c r="C110" s="96" t="s">
        <v>167</v>
      </c>
      <c r="D110" s="100" t="s">
        <v>94</v>
      </c>
      <c r="E110" s="584" t="s">
        <v>500</v>
      </c>
      <c r="F110" s="206">
        <f>VLOOKUP(Refkalkulation!H$52,DB_Maschinen,13,FALSE)</f>
        <v>50</v>
      </c>
      <c r="G110" s="436"/>
      <c r="H110" s="437"/>
      <c r="I110" s="206">
        <f>VLOOKUP(Refkalkulation!K$52,DB_Maschinen,13,FALSE)</f>
        <v>45</v>
      </c>
      <c r="J110" s="436"/>
      <c r="K110" s="437"/>
      <c r="L110" s="206">
        <f>VLOOKUP(Refkalkulation!N$52,DB_Maschinen,13,FALSE)</f>
        <v>45</v>
      </c>
      <c r="M110" s="436"/>
      <c r="N110" s="437"/>
      <c r="O110" s="206">
        <f>VLOOKUP(Refkalkulation!Q$52,DB_Maschinen,13,FALSE)</f>
        <v>45</v>
      </c>
      <c r="P110" s="436"/>
      <c r="Q110" s="437"/>
      <c r="R110" s="206">
        <f>VLOOKUP(Refkalkulation!T$52,DB_Maschinen,13,FALSE)</f>
        <v>45</v>
      </c>
      <c r="S110" s="436"/>
      <c r="T110" s="437"/>
      <c r="U110" s="206">
        <f>VLOOKUP(Refkalkulation!W$52,DB_Maschinen,13,FALSE)</f>
        <v>45</v>
      </c>
      <c r="V110" s="11"/>
    </row>
    <row r="111" spans="2:24" x14ac:dyDescent="0.2">
      <c r="B111" s="482">
        <v>50</v>
      </c>
      <c r="C111" s="96" t="s">
        <v>504</v>
      </c>
      <c r="D111" s="100"/>
      <c r="E111" s="584" t="s">
        <v>500</v>
      </c>
      <c r="F111" s="206">
        <f>IF('Quick Input'!M$22=Auswahlfelder!$D$36,VLOOKUP('Quick Input'!M$21,Auswahlfelder!$D$16:$E$19,2,FALSE)*SQRT(F$40),0)</f>
        <v>0</v>
      </c>
      <c r="G111" s="446"/>
      <c r="H111" s="437"/>
      <c r="I111" s="206">
        <f>IF('Quick Input'!P$22=Auswahlfelder!$D$36,VLOOKUP('Quick Input'!P$21,Auswahlfelder!$D$16:$E$19,2,FALSE)*SQRT(I$40),0)</f>
        <v>5.4067451858622366</v>
      </c>
      <c r="J111" s="446"/>
      <c r="K111" s="437"/>
      <c r="L111" s="206">
        <f>IF('Quick Input'!S$22=Auswahlfelder!$D$36,VLOOKUP('Quick Input'!S$21,Auswahlfelder!$D$16:$E$19,2,FALSE)*SQRT(L$40),0)</f>
        <v>5.4067451858622366</v>
      </c>
      <c r="M111" s="446"/>
      <c r="N111" s="437"/>
      <c r="O111" s="206">
        <f>IF('Quick Input'!V$22=Auswahlfelder!$D$36,VLOOKUP('Quick Input'!V$21,Auswahlfelder!$D$16:$E$19,2,FALSE)*SQRT(O$40),0)</f>
        <v>0</v>
      </c>
      <c r="P111" s="446"/>
      <c r="Q111" s="437"/>
      <c r="R111" s="206">
        <f>IF('Quick Input'!Y$22=Auswahlfelder!$D$36,VLOOKUP('Quick Input'!Y$21,Auswahlfelder!$D$16:$E$19,2,FALSE)*SQRT(R$40),0)</f>
        <v>0</v>
      </c>
      <c r="S111" s="446"/>
      <c r="T111" s="437"/>
      <c r="U111" s="206">
        <f>IF('Quick Input'!AB$22=Auswahlfelder!$D$36,VLOOKUP('Quick Input'!AB$21,Auswahlfelder!$D$16:$E$19,2,FALSE)*SQRT(U$40),0)</f>
        <v>0</v>
      </c>
      <c r="V111" s="11"/>
    </row>
    <row r="112" spans="2:24" ht="15" thickBot="1" x14ac:dyDescent="0.25">
      <c r="B112" s="482">
        <v>50</v>
      </c>
      <c r="C112" s="96" t="s">
        <v>525</v>
      </c>
      <c r="D112" s="102" t="s">
        <v>94</v>
      </c>
      <c r="E112" s="584" t="s">
        <v>500</v>
      </c>
      <c r="F112" s="206">
        <f>SQRT(VLOOKUP('Quick Input'!M$23,Auswahlfelder!$D$49:$E$51,2,FALSE)-1)*6</f>
        <v>0</v>
      </c>
      <c r="G112" s="436"/>
      <c r="H112" s="437"/>
      <c r="I112" s="206">
        <f>SQRT(VLOOKUP('Quick Input'!P$23,Auswahlfelder!$D$49:$E$51,2,FALSE)-1)*6</f>
        <v>0</v>
      </c>
      <c r="J112" s="436"/>
      <c r="K112" s="437"/>
      <c r="L112" s="206">
        <f>SQRT(VLOOKUP('Quick Input'!S$23,Auswahlfelder!$D$49:$E$51,2,FALSE)-1)*6</f>
        <v>0</v>
      </c>
      <c r="M112" s="436"/>
      <c r="N112" s="437"/>
      <c r="O112" s="206">
        <f>SQRT(VLOOKUP('Quick Input'!V$23,Auswahlfelder!$D$49:$E$51,2,FALSE)-1)*6</f>
        <v>0</v>
      </c>
      <c r="P112" s="436"/>
      <c r="Q112" s="437"/>
      <c r="R112" s="206">
        <f>SQRT(VLOOKUP('Quick Input'!Y$23,Auswahlfelder!$D$49:$E$51,2,FALSE)-1)*6</f>
        <v>0</v>
      </c>
      <c r="S112" s="436"/>
      <c r="T112" s="437"/>
      <c r="U112" s="206">
        <f>SQRT(VLOOKUP('Quick Input'!AB$23,Auswahlfelder!$D$49:$E$51,2,FALSE)-1)*6</f>
        <v>0</v>
      </c>
      <c r="V112" s="11"/>
    </row>
    <row r="113" spans="2:24" ht="15" x14ac:dyDescent="0.25">
      <c r="B113" s="593">
        <v>52</v>
      </c>
      <c r="C113" s="95" t="s">
        <v>506</v>
      </c>
      <c r="D113" s="100" t="s">
        <v>94</v>
      </c>
      <c r="E113" s="589" t="s">
        <v>501</v>
      </c>
      <c r="F113" s="672">
        <f>IF(Refkalkulation!H$67=0,ROUND(IF('Quick Input'!M$23=Auswahlfelder!$D$49,0,(F$114*2+F$115+60%*F$37)/5),1),Refkalkulation!H$67)</f>
        <v>0</v>
      </c>
      <c r="G113" s="451"/>
      <c r="H113" s="477"/>
      <c r="I113" s="672">
        <f>IF(Refkalkulation!K$67=0,ROUND(IF('Quick Input'!P$23=Auswahlfelder!$D$49,0,(I$114*2+I$115+60%*I$37)/5),1),Refkalkulation!K$67)</f>
        <v>0</v>
      </c>
      <c r="J113" s="451"/>
      <c r="K113" s="477"/>
      <c r="L113" s="672">
        <f>IF(Refkalkulation!N$67=0,ROUND(IF('Quick Input'!S$23=Auswahlfelder!$D$49,0,(L$114*2+L$115+60%*L$37)/5),1),Refkalkulation!N$67)</f>
        <v>0</v>
      </c>
      <c r="M113" s="451"/>
      <c r="N113" s="477"/>
      <c r="O113" s="672">
        <f>IF(Refkalkulation!Q$67=0,ROUND(IF('Quick Input'!V$23=Auswahlfelder!$D$49,0,(O$114*2+O$115+60%*O$37)/5),1),Refkalkulation!Q$67)</f>
        <v>0</v>
      </c>
      <c r="P113" s="451"/>
      <c r="Q113" s="477"/>
      <c r="R113" s="672">
        <f>IF(Refkalkulation!T$67=0,ROUND(IF('Quick Input'!Y$23=Auswahlfelder!$D$49,0,(R$114*2+R$115+60%*R$37)/5),1),Refkalkulation!T$67)</f>
        <v>0</v>
      </c>
      <c r="S113" s="451"/>
      <c r="T113" s="477"/>
      <c r="U113" s="672">
        <f>IF(Refkalkulation!W$67=0,ROUND(IF('Quick Input'!AB$23=Auswahlfelder!$D$49,0,(U$114*2+U$115+60%*U$37)/5),1),Refkalkulation!W$67)</f>
        <v>0</v>
      </c>
      <c r="V113" s="8"/>
      <c r="X113" s="526"/>
    </row>
    <row r="114" spans="2:24" x14ac:dyDescent="0.2">
      <c r="B114" s="592">
        <f>B113</f>
        <v>52</v>
      </c>
      <c r="C114" s="96" t="s">
        <v>508</v>
      </c>
      <c r="D114" s="100">
        <v>1</v>
      </c>
      <c r="E114" s="584" t="s">
        <v>500</v>
      </c>
      <c r="F114" s="350">
        <f>IF('Quick Input'!M$23=Auswahlfelder!$D$49,0,12%*'Quick Input'!M$20/1000)</f>
        <v>0</v>
      </c>
      <c r="G114" s="461"/>
      <c r="H114" s="462"/>
      <c r="I114" s="350">
        <f>IF('Quick Input'!P$23=Auswahlfelder!$D$49,0,12%*'Quick Input'!P$20/1000)</f>
        <v>0</v>
      </c>
      <c r="J114" s="461"/>
      <c r="K114" s="462"/>
      <c r="L114" s="350">
        <f>IF('Quick Input'!S$23=Auswahlfelder!$D$49,0,12%*'Quick Input'!S$20/1000)</f>
        <v>0</v>
      </c>
      <c r="M114" s="461"/>
      <c r="N114" s="462"/>
      <c r="O114" s="350">
        <f>IF('Quick Input'!V$23=Auswahlfelder!$D$49,0,12%*'Quick Input'!V$20/1000)</f>
        <v>0</v>
      </c>
      <c r="P114" s="461"/>
      <c r="Q114" s="462"/>
      <c r="R114" s="350">
        <f>IF('Quick Input'!Y$23=Auswahlfelder!$D$49,0,12%*'Quick Input'!Y$20/1000)</f>
        <v>0</v>
      </c>
      <c r="S114" s="461"/>
      <c r="T114" s="462"/>
      <c r="U114" s="350">
        <f>IF('Quick Input'!AB$23=Auswahlfelder!$D$49,0,12%*'Quick Input'!AB$20/1000)</f>
        <v>0</v>
      </c>
      <c r="V114" s="11"/>
    </row>
    <row r="115" spans="2:24" x14ac:dyDescent="0.2">
      <c r="B115" s="592">
        <f>B114</f>
        <v>52</v>
      </c>
      <c r="C115" s="96" t="s">
        <v>864</v>
      </c>
      <c r="D115" s="100">
        <v>1</v>
      </c>
      <c r="E115" s="584" t="s">
        <v>500</v>
      </c>
      <c r="F115" s="350">
        <f>IF(F114=0,0,MAX(0,0.9*F$37-'Quick Input'!M$20/1000))</f>
        <v>0</v>
      </c>
      <c r="G115" s="461"/>
      <c r="H115" s="462"/>
      <c r="I115" s="350">
        <f>IF(I114=0,0,MAX(0,0.9*I$37-'Quick Input'!P$20/1000))</f>
        <v>0</v>
      </c>
      <c r="J115" s="461"/>
      <c r="K115" s="462"/>
      <c r="L115" s="350">
        <f>IF(L114=0,0,MAX(0,0.9*L$37-'Quick Input'!S$20/1000))</f>
        <v>0</v>
      </c>
      <c r="M115" s="461"/>
      <c r="N115" s="462"/>
      <c r="O115" s="350">
        <f>IF(O114=0,0,MAX(0,0.9*O$37-'Quick Input'!V$20/1000))</f>
        <v>0</v>
      </c>
      <c r="P115" s="461"/>
      <c r="Q115" s="462"/>
      <c r="R115" s="350">
        <f>IF(R114=0,0,MAX(0,0.9*R$37-'Quick Input'!Y$20/1000))</f>
        <v>0</v>
      </c>
      <c r="S115" s="461"/>
      <c r="T115" s="462"/>
      <c r="U115" s="350">
        <f>IF(U114=0,0,MAX(0,0.9*U$37-'Quick Input'!AB$20/1000))</f>
        <v>0</v>
      </c>
      <c r="V115" s="11"/>
    </row>
    <row r="116" spans="2:24" ht="15" thickBot="1" x14ac:dyDescent="0.25">
      <c r="B116" s="592">
        <f>B115</f>
        <v>52</v>
      </c>
      <c r="C116" s="97" t="s">
        <v>509</v>
      </c>
      <c r="D116" s="102" t="s">
        <v>507</v>
      </c>
      <c r="E116" s="587"/>
      <c r="F116" s="349">
        <f>('Quick Input'!M$20/1000+Refkalkulation!H$67)/('Quick Input'!M$14*'Quick Input'!M$15*'Quick Input'!M$16/1000000)</f>
        <v>4.6296296296296294E-2</v>
      </c>
      <c r="G116" s="438"/>
      <c r="H116" s="439"/>
      <c r="I116" s="349">
        <f>('Quick Input'!P$20/1000+Refkalkulation!K$67)/('Quick Input'!P$14*'Quick Input'!P$15*'Quick Input'!P$16/1000000)</f>
        <v>4.619364375461936E-2</v>
      </c>
      <c r="J116" s="438"/>
      <c r="K116" s="439"/>
      <c r="L116" s="349">
        <f>('Quick Input'!S$20/1000+Refkalkulation!N$67)/('Quick Input'!S$14*'Quick Input'!S$15*'Quick Input'!S$16/1000000)</f>
        <v>4.619364375461936E-2</v>
      </c>
      <c r="M116" s="438"/>
      <c r="N116" s="439"/>
      <c r="O116" s="349" t="e">
        <f>('Quick Input'!V$20/1000+Refkalkulation!Q$67)/('Quick Input'!V$14*'Quick Input'!V$15*'Quick Input'!V$16/1000000)</f>
        <v>#VALUE!</v>
      </c>
      <c r="P116" s="438"/>
      <c r="Q116" s="439"/>
      <c r="R116" s="349" t="e">
        <f>('Quick Input'!Y$20/1000+Refkalkulation!T$67)/('Quick Input'!Y$14*'Quick Input'!Y$15*'Quick Input'!Y$16/1000000)</f>
        <v>#VALUE!</v>
      </c>
      <c r="S116" s="438"/>
      <c r="T116" s="439"/>
      <c r="U116" s="349" t="e">
        <f>('Quick Input'!AB$20/1000+Refkalkulation!W$67)/('Quick Input'!AB$14*'Quick Input'!AB$15*'Quick Input'!AB$16/1000000)</f>
        <v>#VALUE!</v>
      </c>
      <c r="V116" s="126"/>
      <c r="X116" s="526"/>
    </row>
    <row r="117" spans="2:24" ht="15" x14ac:dyDescent="0.25">
      <c r="B117" s="482">
        <v>51</v>
      </c>
      <c r="C117" s="95" t="s">
        <v>877</v>
      </c>
      <c r="D117" s="98"/>
      <c r="E117" s="589" t="s">
        <v>501</v>
      </c>
      <c r="F117" s="455">
        <f>IF('Quick Input'!M$23=Auswahlfelder!$D$49,0,F$118*F$119)</f>
        <v>0</v>
      </c>
      <c r="G117" s="451"/>
      <c r="H117" s="435"/>
      <c r="I117" s="455">
        <f>IF('Quick Input'!P$23=Auswahlfelder!$D$49,0,I$118*I$119)</f>
        <v>0</v>
      </c>
      <c r="J117" s="451"/>
      <c r="K117" s="435"/>
      <c r="L117" s="455">
        <f>IF('Quick Input'!S$23=Auswahlfelder!$D$49,0,L$118*L$119)</f>
        <v>0</v>
      </c>
      <c r="M117" s="451"/>
      <c r="N117" s="435"/>
      <c r="O117" s="455">
        <f>IF('Quick Input'!V$23=Auswahlfelder!$D$49,0,O$118*O$119)</f>
        <v>0</v>
      </c>
      <c r="P117" s="451"/>
      <c r="Q117" s="435"/>
      <c r="R117" s="455">
        <f>IF('Quick Input'!Y$23=Auswahlfelder!$D$49,0,R$118*R$119)</f>
        <v>0</v>
      </c>
      <c r="S117" s="451"/>
      <c r="T117" s="435"/>
      <c r="U117" s="455">
        <f>IF('Quick Input'!AB$23=Auswahlfelder!$D$49,0,U$118*U$119)</f>
        <v>0</v>
      </c>
      <c r="V117" s="8"/>
      <c r="X117" s="526"/>
    </row>
    <row r="118" spans="2:24" x14ac:dyDescent="0.2">
      <c r="B118" s="482">
        <f>B117</f>
        <v>51</v>
      </c>
      <c r="C118" s="96" t="s">
        <v>867</v>
      </c>
      <c r="D118" s="100" t="s">
        <v>395</v>
      </c>
      <c r="E118" s="584" t="s">
        <v>500</v>
      </c>
      <c r="F118" s="975">
        <f>IF('Quick Input'!M$23=Auswahlfelder!$D50,F$225,('Länder-DB'!$M$47+F120)/F$121)</f>
        <v>0.25</v>
      </c>
      <c r="G118" s="479"/>
      <c r="H118" s="480"/>
      <c r="I118" s="975">
        <f>IF('Quick Input'!P$23=Auswahlfelder!$D50,I$225,('Länder-DB'!$M$47+I120)/I$121)</f>
        <v>0.2071797711332595</v>
      </c>
      <c r="J118" s="479"/>
      <c r="K118" s="480"/>
      <c r="L118" s="975">
        <f>IF('Quick Input'!S$23=Auswahlfelder!$D50,L$225,('Länder-DB'!$M$47+L120)/L$121)</f>
        <v>0.21115500376222723</v>
      </c>
      <c r="M118" s="479"/>
      <c r="N118" s="480"/>
      <c r="O118" s="975">
        <f>IF('Quick Input'!V$23=Auswahlfelder!$D50,O$225,('Länder-DB'!$M$47+O120)/O$121)</f>
        <v>0.25</v>
      </c>
      <c r="P118" s="479"/>
      <c r="Q118" s="480"/>
      <c r="R118" s="975">
        <f>IF('Quick Input'!Y$23=Auswahlfelder!$D50,R$225,('Länder-DB'!$M$47+R120)/R$121)</f>
        <v>0.25</v>
      </c>
      <c r="S118" s="479"/>
      <c r="T118" s="480"/>
      <c r="U118" s="975">
        <f>IF('Quick Input'!AB$23=Auswahlfelder!$D50,U$225,('Länder-DB'!$M$47+U120)/U$121)</f>
        <v>0.25</v>
      </c>
      <c r="V118" s="11"/>
    </row>
    <row r="119" spans="2:24" x14ac:dyDescent="0.2">
      <c r="B119" s="482">
        <f>B118</f>
        <v>51</v>
      </c>
      <c r="C119" s="96" t="s">
        <v>354</v>
      </c>
      <c r="D119" s="100"/>
      <c r="E119" s="584" t="s">
        <v>500</v>
      </c>
      <c r="F119" s="350">
        <f>MAX(1,SQRT(14/F$94+0.6))</f>
        <v>1</v>
      </c>
      <c r="G119" s="436"/>
      <c r="H119" s="437"/>
      <c r="I119" s="350">
        <f>MAX(1,SQRT(14/I$94+0.6))</f>
        <v>1</v>
      </c>
      <c r="J119" s="436"/>
      <c r="K119" s="437"/>
      <c r="L119" s="350">
        <f>MAX(1,SQRT(14/L$94+0.6))</f>
        <v>1</v>
      </c>
      <c r="M119" s="436"/>
      <c r="N119" s="437"/>
      <c r="O119" s="350" t="e">
        <f>MAX(1,SQRT(14/O$94+0.6))</f>
        <v>#DIV/0!</v>
      </c>
      <c r="P119" s="436"/>
      <c r="Q119" s="437"/>
      <c r="R119" s="350" t="e">
        <f>MAX(1,SQRT(14/R$94+0.6))</f>
        <v>#DIV/0!</v>
      </c>
      <c r="S119" s="436"/>
      <c r="T119" s="437"/>
      <c r="U119" s="350" t="e">
        <f>MAX(1,SQRT(14/U$94+0.6))</f>
        <v>#DIV/0!</v>
      </c>
      <c r="V119" s="11"/>
      <c r="X119" s="526"/>
    </row>
    <row r="120" spans="2:24" x14ac:dyDescent="0.2">
      <c r="B120" s="482">
        <f>B119</f>
        <v>51</v>
      </c>
      <c r="C120" s="96" t="s">
        <v>356</v>
      </c>
      <c r="D120" s="100"/>
      <c r="E120" s="584" t="s">
        <v>500</v>
      </c>
      <c r="F120" s="478">
        <f>IF(Refkalkulation!H$67&gt;0,SQRT(3/Refkalkulation!H$67)/50,0)</f>
        <v>0</v>
      </c>
      <c r="G120" s="479"/>
      <c r="H120" s="480"/>
      <c r="I120" s="478">
        <f>IF(Refkalkulation!K$67&gt;0,SQRT(3/Refkalkulation!K$67)/50,0)</f>
        <v>0</v>
      </c>
      <c r="J120" s="479"/>
      <c r="K120" s="480"/>
      <c r="L120" s="478">
        <f>IF(Refkalkulation!N$67&gt;0,SQRT(3/Refkalkulation!N$67)/50,0)</f>
        <v>0</v>
      </c>
      <c r="M120" s="479"/>
      <c r="N120" s="480"/>
      <c r="O120" s="478">
        <f>IF(Refkalkulation!Q$67&gt;0,SQRT(3/Refkalkulation!Q$67)/50,0)</f>
        <v>0</v>
      </c>
      <c r="P120" s="479"/>
      <c r="Q120" s="480"/>
      <c r="R120" s="478">
        <f>IF(Refkalkulation!T$67&gt;0,SQRT(3/Refkalkulation!T$67)/50,0)</f>
        <v>0</v>
      </c>
      <c r="S120" s="479"/>
      <c r="T120" s="480"/>
      <c r="U120" s="478">
        <f>IF(Refkalkulation!W$67&gt;0,SQRT(3/Refkalkulation!W$67)/50,0)</f>
        <v>0</v>
      </c>
      <c r="V120" s="11"/>
    </row>
    <row r="121" spans="2:24" ht="15" thickBot="1" x14ac:dyDescent="0.25">
      <c r="B121" s="482">
        <f>B120</f>
        <v>51</v>
      </c>
      <c r="C121" s="97" t="s">
        <v>355</v>
      </c>
      <c r="D121" s="809">
        <v>0.65</v>
      </c>
      <c r="E121" s="585" t="s">
        <v>500</v>
      </c>
      <c r="F121" s="474">
        <f>1+0.25*(1-VLOOKUP(F$19,DB_Länder,4,FALSE)/'Länder-DB'!$D$2)</f>
        <v>1</v>
      </c>
      <c r="G121" s="475"/>
      <c r="H121" s="476"/>
      <c r="I121" s="474">
        <f>1+0.25*(1-VLOOKUP(I$19,DB_Länder,4,FALSE)/'Länder-DB'!$D$2)</f>
        <v>1.2066815144766148</v>
      </c>
      <c r="J121" s="475"/>
      <c r="K121" s="476"/>
      <c r="L121" s="474">
        <f>1+0.25*(1-VLOOKUP(L$19,DB_Länder,4,FALSE)/'Länder-DB'!$D$2)</f>
        <v>1.1839643652561247</v>
      </c>
      <c r="M121" s="475"/>
      <c r="N121" s="476"/>
      <c r="O121" s="474">
        <f>1+0.25*(1-VLOOKUP(O$19,DB_Länder,4,FALSE)/'Länder-DB'!$D$2)</f>
        <v>1</v>
      </c>
      <c r="P121" s="475"/>
      <c r="Q121" s="476"/>
      <c r="R121" s="474">
        <f>1+0.25*(1-VLOOKUP(R$19,DB_Länder,4,FALSE)/'Länder-DB'!$D$2)</f>
        <v>1</v>
      </c>
      <c r="S121" s="475"/>
      <c r="T121" s="476"/>
      <c r="U121" s="474">
        <f>1+0.25*(1-VLOOKUP(U$19,DB_Länder,4,FALSE)/'Länder-DB'!$D$2)</f>
        <v>1</v>
      </c>
      <c r="V121" s="126"/>
    </row>
    <row r="122" spans="2:24" ht="15" x14ac:dyDescent="0.25">
      <c r="B122" s="593">
        <v>59</v>
      </c>
      <c r="C122" s="95" t="s">
        <v>532</v>
      </c>
      <c r="D122" s="100" t="s">
        <v>94</v>
      </c>
      <c r="E122" s="589" t="s">
        <v>501</v>
      </c>
      <c r="F122" s="351">
        <f>F123*F124*F125</f>
        <v>1.1547005383792517</v>
      </c>
      <c r="G122" s="451"/>
      <c r="H122" s="477"/>
      <c r="I122" s="351">
        <f>I123*I124*I125</f>
        <v>1.2271468098197256</v>
      </c>
      <c r="J122" s="451"/>
      <c r="K122" s="477"/>
      <c r="L122" s="351">
        <f>L123*L124*L125</f>
        <v>1.2477080261564104</v>
      </c>
      <c r="M122" s="451"/>
      <c r="N122" s="477"/>
      <c r="O122" s="351">
        <f>O123*O124*O125</f>
        <v>1.4142135623730949</v>
      </c>
      <c r="P122" s="451"/>
      <c r="Q122" s="477"/>
      <c r="R122" s="351">
        <f>R123*R124*R125</f>
        <v>1.4142135623730949</v>
      </c>
      <c r="S122" s="451"/>
      <c r="T122" s="477"/>
      <c r="U122" s="351">
        <f>U123*U124*U125</f>
        <v>1.4142135623730949</v>
      </c>
      <c r="V122" s="8"/>
    </row>
    <row r="123" spans="2:24" x14ac:dyDescent="0.2">
      <c r="B123" s="592">
        <f>B122</f>
        <v>59</v>
      </c>
      <c r="C123" s="96" t="s">
        <v>534</v>
      </c>
      <c r="D123" s="100" t="s">
        <v>94</v>
      </c>
      <c r="E123" s="584" t="s">
        <v>500</v>
      </c>
      <c r="F123" s="350">
        <f>'Länder-DB'!$M$49</f>
        <v>2</v>
      </c>
      <c r="G123" s="461"/>
      <c r="H123" s="462"/>
      <c r="I123" s="350">
        <f>'Länder-DB'!$M$49</f>
        <v>2</v>
      </c>
      <c r="J123" s="461"/>
      <c r="K123" s="462"/>
      <c r="L123" s="350">
        <f>'Länder-DB'!$M$49</f>
        <v>2</v>
      </c>
      <c r="M123" s="461"/>
      <c r="N123" s="462"/>
      <c r="O123" s="350">
        <f>'Länder-DB'!$M$49</f>
        <v>2</v>
      </c>
      <c r="P123" s="461"/>
      <c r="Q123" s="462"/>
      <c r="R123" s="350">
        <f>'Länder-DB'!$M$49</f>
        <v>2</v>
      </c>
      <c r="S123" s="461"/>
      <c r="T123" s="462"/>
      <c r="U123" s="350">
        <f>'Länder-DB'!$M$49</f>
        <v>2</v>
      </c>
      <c r="V123" s="11"/>
    </row>
    <row r="124" spans="2:24" x14ac:dyDescent="0.2">
      <c r="B124" s="592">
        <f>B123</f>
        <v>59</v>
      </c>
      <c r="C124" s="96" t="s">
        <v>533</v>
      </c>
      <c r="D124" s="100" t="s">
        <v>395</v>
      </c>
      <c r="E124" s="584" t="s">
        <v>500</v>
      </c>
      <c r="F124" s="350">
        <f>1/SQRT(VLOOKUP('Quick Input'!M$46,Auswahlfelder!$D$7:$E$9,2,FALSE))</f>
        <v>0.57735026918962584</v>
      </c>
      <c r="G124" s="461"/>
      <c r="H124" s="462"/>
      <c r="I124" s="350">
        <f>1/SQRT(VLOOKUP('Quick Input'!P$46,Auswahlfelder!$D$7:$E$9,2,FALSE))</f>
        <v>0.70710678118654746</v>
      </c>
      <c r="J124" s="461"/>
      <c r="K124" s="462"/>
      <c r="L124" s="350">
        <f>1/SQRT(VLOOKUP('Quick Input'!S$46,Auswahlfelder!$D$7:$E$9,2,FALSE))</f>
        <v>0.70710678118654746</v>
      </c>
      <c r="M124" s="461"/>
      <c r="N124" s="462"/>
      <c r="O124" s="350">
        <f>1/SQRT(VLOOKUP('Quick Input'!V$46,Auswahlfelder!$D$7:$E$9,2,FALSE))</f>
        <v>0.70710678118654746</v>
      </c>
      <c r="P124" s="461"/>
      <c r="Q124" s="462"/>
      <c r="R124" s="350">
        <f>1/SQRT(VLOOKUP('Quick Input'!Y$46,Auswahlfelder!$D$7:$E$9,2,FALSE))</f>
        <v>0.70710678118654746</v>
      </c>
      <c r="S124" s="461"/>
      <c r="T124" s="462"/>
      <c r="U124" s="350">
        <f>1/SQRT(VLOOKUP('Quick Input'!AB$46,Auswahlfelder!$D$7:$E$9,2,FALSE))</f>
        <v>0.70710678118654746</v>
      </c>
      <c r="V124" s="11"/>
    </row>
    <row r="125" spans="2:24" ht="15" thickBot="1" x14ac:dyDescent="0.25">
      <c r="B125" s="592">
        <f>B124</f>
        <v>59</v>
      </c>
      <c r="C125" s="97" t="s">
        <v>535</v>
      </c>
      <c r="D125" s="102" t="s">
        <v>94</v>
      </c>
      <c r="E125" s="585" t="s">
        <v>500</v>
      </c>
      <c r="F125" s="647">
        <f>0.84+0.16*VLOOKUP(F$19,DB_Länder,4,FALSE)/'Länder-DB'!$D$2</f>
        <v>1</v>
      </c>
      <c r="G125" s="438"/>
      <c r="H125" s="439"/>
      <c r="I125" s="647">
        <f>0.84+0.16*VLOOKUP(I$19,DB_Länder,4,FALSE)/'Länder-DB'!$D$2</f>
        <v>0.86772383073496662</v>
      </c>
      <c r="J125" s="438"/>
      <c r="K125" s="439"/>
      <c r="L125" s="647">
        <f>0.84+0.16*VLOOKUP(L$19,DB_Länder,4,FALSE)/'Länder-DB'!$D$2</f>
        <v>0.88226280623608011</v>
      </c>
      <c r="M125" s="438"/>
      <c r="N125" s="439"/>
      <c r="O125" s="647">
        <f>0.84+0.16*VLOOKUP(O$19,DB_Länder,4,FALSE)/'Länder-DB'!$D$2</f>
        <v>1</v>
      </c>
      <c r="P125" s="438"/>
      <c r="Q125" s="439"/>
      <c r="R125" s="647">
        <f>0.84+0.16*VLOOKUP(R$19,DB_Länder,4,FALSE)/'Länder-DB'!$D$2</f>
        <v>1</v>
      </c>
      <c r="S125" s="438"/>
      <c r="T125" s="439"/>
      <c r="U125" s="647">
        <f>0.84+0.16*VLOOKUP(U$19,DB_Länder,4,FALSE)/'Länder-DB'!$D$2</f>
        <v>1</v>
      </c>
      <c r="V125" s="126"/>
    </row>
    <row r="126" spans="2:24" ht="15" x14ac:dyDescent="0.25">
      <c r="B126" s="482">
        <v>4</v>
      </c>
      <c r="C126" s="99" t="s">
        <v>380</v>
      </c>
      <c r="D126" s="100" t="s">
        <v>531</v>
      </c>
      <c r="E126" s="586"/>
      <c r="F126" s="281">
        <f>IF(Refkalkulation!H$50=0,1,Refkalkulation!H$50)</f>
        <v>1</v>
      </c>
      <c r="G126" s="10"/>
      <c r="H126" s="10"/>
      <c r="I126" s="281">
        <f>IF(Refkalkulation!K$50=0,1,Refkalkulation!K$50)</f>
        <v>1</v>
      </c>
      <c r="J126" s="10"/>
      <c r="K126" s="10"/>
      <c r="L126" s="281">
        <f>IF(Refkalkulation!N$50=0,1,Refkalkulation!N$50)</f>
        <v>1</v>
      </c>
      <c r="M126" s="10"/>
      <c r="N126" s="10"/>
      <c r="O126" s="281">
        <f>IF(Refkalkulation!Q$50=0,1,Refkalkulation!Q$50)</f>
        <v>1</v>
      </c>
      <c r="P126" s="10"/>
      <c r="Q126" s="10"/>
      <c r="R126" s="281">
        <f>IF(Refkalkulation!T$50=0,1,Refkalkulation!T$50)</f>
        <v>1</v>
      </c>
      <c r="S126" s="10"/>
      <c r="T126" s="10"/>
      <c r="U126" s="281">
        <f>IF(Refkalkulation!W$50=0,1,Refkalkulation!W$50)</f>
        <v>1</v>
      </c>
      <c r="V126" s="11"/>
    </row>
    <row r="127" spans="2:24" x14ac:dyDescent="0.2">
      <c r="B127" s="482">
        <v>4</v>
      </c>
      <c r="C127" s="96" t="s">
        <v>143</v>
      </c>
      <c r="D127" s="100"/>
      <c r="E127" s="586"/>
      <c r="F127" s="206">
        <f>'Quick Input'!M$44</f>
        <v>30000</v>
      </c>
      <c r="G127" s="10"/>
      <c r="H127" s="10"/>
      <c r="I127" s="206">
        <f>'Quick Input'!P$44</f>
        <v>30000</v>
      </c>
      <c r="J127" s="10"/>
      <c r="K127" s="10"/>
      <c r="L127" s="206">
        <f>'Quick Input'!S$44</f>
        <v>30000</v>
      </c>
      <c r="M127" s="10"/>
      <c r="N127" s="10"/>
      <c r="O127" s="206" t="e">
        <f>'Quick Input'!V$44</f>
        <v>#VALUE!</v>
      </c>
      <c r="P127" s="4"/>
      <c r="Q127" s="4"/>
      <c r="R127" s="206" t="e">
        <f>'Quick Input'!Y$44</f>
        <v>#VALUE!</v>
      </c>
      <c r="S127" s="4"/>
      <c r="T127" s="4"/>
      <c r="U127" s="206" t="e">
        <f>'Quick Input'!AB$44</f>
        <v>#VALUE!</v>
      </c>
      <c r="V127" s="11"/>
    </row>
    <row r="128" spans="2:24" x14ac:dyDescent="0.2">
      <c r="B128" s="482">
        <v>4</v>
      </c>
      <c r="C128" s="96" t="s">
        <v>433</v>
      </c>
      <c r="D128" s="100"/>
      <c r="E128" s="586"/>
      <c r="F128" s="206">
        <f>ROUNDUP(F$127/F$253,0)</f>
        <v>2</v>
      </c>
      <c r="G128" s="10"/>
      <c r="H128" s="10"/>
      <c r="I128" s="206">
        <f>ROUNDUP(I$127/I253,0)</f>
        <v>2</v>
      </c>
      <c r="J128" s="10"/>
      <c r="K128" s="10"/>
      <c r="L128" s="206">
        <f>ROUNDUP(L$127/L253,0)</f>
        <v>2</v>
      </c>
      <c r="M128" s="10"/>
      <c r="N128" s="10"/>
      <c r="O128" s="206" t="e">
        <f>ROUNDUP(O$127/O253,0)</f>
        <v>#VALUE!</v>
      </c>
      <c r="P128" s="4"/>
      <c r="Q128" s="4"/>
      <c r="R128" s="206" t="e">
        <f>ROUNDUP(R$127/R253,0)</f>
        <v>#VALUE!</v>
      </c>
      <c r="S128" s="4"/>
      <c r="T128" s="4"/>
      <c r="U128" s="206" t="e">
        <f>ROUNDUP(U$127/U253,0)</f>
        <v>#VALUE!</v>
      </c>
      <c r="V128" s="11"/>
    </row>
    <row r="129" spans="2:24" x14ac:dyDescent="0.2">
      <c r="B129" s="482">
        <v>4</v>
      </c>
      <c r="C129" s="96" t="s">
        <v>144</v>
      </c>
      <c r="D129" s="598" t="s">
        <v>507</v>
      </c>
      <c r="E129" s="586"/>
      <c r="F129" s="202">
        <f>(F$253*F$128-F$127)/F$127</f>
        <v>0.57999999999999996</v>
      </c>
      <c r="G129" s="10"/>
      <c r="H129" s="10"/>
      <c r="I129" s="202">
        <f>(I$253*I$128-I$127)/I$127</f>
        <v>0.56333333333333335</v>
      </c>
      <c r="J129" s="10"/>
      <c r="K129" s="10"/>
      <c r="L129" s="202">
        <f>(L$253*L$128-L$127)/L$127</f>
        <v>0.53600000000000003</v>
      </c>
      <c r="M129" s="10"/>
      <c r="N129" s="10"/>
      <c r="O129" s="202" t="e">
        <f>(O$253*O$128-O$127)/O$127</f>
        <v>#VALUE!</v>
      </c>
      <c r="P129" s="4"/>
      <c r="Q129" s="4"/>
      <c r="R129" s="202" t="e">
        <f>(R$253*R$128-R$127)/R$127</f>
        <v>#VALUE!</v>
      </c>
      <c r="S129" s="4"/>
      <c r="T129" s="4"/>
      <c r="U129" s="202" t="e">
        <f>(U$253*U$128-U$127)/U$127</f>
        <v>#VALUE!</v>
      </c>
      <c r="V129" s="11"/>
    </row>
    <row r="130" spans="2:24" x14ac:dyDescent="0.2">
      <c r="B130" s="482">
        <v>4</v>
      </c>
      <c r="C130" s="96" t="s">
        <v>490</v>
      </c>
      <c r="D130" s="100"/>
      <c r="E130" s="586"/>
      <c r="F130" s="206">
        <f>IF(F$129&lt;10%,1,0)</f>
        <v>0</v>
      </c>
      <c r="G130" s="10"/>
      <c r="H130" s="10"/>
      <c r="I130" s="206">
        <f>IF(I$129&lt;10%,1,0)</f>
        <v>0</v>
      </c>
      <c r="J130" s="10"/>
      <c r="K130" s="10"/>
      <c r="L130" s="206">
        <f>IF(L$129&lt;10%,1,0)</f>
        <v>0</v>
      </c>
      <c r="M130" s="10"/>
      <c r="N130" s="10"/>
      <c r="O130" s="206" t="e">
        <f>IF(O$129&lt;10%,1,0)</f>
        <v>#VALUE!</v>
      </c>
      <c r="P130" s="4"/>
      <c r="Q130" s="4"/>
      <c r="R130" s="206" t="e">
        <f>IF(R$129&lt;10%,1,0)</f>
        <v>#VALUE!</v>
      </c>
      <c r="S130" s="4"/>
      <c r="T130" s="4"/>
      <c r="U130" s="206" t="e">
        <f>IF(U$129&lt;10%,1,0)</f>
        <v>#VALUE!</v>
      </c>
      <c r="V130" s="11"/>
    </row>
    <row r="131" spans="2:24" ht="15" thickBot="1" x14ac:dyDescent="0.25">
      <c r="B131" s="482">
        <v>4</v>
      </c>
      <c r="C131" s="96" t="s">
        <v>863</v>
      </c>
      <c r="D131" s="100"/>
      <c r="E131" s="585" t="s">
        <v>501</v>
      </c>
      <c r="F131" s="206">
        <f>MAX(IF(VLOOKUP('Quick Input'!M$22,Auswahlfelder!$D$36:$E$38,2,FALSE)=1,1,F$128+F$130),MIN(8,ROUNDDOWN(0.38*F66*F67/F31,0)))</f>
        <v>3</v>
      </c>
      <c r="G131" s="13"/>
      <c r="H131" s="10"/>
      <c r="I131" s="206">
        <f>MAX(IF(VLOOKUP('Quick Input'!P$22,Auswahlfelder!$D$36:$E$38,2,FALSE)=1,1,I$128+I$130),MIN(8,ROUNDDOWN(0.35*I66*I67/I31,0)))</f>
        <v>1</v>
      </c>
      <c r="J131" s="13"/>
      <c r="K131" s="10"/>
      <c r="L131" s="206">
        <f>MAX(IF(VLOOKUP('Quick Input'!S$22,Auswahlfelder!$D$36:$E$38,2,FALSE)=1,1,L$128+L$130),MIN(8,ROUNDDOWN(0.35*L66*L67/L31,0)))</f>
        <v>1</v>
      </c>
      <c r="M131" s="13"/>
      <c r="N131" s="10"/>
      <c r="O131" s="206" t="e">
        <f>MAX(IF(VLOOKUP('Quick Input'!V$22,Auswahlfelder!$D$36:$E$38,2,FALSE)=1,1,O$128+O$130),MIN(8,ROUNDDOWN(0.35*O66*O67/O31,0)))</f>
        <v>#VALUE!</v>
      </c>
      <c r="P131" s="13"/>
      <c r="Q131" s="10"/>
      <c r="R131" s="206" t="e">
        <f>MAX(IF(VLOOKUP('Quick Input'!Y$22,Auswahlfelder!$D$36:$E$38,2,FALSE)=1,1,R$128+R$130),MIN(8,ROUNDDOWN(0.35*R66*R67/R31,0)))</f>
        <v>#VALUE!</v>
      </c>
      <c r="S131" s="13"/>
      <c r="T131" s="10"/>
      <c r="U131" s="206" t="e">
        <f>MAX(IF(VLOOKUP('Quick Input'!AB$22,Auswahlfelder!$D$36:$E$38,2,FALSE)=1,1,U$128+U$130),MIN(8,ROUNDDOWN(0.35*U66*U67/U31,0)))</f>
        <v>#VALUE!</v>
      </c>
      <c r="V131" s="32"/>
      <c r="X131" s="526"/>
    </row>
    <row r="132" spans="2:24" ht="15" x14ac:dyDescent="0.25">
      <c r="B132" s="482">
        <v>45</v>
      </c>
      <c r="C132" s="95" t="s">
        <v>361</v>
      </c>
      <c r="D132" s="98"/>
      <c r="E132" s="583"/>
      <c r="F132" s="161">
        <f>VLOOKUP('Quick Input'!M$22,Auswahlfelder!$D$36:$E$38,2,FALSE)</f>
        <v>2</v>
      </c>
      <c r="G132" s="434"/>
      <c r="H132" s="435"/>
      <c r="I132" s="161">
        <f>VLOOKUP('Quick Input'!P$22,Auswahlfelder!$D$36:$E$38,2,FALSE)</f>
        <v>1</v>
      </c>
      <c r="J132" s="434"/>
      <c r="K132" s="435"/>
      <c r="L132" s="161">
        <f>VLOOKUP('Quick Input'!S$22,Auswahlfelder!$D$36:$E$38,2,FALSE)</f>
        <v>1</v>
      </c>
      <c r="M132" s="434"/>
      <c r="N132" s="435"/>
      <c r="O132" s="161">
        <f>VLOOKUP('Quick Input'!V$22,Auswahlfelder!$D$36:$E$38,2,FALSE)</f>
        <v>3</v>
      </c>
      <c r="P132" s="434"/>
      <c r="Q132" s="435"/>
      <c r="R132" s="161">
        <f>VLOOKUP('Quick Input'!Y$22,Auswahlfelder!$D$36:$E$38,2,FALSE)</f>
        <v>3</v>
      </c>
      <c r="S132" s="434"/>
      <c r="T132" s="435"/>
      <c r="U132" s="161">
        <f>VLOOKUP('Quick Input'!AB$22,Auswahlfelder!$D$36:$E$38,2,FALSE)</f>
        <v>3</v>
      </c>
      <c r="V132" s="11"/>
      <c r="X132" s="526"/>
    </row>
    <row r="133" spans="2:24" x14ac:dyDescent="0.2">
      <c r="B133" s="482">
        <v>45</v>
      </c>
      <c r="C133" s="96" t="s">
        <v>234</v>
      </c>
      <c r="D133" s="100" t="s">
        <v>94</v>
      </c>
      <c r="E133" s="584" t="s">
        <v>501</v>
      </c>
      <c r="F133" s="207">
        <f>ROUND(0.6+0.6/F$99,1)/2</f>
        <v>0.7</v>
      </c>
      <c r="G133" s="436"/>
      <c r="H133" s="437"/>
      <c r="I133" s="207">
        <f>ROUND(0.6+0.6/I$99,1)/2</f>
        <v>0.7</v>
      </c>
      <c r="J133" s="436"/>
      <c r="K133" s="437"/>
      <c r="L133" s="207">
        <f>ROUND(0.6+0.6/L$99,1)/2</f>
        <v>0.7</v>
      </c>
      <c r="M133" s="436"/>
      <c r="N133" s="437"/>
      <c r="O133" s="207">
        <f>ROUND(0.6+0.6/O$99,1)/2</f>
        <v>0.7</v>
      </c>
      <c r="P133" s="436"/>
      <c r="Q133" s="437"/>
      <c r="R133" s="207">
        <f>ROUND(0.6+0.6/R$99,1)/2</f>
        <v>0.7</v>
      </c>
      <c r="S133" s="436"/>
      <c r="T133" s="437"/>
      <c r="U133" s="207">
        <f>ROUND(0.6+0.6/U$99,1)/2</f>
        <v>0.7</v>
      </c>
      <c r="V133" s="11"/>
      <c r="X133" s="526"/>
    </row>
    <row r="134" spans="2:24" x14ac:dyDescent="0.2">
      <c r="B134" s="482">
        <v>45</v>
      </c>
      <c r="C134" s="96" t="s">
        <v>503</v>
      </c>
      <c r="D134" s="100"/>
      <c r="E134" s="586"/>
      <c r="F134" s="207">
        <f>ROUND((0.8+0.4*(VLOOKUP('Quick Input'!M$22,Auswahlfelder!$D$36:$E$38,2,FALSE)-1))/F$27,0)</f>
        <v>2</v>
      </c>
      <c r="G134" s="436"/>
      <c r="H134" s="437"/>
      <c r="I134" s="207">
        <f>ROUND((0.8+0.4*(VLOOKUP('Quick Input'!P$22,Auswahlfelder!$D$36:$E$38,2,FALSE)-1))/I$27,0)</f>
        <v>1</v>
      </c>
      <c r="J134" s="436"/>
      <c r="K134" s="437"/>
      <c r="L134" s="207">
        <f>ROUND((0.8+0.4*(VLOOKUP('Quick Input'!S$22,Auswahlfelder!$D$36:$E$38,2,FALSE)-1))/L$27,0)</f>
        <v>2</v>
      </c>
      <c r="M134" s="436"/>
      <c r="N134" s="437"/>
      <c r="O134" s="207">
        <f>ROUND((0.8+0.4*(VLOOKUP('Quick Input'!V$22,Auswahlfelder!$D$36:$E$38,2,FALSE)-1))/O$27,0)</f>
        <v>2</v>
      </c>
      <c r="P134" s="436"/>
      <c r="Q134" s="437"/>
      <c r="R134" s="207">
        <f>ROUND((0.8+0.4*(VLOOKUP('Quick Input'!Y$22,Auswahlfelder!$D$36:$E$38,2,FALSE)-1))/R$27,0)</f>
        <v>2</v>
      </c>
      <c r="S134" s="436"/>
      <c r="T134" s="437"/>
      <c r="U134" s="207">
        <f>ROUND((0.8+0.4*(VLOOKUP('Quick Input'!AB$22,Auswahlfelder!$D$36:$E$38,2,FALSE)-1))/U$27,0)</f>
        <v>2</v>
      </c>
      <c r="V134" s="11"/>
    </row>
    <row r="135" spans="2:24" x14ac:dyDescent="0.2">
      <c r="B135" s="482">
        <v>45</v>
      </c>
      <c r="C135" s="96" t="s">
        <v>518</v>
      </c>
      <c r="D135" s="100" t="s">
        <v>395</v>
      </c>
      <c r="E135" s="584" t="s">
        <v>501</v>
      </c>
      <c r="F135" s="207">
        <f>ROUND(2.5+0.5*(F$132-2)+(F$132-1)*0.8/F27+IF(AND('Quick Input'!M$23&gt;1,Parametrikber!F113&gt;0),1)+VLOOKUP('Quick Input'!M$21,Auswahlfelder!$D$16:$E$196,2,FALSE)*0.3,0)</f>
        <v>4</v>
      </c>
      <c r="G135" s="436"/>
      <c r="H135" s="437"/>
      <c r="I135" s="207">
        <f>ROUND(2.5+0.5*(I$132-2)+(I$132-1)*0.8/I27+IF(AND('Quick Input'!P$23&gt;1,Parametrikber!I113&gt;0),1)+VLOOKUP('Quick Input'!P$21,Auswahlfelder!$D$16:$E$196,2,FALSE)*0.3,0)</f>
        <v>3</v>
      </c>
      <c r="J135" s="436"/>
      <c r="K135" s="437"/>
      <c r="L135" s="207">
        <f>ROUND(2.5+0.5*(L$132-2)+(L$132-1)*0.8/L27+IF(AND('Quick Input'!S$23&gt;1,Parametrikber!L113&gt;0),1)+VLOOKUP('Quick Input'!S$21,Auswahlfelder!$D$16:$E$196,2,FALSE)*0.3,0)</f>
        <v>3</v>
      </c>
      <c r="M135" s="436"/>
      <c r="N135" s="437"/>
      <c r="O135" s="207">
        <f>ROUND(2.5+0.5*(O$132-2)+(O$132-1)*0.8/O27+IF(AND('Quick Input'!V$23&gt;1,Parametrikber!O113&gt;0),1)+VLOOKUP('Quick Input'!V$21,Auswahlfelder!$D$16:$E$196,2,FALSE)*0.3,0)</f>
        <v>6</v>
      </c>
      <c r="P135" s="436"/>
      <c r="Q135" s="437"/>
      <c r="R135" s="207">
        <f>ROUND(2.5+0.5*(R$132-2)+(R$132-1)*0.8/R27+IF(AND('Quick Input'!Y$23&gt;1,Parametrikber!R113&gt;0),1)+VLOOKUP('Quick Input'!Y$21,Auswahlfelder!$D$16:$E$196,2,FALSE)*0.3,0)</f>
        <v>6</v>
      </c>
      <c r="S135" s="436"/>
      <c r="T135" s="437"/>
      <c r="U135" s="207">
        <f>ROUND(2.5+0.5*(U$132-2)+(U$132-1)*0.8/U27+IF(AND('Quick Input'!AB$23&gt;1,Parametrikber!U113&gt;0),1)+VLOOKUP('Quick Input'!AB$21,Auswahlfelder!$D$16:$E$196,2,FALSE)*0.3,0)</f>
        <v>6</v>
      </c>
      <c r="V135" s="11"/>
      <c r="X135" s="526"/>
    </row>
    <row r="136" spans="2:24" ht="15" thickBot="1" x14ac:dyDescent="0.25">
      <c r="B136" s="482">
        <v>45</v>
      </c>
      <c r="C136" s="96" t="s">
        <v>519</v>
      </c>
      <c r="D136" s="100"/>
      <c r="E136" s="584" t="s">
        <v>501</v>
      </c>
      <c r="F136" s="206">
        <f>IF(F$132=3,1,0)</f>
        <v>0</v>
      </c>
      <c r="G136" s="436"/>
      <c r="H136" s="437"/>
      <c r="I136" s="206">
        <f>IF(I$132=3,1,0)</f>
        <v>0</v>
      </c>
      <c r="J136" s="436"/>
      <c r="K136" s="437"/>
      <c r="L136" s="206">
        <f>IF(L$132=3,1,0)</f>
        <v>0</v>
      </c>
      <c r="M136" s="436"/>
      <c r="N136" s="437"/>
      <c r="O136" s="206">
        <f>IF(O$132=3,1,0)</f>
        <v>1</v>
      </c>
      <c r="P136" s="436"/>
      <c r="Q136" s="437"/>
      <c r="R136" s="206">
        <f>IF(R$132=3,1,0)</f>
        <v>1</v>
      </c>
      <c r="S136" s="436"/>
      <c r="T136" s="437"/>
      <c r="U136" s="206">
        <f>IF(U$132=3,1,0)</f>
        <v>1</v>
      </c>
      <c r="V136" s="11"/>
      <c r="X136" s="526"/>
    </row>
    <row r="137" spans="2:24" ht="15" x14ac:dyDescent="0.25">
      <c r="B137" s="482">
        <v>48</v>
      </c>
      <c r="C137" s="95" t="s">
        <v>272</v>
      </c>
      <c r="D137" s="98"/>
      <c r="E137" s="583"/>
      <c r="F137" s="209">
        <f>F$142/F$149+F$152+F$155</f>
        <v>112.10742845117844</v>
      </c>
      <c r="G137" s="434"/>
      <c r="H137" s="435"/>
      <c r="I137" s="209">
        <f>I$142/I$149+I$152+I$155</f>
        <v>441.76907713498633</v>
      </c>
      <c r="J137" s="434"/>
      <c r="K137" s="435"/>
      <c r="L137" s="209">
        <f>L$142/L$149+L$152+L$155</f>
        <v>664.11376125384265</v>
      </c>
      <c r="M137" s="434"/>
      <c r="N137" s="435"/>
      <c r="O137" s="209">
        <f>O$142/O$149+O$152+O$155</f>
        <v>545.43805354267306</v>
      </c>
      <c r="P137" s="434"/>
      <c r="Q137" s="435"/>
      <c r="R137" s="209">
        <f>R$142/R$149+R$152+R$155</f>
        <v>545.43805354267306</v>
      </c>
      <c r="S137" s="434"/>
      <c r="T137" s="435"/>
      <c r="U137" s="209">
        <f>U$142/U$149+U$152+U$155</f>
        <v>545.43805354267306</v>
      </c>
      <c r="V137" s="11"/>
    </row>
    <row r="138" spans="2:24" x14ac:dyDescent="0.2">
      <c r="B138" s="482">
        <v>48</v>
      </c>
      <c r="C138" s="96" t="s">
        <v>492</v>
      </c>
      <c r="D138" s="100">
        <v>1</v>
      </c>
      <c r="E138" s="584" t="s">
        <v>500</v>
      </c>
      <c r="F138" s="206">
        <f>VLOOKUP(Refkalkulation!H$52,DB_Maschinen,15,FALSE)</f>
        <v>1200000</v>
      </c>
      <c r="G138" s="436"/>
      <c r="H138" s="437"/>
      <c r="I138" s="206">
        <f>VLOOKUP(Refkalkulation!K$52,DB_Maschinen,15,FALSE)</f>
        <v>4320000</v>
      </c>
      <c r="J138" s="436"/>
      <c r="K138" s="437"/>
      <c r="L138" s="206">
        <f>VLOOKUP(Refkalkulation!N$52,DB_Maschinen,15,FALSE)</f>
        <v>4320000</v>
      </c>
      <c r="M138" s="436"/>
      <c r="N138" s="437"/>
      <c r="O138" s="206">
        <f>VLOOKUP(Refkalkulation!Q$52,DB_Maschinen,15,FALSE)</f>
        <v>5600000</v>
      </c>
      <c r="P138" s="436"/>
      <c r="Q138" s="437"/>
      <c r="R138" s="206">
        <f>VLOOKUP(Refkalkulation!T$52,DB_Maschinen,15,FALSE)</f>
        <v>5600000</v>
      </c>
      <c r="S138" s="436"/>
      <c r="T138" s="437"/>
      <c r="U138" s="206">
        <f>VLOOKUP(Refkalkulation!W$52,DB_Maschinen,15,FALSE)</f>
        <v>5600000</v>
      </c>
      <c r="V138" s="11"/>
    </row>
    <row r="139" spans="2:24" ht="15" x14ac:dyDescent="0.25">
      <c r="B139" s="482">
        <v>48</v>
      </c>
      <c r="C139" s="96" t="s">
        <v>493</v>
      </c>
      <c r="D139" s="540" t="s">
        <v>452</v>
      </c>
      <c r="E139" s="584" t="s">
        <v>500</v>
      </c>
      <c r="F139" s="206">
        <v>0</v>
      </c>
      <c r="G139" s="436"/>
      <c r="H139" s="437"/>
      <c r="I139" s="206">
        <v>0</v>
      </c>
      <c r="J139" s="436"/>
      <c r="K139" s="437"/>
      <c r="L139" s="206">
        <v>0</v>
      </c>
      <c r="M139" s="436"/>
      <c r="N139" s="437"/>
      <c r="O139" s="206">
        <v>0</v>
      </c>
      <c r="P139" s="436"/>
      <c r="Q139" s="437"/>
      <c r="R139" s="206">
        <v>0</v>
      </c>
      <c r="S139" s="436"/>
      <c r="T139" s="437"/>
      <c r="U139" s="206">
        <v>0</v>
      </c>
      <c r="V139" s="11"/>
    </row>
    <row r="140" spans="2:24" x14ac:dyDescent="0.2">
      <c r="B140" s="482">
        <v>48</v>
      </c>
      <c r="C140" s="96" t="s">
        <v>149</v>
      </c>
      <c r="D140" s="100">
        <v>1</v>
      </c>
      <c r="E140" s="584" t="s">
        <v>500</v>
      </c>
      <c r="F140" s="206">
        <f>'Länder-DB'!$I$27+VLOOKUP(F$19,DB_Länder,13,FALSE)</f>
        <v>10</v>
      </c>
      <c r="G140" s="442"/>
      <c r="H140" s="443"/>
      <c r="I140" s="206">
        <f>'Länder-DB'!$I$27+VLOOKUP(I$19,DB_Länder,13,FALSE)</f>
        <v>11</v>
      </c>
      <c r="J140" s="442"/>
      <c r="K140" s="443"/>
      <c r="L140" s="206">
        <f>'Länder-DB'!$I$27+VLOOKUP(L$19,DB_Länder,13,FALSE)</f>
        <v>11</v>
      </c>
      <c r="M140" s="442"/>
      <c r="N140" s="443"/>
      <c r="O140" s="206">
        <f>'Länder-DB'!$I$27+VLOOKUP(O$19,DB_Länder,13,FALSE)</f>
        <v>10</v>
      </c>
      <c r="P140" s="442"/>
      <c r="Q140" s="443"/>
      <c r="R140" s="206">
        <f>'Länder-DB'!$I$27+VLOOKUP(R$19,DB_Länder,13,FALSE)</f>
        <v>10</v>
      </c>
      <c r="S140" s="442"/>
      <c r="T140" s="443"/>
      <c r="U140" s="206">
        <f>'Länder-DB'!$I$27+VLOOKUP(U$19,DB_Länder,13,FALSE)</f>
        <v>10</v>
      </c>
      <c r="V140" s="11"/>
    </row>
    <row r="141" spans="2:24" ht="15" x14ac:dyDescent="0.25">
      <c r="B141" s="482">
        <v>48</v>
      </c>
      <c r="C141" s="96" t="s">
        <v>153</v>
      </c>
      <c r="D141" s="540" t="s">
        <v>497</v>
      </c>
      <c r="E141" s="584" t="s">
        <v>500</v>
      </c>
      <c r="F141" s="206">
        <f>'Länder-DB'!$I$29*(F$138+F$139)</f>
        <v>120000</v>
      </c>
      <c r="G141" s="436"/>
      <c r="H141" s="437"/>
      <c r="I141" s="206">
        <f>'Länder-DB'!$I$29*(I$138+I$139)</f>
        <v>432000</v>
      </c>
      <c r="J141" s="436"/>
      <c r="K141" s="437"/>
      <c r="L141" s="206">
        <f>'Länder-DB'!$I$29*(L$138+L$139)</f>
        <v>432000</v>
      </c>
      <c r="M141" s="436"/>
      <c r="N141" s="437"/>
      <c r="O141" s="206">
        <f>'Länder-DB'!$I$29*(O$138+O$139)</f>
        <v>560000</v>
      </c>
      <c r="P141" s="436"/>
      <c r="Q141" s="437"/>
      <c r="R141" s="206">
        <f>'Länder-DB'!$I$29*(R$138+R$139)</f>
        <v>560000</v>
      </c>
      <c r="S141" s="436"/>
      <c r="T141" s="437"/>
      <c r="U141" s="206">
        <f>'Länder-DB'!$I$29*(U$138+U$139)</f>
        <v>560000</v>
      </c>
      <c r="V141" s="11"/>
    </row>
    <row r="142" spans="2:24" x14ac:dyDescent="0.2">
      <c r="B142" s="482">
        <v>48</v>
      </c>
      <c r="C142" s="96" t="s">
        <v>154</v>
      </c>
      <c r="D142" s="100">
        <v>1</v>
      </c>
      <c r="E142" s="584" t="s">
        <v>500</v>
      </c>
      <c r="F142" s="292">
        <f>(F$138+F$139)/F$140+F$141</f>
        <v>240000</v>
      </c>
      <c r="G142" s="436"/>
      <c r="H142" s="437"/>
      <c r="I142" s="292">
        <f>(I$138+I$139)/I$140+I$141</f>
        <v>824727.27272727271</v>
      </c>
      <c r="J142" s="436"/>
      <c r="K142" s="437"/>
      <c r="L142" s="292">
        <f>(L$138+L$139)/L$140+L$141</f>
        <v>824727.27272727271</v>
      </c>
      <c r="M142" s="436"/>
      <c r="N142" s="437"/>
      <c r="O142" s="292">
        <f>(O$138+O$139)/O$140+O$141</f>
        <v>1120000</v>
      </c>
      <c r="P142" s="436"/>
      <c r="Q142" s="437"/>
      <c r="R142" s="292">
        <f>(R$138+R$139)/R$140+R$141</f>
        <v>1120000</v>
      </c>
      <c r="S142" s="436"/>
      <c r="T142" s="437"/>
      <c r="U142" s="292">
        <f>(U$138+U$139)/U$140+U$141</f>
        <v>1120000</v>
      </c>
      <c r="V142" s="11"/>
    </row>
    <row r="143" spans="2:24" x14ac:dyDescent="0.2">
      <c r="B143" s="482">
        <v>48</v>
      </c>
      <c r="C143" s="96" t="s">
        <v>231</v>
      </c>
      <c r="D143" s="100">
        <v>1</v>
      </c>
      <c r="E143" s="584" t="s">
        <v>500</v>
      </c>
      <c r="F143" s="206">
        <f>8*VLOOKUP('Quick Input'!M$46,Auswahlfelder!$D$7:$E$9,2,FALSE)</f>
        <v>24</v>
      </c>
      <c r="G143" s="436"/>
      <c r="H143" s="437"/>
      <c r="I143" s="206">
        <f>8*VLOOKUP('Quick Input'!P$46,Auswahlfelder!$D$7:$E$9,2,FALSE)</f>
        <v>16</v>
      </c>
      <c r="J143" s="436"/>
      <c r="K143" s="437"/>
      <c r="L143" s="206">
        <f>8*VLOOKUP('Quick Input'!S$46,Auswahlfelder!$D$7:$E$9,2,FALSE)</f>
        <v>16</v>
      </c>
      <c r="M143" s="436"/>
      <c r="N143" s="437"/>
      <c r="O143" s="206">
        <f>8*VLOOKUP('Quick Input'!V$46,Auswahlfelder!$D$7:$E$9,2,FALSE)</f>
        <v>16</v>
      </c>
      <c r="P143" s="436"/>
      <c r="Q143" s="437"/>
      <c r="R143" s="206">
        <f>8*VLOOKUP('Quick Input'!Y$46,Auswahlfelder!$D$7:$E$9,2,FALSE)</f>
        <v>16</v>
      </c>
      <c r="S143" s="436"/>
      <c r="T143" s="437"/>
      <c r="U143" s="206">
        <f>8*VLOOKUP('Quick Input'!AB$46,Auswahlfelder!$D$7:$E$9,2,FALSE)</f>
        <v>16</v>
      </c>
      <c r="V143" s="11"/>
    </row>
    <row r="144" spans="2:24" x14ac:dyDescent="0.2">
      <c r="B144" s="482">
        <v>48</v>
      </c>
      <c r="C144" s="96" t="s">
        <v>151</v>
      </c>
      <c r="D144" s="100">
        <v>1</v>
      </c>
      <c r="E144" s="584" t="s">
        <v>500</v>
      </c>
      <c r="F144" s="206">
        <f>'Quick Input'!M$47</f>
        <v>5</v>
      </c>
      <c r="G144" s="436"/>
      <c r="H144" s="437"/>
      <c r="I144" s="206">
        <f>'Quick Input'!P$47</f>
        <v>5</v>
      </c>
      <c r="J144" s="436"/>
      <c r="K144" s="437"/>
      <c r="L144" s="206">
        <f>'Quick Input'!S$47</f>
        <v>5</v>
      </c>
      <c r="M144" s="436"/>
      <c r="N144" s="437"/>
      <c r="O144" s="206">
        <f>'Quick Input'!V$47</f>
        <v>5</v>
      </c>
      <c r="P144" s="436"/>
      <c r="Q144" s="437"/>
      <c r="R144" s="206">
        <f>'Quick Input'!Y$47</f>
        <v>5</v>
      </c>
      <c r="S144" s="436"/>
      <c r="T144" s="437"/>
      <c r="U144" s="206">
        <f>'Quick Input'!AB$47</f>
        <v>5</v>
      </c>
      <c r="V144" s="11"/>
    </row>
    <row r="145" spans="2:22" x14ac:dyDescent="0.2">
      <c r="B145" s="482">
        <v>48</v>
      </c>
      <c r="C145" s="96" t="s">
        <v>22</v>
      </c>
      <c r="D145" s="100">
        <v>1</v>
      </c>
      <c r="E145" s="584" t="s">
        <v>501</v>
      </c>
      <c r="F145" s="206">
        <f>'Quick Input'!M$48</f>
        <v>48</v>
      </c>
      <c r="G145" s="436"/>
      <c r="H145" s="437"/>
      <c r="I145" s="206">
        <f>'Quick Input'!P$48</f>
        <v>48</v>
      </c>
      <c r="J145" s="436"/>
      <c r="K145" s="437"/>
      <c r="L145" s="206">
        <f>'Quick Input'!S$48</f>
        <v>48</v>
      </c>
      <c r="M145" s="436"/>
      <c r="N145" s="437"/>
      <c r="O145" s="206">
        <f>'Quick Input'!V$48</f>
        <v>48</v>
      </c>
      <c r="P145" s="436"/>
      <c r="Q145" s="437"/>
      <c r="R145" s="206">
        <f>'Quick Input'!Y$48</f>
        <v>48</v>
      </c>
      <c r="S145" s="436"/>
      <c r="T145" s="437"/>
      <c r="U145" s="206">
        <f>'Quick Input'!AB$48</f>
        <v>48</v>
      </c>
      <c r="V145" s="11"/>
    </row>
    <row r="146" spans="2:22" x14ac:dyDescent="0.2">
      <c r="B146" s="482">
        <v>48</v>
      </c>
      <c r="C146" s="96" t="s">
        <v>156</v>
      </c>
      <c r="D146" s="100"/>
      <c r="E146" s="584" t="s">
        <v>501</v>
      </c>
      <c r="F146" s="206">
        <f>F$143*F$144*F$145</f>
        <v>5760</v>
      </c>
      <c r="G146" s="436"/>
      <c r="H146" s="437"/>
      <c r="I146" s="206">
        <f>I$143*I$144*I$145</f>
        <v>3840</v>
      </c>
      <c r="J146" s="436"/>
      <c r="K146" s="437"/>
      <c r="L146" s="206">
        <f>L$143*L$144*L$145</f>
        <v>3840</v>
      </c>
      <c r="M146" s="436"/>
      <c r="N146" s="437"/>
      <c r="O146" s="206">
        <f>O$143*O$144*O$145</f>
        <v>3840</v>
      </c>
      <c r="P146" s="436"/>
      <c r="Q146" s="437"/>
      <c r="R146" s="206">
        <f>R$143*R$144*R$145</f>
        <v>3840</v>
      </c>
      <c r="S146" s="436"/>
      <c r="T146" s="437"/>
      <c r="U146" s="206">
        <f>U$143*U$144*U$145</f>
        <v>3840</v>
      </c>
      <c r="V146" s="11"/>
    </row>
    <row r="147" spans="2:22" x14ac:dyDescent="0.2">
      <c r="B147" s="482">
        <v>48</v>
      </c>
      <c r="C147" s="96" t="s">
        <v>23</v>
      </c>
      <c r="D147" s="100"/>
      <c r="E147" s="586"/>
      <c r="F147" s="202">
        <f>F$27</f>
        <v>0.70400000000000007</v>
      </c>
      <c r="G147" s="436"/>
      <c r="H147" s="437"/>
      <c r="I147" s="202">
        <f>I$27</f>
        <v>0.60719999999999996</v>
      </c>
      <c r="J147" s="436"/>
      <c r="K147" s="437"/>
      <c r="L147" s="202">
        <f>L$27</f>
        <v>0.44159999999999999</v>
      </c>
      <c r="M147" s="436"/>
      <c r="N147" s="437"/>
      <c r="O147" s="202">
        <f>O$27</f>
        <v>0.7360000000000001</v>
      </c>
      <c r="P147" s="436"/>
      <c r="Q147" s="437"/>
      <c r="R147" s="202">
        <f>R$27</f>
        <v>0.7360000000000001</v>
      </c>
      <c r="S147" s="436"/>
      <c r="T147" s="437"/>
      <c r="U147" s="202">
        <f>U$27</f>
        <v>0.7360000000000001</v>
      </c>
      <c r="V147" s="11"/>
    </row>
    <row r="148" spans="2:22" ht="15" x14ac:dyDescent="0.25">
      <c r="B148" s="482">
        <v>48</v>
      </c>
      <c r="C148" s="96" t="s">
        <v>150</v>
      </c>
      <c r="D148" s="540" t="s">
        <v>395</v>
      </c>
      <c r="E148" s="584" t="s">
        <v>500</v>
      </c>
      <c r="F148" s="202">
        <f>0.9*F$27</f>
        <v>0.63360000000000005</v>
      </c>
      <c r="G148" s="436"/>
      <c r="H148" s="437"/>
      <c r="I148" s="202">
        <f>0.9*I$27</f>
        <v>0.54647999999999997</v>
      </c>
      <c r="J148" s="436"/>
      <c r="K148" s="437"/>
      <c r="L148" s="202">
        <f>0.9*L$27</f>
        <v>0.39744000000000002</v>
      </c>
      <c r="M148" s="436"/>
      <c r="N148" s="437"/>
      <c r="O148" s="202">
        <f>0.9*O$27</f>
        <v>0.6624000000000001</v>
      </c>
      <c r="P148" s="436"/>
      <c r="Q148" s="437"/>
      <c r="R148" s="202">
        <f>0.9*R$27</f>
        <v>0.6624000000000001</v>
      </c>
      <c r="S148" s="436"/>
      <c r="T148" s="437"/>
      <c r="U148" s="202">
        <f>0.9*U$27</f>
        <v>0.6624000000000001</v>
      </c>
      <c r="V148" s="5"/>
    </row>
    <row r="149" spans="2:22" x14ac:dyDescent="0.2">
      <c r="B149" s="482">
        <v>48</v>
      </c>
      <c r="C149" s="96" t="s">
        <v>157</v>
      </c>
      <c r="D149" s="100">
        <v>1</v>
      </c>
      <c r="E149" s="584" t="s">
        <v>500</v>
      </c>
      <c r="F149" s="292">
        <f>F$146*F$148</f>
        <v>3649.5360000000005</v>
      </c>
      <c r="G149" s="436"/>
      <c r="H149" s="437"/>
      <c r="I149" s="292">
        <f>I146*I148</f>
        <v>2098.4831999999997</v>
      </c>
      <c r="J149" s="436"/>
      <c r="K149" s="437"/>
      <c r="L149" s="292">
        <f>L146*L148</f>
        <v>1526.1696000000002</v>
      </c>
      <c r="M149" s="436"/>
      <c r="N149" s="437"/>
      <c r="O149" s="292">
        <f>O146*O148</f>
        <v>2543.6160000000004</v>
      </c>
      <c r="P149" s="436"/>
      <c r="Q149" s="437"/>
      <c r="R149" s="292">
        <f>R146*R148</f>
        <v>2543.6160000000004</v>
      </c>
      <c r="S149" s="436"/>
      <c r="T149" s="437"/>
      <c r="U149" s="292">
        <f>U146*U148</f>
        <v>2543.6160000000004</v>
      </c>
      <c r="V149" s="5"/>
    </row>
    <row r="150" spans="2:22" x14ac:dyDescent="0.2">
      <c r="B150" s="482">
        <v>48</v>
      </c>
      <c r="C150" s="96" t="s">
        <v>543</v>
      </c>
      <c r="D150" s="100">
        <v>1</v>
      </c>
      <c r="E150" s="584" t="s">
        <v>500</v>
      </c>
      <c r="F150" s="162">
        <f>0.75*VLOOKUP(Refkalkulation!H$52,DB_Maschinen,12,FALSE)</f>
        <v>112.5</v>
      </c>
      <c r="G150" s="436"/>
      <c r="H150" s="437"/>
      <c r="I150" s="162">
        <f>0.75*VLOOKUP(Refkalkulation!K$52,DB_Maschinen,12,FALSE)</f>
        <v>202.5</v>
      </c>
      <c r="J150" s="436"/>
      <c r="K150" s="437"/>
      <c r="L150" s="162">
        <f>0.75*VLOOKUP(Refkalkulation!N$52,DB_Maschinen,12,FALSE)</f>
        <v>202.5</v>
      </c>
      <c r="M150" s="436"/>
      <c r="N150" s="437"/>
      <c r="O150" s="162">
        <f>0.75*VLOOKUP(Refkalkulation!Q$52,DB_Maschinen,12,FALSE)</f>
        <v>187.5</v>
      </c>
      <c r="P150" s="436"/>
      <c r="Q150" s="437"/>
      <c r="R150" s="162">
        <f>0.75*VLOOKUP(Refkalkulation!T$52,DB_Maschinen,12,FALSE)</f>
        <v>187.5</v>
      </c>
      <c r="S150" s="436"/>
      <c r="T150" s="437"/>
      <c r="U150" s="162">
        <f>0.75*VLOOKUP(Refkalkulation!W$52,DB_Maschinen,12,FALSE)</f>
        <v>187.5</v>
      </c>
      <c r="V150" s="11"/>
    </row>
    <row r="151" spans="2:22" x14ac:dyDescent="0.2">
      <c r="B151" s="482">
        <v>48</v>
      </c>
      <c r="C151" s="96" t="s">
        <v>138</v>
      </c>
      <c r="D151" s="100">
        <v>1</v>
      </c>
      <c r="E151" s="584" t="s">
        <v>501</v>
      </c>
      <c r="F151" s="210">
        <f>VLOOKUP(F$19,DB_Länder,7,FALSE)</f>
        <v>7.0000000000000007E-2</v>
      </c>
      <c r="G151" s="436"/>
      <c r="H151" s="437"/>
      <c r="I151" s="210">
        <f>VLOOKUP(I$19,DB_Länder,7,FALSE)</f>
        <v>0.04</v>
      </c>
      <c r="J151" s="436"/>
      <c r="K151" s="437"/>
      <c r="L151" s="210">
        <f>VLOOKUP(L$19,DB_Länder,7,FALSE)</f>
        <v>0.06</v>
      </c>
      <c r="M151" s="436"/>
      <c r="N151" s="437"/>
      <c r="O151" s="210">
        <f>VLOOKUP(O$19,DB_Länder,7,FALSE)</f>
        <v>7.0000000000000007E-2</v>
      </c>
      <c r="P151" s="436"/>
      <c r="Q151" s="437"/>
      <c r="R151" s="210">
        <f>VLOOKUP(R$19,DB_Länder,7,FALSE)</f>
        <v>7.0000000000000007E-2</v>
      </c>
      <c r="S151" s="436"/>
      <c r="T151" s="437"/>
      <c r="U151" s="210">
        <f>VLOOKUP(U$19,DB_Länder,7,FALSE)</f>
        <v>7.0000000000000007E-2</v>
      </c>
      <c r="V151" s="11"/>
    </row>
    <row r="152" spans="2:22" ht="15" x14ac:dyDescent="0.25">
      <c r="B152" s="482">
        <v>48</v>
      </c>
      <c r="C152" s="96" t="s">
        <v>152</v>
      </c>
      <c r="D152" s="540" t="s">
        <v>497</v>
      </c>
      <c r="E152" s="584" t="s">
        <v>500</v>
      </c>
      <c r="F152" s="293">
        <f>F$150*F$151</f>
        <v>7.8750000000000009</v>
      </c>
      <c r="G152" s="444"/>
      <c r="H152" s="437"/>
      <c r="I152" s="293">
        <f>I$150*I$151</f>
        <v>8.1</v>
      </c>
      <c r="J152" s="444"/>
      <c r="K152" s="437"/>
      <c r="L152" s="293">
        <f>L$150*L$151</f>
        <v>12.15</v>
      </c>
      <c r="M152" s="444"/>
      <c r="N152" s="437"/>
      <c r="O152" s="293">
        <f>O$150*O$151</f>
        <v>13.125000000000002</v>
      </c>
      <c r="P152" s="444"/>
      <c r="Q152" s="437"/>
      <c r="R152" s="293">
        <f>R$150*R$151</f>
        <v>13.125000000000002</v>
      </c>
      <c r="S152" s="444"/>
      <c r="T152" s="437"/>
      <c r="U152" s="293">
        <f>U$150*U$151</f>
        <v>13.125000000000002</v>
      </c>
      <c r="V152" s="11"/>
    </row>
    <row r="153" spans="2:22" ht="15" x14ac:dyDescent="0.25">
      <c r="B153" s="482">
        <v>48</v>
      </c>
      <c r="C153" s="96" t="s">
        <v>155</v>
      </c>
      <c r="D153" s="540" t="s">
        <v>496</v>
      </c>
      <c r="E153" s="584" t="s">
        <v>500</v>
      </c>
      <c r="F153" s="162">
        <f>VLOOKUP(Refkalkulation!H$52,DB_Maschinen,14,FALSE)</f>
        <v>1800</v>
      </c>
      <c r="G153" s="442"/>
      <c r="H153" s="437"/>
      <c r="I153" s="162">
        <f>VLOOKUP(Refkalkulation!K$52,DB_Maschinen,14,FALSE)</f>
        <v>3000</v>
      </c>
      <c r="J153" s="442"/>
      <c r="K153" s="437"/>
      <c r="L153" s="162">
        <f>VLOOKUP(Refkalkulation!N$52,DB_Maschinen,14,FALSE)</f>
        <v>3000</v>
      </c>
      <c r="M153" s="442"/>
      <c r="N153" s="437"/>
      <c r="O153" s="162">
        <f>VLOOKUP(Refkalkulation!Q$52,DB_Maschinen,14,FALSE)</f>
        <v>3000</v>
      </c>
      <c r="P153" s="442"/>
      <c r="Q153" s="437"/>
      <c r="R153" s="162">
        <f>VLOOKUP(Refkalkulation!T$52,DB_Maschinen,14,FALSE)</f>
        <v>3000</v>
      </c>
      <c r="S153" s="442"/>
      <c r="T153" s="437"/>
      <c r="U153" s="162">
        <f>VLOOKUP(Refkalkulation!W$52,DB_Maschinen,14,FALSE)</f>
        <v>3000</v>
      </c>
      <c r="V153" s="11"/>
    </row>
    <row r="154" spans="2:22" x14ac:dyDescent="0.2">
      <c r="B154" s="482">
        <v>48</v>
      </c>
      <c r="C154" s="96" t="s">
        <v>163</v>
      </c>
      <c r="D154" s="100">
        <v>1</v>
      </c>
      <c r="E154" s="584" t="s">
        <v>500</v>
      </c>
      <c r="F154" s="211">
        <f>VLOOKUP(F$19,DB_Länder,8,FALSE)</f>
        <v>6.5</v>
      </c>
      <c r="G154" s="444"/>
      <c r="H154" s="437"/>
      <c r="I154" s="211">
        <f>VLOOKUP(I$19,DB_Länder,8,FALSE)</f>
        <v>2.37</v>
      </c>
      <c r="J154" s="444"/>
      <c r="K154" s="437"/>
      <c r="L154" s="211">
        <f>VLOOKUP(L$19,DB_Länder,8,FALSE)</f>
        <v>4.7300000000000004</v>
      </c>
      <c r="M154" s="444"/>
      <c r="N154" s="437"/>
      <c r="O154" s="211">
        <f>VLOOKUP(O$19,DB_Länder,8,FALSE)</f>
        <v>6.5</v>
      </c>
      <c r="P154" s="444"/>
      <c r="Q154" s="437"/>
      <c r="R154" s="211">
        <f>VLOOKUP(R$19,DB_Länder,8,FALSE)</f>
        <v>6.5</v>
      </c>
      <c r="S154" s="444"/>
      <c r="T154" s="437"/>
      <c r="U154" s="211">
        <f>VLOOKUP(U$19,DB_Länder,8,FALSE)</f>
        <v>6.5</v>
      </c>
      <c r="V154" s="11"/>
    </row>
    <row r="155" spans="2:22" ht="15" thickBot="1" x14ac:dyDescent="0.25">
      <c r="B155" s="482">
        <v>48</v>
      </c>
      <c r="C155" s="97" t="s">
        <v>164</v>
      </c>
      <c r="D155" s="102">
        <v>1</v>
      </c>
      <c r="E155" s="585" t="s">
        <v>500</v>
      </c>
      <c r="F155" s="293">
        <f>F153*F154*12/F149</f>
        <v>38.470643939393931</v>
      </c>
      <c r="G155" s="438"/>
      <c r="H155" s="439"/>
      <c r="I155" s="293">
        <f>I153*I154*12/I149</f>
        <v>40.657938076416343</v>
      </c>
      <c r="J155" s="438"/>
      <c r="K155" s="439"/>
      <c r="L155" s="293">
        <f>L153*L154*12/L149</f>
        <v>111.57344504830918</v>
      </c>
      <c r="M155" s="438"/>
      <c r="N155" s="439"/>
      <c r="O155" s="293">
        <f>O153*O154*12/O149</f>
        <v>91.995018115942017</v>
      </c>
      <c r="P155" s="438"/>
      <c r="Q155" s="439"/>
      <c r="R155" s="293">
        <f>R153*R154*12/R149</f>
        <v>91.995018115942017</v>
      </c>
      <c r="S155" s="438"/>
      <c r="T155" s="439"/>
      <c r="U155" s="293">
        <f>U153*U154*12/U149</f>
        <v>91.995018115942017</v>
      </c>
      <c r="V155" s="32"/>
    </row>
    <row r="156" spans="2:22" ht="15" x14ac:dyDescent="0.25">
      <c r="B156" s="482">
        <v>21</v>
      </c>
      <c r="C156" s="95" t="s">
        <v>522</v>
      </c>
      <c r="D156" s="98"/>
      <c r="E156" s="583" t="s">
        <v>501</v>
      </c>
      <c r="F156" s="205">
        <f>F$157+F$158+F$161+F$208</f>
        <v>450</v>
      </c>
      <c r="G156" s="445"/>
      <c r="H156" s="435"/>
      <c r="I156" s="205">
        <f>I$157+I$158+I$161+I$208</f>
        <v>40.000000000000007</v>
      </c>
      <c r="J156" s="445"/>
      <c r="K156" s="435"/>
      <c r="L156" s="205">
        <f>L$157+L$158+L$161+L$208</f>
        <v>40.000000000000007</v>
      </c>
      <c r="M156" s="445"/>
      <c r="N156" s="435"/>
      <c r="O156" s="205">
        <f>O$157+O$158+O$161+O$208</f>
        <v>11.25</v>
      </c>
      <c r="P156" s="445"/>
      <c r="Q156" s="435"/>
      <c r="R156" s="205">
        <f>R$157+R$158+R$161+R$208</f>
        <v>11.25</v>
      </c>
      <c r="S156" s="445"/>
      <c r="T156" s="435"/>
      <c r="U156" s="205">
        <f>U$157+U$158+U$161+U$208</f>
        <v>11.25</v>
      </c>
      <c r="V156" s="11"/>
    </row>
    <row r="157" spans="2:22" x14ac:dyDescent="0.2">
      <c r="B157" s="482">
        <v>21</v>
      </c>
      <c r="C157" s="96" t="s">
        <v>166</v>
      </c>
      <c r="D157" s="100">
        <v>1</v>
      </c>
      <c r="E157" s="584" t="s">
        <v>500</v>
      </c>
      <c r="F157" s="206">
        <f>60*VLOOKUP(Refkalkulation!H$52,DB_Maschinen,9,FALSE)</f>
        <v>450</v>
      </c>
      <c r="G157" s="436"/>
      <c r="H157" s="437"/>
      <c r="I157" s="206">
        <f>60*VLOOKUP(Refkalkulation!K$52,DB_Maschinen,9,FALSE)</f>
        <v>40.000000000000007</v>
      </c>
      <c r="J157" s="436"/>
      <c r="K157" s="437"/>
      <c r="L157" s="206">
        <f>60*VLOOKUP(Refkalkulation!N$52,DB_Maschinen,9,FALSE)</f>
        <v>40.000000000000007</v>
      </c>
      <c r="M157" s="436"/>
      <c r="N157" s="437"/>
      <c r="O157" s="206">
        <f>60*VLOOKUP(Refkalkulation!Q$52,DB_Maschinen,9,FALSE)</f>
        <v>11.25</v>
      </c>
      <c r="P157" s="436"/>
      <c r="Q157" s="437"/>
      <c r="R157" s="206">
        <f>60*VLOOKUP(Refkalkulation!T$52,DB_Maschinen,9,FALSE)</f>
        <v>11.25</v>
      </c>
      <c r="S157" s="436"/>
      <c r="T157" s="437"/>
      <c r="U157" s="206">
        <f>60*VLOOKUP(Refkalkulation!W$52,DB_Maschinen,9,FALSE)</f>
        <v>11.25</v>
      </c>
      <c r="V157" s="11"/>
    </row>
    <row r="158" spans="2:22" x14ac:dyDescent="0.2">
      <c r="B158" s="482">
        <v>21</v>
      </c>
      <c r="C158" s="96" t="s">
        <v>498</v>
      </c>
      <c r="D158" s="100" t="s">
        <v>395</v>
      </c>
      <c r="E158" s="584" t="s">
        <v>500</v>
      </c>
      <c r="F158" s="206">
        <f>60*IF(F157=0,VLOOKUP(F$70,DB_Maschinen,13,FALSE)*(1+F$159+F$160),0)</f>
        <v>0</v>
      </c>
      <c r="G158" s="436"/>
      <c r="H158" s="437"/>
      <c r="I158" s="206">
        <f>60*IF(I157=0,VLOOKUP(I$70,DB_Maschinen,13,FALSE)*(1+I$159+I$160),0)</f>
        <v>0</v>
      </c>
      <c r="J158" s="436"/>
      <c r="K158" s="437"/>
      <c r="L158" s="206">
        <f>60*IF(L157=0,VLOOKUP(L$70,DB_Maschinen,13,FALSE)*(1+L$159+L$160),0)</f>
        <v>0</v>
      </c>
      <c r="M158" s="436"/>
      <c r="N158" s="437"/>
      <c r="O158" s="206">
        <f>60*IF(O157=0,VLOOKUP(O$70,DB_Maschinen,13,FALSE)*(1+O$159+O$160),0)</f>
        <v>0</v>
      </c>
      <c r="P158" s="436"/>
      <c r="Q158" s="437"/>
      <c r="R158" s="206">
        <f>60*IF(R157=0,VLOOKUP(R$70,DB_Maschinen,13,FALSE)*(1+R$159+R$160),0)</f>
        <v>0</v>
      </c>
      <c r="S158" s="436"/>
      <c r="T158" s="437"/>
      <c r="U158" s="206">
        <f>60*IF(U157=0,VLOOKUP(U$70,DB_Maschinen,13,FALSE)*(1+U$159+U$160),0)</f>
        <v>0</v>
      </c>
      <c r="V158" s="11"/>
    </row>
    <row r="159" spans="2:22" x14ac:dyDescent="0.2">
      <c r="B159" s="482">
        <v>21</v>
      </c>
      <c r="C159" s="96" t="s">
        <v>521</v>
      </c>
      <c r="D159" s="100" t="s">
        <v>395</v>
      </c>
      <c r="E159" s="584" t="s">
        <v>500</v>
      </c>
      <c r="F159" s="202">
        <f>18%*VLOOKUP('Quick Input'!M$21,Auswahlfelder!$D$16:$E$19,2,FALSE)</f>
        <v>0.36</v>
      </c>
      <c r="G159" s="436"/>
      <c r="H159" s="437"/>
      <c r="I159" s="202">
        <f>18%*VLOOKUP('Quick Input'!P$21,Auswahlfelder!$D$16:$E$19,2,FALSE)</f>
        <v>0.36</v>
      </c>
      <c r="J159" s="436"/>
      <c r="K159" s="437"/>
      <c r="L159" s="202">
        <f>18%*VLOOKUP('Quick Input'!S$21,Auswahlfelder!$D$16:$E$19,2,FALSE)</f>
        <v>0.36</v>
      </c>
      <c r="M159" s="436"/>
      <c r="N159" s="437"/>
      <c r="O159" s="202">
        <f>18%*VLOOKUP('Quick Input'!V$21,Auswahlfelder!$D$16:$E$19,2,FALSE)</f>
        <v>0.36</v>
      </c>
      <c r="P159" s="436"/>
      <c r="Q159" s="437"/>
      <c r="R159" s="202">
        <f>18%*VLOOKUP('Quick Input'!Y$21,Auswahlfelder!$D$16:$E$19,2,FALSE)</f>
        <v>0.36</v>
      </c>
      <c r="S159" s="436"/>
      <c r="T159" s="437"/>
      <c r="U159" s="202">
        <f>18%*VLOOKUP('Quick Input'!AB$21,Auswahlfelder!$D$16:$E$19,2,FALSE)</f>
        <v>0.36</v>
      </c>
      <c r="V159" s="11"/>
    </row>
    <row r="160" spans="2:22" x14ac:dyDescent="0.2">
      <c r="B160" s="482">
        <v>21</v>
      </c>
      <c r="C160" s="96" t="s">
        <v>523</v>
      </c>
      <c r="D160" s="100"/>
      <c r="E160" s="584" t="s">
        <v>500</v>
      </c>
      <c r="F160" s="155">
        <f>MAX(0,(F$40-8))/300</f>
        <v>0</v>
      </c>
      <c r="G160" s="436"/>
      <c r="H160" s="437"/>
      <c r="I160" s="155">
        <f>MAX(0,(I$40-8))/300</f>
        <v>0</v>
      </c>
      <c r="J160" s="436"/>
      <c r="K160" s="437"/>
      <c r="L160" s="155">
        <f>MAX(0,(L$40-8))/300</f>
        <v>0</v>
      </c>
      <c r="M160" s="436"/>
      <c r="N160" s="437"/>
      <c r="O160" s="155" t="e">
        <f>MAX(0,(O$40-8))/300</f>
        <v>#VALUE!</v>
      </c>
      <c r="P160" s="436"/>
      <c r="Q160" s="437"/>
      <c r="R160" s="155" t="e">
        <f>MAX(0,(R$40-8))/300</f>
        <v>#VALUE!</v>
      </c>
      <c r="S160" s="436"/>
      <c r="T160" s="437"/>
      <c r="U160" s="155" t="e">
        <f>MAX(0,(U$40-8))/300</f>
        <v>#VALUE!</v>
      </c>
      <c r="V160" s="11"/>
    </row>
    <row r="161" spans="2:24" ht="15" thickBot="1" x14ac:dyDescent="0.25">
      <c r="B161" s="482">
        <v>21</v>
      </c>
      <c r="C161" s="483" t="s">
        <v>524</v>
      </c>
      <c r="D161" s="102"/>
      <c r="E161" s="584" t="s">
        <v>500</v>
      </c>
      <c r="F161" s="206">
        <f>IF(OR(F$157=0,F$117=0),0,15/F$27*'Quick Input'!M$50)</f>
        <v>0</v>
      </c>
      <c r="G161" s="436"/>
      <c r="H161" s="437"/>
      <c r="I161" s="206">
        <f>IF(OR(I$157=0,I$117=0),0,15/I$27*'Quick Input'!P$50)</f>
        <v>0</v>
      </c>
      <c r="J161" s="436"/>
      <c r="K161" s="437"/>
      <c r="L161" s="206">
        <f>IF(OR(L$157=0,L$117=0),0,15/L$27*'Quick Input'!S$50)</f>
        <v>0</v>
      </c>
      <c r="M161" s="436"/>
      <c r="N161" s="437"/>
      <c r="O161" s="206">
        <f>IF(OR(O$157=0,O$117=0),0,15/O$27*'Quick Input'!V$50)</f>
        <v>0</v>
      </c>
      <c r="P161" s="436"/>
      <c r="Q161" s="437"/>
      <c r="R161" s="206">
        <f>IF(OR(R$157=0,R$117=0),0,15/R$27*'Quick Input'!Y$50)</f>
        <v>0</v>
      </c>
      <c r="S161" s="436"/>
      <c r="T161" s="437"/>
      <c r="U161" s="206">
        <f>IF(OR(U$157=0,U$117=0),0,15/U$27*'Quick Input'!AB$50)</f>
        <v>0</v>
      </c>
      <c r="V161" s="11"/>
    </row>
    <row r="162" spans="2:24" ht="15" x14ac:dyDescent="0.25">
      <c r="B162" s="660">
        <v>27</v>
      </c>
      <c r="C162" s="95" t="s">
        <v>826</v>
      </c>
      <c r="D162" s="98">
        <v>1</v>
      </c>
      <c r="E162" s="589" t="s">
        <v>501</v>
      </c>
      <c r="F162" s="942">
        <f>IFERROR(IF(Refkalkulation!H$75=0,ROUND(F$163*(1+F$164+F$165)/60,1),Refkalkulation!H$75),0)</f>
        <v>60</v>
      </c>
      <c r="G162" s="943"/>
      <c r="H162" s="944"/>
      <c r="I162" s="942">
        <f>IFERROR(IF(Refkalkulation!K$75=0,ROUND(I$163*(1+I$164+I$165)/60,1),Refkalkulation!K$75),0)</f>
        <v>5</v>
      </c>
      <c r="J162" s="943"/>
      <c r="K162" s="944"/>
      <c r="L162" s="942">
        <f>IFERROR(IF(Refkalkulation!N$75=0,ROUND(L$163*(1+L$164+L$165)/60,1),Refkalkulation!N$75),0)</f>
        <v>5</v>
      </c>
      <c r="M162" s="943"/>
      <c r="N162" s="944"/>
      <c r="O162" s="942">
        <f>IFERROR(IF(Refkalkulation!Q$75=0,ROUND(O$163*(1+O$164+O$165)/60,1),Refkalkulation!Q$75),0)</f>
        <v>0</v>
      </c>
      <c r="P162" s="943"/>
      <c r="Q162" s="944"/>
      <c r="R162" s="942">
        <f>IFERROR(IF(Refkalkulation!T$75=0,ROUND(R$163*(1+R$164+R$165)/60,1),Refkalkulation!T$75),0)</f>
        <v>0</v>
      </c>
      <c r="S162" s="943"/>
      <c r="T162" s="944"/>
      <c r="U162" s="942">
        <f>IFERROR(IF(Refkalkulation!W$75=0,ROUND(U$163*(1+U$164+U$165)/60,1),Refkalkulation!W$75),0)</f>
        <v>0</v>
      </c>
      <c r="V162" s="11"/>
      <c r="X162" s="526"/>
    </row>
    <row r="163" spans="2:24" ht="15" x14ac:dyDescent="0.25">
      <c r="B163" s="660">
        <v>27</v>
      </c>
      <c r="C163" s="96" t="s">
        <v>540</v>
      </c>
      <c r="D163" s="540">
        <v>8</v>
      </c>
      <c r="E163" s="584" t="s">
        <v>500</v>
      </c>
      <c r="F163" s="30">
        <f>ROUND(IF(F$40&lt;$D$167,$D$163,SQRT(10*F$40)),0)</f>
        <v>8</v>
      </c>
      <c r="G163" s="436"/>
      <c r="H163" s="437"/>
      <c r="I163" s="30">
        <f>ROUND(IF(I$40&lt;$D$167,$D$163,SQRT(10*I$40)),0)</f>
        <v>8</v>
      </c>
      <c r="J163" s="436"/>
      <c r="K163" s="437"/>
      <c r="L163" s="30">
        <f>ROUND(IF(L$40&lt;$D$167,$D$163,SQRT(10*L$40)),0)</f>
        <v>8</v>
      </c>
      <c r="M163" s="436"/>
      <c r="N163" s="437"/>
      <c r="O163" s="30" t="e">
        <f>ROUND(IF(O$40&lt;$D$167,$D$163,SQRT(10*O$40)),0)</f>
        <v>#VALUE!</v>
      </c>
      <c r="P163" s="436"/>
      <c r="Q163" s="437"/>
      <c r="R163" s="30" t="e">
        <f>ROUND(IF(R$40&lt;$D$167,$D$163,SQRT(10*R$40)),0)</f>
        <v>#VALUE!</v>
      </c>
      <c r="S163" s="436"/>
      <c r="T163" s="437"/>
      <c r="U163" s="30" t="e">
        <f>ROUND(IF(U$40&lt;$D$167,$D$163,SQRT(10*U$40)),0)</f>
        <v>#VALUE!</v>
      </c>
      <c r="V163" s="11"/>
      <c r="X163" s="526"/>
    </row>
    <row r="164" spans="2:24" x14ac:dyDescent="0.2">
      <c r="B164" s="660">
        <v>27</v>
      </c>
      <c r="C164" s="96" t="s">
        <v>854</v>
      </c>
      <c r="D164" s="100" t="s">
        <v>395</v>
      </c>
      <c r="E164" s="584" t="s">
        <v>500</v>
      </c>
      <c r="F164" s="202">
        <f>12%*(VLOOKUP('Quick Input'!M$21,Auswahlfelder!$D$16:$E$19,2,FALSE)-1)+10%*(VLOOKUP(Refkalkulation!I$59,Auswahlfelder!$D$65:$E$68,2,FALSE)-1)</f>
        <v>0.12</v>
      </c>
      <c r="G164" s="436"/>
      <c r="H164" s="437"/>
      <c r="I164" s="202">
        <f>12%*(VLOOKUP('Quick Input'!P$21,Auswahlfelder!$D$16:$E$19,2,FALSE)-1)+10%*(VLOOKUP(Refkalkulation!L$59,Auswahlfelder!$D$65:$E$68,2,FALSE)-1)</f>
        <v>0.12</v>
      </c>
      <c r="J164" s="436"/>
      <c r="K164" s="437"/>
      <c r="L164" s="202">
        <f>12%*(VLOOKUP('Quick Input'!S$21,Auswahlfelder!$D$16:$E$19,2,FALSE)-1)+10%*(VLOOKUP(Refkalkulation!O$59,Auswahlfelder!$D$65:$E$68,2,FALSE)-1)</f>
        <v>0.12</v>
      </c>
      <c r="M164" s="436"/>
      <c r="N164" s="437"/>
      <c r="O164" s="202">
        <f>12%*(VLOOKUP('Quick Input'!V$21,Auswahlfelder!$D$16:$E$19,2,FALSE)-1)+10%*(VLOOKUP(Refkalkulation!R$59,Auswahlfelder!$D$65:$E$68,2,FALSE)-1)</f>
        <v>0.12</v>
      </c>
      <c r="P164" s="436"/>
      <c r="Q164" s="437"/>
      <c r="R164" s="202">
        <f>12%*(VLOOKUP('Quick Input'!Y$21,Auswahlfelder!$D$16:$E$19,2,FALSE)-1)+10%*(VLOOKUP(Refkalkulation!U$59,Auswahlfelder!$D$65:$E$68,2,FALSE)-1)</f>
        <v>0.12</v>
      </c>
      <c r="S164" s="436"/>
      <c r="T164" s="437"/>
      <c r="U164" s="202">
        <f>12%*(VLOOKUP('Quick Input'!AB$21,Auswahlfelder!$D$16:$E$19,2,FALSE)-1)+10%*(VLOOKUP(Refkalkulation!X$59,Auswahlfelder!$D$65:$E$68,2,FALSE)-1)</f>
        <v>0.12</v>
      </c>
      <c r="V164" s="11"/>
    </row>
    <row r="165" spans="2:24" ht="15" thickBot="1" x14ac:dyDescent="0.25">
      <c r="B165" s="660">
        <v>27</v>
      </c>
      <c r="C165" s="96" t="s">
        <v>181</v>
      </c>
      <c r="D165" s="100" t="s">
        <v>395</v>
      </c>
      <c r="E165" s="584" t="s">
        <v>500</v>
      </c>
      <c r="F165" s="202">
        <f>SQRT('Quick Input'!M$20/100)*15%</f>
        <v>0.6454972243679028</v>
      </c>
      <c r="G165" s="436"/>
      <c r="H165" s="437"/>
      <c r="I165" s="202">
        <f>SQRT('Quick Input'!P$20/100)*15%</f>
        <v>0.64478119838560288</v>
      </c>
      <c r="J165" s="436"/>
      <c r="K165" s="437"/>
      <c r="L165" s="202">
        <f>SQRT('Quick Input'!S$20/100)*15%</f>
        <v>0.64478119838560288</v>
      </c>
      <c r="M165" s="436"/>
      <c r="N165" s="437"/>
      <c r="O165" s="202">
        <f>SQRT('Quick Input'!V$20/100)*15%</f>
        <v>0</v>
      </c>
      <c r="P165" s="436"/>
      <c r="Q165" s="437"/>
      <c r="R165" s="202">
        <f>SQRT('Quick Input'!Y$20/100)*15%</f>
        <v>0</v>
      </c>
      <c r="S165" s="436"/>
      <c r="T165" s="437"/>
      <c r="U165" s="202">
        <f>SQRT('Quick Input'!AB$20/100)*15%</f>
        <v>0</v>
      </c>
      <c r="V165" s="11"/>
    </row>
    <row r="166" spans="2:24" ht="15" x14ac:dyDescent="0.25">
      <c r="B166" s="482">
        <v>27</v>
      </c>
      <c r="C166" s="95" t="s">
        <v>828</v>
      </c>
      <c r="D166" s="98"/>
      <c r="E166" s="589" t="s">
        <v>501</v>
      </c>
      <c r="F166" s="942">
        <f>IFERROR(IF(Refkalkulation!H$74=0,ROUND(F$167*(1+F$168+F$169)/60,1),Refkalkulation!H$74),0)</f>
        <v>0.4</v>
      </c>
      <c r="G166" s="943"/>
      <c r="H166" s="944"/>
      <c r="I166" s="942">
        <f>IFERROR(IF(Refkalkulation!K$74=0,ROUND(I$167*(1+I$168+I$169)/60,1),Refkalkulation!K$74),0)</f>
        <v>0.4</v>
      </c>
      <c r="J166" s="943"/>
      <c r="K166" s="944"/>
      <c r="L166" s="942">
        <f>IFERROR(IF(Refkalkulation!N$74=0,ROUND(L$167*(1+L$168+L$169)/60,1),Refkalkulation!N$74),0)</f>
        <v>0.4</v>
      </c>
      <c r="M166" s="943"/>
      <c r="N166" s="944"/>
      <c r="O166" s="942">
        <f>IFERROR(IF(Refkalkulation!Q$74=0,ROUND(O$167*(1+O$168+O$169)/60,1),Refkalkulation!Q$74),0)</f>
        <v>0</v>
      </c>
      <c r="P166" s="943"/>
      <c r="Q166" s="944"/>
      <c r="R166" s="942">
        <f>IFERROR(IF(Refkalkulation!T$74=0,ROUND(R$167*(1+R$168+R$169)/60,1),Refkalkulation!T$74),0)</f>
        <v>0</v>
      </c>
      <c r="S166" s="943"/>
      <c r="T166" s="944"/>
      <c r="U166" s="942">
        <f>IFERROR(IF(Refkalkulation!W$74=0,ROUND(U$167*(1+U$168+U$169)/60,1),Refkalkulation!W$74),0)</f>
        <v>0</v>
      </c>
      <c r="V166" s="11"/>
      <c r="X166" s="526"/>
    </row>
    <row r="167" spans="2:24" ht="15" x14ac:dyDescent="0.25">
      <c r="B167" s="482">
        <v>27</v>
      </c>
      <c r="C167" s="96" t="s">
        <v>852</v>
      </c>
      <c r="D167" s="540">
        <v>18</v>
      </c>
      <c r="E167" s="584" t="s">
        <v>500</v>
      </c>
      <c r="F167" s="30">
        <f>IF(F60=Auswahlfelder!$D$38,0,ROUND(IF(F$40&lt;$D$167,$D$168,SQRT(7*F$40)/F$46),0))</f>
        <v>15</v>
      </c>
      <c r="G167" s="436"/>
      <c r="H167" s="437"/>
      <c r="I167" s="30">
        <f>IF(I60=Auswahlfelder!$D$38,0,ROUND(IF(I$40&lt;$D$167,$D$168,SQRT(7*I$40)/I$46),0))</f>
        <v>15</v>
      </c>
      <c r="J167" s="436"/>
      <c r="K167" s="437"/>
      <c r="L167" s="30">
        <f>IF(L60=Auswahlfelder!$D$38,0,ROUND(IF(L$40&lt;$D$167,$D$168,SQRT(7*L$40)/L$46),0))</f>
        <v>15</v>
      </c>
      <c r="M167" s="436"/>
      <c r="N167" s="437"/>
      <c r="O167" s="30">
        <f>IF(O60=Auswahlfelder!$D$38,0,ROUND(IF(O$40&lt;$D$167,$D$168,SQRT(7*O$40)/O$46),0))</f>
        <v>0</v>
      </c>
      <c r="P167" s="436"/>
      <c r="Q167" s="437"/>
      <c r="R167" s="30">
        <f>IF(R60=Auswahlfelder!$D$38,0,ROUND(IF(R$40&lt;$D$167,$D$168,SQRT(7*R$40)/R$46),0))</f>
        <v>0</v>
      </c>
      <c r="S167" s="436"/>
      <c r="T167" s="437"/>
      <c r="U167" s="30">
        <f>IF(U60=Auswahlfelder!$D$38,0,ROUND(IF(U$40&lt;$D$167,$D$168,SQRT(7*U$40)/U$46),0))</f>
        <v>0</v>
      </c>
      <c r="V167" s="11"/>
      <c r="X167" s="526"/>
    </row>
    <row r="168" spans="2:24" ht="15" x14ac:dyDescent="0.25">
      <c r="B168" s="482">
        <v>27</v>
      </c>
      <c r="C168" s="96" t="s">
        <v>853</v>
      </c>
      <c r="D168" s="540">
        <v>15</v>
      </c>
      <c r="E168" s="584" t="s">
        <v>500</v>
      </c>
      <c r="F168" s="202">
        <f>15%*(VLOOKUP('Quick Input'!M$21,Auswahlfelder!$D$16:$E$19,2,FALSE)-1)</f>
        <v>0.15</v>
      </c>
      <c r="G168" s="436"/>
      <c r="H168" s="437"/>
      <c r="I168" s="202">
        <f>15%*(VLOOKUP('Quick Input'!P$21,Auswahlfelder!$D$16:$E$19,2,FALSE)-1)</f>
        <v>0.15</v>
      </c>
      <c r="J168" s="436"/>
      <c r="K168" s="437"/>
      <c r="L168" s="202">
        <f>15%*(VLOOKUP('Quick Input'!S$21,Auswahlfelder!$D$16:$E$19,2,FALSE)-1)</f>
        <v>0.15</v>
      </c>
      <c r="M168" s="436"/>
      <c r="N168" s="437"/>
      <c r="O168" s="202">
        <f>15%*(VLOOKUP('Quick Input'!V$21,Auswahlfelder!$D$16:$E$19,2,FALSE)-1)</f>
        <v>0.15</v>
      </c>
      <c r="P168" s="436"/>
      <c r="Q168" s="437"/>
      <c r="R168" s="202">
        <f>15%*(VLOOKUP('Quick Input'!Y$21,Auswahlfelder!$D$16:$E$19,2,FALSE)-1)</f>
        <v>0.15</v>
      </c>
      <c r="S168" s="436"/>
      <c r="T168" s="437"/>
      <c r="U168" s="202">
        <f>15%*(VLOOKUP('Quick Input'!AB$21,Auswahlfelder!$D$16:$E$19,2,FALSE)-1)</f>
        <v>0.15</v>
      </c>
      <c r="V168" s="11"/>
    </row>
    <row r="169" spans="2:24" ht="15" thickBot="1" x14ac:dyDescent="0.25">
      <c r="B169" s="482">
        <v>27</v>
      </c>
      <c r="C169" s="96" t="s">
        <v>181</v>
      </c>
      <c r="D169" s="810">
        <v>0.08</v>
      </c>
      <c r="E169" s="584" t="s">
        <v>500</v>
      </c>
      <c r="F169" s="202">
        <f>SQRT('Quick Input'!M$20/100)*$D$169</f>
        <v>0.34426518632954817</v>
      </c>
      <c r="G169" s="436"/>
      <c r="H169" s="437"/>
      <c r="I169" s="202">
        <f>SQRT('Quick Input'!P$20/100)*$D$169</f>
        <v>0.3438833058056549</v>
      </c>
      <c r="J169" s="436"/>
      <c r="K169" s="437"/>
      <c r="L169" s="202">
        <f>SQRT('Quick Input'!S$20/100)*$D$169</f>
        <v>0.3438833058056549</v>
      </c>
      <c r="M169" s="436"/>
      <c r="N169" s="437"/>
      <c r="O169" s="202">
        <f>SQRT('Quick Input'!V$20/100)*$D$169</f>
        <v>0</v>
      </c>
      <c r="P169" s="436"/>
      <c r="Q169" s="437"/>
      <c r="R169" s="202">
        <f>SQRT('Quick Input'!Y$20/100)*$D$169</f>
        <v>0</v>
      </c>
      <c r="S169" s="436"/>
      <c r="T169" s="437"/>
      <c r="U169" s="202">
        <f>SQRT('Quick Input'!AB$20/100)*$D$169</f>
        <v>0</v>
      </c>
      <c r="V169" s="11"/>
    </row>
    <row r="170" spans="2:24" ht="15" x14ac:dyDescent="0.25">
      <c r="B170" s="482">
        <v>60</v>
      </c>
      <c r="C170" s="95" t="s">
        <v>182</v>
      </c>
      <c r="D170" s="100" t="s">
        <v>94</v>
      </c>
      <c r="E170" s="589" t="s">
        <v>501</v>
      </c>
      <c r="F170" s="661">
        <f>IFERROR(IF(Refkalkulation!H$89=0,ROUND(F$171*(1+F$172+F$173+F$174),1),Refkalkulation!H$89),0)</f>
        <v>400</v>
      </c>
      <c r="G170" s="434"/>
      <c r="H170" s="435"/>
      <c r="I170" s="661">
        <f>IFERROR(IF(Refkalkulation!K$89=0,ROUND(I$171*(1+I$172+I$173+I$174),1),Refkalkulation!K$89),0)</f>
        <v>300</v>
      </c>
      <c r="J170" s="434"/>
      <c r="K170" s="435"/>
      <c r="L170" s="661">
        <f>IFERROR(IF(Refkalkulation!N$89=0,ROUND(L$171*(1+L$172+L$173+L$174),1),Refkalkulation!N$89),0)</f>
        <v>300</v>
      </c>
      <c r="M170" s="434"/>
      <c r="N170" s="435"/>
      <c r="O170" s="661">
        <f>IFERROR(IF(Refkalkulation!Q$89=0,ROUND(O$171*(1+O$172+O$173+O$174),1),Refkalkulation!Q$89),0)</f>
        <v>20</v>
      </c>
      <c r="P170" s="434"/>
      <c r="Q170" s="435"/>
      <c r="R170" s="661">
        <f>IFERROR(IF(Refkalkulation!T$89=0,ROUND(R$171*(1+R$172+R$173+R$174),1),Refkalkulation!T$89),0)</f>
        <v>20</v>
      </c>
      <c r="S170" s="434"/>
      <c r="T170" s="435"/>
      <c r="U170" s="661">
        <f>IFERROR(IF(Refkalkulation!W$89=0,ROUND(U$171*(1+U$172+U$173+U$174),1),Refkalkulation!W$89),0)</f>
        <v>20</v>
      </c>
      <c r="V170" s="11"/>
      <c r="X170" s="526"/>
    </row>
    <row r="171" spans="2:24" ht="15" x14ac:dyDescent="0.25">
      <c r="B171" s="482">
        <v>60</v>
      </c>
      <c r="C171" s="96" t="s">
        <v>183</v>
      </c>
      <c r="D171" s="540">
        <v>20</v>
      </c>
      <c r="E171" s="584" t="s">
        <v>500</v>
      </c>
      <c r="F171" s="30">
        <f>$D$171</f>
        <v>20</v>
      </c>
      <c r="G171" s="436"/>
      <c r="H171" s="437"/>
      <c r="I171" s="30">
        <f>$D$171</f>
        <v>20</v>
      </c>
      <c r="J171" s="436"/>
      <c r="K171" s="437"/>
      <c r="L171" s="30">
        <f>$D$171</f>
        <v>20</v>
      </c>
      <c r="M171" s="436"/>
      <c r="N171" s="437"/>
      <c r="O171" s="30">
        <f>$D$171</f>
        <v>20</v>
      </c>
      <c r="P171" s="436"/>
      <c r="Q171" s="437"/>
      <c r="R171" s="30">
        <f>$D$171</f>
        <v>20</v>
      </c>
      <c r="S171" s="436"/>
      <c r="T171" s="437"/>
      <c r="U171" s="30">
        <f>$D$171</f>
        <v>20</v>
      </c>
      <c r="V171" s="11"/>
    </row>
    <row r="172" spans="2:24" x14ac:dyDescent="0.2">
      <c r="B172" s="482">
        <v>60</v>
      </c>
      <c r="C172" s="96" t="s">
        <v>184</v>
      </c>
      <c r="D172" s="100">
        <v>1</v>
      </c>
      <c r="E172" s="584" t="s">
        <v>500</v>
      </c>
      <c r="F172" s="202">
        <f>MAX(0,POWER(VLOOKUP('Quick Input'!M$21,Auswahlfelder!$D$16:$E$19,2,FALSE)-2,2)/10)</f>
        <v>0</v>
      </c>
      <c r="G172" s="446"/>
      <c r="H172" s="447"/>
      <c r="I172" s="202">
        <f>MAX(0,POWER(VLOOKUP('Quick Input'!P$21,Auswahlfelder!$D$16:$E$19,2,FALSE)-2,2)/10)</f>
        <v>0</v>
      </c>
      <c r="J172" s="446"/>
      <c r="K172" s="447"/>
      <c r="L172" s="202">
        <f>MAX(0,POWER(VLOOKUP('Quick Input'!S$21,Auswahlfelder!$D$16:$E$19,2,FALSE)-2,2)/10)</f>
        <v>0</v>
      </c>
      <c r="M172" s="446"/>
      <c r="N172" s="447"/>
      <c r="O172" s="202">
        <f>MAX(0,POWER(VLOOKUP('Quick Input'!V$21,Auswahlfelder!$D$16:$E$19,2,FALSE)-2,2)/10)</f>
        <v>0</v>
      </c>
      <c r="P172" s="446"/>
      <c r="Q172" s="447"/>
      <c r="R172" s="202">
        <f>MAX(0,POWER(VLOOKUP('Quick Input'!Y$21,Auswahlfelder!$D$16:$E$19,2,FALSE)-2,2)/10)</f>
        <v>0</v>
      </c>
      <c r="S172" s="446"/>
      <c r="T172" s="447"/>
      <c r="U172" s="202">
        <f>MAX(0,POWER(VLOOKUP('Quick Input'!AB$21,Auswahlfelder!$D$16:$E$19,2,FALSE)-2,2)/10)</f>
        <v>0</v>
      </c>
      <c r="V172" s="11"/>
    </row>
    <row r="173" spans="2:24" x14ac:dyDescent="0.2">
      <c r="B173" s="482">
        <v>60</v>
      </c>
      <c r="C173" s="96" t="s">
        <v>542</v>
      </c>
      <c r="D173" s="100">
        <v>1</v>
      </c>
      <c r="E173" s="584" t="s">
        <v>500</v>
      </c>
      <c r="F173" s="202">
        <f>-55*VLOOKUP(F$19,DB_Länder,10,FALSE)</f>
        <v>0</v>
      </c>
      <c r="G173" s="446"/>
      <c r="H173" s="447"/>
      <c r="I173" s="202">
        <f>-55*VLOOKUP(I$19,DB_Länder,10,FALSE)</f>
        <v>0.55000000000000004</v>
      </c>
      <c r="J173" s="446"/>
      <c r="K173" s="447"/>
      <c r="L173" s="202">
        <f>-55*VLOOKUP(L$19,DB_Länder,10,FALSE)</f>
        <v>0.27500000000000002</v>
      </c>
      <c r="M173" s="446"/>
      <c r="N173" s="447"/>
      <c r="O173" s="202">
        <f>-55*VLOOKUP(O$19,DB_Länder,10,FALSE)</f>
        <v>0</v>
      </c>
      <c r="P173" s="446"/>
      <c r="Q173" s="447"/>
      <c r="R173" s="202">
        <f>-55*VLOOKUP(R$19,DB_Länder,10,FALSE)</f>
        <v>0</v>
      </c>
      <c r="S173" s="446"/>
      <c r="T173" s="447"/>
      <c r="U173" s="202">
        <f>-55*VLOOKUP(U$19,DB_Länder,10,FALSE)</f>
        <v>0</v>
      </c>
      <c r="V173" s="11"/>
    </row>
    <row r="174" spans="2:24" ht="15" thickBot="1" x14ac:dyDescent="0.25">
      <c r="B174" s="482">
        <v>60</v>
      </c>
      <c r="C174" s="96" t="s">
        <v>181</v>
      </c>
      <c r="D174" s="810">
        <v>0.3</v>
      </c>
      <c r="E174" s="584" t="s">
        <v>500</v>
      </c>
      <c r="F174" s="473">
        <f>SQRT('Quick Input'!M$20/2000)*$D$174</f>
        <v>0.28867513459481287</v>
      </c>
      <c r="G174" s="436"/>
      <c r="H174" s="437"/>
      <c r="I174" s="473">
        <f>SQRT('Quick Input'!P$20/2000)*$D$174</f>
        <v>0.28835491804079716</v>
      </c>
      <c r="J174" s="436"/>
      <c r="K174" s="437"/>
      <c r="L174" s="473">
        <f>SQRT('Quick Input'!S$20/2000)*$D$174</f>
        <v>0.28835491804079716</v>
      </c>
      <c r="M174" s="436"/>
      <c r="N174" s="437"/>
      <c r="O174" s="473">
        <f>SQRT('Quick Input'!V$20/2000)*$D$174</f>
        <v>0</v>
      </c>
      <c r="P174" s="436"/>
      <c r="Q174" s="437"/>
      <c r="R174" s="473">
        <f>SQRT('Quick Input'!Y$20/2000)*$D$174</f>
        <v>0</v>
      </c>
      <c r="S174" s="436"/>
      <c r="T174" s="437"/>
      <c r="U174" s="473">
        <f>SQRT('Quick Input'!AB$20/2000)*$D$174</f>
        <v>0</v>
      </c>
      <c r="V174" s="11"/>
    </row>
    <row r="175" spans="2:24" ht="15.75" thickBot="1" x14ac:dyDescent="0.3">
      <c r="B175" s="17">
        <v>39</v>
      </c>
      <c r="C175" s="95" t="s">
        <v>625</v>
      </c>
      <c r="D175" s="102"/>
      <c r="E175" s="583"/>
      <c r="F175" s="667">
        <f>IFERROR(IF(OR(Refkalkulation!H$91=0,F$246=0),F$246,Refkalkulation!H$91),0)</f>
        <v>0.27447916666666672</v>
      </c>
      <c r="G175" s="451"/>
      <c r="H175" s="435"/>
      <c r="I175" s="667">
        <f>IFERROR(IF(OR(Refkalkulation!K$91=0,I$246=0),I$246,Refkalkulation!K$91),0)</f>
        <v>0.19507812499999996</v>
      </c>
      <c r="J175" s="451"/>
      <c r="K175" s="435"/>
      <c r="L175" s="667">
        <f>IFERROR(IF(OR(Refkalkulation!N$91=0,L$246=0),L$246,Refkalkulation!N$91),0)</f>
        <v>0</v>
      </c>
      <c r="M175" s="451"/>
      <c r="N175" s="435"/>
      <c r="O175" s="667">
        <f>IFERROR(IF(OR(Refkalkulation!Q$91=0,O$246=0),O$246,Refkalkulation!Q$91),0)</f>
        <v>0</v>
      </c>
      <c r="P175" s="451"/>
      <c r="Q175" s="435"/>
      <c r="R175" s="667">
        <f>IFERROR(IF(OR(Refkalkulation!T$91=0,R$246=0),R$246,Refkalkulation!T$91),0)</f>
        <v>0</v>
      </c>
      <c r="S175" s="451"/>
      <c r="T175" s="435"/>
      <c r="U175" s="667">
        <f>IFERROR(IF(OR(Refkalkulation!W$91=0,U$246=0),U$246,Refkalkulation!W$91),0)</f>
        <v>0</v>
      </c>
      <c r="V175" s="11"/>
      <c r="W175" s="795"/>
      <c r="X175" s="526"/>
    </row>
    <row r="176" spans="2:24" ht="15.75" thickBot="1" x14ac:dyDescent="0.3">
      <c r="B176" s="17">
        <v>39</v>
      </c>
      <c r="C176" s="95" t="s">
        <v>618</v>
      </c>
      <c r="D176" s="102"/>
      <c r="E176" s="583"/>
      <c r="F176" s="667">
        <f>IFERROR(IF(OR(Refkalkulation!H$92=0,F$249=0),F249,Refkalkulation!H$92),0)</f>
        <v>0</v>
      </c>
      <c r="G176" s="451"/>
      <c r="H176" s="435"/>
      <c r="I176" s="667">
        <f>IFERROR(IF(OR(Refkalkulation!K$92=0,I$249=0),I249,Refkalkulation!K$92),0)</f>
        <v>0</v>
      </c>
      <c r="J176" s="451"/>
      <c r="K176" s="435"/>
      <c r="L176" s="667">
        <f>IFERROR(IF(OR(Refkalkulation!N$92=0,L$249=0),L249,Refkalkulation!N$92),0)</f>
        <v>0</v>
      </c>
      <c r="M176" s="451"/>
      <c r="N176" s="435"/>
      <c r="O176" s="667">
        <f>IFERROR(IF(OR(Refkalkulation!Q$92=0,O$249=0),O249,Refkalkulation!Q$92),0)</f>
        <v>0</v>
      </c>
      <c r="P176" s="451"/>
      <c r="Q176" s="435"/>
      <c r="R176" s="667">
        <f>IFERROR(IF(OR(Refkalkulation!T$92=0,R$249=0),R249,Refkalkulation!T$92),0)</f>
        <v>0</v>
      </c>
      <c r="S176" s="451"/>
      <c r="T176" s="435"/>
      <c r="U176" s="667">
        <f>IFERROR(IF(OR(Refkalkulation!W$92=0,U$249=0),U249,Refkalkulation!W$92),0)</f>
        <v>0</v>
      </c>
      <c r="V176" s="11"/>
      <c r="W176" s="795"/>
      <c r="X176" s="526"/>
    </row>
    <row r="177" spans="2:24" ht="15" x14ac:dyDescent="0.25">
      <c r="B177" s="17">
        <v>39</v>
      </c>
      <c r="C177" s="95" t="s">
        <v>626</v>
      </c>
      <c r="D177" s="100"/>
      <c r="E177" s="6"/>
      <c r="F177" s="667">
        <f>IFERROR(IF(OR(Refkalkulation!H$93=0,F$178=0),ROUND(F178*(1+F179),2),Refkalkulation!H$93),0)</f>
        <v>0</v>
      </c>
      <c r="G177" s="451"/>
      <c r="H177" s="435"/>
      <c r="I177" s="667">
        <f>IFERROR(IF(OR(Refkalkulation!K$93=0,I$178=0),ROUND(I178*(1+I179),2),Refkalkulation!K$93),0)</f>
        <v>0</v>
      </c>
      <c r="J177" s="451"/>
      <c r="K177" s="435"/>
      <c r="L177" s="667">
        <f>IFERROR(IF(OR(Refkalkulation!N$93=0,L$178=0),ROUND(L178*(1+L179),2),Refkalkulation!N$93),0)</f>
        <v>0</v>
      </c>
      <c r="M177" s="451"/>
      <c r="N177" s="435"/>
      <c r="O177" s="667">
        <f>IFERROR(IF(OR(Refkalkulation!Q$93=0,O$178=0),ROUND(O178*(1+O179),2),Refkalkulation!Q$93),0)</f>
        <v>0</v>
      </c>
      <c r="P177" s="451"/>
      <c r="Q177" s="435"/>
      <c r="R177" s="667">
        <f>IFERROR(IF(OR(Refkalkulation!T$93=0,R$178=0),ROUND(R178*(1+R179),2),Refkalkulation!T$93),0)</f>
        <v>0</v>
      </c>
      <c r="S177" s="451"/>
      <c r="T177" s="435"/>
      <c r="U177" s="667">
        <f>IFERROR(IF(OR(Refkalkulation!W$93=0,U$178=0),ROUND(U178*(1+U179),2),Refkalkulation!W$93),0)</f>
        <v>0</v>
      </c>
      <c r="V177" s="11"/>
      <c r="W177" s="795"/>
      <c r="X177" s="526"/>
    </row>
    <row r="178" spans="2:24" x14ac:dyDescent="0.2">
      <c r="B178" s="17">
        <v>39</v>
      </c>
      <c r="C178" s="96" t="s">
        <v>627</v>
      </c>
      <c r="D178" s="100" t="s">
        <v>94</v>
      </c>
      <c r="E178" s="586" t="s">
        <v>578</v>
      </c>
      <c r="F178" s="471">
        <f>IF('Quick Input'!M30=Auswahlfelder!$D$22,0,'Länder-DB'!$I$43*(0.7+0.3*VLOOKUP(F$19,DB_Länder,5,FALSE)/'Länder-DB'!$E$2))</f>
        <v>0</v>
      </c>
      <c r="G178" s="10"/>
      <c r="H178" s="10"/>
      <c r="I178" s="471">
        <f>IF('Quick Input'!P30=Auswahlfelder!$D$22,0,'Länder-DB'!$I$43*(0.7+0.3*VLOOKUP(I$19,DB_Länder,5,FALSE)/'Länder-DB'!$E$2))</f>
        <v>0</v>
      </c>
      <c r="J178" s="10"/>
      <c r="K178" s="10"/>
      <c r="L178" s="471">
        <f>IF('Quick Input'!S30=Auswahlfelder!$D$22,0,'Länder-DB'!$I$43*(0.7+0.3*VLOOKUP(L$19,DB_Länder,5,FALSE)/'Länder-DB'!$E$2))</f>
        <v>0</v>
      </c>
      <c r="M178" s="10"/>
      <c r="N178" s="10"/>
      <c r="O178" s="471">
        <f>IF('Quick Input'!V30=Auswahlfelder!$D$22,0,'Länder-DB'!$I$43*(0.7+0.3*VLOOKUP(O$19,DB_Länder,5,FALSE)/'Länder-DB'!$E$2))</f>
        <v>0</v>
      </c>
      <c r="P178" s="10"/>
      <c r="Q178" s="10"/>
      <c r="R178" s="471">
        <f>IF('Quick Input'!Y30=Auswahlfelder!$D$22,0,'Länder-DB'!$I$43*(0.7+0.3*VLOOKUP(R$19,DB_Länder,5,FALSE)/'Länder-DB'!$E$2))</f>
        <v>0</v>
      </c>
      <c r="S178" s="10"/>
      <c r="T178" s="10"/>
      <c r="U178" s="471">
        <f>IF('Quick Input'!AB30=Auswahlfelder!$D$22,0,'Länder-DB'!$I$43*(0.7+0.3*VLOOKUP(U$19,DB_Länder,5,FALSE)/'Länder-DB'!$E$2))</f>
        <v>0</v>
      </c>
      <c r="V178" s="11"/>
    </row>
    <row r="179" spans="2:24" ht="15" thickBot="1" x14ac:dyDescent="0.25">
      <c r="B179" s="791">
        <v>39</v>
      </c>
      <c r="C179" s="97" t="s">
        <v>181</v>
      </c>
      <c r="D179" s="102"/>
      <c r="E179" s="587" t="s">
        <v>578</v>
      </c>
      <c r="F179" s="349">
        <f>SQRT(MAX(0,'Quick Input'!M$19-0.5))*35%</f>
        <v>0.74246212024587477</v>
      </c>
      <c r="G179" s="438"/>
      <c r="H179" s="439"/>
      <c r="I179" s="349">
        <f>SQRT(MAX(0,'Quick Input'!P$19-0.5))*35%</f>
        <v>0.74246212024587477</v>
      </c>
      <c r="J179" s="438"/>
      <c r="K179" s="439"/>
      <c r="L179" s="349">
        <f>SQRT(MAX(0,'Quick Input'!S$19-0.5))*35%</f>
        <v>0.74246212024587477</v>
      </c>
      <c r="M179" s="438"/>
      <c r="N179" s="439"/>
      <c r="O179" s="349" t="e">
        <f>SQRT(MAX(0,'Quick Input'!V$19-0.5))*35%</f>
        <v>#VALUE!</v>
      </c>
      <c r="P179" s="438"/>
      <c r="Q179" s="439"/>
      <c r="R179" s="349" t="e">
        <f>SQRT(MAX(0,'Quick Input'!Y$19-0.5))*35%</f>
        <v>#VALUE!</v>
      </c>
      <c r="S179" s="438"/>
      <c r="T179" s="439"/>
      <c r="U179" s="349" t="e">
        <f>SQRT(MAX(0,'Quick Input'!AB$19-0.5))*35%</f>
        <v>#VALUE!</v>
      </c>
      <c r="V179" s="126"/>
    </row>
    <row r="180" spans="2:24" ht="15" x14ac:dyDescent="0.25">
      <c r="B180" s="482">
        <v>13</v>
      </c>
      <c r="C180" s="95" t="s">
        <v>327</v>
      </c>
      <c r="D180" s="100"/>
      <c r="E180" s="583"/>
      <c r="F180" s="981">
        <f>IF(OR(Refkalkulation!H$84=0,F181=1),ROUND(IF(F$181&gt;2,F$182*F$183+F$184/60*F$20/F186/'Quick Input'!M$19+F$185,0),3),Refkalkulation!H$84)</f>
        <v>0</v>
      </c>
      <c r="G180" s="451"/>
      <c r="H180" s="435"/>
      <c r="I180" s="981">
        <f>IF(OR(Refkalkulation!K$84=0,I181=1),ROUND(IF(I$181&gt;2,I$182*I$183+I$184/60*I$20/I186/'Quick Input'!P$19+I$185,0),3),Refkalkulation!K$84)</f>
        <v>0</v>
      </c>
      <c r="J180" s="451"/>
      <c r="K180" s="435"/>
      <c r="L180" s="981">
        <f>IF(OR(Refkalkulation!N$84=0,L181=1),ROUND(IF(L$181&gt;2,L$182*L$183+L$184/60*L$20/L186/'Quick Input'!S$19+L$185,0),3),Refkalkulation!N$84)</f>
        <v>0</v>
      </c>
      <c r="M180" s="451"/>
      <c r="N180" s="435"/>
      <c r="O180" s="981">
        <f>IF(OR(Refkalkulation!Q$84=0,O181=1),ROUND(IF(O$181&gt;2,O$182*O$183+O$184/60*O$20/O186/'Quick Input'!V$19+O$185,0),3),Refkalkulation!Q$84)</f>
        <v>0</v>
      </c>
      <c r="P180" s="451"/>
      <c r="Q180" s="435"/>
      <c r="R180" s="981">
        <f>IF(OR(Refkalkulation!T$84=0,R181=1),ROUND(IF(R$181&gt;2,R$182*R$183+R$184/60*R$20/R186/'Quick Input'!Y$19+R$185,0),3),Refkalkulation!T$84)</f>
        <v>0</v>
      </c>
      <c r="S180" s="451"/>
      <c r="T180" s="435"/>
      <c r="U180" s="981">
        <f>IF(OR(Refkalkulation!W$84=0,U181=1),ROUND(IF(U$181&gt;2,U$182*U$183+U$184/60*U$20/U186/'Quick Input'!AB$19+U$185,0),3),Refkalkulation!W$84)</f>
        <v>0</v>
      </c>
      <c r="V180" s="8"/>
      <c r="W180" s="795"/>
      <c r="X180" s="526"/>
    </row>
    <row r="181" spans="2:24" x14ac:dyDescent="0.2">
      <c r="B181" s="482">
        <f t="shared" ref="B181:B186" si="4">B180</f>
        <v>13</v>
      </c>
      <c r="C181" s="96" t="s">
        <v>326</v>
      </c>
      <c r="D181" s="100"/>
      <c r="E181" s="584" t="s">
        <v>500</v>
      </c>
      <c r="F181" s="30">
        <f>VLOOKUP('Quick Input'!M$32,Auswahlfelder!$D$41:$E$46,2,FALSE)</f>
        <v>1</v>
      </c>
      <c r="G181" s="436"/>
      <c r="H181" s="437"/>
      <c r="I181" s="30">
        <f>VLOOKUP('Quick Input'!P$32,Auswahlfelder!$D$41:$E$46,2,FALSE)</f>
        <v>1</v>
      </c>
      <c r="J181" s="436"/>
      <c r="K181" s="437"/>
      <c r="L181" s="30">
        <f>VLOOKUP('Quick Input'!S$32,Auswahlfelder!$D$41:$E$46,2,FALSE)</f>
        <v>1</v>
      </c>
      <c r="M181" s="436"/>
      <c r="N181" s="437"/>
      <c r="O181" s="30">
        <f>VLOOKUP('Quick Input'!V$32,Auswahlfelder!$D$41:$E$46,2,FALSE)</f>
        <v>1</v>
      </c>
      <c r="P181" s="436"/>
      <c r="Q181" s="437"/>
      <c r="R181" s="30">
        <f>VLOOKUP('Quick Input'!Y$32,Auswahlfelder!$D$41:$E$46,2,FALSE)</f>
        <v>1</v>
      </c>
      <c r="S181" s="436"/>
      <c r="T181" s="437"/>
      <c r="U181" s="30">
        <f>VLOOKUP('Quick Input'!AB$32,Auswahlfelder!$D$41:$E$46,2,FALSE)</f>
        <v>1</v>
      </c>
      <c r="V181" s="11"/>
    </row>
    <row r="182" spans="2:24" x14ac:dyDescent="0.2">
      <c r="B182" s="482">
        <f t="shared" si="4"/>
        <v>13</v>
      </c>
      <c r="C182" s="96" t="s">
        <v>575</v>
      </c>
      <c r="D182" s="100"/>
      <c r="E182" s="584" t="s">
        <v>500</v>
      </c>
      <c r="F182" s="478">
        <f>(3.7+10/60*F$21)/$D$186</f>
        <v>2.6036984126984127E-2</v>
      </c>
      <c r="G182" s="479"/>
      <c r="H182" s="480"/>
      <c r="I182" s="478">
        <f>(3.7+10/60*I$21)/$D$186</f>
        <v>1.3152258333333333E-2</v>
      </c>
      <c r="J182" s="479"/>
      <c r="K182" s="480"/>
      <c r="L182" s="478">
        <f>(3.7+10/60*L$21)/$D$186</f>
        <v>1.4121804285714286E-2</v>
      </c>
      <c r="M182" s="479"/>
      <c r="N182" s="480"/>
      <c r="O182" s="478">
        <f>(3.7+10/60*O$21)/$D$186</f>
        <v>2.4581297619047617E-2</v>
      </c>
      <c r="P182" s="479"/>
      <c r="Q182" s="480"/>
      <c r="R182" s="478">
        <f>(3.7+10/60*R$21)/$D$186</f>
        <v>2.4581297619047617E-2</v>
      </c>
      <c r="S182" s="479"/>
      <c r="T182" s="480"/>
      <c r="U182" s="478">
        <f>(3.7+10/60*U$21)/$D$186</f>
        <v>2.4581297619047617E-2</v>
      </c>
      <c r="V182" s="11"/>
      <c r="X182" s="526"/>
    </row>
    <row r="183" spans="2:24" ht="15" x14ac:dyDescent="0.25">
      <c r="B183" s="482">
        <f t="shared" si="4"/>
        <v>13</v>
      </c>
      <c r="C183" s="96" t="s">
        <v>589</v>
      </c>
      <c r="D183" s="540">
        <v>3.4</v>
      </c>
      <c r="E183" s="584" t="s">
        <v>500</v>
      </c>
      <c r="F183" s="460">
        <f>IF(F181&gt;2,0.8+SQRT(F181-1)*($D$183+0.4*SQRT(F41/100)),0)</f>
        <v>0</v>
      </c>
      <c r="G183" s="461"/>
      <c r="H183" s="462"/>
      <c r="I183" s="460">
        <f>IF(I181&gt;2,0.8+SQRT(I181-1)*($D$183+0.4*SQRT(I41/100)),0)</f>
        <v>0</v>
      </c>
      <c r="J183" s="461"/>
      <c r="K183" s="462"/>
      <c r="L183" s="460">
        <f>IF(L181&gt;2,0.8+SQRT(L181-1)*($D$183+0.4*SQRT(L41/100)),0)</f>
        <v>0</v>
      </c>
      <c r="M183" s="461"/>
      <c r="N183" s="462"/>
      <c r="O183" s="460">
        <f>IF(O181&gt;2,0.8+SQRT(O181-1)*($D$183+0.4*SQRT(O41/100)),0)</f>
        <v>0</v>
      </c>
      <c r="P183" s="461"/>
      <c r="Q183" s="462"/>
      <c r="R183" s="460">
        <f t="shared" ref="R183" si="5">IF(R181&gt;2,0.8+SQRT(R181-1)*($D$183+0.4*SQRT(R41/100)),0)</f>
        <v>0</v>
      </c>
      <c r="S183" s="461"/>
      <c r="T183" s="462"/>
      <c r="U183" s="460">
        <f t="shared" ref="U183" si="6">IF(U181&gt;2,0.8+SQRT(U181-1)*($D$183+0.4*SQRT(U41/100)),0)</f>
        <v>0</v>
      </c>
      <c r="V183" s="11"/>
    </row>
    <row r="184" spans="2:24" ht="15" x14ac:dyDescent="0.25">
      <c r="B184" s="482">
        <f t="shared" si="4"/>
        <v>13</v>
      </c>
      <c r="C184" s="96" t="s">
        <v>885</v>
      </c>
      <c r="D184" s="540">
        <v>15</v>
      </c>
      <c r="E184" s="584" t="s">
        <v>500</v>
      </c>
      <c r="F184" s="460">
        <f>IF(F181&lt;3,0,$D$184+0.1*F186)</f>
        <v>0</v>
      </c>
      <c r="G184" s="977"/>
      <c r="H184" s="978"/>
      <c r="I184" s="460">
        <f>IF(I181&lt;3,0,$D$184+0.1*I186)</f>
        <v>0</v>
      </c>
      <c r="J184" s="977"/>
      <c r="K184" s="978"/>
      <c r="L184" s="460">
        <f t="shared" ref="L184" si="7">IF(L181&lt;3,0,$D$184+0.1*L186)</f>
        <v>0</v>
      </c>
      <c r="M184" s="977"/>
      <c r="N184" s="978"/>
      <c r="O184" s="460">
        <f t="shared" ref="O184" si="8">IF(O181&lt;3,0,$D$184+0.1*O186)</f>
        <v>0</v>
      </c>
      <c r="P184" s="977"/>
      <c r="Q184" s="978"/>
      <c r="R184" s="460">
        <f t="shared" ref="R184" si="9">IF(R181&lt;3,0,$D$184+0.1*R186)</f>
        <v>0</v>
      </c>
      <c r="S184" s="977"/>
      <c r="T184" s="978"/>
      <c r="U184" s="460">
        <f t="shared" ref="U184" si="10">IF(U181&lt;3,0,$D$184+0.1*U186)</f>
        <v>0</v>
      </c>
      <c r="V184" s="11"/>
    </row>
    <row r="185" spans="2:24" x14ac:dyDescent="0.2">
      <c r="B185" s="482">
        <f t="shared" si="4"/>
        <v>13</v>
      </c>
      <c r="C185" s="96" t="s">
        <v>574</v>
      </c>
      <c r="D185" s="100"/>
      <c r="E185" s="584" t="s">
        <v>500</v>
      </c>
      <c r="F185" s="478">
        <f>IF(F$181&gt;2,F$151*0.00025*515*0.7,0)</f>
        <v>0</v>
      </c>
      <c r="G185" s="461"/>
      <c r="H185" s="462"/>
      <c r="I185" s="478">
        <f>IF(I$181&gt;2,I$151*0.00025*515/0.6,0)</f>
        <v>0</v>
      </c>
      <c r="J185" s="461"/>
      <c r="K185" s="462"/>
      <c r="L185" s="478">
        <f>IF(L$181&gt;2,L$151*0.00025*515*0.7,0)</f>
        <v>0</v>
      </c>
      <c r="M185" s="461"/>
      <c r="N185" s="462"/>
      <c r="O185" s="478">
        <f>IF(O$181&gt;2,O$151*0.00025*515/0.6,0)</f>
        <v>0</v>
      </c>
      <c r="P185" s="461"/>
      <c r="Q185" s="462"/>
      <c r="R185" s="478">
        <f>IF(R$181&gt;2,R$151*0.00025*515/0.6,0)</f>
        <v>0</v>
      </c>
      <c r="S185" s="461"/>
      <c r="T185" s="462"/>
      <c r="U185" s="478">
        <f>IF(U$181&gt;2,U$151*0.00025*515/0.6,0)</f>
        <v>0</v>
      </c>
      <c r="V185" s="11"/>
    </row>
    <row r="186" spans="2:24" ht="15.75" thickBot="1" x14ac:dyDescent="0.3">
      <c r="B186" s="482">
        <f t="shared" si="4"/>
        <v>13</v>
      </c>
      <c r="C186" s="97" t="s">
        <v>886</v>
      </c>
      <c r="D186" s="980">
        <v>350</v>
      </c>
      <c r="E186" s="585"/>
      <c r="F186" s="979">
        <f>ROUNDDOWN(MAX(1,$D$186/'Quick Input'!M$19),0)</f>
        <v>70</v>
      </c>
      <c r="G186" s="438"/>
      <c r="H186" s="439"/>
      <c r="I186" s="979">
        <f>ROUNDDOWN(MAX(1,$D$186/'Quick Input'!P$19),0)</f>
        <v>70</v>
      </c>
      <c r="J186" s="438"/>
      <c r="K186" s="439"/>
      <c r="L186" s="979">
        <f>ROUNDDOWN(MAX(1,$D$186/'Quick Input'!S$19),0)</f>
        <v>70</v>
      </c>
      <c r="M186" s="438"/>
      <c r="N186" s="439"/>
      <c r="O186" s="979" t="e">
        <f>ROUNDDOWN(MAX(1,$D$186/'Quick Input'!V$19),0)</f>
        <v>#VALUE!</v>
      </c>
      <c r="P186" s="438"/>
      <c r="Q186" s="439"/>
      <c r="R186" s="979" t="e">
        <f>ROUNDDOWN(MAX(1,$D$186/'Quick Input'!Y$19),0)</f>
        <v>#VALUE!</v>
      </c>
      <c r="S186" s="438"/>
      <c r="T186" s="439"/>
      <c r="U186" s="979" t="e">
        <f>ROUNDDOWN(MAX(1,$D$186/'Quick Input'!AB$19),0)</f>
        <v>#VALUE!</v>
      </c>
      <c r="V186" s="126"/>
    </row>
    <row r="187" spans="2:24" ht="15" x14ac:dyDescent="0.25">
      <c r="B187" s="482">
        <v>34</v>
      </c>
      <c r="C187" s="95" t="s">
        <v>460</v>
      </c>
      <c r="D187" s="100" t="s">
        <v>94</v>
      </c>
      <c r="E187" s="589" t="s">
        <v>501</v>
      </c>
      <c r="F187" s="351">
        <f>ROUND(IF('Quick Input'!M$33=Auswahlfelder!$D$60,0,F$188/60*F$22+F$190+F$191),2)</f>
        <v>0</v>
      </c>
      <c r="G187" s="451"/>
      <c r="H187" s="435"/>
      <c r="I187" s="351">
        <f>ROUND(IF('Quick Input'!P$33=Auswahlfelder!$D$60,0,I$188/60*I$22+I$190+I$191),2)</f>
        <v>0</v>
      </c>
      <c r="J187" s="451"/>
      <c r="K187" s="435"/>
      <c r="L187" s="351">
        <f>ROUND(IF('Quick Input'!S$33=Auswahlfelder!$D$60,0,L$188/60*L$22+L$190+L$191),2)</f>
        <v>0</v>
      </c>
      <c r="M187" s="451"/>
      <c r="N187" s="435"/>
      <c r="O187" s="351">
        <f>ROUND(IF('Quick Input'!V$33=Auswahlfelder!$D$60,0,O$188/60*O$22+O$190+O$191),2)</f>
        <v>0</v>
      </c>
      <c r="P187" s="451"/>
      <c r="Q187" s="435"/>
      <c r="R187" s="351">
        <f>ROUND(IF('Quick Input'!Y$33=Auswahlfelder!$D$60,0,R$188/60*R$22+R$190+R$191),2)</f>
        <v>0</v>
      </c>
      <c r="S187" s="451"/>
      <c r="T187" s="435"/>
      <c r="U187" s="351">
        <f>ROUND(IF('Quick Input'!AB$33=Auswahlfelder!$D$60,0,U$188/60*U$22+U$190+U$191),2)</f>
        <v>0</v>
      </c>
      <c r="V187" s="8"/>
      <c r="X187" s="526"/>
    </row>
    <row r="188" spans="2:24" ht="15" x14ac:dyDescent="0.25">
      <c r="B188" s="482">
        <v>34</v>
      </c>
      <c r="C188" s="96" t="s">
        <v>590</v>
      </c>
      <c r="D188" s="540">
        <v>5</v>
      </c>
      <c r="E188" s="586"/>
      <c r="F188" s="697">
        <f>$D$188*(1+20%*(VLOOKUP('Quick Input'!M$21,Auswahlfelder!$D$16:$E$19,2,FALSE)-2))</f>
        <v>5</v>
      </c>
      <c r="G188" s="436"/>
      <c r="H188" s="437"/>
      <c r="I188" s="697">
        <f>$D$188*(1+20%*(VLOOKUP('Quick Input'!P$21,Auswahlfelder!$D$16:$E$19,2,FALSE)-2))</f>
        <v>5</v>
      </c>
      <c r="J188" s="436"/>
      <c r="K188" s="437"/>
      <c r="L188" s="697">
        <f>$D$188*(1+20%*(VLOOKUP('Quick Input'!S$21,Auswahlfelder!$D$16:$E$19,2,FALSE)-2))</f>
        <v>5</v>
      </c>
      <c r="M188" s="436"/>
      <c r="N188" s="437"/>
      <c r="O188" s="697">
        <f>$D$188*(1+20%*(VLOOKUP('Quick Input'!V$21,Auswahlfelder!$D$16:$E$19,2,FALSE)-2))</f>
        <v>5</v>
      </c>
      <c r="P188" s="436"/>
      <c r="Q188" s="437"/>
      <c r="R188" s="697">
        <f>$D$188*(1+20%*(VLOOKUP('Quick Input'!Y$21,Auswahlfelder!$D$16:$E$19,2,FALSE)-2))</f>
        <v>5</v>
      </c>
      <c r="S188" s="436"/>
      <c r="T188" s="437"/>
      <c r="U188" s="697">
        <f>$D$188*(1+20%*(VLOOKUP('Quick Input'!AB$21,Auswahlfelder!$D$16:$E$19,2,FALSE)-2))</f>
        <v>5</v>
      </c>
      <c r="V188" s="11"/>
    </row>
    <row r="189" spans="2:24" x14ac:dyDescent="0.2">
      <c r="B189" s="482">
        <v>34</v>
      </c>
      <c r="C189" s="96" t="s">
        <v>562</v>
      </c>
      <c r="D189" s="100" t="s">
        <v>94</v>
      </c>
      <c r="E189" s="586"/>
      <c r="F189" s="696">
        <f>IF(F187&gt;0,'Länder-DB'!$I$45,0)</f>
        <v>0</v>
      </c>
      <c r="G189" s="436"/>
      <c r="H189" s="437"/>
      <c r="I189" s="696">
        <f>IF(I187&gt;0,'Länder-DB'!$I$45,0)</f>
        <v>0</v>
      </c>
      <c r="J189" s="436"/>
      <c r="K189" s="437"/>
      <c r="L189" s="696">
        <f>IF(L187&gt;0,'Länder-DB'!$I$45,0)</f>
        <v>0</v>
      </c>
      <c r="M189" s="436"/>
      <c r="N189" s="437"/>
      <c r="O189" s="696">
        <f>IF(O187&gt;0,'Länder-DB'!$I$45,0)</f>
        <v>0</v>
      </c>
      <c r="P189" s="436"/>
      <c r="Q189" s="437"/>
      <c r="R189" s="696">
        <f>IF(R187&gt;0,'Länder-DB'!$I$45,0)</f>
        <v>0</v>
      </c>
      <c r="S189" s="436"/>
      <c r="T189" s="437"/>
      <c r="U189" s="696">
        <f>IF(U187&gt;0,'Länder-DB'!$I$45,0)</f>
        <v>0</v>
      </c>
      <c r="V189" s="11"/>
      <c r="X189" s="526"/>
    </row>
    <row r="190" spans="2:24" x14ac:dyDescent="0.2">
      <c r="B190" s="482">
        <v>34</v>
      </c>
      <c r="C190" s="96" t="s">
        <v>541</v>
      </c>
      <c r="D190" s="100" t="s">
        <v>94</v>
      </c>
      <c r="E190" s="586"/>
      <c r="F190" s="350">
        <f>IF(AND('Quick Input'!M$32&lt;&gt;Auswahlfelder!$D$41,'Quick Input'!M$33=Auswahlfelder!$D$61),Refkalkulation!H$85,0)</f>
        <v>0</v>
      </c>
      <c r="G190" s="461"/>
      <c r="H190" s="462"/>
      <c r="I190" s="350">
        <f>IF(AND('Quick Input'!P$32&lt;&gt;Auswahlfelder!$D$41,'Quick Input'!P$33=Auswahlfelder!$D$61),Refkalkulation!K$85,0)</f>
        <v>0</v>
      </c>
      <c r="J190" s="461"/>
      <c r="K190" s="462"/>
      <c r="L190" s="350">
        <f>IF(AND('Quick Input'!S$32&lt;&gt;Auswahlfelder!$D$41,'Quick Input'!S$33=Auswahlfelder!$D$61),Refkalkulation!N$85,0)</f>
        <v>0</v>
      </c>
      <c r="M190" s="461"/>
      <c r="N190" s="462"/>
      <c r="O190" s="350">
        <f>IF(AND('Quick Input'!V$32&lt;&gt;Auswahlfelder!$D$41,'Quick Input'!V$33=Auswahlfelder!$D$61),Refkalkulation!Q$85,0)</f>
        <v>0</v>
      </c>
      <c r="P190" s="461"/>
      <c r="Q190" s="462"/>
      <c r="R190" s="350">
        <f>IF(AND('Quick Input'!Y$32&lt;&gt;Auswahlfelder!$D$41,'Quick Input'!Y$33=Auswahlfelder!$D$61),Refkalkulation!T$85,0)</f>
        <v>0</v>
      </c>
      <c r="S190" s="461"/>
      <c r="T190" s="462"/>
      <c r="U190" s="350">
        <f>IF(AND('Quick Input'!AB$32&lt;&gt;Auswahlfelder!$D$41,'Quick Input'!AB$33=Auswahlfelder!$D$61),Refkalkulation!W$85,0)</f>
        <v>0</v>
      </c>
      <c r="V190" s="11"/>
    </row>
    <row r="191" spans="2:24" ht="15" thickBot="1" x14ac:dyDescent="0.25">
      <c r="B191" s="547">
        <v>34</v>
      </c>
      <c r="C191" s="97" t="s">
        <v>561</v>
      </c>
      <c r="D191" s="102" t="s">
        <v>94</v>
      </c>
      <c r="E191" s="587"/>
      <c r="F191" s="350">
        <f>Refkalkulation!H$89/3600*Refkalkulation!H$90</f>
        <v>4.1133555555555548</v>
      </c>
      <c r="G191" s="438"/>
      <c r="H191" s="439"/>
      <c r="I191" s="350">
        <f>Refkalkulation!K$89/3600*Refkalkulation!K$90</f>
        <v>0.48995958333333334</v>
      </c>
      <c r="J191" s="438"/>
      <c r="K191" s="439"/>
      <c r="L191" s="350">
        <f>Refkalkulation!N$89/3600*Refkalkulation!N$90</f>
        <v>0.83400899999999978</v>
      </c>
      <c r="M191" s="438"/>
      <c r="N191" s="439"/>
      <c r="O191" s="350">
        <f>Refkalkulation!Q$89/3600*Refkalkulation!Q$90</f>
        <v>0</v>
      </c>
      <c r="P191" s="438"/>
      <c r="Q191" s="439"/>
      <c r="R191" s="350">
        <f>Refkalkulation!T$89/3600*Refkalkulation!T$90</f>
        <v>0</v>
      </c>
      <c r="S191" s="438"/>
      <c r="T191" s="439"/>
      <c r="U191" s="350">
        <f>Refkalkulation!W$89/3600*Refkalkulation!W$90</f>
        <v>0</v>
      </c>
      <c r="V191" s="126"/>
    </row>
    <row r="192" spans="2:24" ht="15" x14ac:dyDescent="0.25">
      <c r="B192" s="482">
        <v>38</v>
      </c>
      <c r="C192" s="95" t="s">
        <v>267</v>
      </c>
      <c r="D192" s="98"/>
      <c r="E192" s="583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>
        <f>(1+O194)*(VLOOKUP('Quick Input'!V31,Auswahlfelder!$D$31:$E$33,2,FALSE)-1)*40</f>
        <v>0</v>
      </c>
      <c r="P192" s="7"/>
      <c r="Q192" s="7"/>
      <c r="R192" s="161">
        <f>(1+R194)*(VLOOKUP('Quick Input'!Y31,Auswahlfelder!$D$31:$E$33,2,FALSE)-1)*40</f>
        <v>0</v>
      </c>
      <c r="S192" s="7"/>
      <c r="T192" s="7"/>
      <c r="U192" s="161">
        <f>(1+U194)*(VLOOKUP('Quick Input'!AB31,Auswahlfelder!$D$31:$E$33,2,FALSE)-1)*40</f>
        <v>0</v>
      </c>
      <c r="V192" s="11"/>
    </row>
    <row r="193" spans="2:24" x14ac:dyDescent="0.2">
      <c r="B193" s="482">
        <v>38</v>
      </c>
      <c r="C193" s="96" t="s">
        <v>268</v>
      </c>
      <c r="D193" s="100"/>
      <c r="E193" s="586"/>
      <c r="F193" s="557" t="str">
        <f>'Quick Input'!M31</f>
        <v>ohne</v>
      </c>
      <c r="G193" s="103"/>
      <c r="H193" s="103"/>
      <c r="I193" s="557" t="str">
        <f>'Quick Input'!P31</f>
        <v>ohne</v>
      </c>
      <c r="J193" s="10"/>
      <c r="K193" s="10"/>
      <c r="L193" s="557" t="str">
        <f>'Quick Input'!S31</f>
        <v>ohne</v>
      </c>
      <c r="M193" s="10"/>
      <c r="N193" s="10"/>
      <c r="O193" s="557" t="str">
        <f>'Quick Input'!V31</f>
        <v>ohne</v>
      </c>
      <c r="P193" s="4"/>
      <c r="Q193" s="4"/>
      <c r="R193" s="557" t="str">
        <f>'Quick Input'!Y31</f>
        <v>ohne</v>
      </c>
      <c r="S193" s="4"/>
      <c r="T193" s="4"/>
      <c r="U193" s="567" t="str">
        <f>'Quick Input'!AB31</f>
        <v>ohne</v>
      </c>
      <c r="V193" s="5"/>
    </row>
    <row r="194" spans="2:24" ht="15" thickBot="1" x14ac:dyDescent="0.25">
      <c r="B194" s="482">
        <v>38</v>
      </c>
      <c r="C194" s="97" t="s">
        <v>269</v>
      </c>
      <c r="D194" s="102"/>
      <c r="E194" s="588"/>
      <c r="F194" s="349">
        <f>30*VLOOKUP(F$19,DB_Länder,10,FALSE)</f>
        <v>0</v>
      </c>
      <c r="G194" s="13"/>
      <c r="H194" s="13"/>
      <c r="I194" s="349">
        <f>30*VLOOKUP(I$19,DB_Länder,10,FALSE)</f>
        <v>-0.3</v>
      </c>
      <c r="J194" s="13"/>
      <c r="K194" s="13"/>
      <c r="L194" s="349">
        <f>30*VLOOKUP(L$19,DB_Länder,10,FALSE)</f>
        <v>-0.15</v>
      </c>
      <c r="M194" s="13"/>
      <c r="N194" s="13"/>
      <c r="O194" s="349">
        <f>30*VLOOKUP(O$19,DB_Länder,10,FALSE)</f>
        <v>0</v>
      </c>
      <c r="P194" s="13"/>
      <c r="Q194" s="13"/>
      <c r="R194" s="349">
        <f>30*VLOOKUP(R$19,DB_Länder,10,FALSE)</f>
        <v>0</v>
      </c>
      <c r="S194" s="13"/>
      <c r="T194" s="13"/>
      <c r="U194" s="349">
        <f>30*VLOOKUP(U$19,DB_Länder,10,FALSE)</f>
        <v>0</v>
      </c>
      <c r="V194" s="11"/>
    </row>
    <row r="195" spans="2:24" ht="15" x14ac:dyDescent="0.25">
      <c r="B195" s="482">
        <v>37</v>
      </c>
      <c r="C195" s="95" t="s">
        <v>843</v>
      </c>
      <c r="D195" s="100"/>
      <c r="E195" s="583"/>
      <c r="F195" s="684">
        <f>IFERROR(IF(Refkalkulation!H$70=0,('Länder-DB'!$I$49/1.5+F196+F197+F198+F199)*IF(F187&gt;0,1-'Länder-DB'!$I$47,1),Refkalkulation!H$70),0)</f>
        <v>3.4233333333333331E-2</v>
      </c>
      <c r="G195" s="434"/>
      <c r="H195" s="435"/>
      <c r="I195" s="684">
        <f>IFERROR(IF(Refkalkulation!K$70=0,('Länder-DB'!$I$49/1.5+I196+I197+I198+I199)*IF(I187&gt;0,1-'Länder-DB'!$I$47,1),Refkalkulation!K$70),0)</f>
        <v>3.4233333333333331E-2</v>
      </c>
      <c r="J195" s="434"/>
      <c r="K195" s="435"/>
      <c r="L195" s="684">
        <f>IFERROR(IF(Refkalkulation!N$70=0,('Länder-DB'!$I$49/1.5+L196+L197+L198+L199)*IF(L187&gt;0,1-'Länder-DB'!$I$47,1),Refkalkulation!N$70),0)</f>
        <v>3.4233333333333331E-2</v>
      </c>
      <c r="M195" s="434"/>
      <c r="N195" s="435"/>
      <c r="O195" s="684">
        <f>IFERROR(IF(Refkalkulation!Q$70=0,('Länder-DB'!$I$49/1.5+O196+O197+O198+O199)*IF(O187&gt;0,1-'Länder-DB'!$I$47,1),Refkalkulation!Q$70),0)</f>
        <v>0</v>
      </c>
      <c r="P195" s="434"/>
      <c r="Q195" s="435"/>
      <c r="R195" s="684">
        <f>IFERROR(IF(Refkalkulation!T$70=0,('Länder-DB'!$I$49/1.5+R196+R197+R198+R199)*IF(R187&gt;0,1-'Länder-DB'!$I$47,1),Refkalkulation!T$70),0)</f>
        <v>0</v>
      </c>
      <c r="S195" s="434"/>
      <c r="T195" s="435"/>
      <c r="U195" s="684">
        <f>IFERROR(IF(Refkalkulation!W$70=0,('Länder-DB'!$I$49/1.5+U196+U197+U198+U199)*IF(U187&gt;0,1-'Länder-DB'!$I$47,1),Refkalkulation!W$70),0)</f>
        <v>0</v>
      </c>
      <c r="V195" s="11"/>
      <c r="X195" s="526"/>
    </row>
    <row r="196" spans="2:24" x14ac:dyDescent="0.2">
      <c r="B196" s="482">
        <v>37</v>
      </c>
      <c r="C196" s="96" t="s">
        <v>124</v>
      </c>
      <c r="D196" s="100">
        <v>1</v>
      </c>
      <c r="E196" s="586"/>
      <c r="F196" s="153">
        <f>(VLOOKUP('Quick Input'!M$49,Auswahlfelder!$D$26:$E$28,2,FALSE)-2)*0.25%</f>
        <v>0</v>
      </c>
      <c r="G196" s="986"/>
      <c r="H196" s="987"/>
      <c r="I196" s="153">
        <f>(VLOOKUP('Quick Input'!P$49,Auswahlfelder!$D$26:$E$28,2,FALSE)-2)*0.25%</f>
        <v>0</v>
      </c>
      <c r="J196" s="986"/>
      <c r="K196" s="987"/>
      <c r="L196" s="153">
        <f>(VLOOKUP('Quick Input'!S$49,Auswahlfelder!$D$26:$E$28,2,FALSE)-2)*0.25%</f>
        <v>0</v>
      </c>
      <c r="M196" s="986"/>
      <c r="N196" s="987"/>
      <c r="O196" s="153">
        <f>(VLOOKUP('Quick Input'!V$49,Auswahlfelder!$D$26:$E$28,2,FALSE)-2)*0.25%</f>
        <v>0</v>
      </c>
      <c r="P196" s="986"/>
      <c r="Q196" s="987"/>
      <c r="R196" s="153">
        <f>(VLOOKUP('Quick Input'!Y$49,Auswahlfelder!$D$26:$E$28,2,FALSE)-2)*0.25%</f>
        <v>0</v>
      </c>
      <c r="S196" s="986"/>
      <c r="T196" s="987"/>
      <c r="U196" s="153">
        <f>(VLOOKUP('Quick Input'!AB$49,Auswahlfelder!$D$26:$E$28,2,FALSE)-2)*0.25%</f>
        <v>0</v>
      </c>
      <c r="V196" s="11"/>
    </row>
    <row r="197" spans="2:24" x14ac:dyDescent="0.2">
      <c r="B197" s="482">
        <v>37</v>
      </c>
      <c r="C197" s="96" t="s">
        <v>448</v>
      </c>
      <c r="D197" s="100">
        <v>1</v>
      </c>
      <c r="E197" s="586"/>
      <c r="F197" s="149">
        <f>(VLOOKUP('Quick Input'!M$21,Auswahlfelder!$D$16:$E$19,2,FALSE)-2)*0.2%</f>
        <v>0</v>
      </c>
      <c r="G197" s="446"/>
      <c r="H197" s="447"/>
      <c r="I197" s="149">
        <f>(VLOOKUP('Quick Input'!P$21,Auswahlfelder!$D$16:$E$19,2,FALSE)-2)*0.2%</f>
        <v>0</v>
      </c>
      <c r="J197" s="446"/>
      <c r="K197" s="447"/>
      <c r="L197" s="149">
        <f>(VLOOKUP('Quick Input'!S$21,Auswahlfelder!$D$16:$E$19,2,FALSE)-2)*0.2%</f>
        <v>0</v>
      </c>
      <c r="M197" s="446"/>
      <c r="N197" s="447"/>
      <c r="O197" s="149">
        <f>(VLOOKUP('Quick Input'!V$21,Auswahlfelder!$D$16:$E$19,2,FALSE)-2)*0.2%</f>
        <v>0</v>
      </c>
      <c r="P197" s="446"/>
      <c r="Q197" s="447"/>
      <c r="R197" s="149">
        <f>(VLOOKUP('Quick Input'!Y$21,Auswahlfelder!$D$16:$E$19,2,FALSE)-2)*0.2%</f>
        <v>0</v>
      </c>
      <c r="S197" s="446"/>
      <c r="T197" s="447"/>
      <c r="U197" s="149">
        <f>(VLOOKUP('Quick Input'!AB$21,Auswahlfelder!$D$16:$E$19,2,FALSE)-2)*0.2%</f>
        <v>0</v>
      </c>
      <c r="V197" s="11"/>
    </row>
    <row r="198" spans="2:24" x14ac:dyDescent="0.2">
      <c r="B198" s="482">
        <v>37</v>
      </c>
      <c r="C198" s="96" t="s">
        <v>450</v>
      </c>
      <c r="D198" s="100">
        <v>1</v>
      </c>
      <c r="E198" s="586"/>
      <c r="F198" s="149">
        <f>(VLOOKUP('Quick Input'!M$23,Auswahlfelder!$D$49:$E$51,2,FALSE)-1)*0.25%</f>
        <v>0</v>
      </c>
      <c r="G198" s="436"/>
      <c r="H198" s="437"/>
      <c r="I198" s="149">
        <f>(VLOOKUP('Quick Input'!P$23,Auswahlfelder!$D$49:$E$51,2,FALSE)-1)*0.25%</f>
        <v>0</v>
      </c>
      <c r="J198" s="436"/>
      <c r="K198" s="437"/>
      <c r="L198" s="149">
        <f>(VLOOKUP('Quick Input'!S$23,Auswahlfelder!$D$49:$E$51,2,FALSE)-1)*0.25%</f>
        <v>0</v>
      </c>
      <c r="M198" s="436"/>
      <c r="N198" s="437"/>
      <c r="O198" s="149">
        <f>(VLOOKUP('Quick Input'!V$23,Auswahlfelder!$D$49:$E$51,2,FALSE)-1)*0.25%</f>
        <v>0</v>
      </c>
      <c r="P198" s="436"/>
      <c r="Q198" s="437"/>
      <c r="R198" s="149">
        <f>(VLOOKUP('Quick Input'!Y$23,Auswahlfelder!$D$49:$E$51,2,FALSE)-1)*0.25%</f>
        <v>0</v>
      </c>
      <c r="S198" s="436"/>
      <c r="T198" s="437"/>
      <c r="U198" s="149">
        <f>(VLOOKUP('Quick Input'!AB$23,Auswahlfelder!$D$49:$E$51,2,FALSE)-1)*0.25%</f>
        <v>0</v>
      </c>
      <c r="V198" s="11"/>
    </row>
    <row r="199" spans="2:24" ht="15" thickBot="1" x14ac:dyDescent="0.25">
      <c r="B199" s="482">
        <v>37</v>
      </c>
      <c r="C199" s="96" t="s">
        <v>354</v>
      </c>
      <c r="D199" s="102"/>
      <c r="E199" s="586"/>
      <c r="F199" s="149">
        <f>MIN(1.5%,6/F94*1.5%)</f>
        <v>8.9999999999999998E-4</v>
      </c>
      <c r="G199" s="436"/>
      <c r="H199" s="437"/>
      <c r="I199" s="149">
        <f>MIN(1.5%,6/I94*1.5%)</f>
        <v>8.9999999999999998E-4</v>
      </c>
      <c r="J199" s="436"/>
      <c r="K199" s="437"/>
      <c r="L199" s="149">
        <f>MIN(1.5%,6/L94*1.5%)</f>
        <v>8.9999999999999998E-4</v>
      </c>
      <c r="M199" s="436"/>
      <c r="N199" s="437"/>
      <c r="O199" s="149" t="e">
        <f>MIN(1.5%,6/O94*1.5%)</f>
        <v>#DIV/0!</v>
      </c>
      <c r="P199" s="436"/>
      <c r="Q199" s="437"/>
      <c r="R199" s="149" t="e">
        <f>MIN(1.5%,6/R94*1.5%)</f>
        <v>#DIV/0!</v>
      </c>
      <c r="S199" s="436"/>
      <c r="T199" s="437"/>
      <c r="U199" s="149" t="e">
        <f>MIN(1.5%,6/U94*1.5%)</f>
        <v>#DIV/0!</v>
      </c>
      <c r="V199" s="11"/>
    </row>
    <row r="200" spans="2:24" ht="15" x14ac:dyDescent="0.25">
      <c r="B200" s="482">
        <v>37</v>
      </c>
      <c r="C200" s="95" t="s">
        <v>844</v>
      </c>
      <c r="D200" s="100" t="s">
        <v>94</v>
      </c>
      <c r="E200" s="589" t="s">
        <v>501</v>
      </c>
      <c r="F200" s="962">
        <f>IFERROR(IF(Refkalkulation!H$86=0,F201+F202+F203,Refkalkulation!H$86),0)</f>
        <v>0.02</v>
      </c>
      <c r="G200" s="963"/>
      <c r="H200" s="964"/>
      <c r="I200" s="962">
        <f>IFERROR(IF(Refkalkulation!K$86=0,I201+I202+I203,Refkalkulation!K$86),0)</f>
        <v>0.02</v>
      </c>
      <c r="J200" s="963"/>
      <c r="K200" s="964"/>
      <c r="L200" s="962">
        <f>IFERROR(IF(Refkalkulation!N$86=0,L201+L202+L203,Refkalkulation!N$86),0)</f>
        <v>0.02</v>
      </c>
      <c r="M200" s="963"/>
      <c r="N200" s="964"/>
      <c r="O200" s="962">
        <f>IFERROR(IF(Refkalkulation!Q$86=0,O201+O202+O203,Refkalkulation!Q$86),0)</f>
        <v>0</v>
      </c>
      <c r="P200" s="963"/>
      <c r="Q200" s="964"/>
      <c r="R200" s="962">
        <f>IFERROR(IF(Refkalkulation!T$86=0,R201+R202+R203,Refkalkulation!T$86),0)</f>
        <v>0</v>
      </c>
      <c r="S200" s="963"/>
      <c r="T200" s="964"/>
      <c r="U200" s="962">
        <f>IFERROR(IF(Refkalkulation!W$86=0,U201+U202+U203,Refkalkulation!W$86),0)</f>
        <v>0</v>
      </c>
      <c r="V200" s="11"/>
      <c r="X200" s="526"/>
    </row>
    <row r="201" spans="2:24" x14ac:dyDescent="0.2">
      <c r="B201" s="482">
        <v>37</v>
      </c>
      <c r="C201" s="96" t="s">
        <v>448</v>
      </c>
      <c r="D201" s="100" t="s">
        <v>395</v>
      </c>
      <c r="E201" s="584" t="s">
        <v>578</v>
      </c>
      <c r="F201" s="149">
        <f>0.5%+(VLOOKUP('Quick Input'!M$21,Auswahlfelder!$D$16:$E$19,2,FALSE)-2)*0.25%</f>
        <v>5.0000000000000001E-3</v>
      </c>
      <c r="G201" s="436"/>
      <c r="H201" s="437"/>
      <c r="I201" s="149">
        <f>0.5%+(VLOOKUP('Quick Input'!P$21,Auswahlfelder!$D$16:$E$19,2,FALSE)-2)*0.25%</f>
        <v>5.0000000000000001E-3</v>
      </c>
      <c r="J201" s="436"/>
      <c r="K201" s="437"/>
      <c r="L201" s="149">
        <f>0.5%+(VLOOKUP('Quick Input'!S$21,Auswahlfelder!$D$16:$E$19,2,FALSE)-2)*0.25%</f>
        <v>5.0000000000000001E-3</v>
      </c>
      <c r="M201" s="436"/>
      <c r="N201" s="437"/>
      <c r="O201" s="149">
        <f>0.5%+(VLOOKUP('Quick Input'!V$21,Auswahlfelder!$D$16:$E$19,2,FALSE)-2)*0.25%</f>
        <v>5.0000000000000001E-3</v>
      </c>
      <c r="P201" s="436"/>
      <c r="Q201" s="437"/>
      <c r="R201" s="149">
        <f>0.5%+(VLOOKUP('Quick Input'!Y$21,Auswahlfelder!$D$16:$E$19,2,FALSE)-2)*0.25%</f>
        <v>5.0000000000000001E-3</v>
      </c>
      <c r="S201" s="436"/>
      <c r="T201" s="437"/>
      <c r="U201" s="149">
        <f>0.5%+(VLOOKUP('Quick Input'!AB$21,Auswahlfelder!$D$16:$E$19,2,FALSE)-2)*0.25%</f>
        <v>5.0000000000000001E-3</v>
      </c>
      <c r="V201" s="11"/>
    </row>
    <row r="202" spans="2:24" x14ac:dyDescent="0.2">
      <c r="B202" s="482">
        <v>37</v>
      </c>
      <c r="C202" s="96" t="s">
        <v>905</v>
      </c>
      <c r="D202" s="100" t="s">
        <v>395</v>
      </c>
      <c r="E202" s="584" t="s">
        <v>578</v>
      </c>
      <c r="F202" s="149">
        <f>IF('Quick Input'!M$25="ja",0.3%,0)+IF('Quick Input'!M$26="ja",0.1%,0)+IF('Quick Input'!M$27="ja",0.6%,0)</f>
        <v>3.0000000000000001E-3</v>
      </c>
      <c r="G202" s="436"/>
      <c r="H202" s="437"/>
      <c r="I202" s="149">
        <f>IF('Quick Input'!P$25="ja",0.3%,0)+IF('Quick Input'!P$26="ja",0.1%,0)+IF('Quick Input'!P$27="ja",0.6%,0)</f>
        <v>3.0000000000000001E-3</v>
      </c>
      <c r="J202" s="436"/>
      <c r="K202" s="437"/>
      <c r="L202" s="149">
        <f>IF('Quick Input'!S$25="ja",0.3%,0)+IF('Quick Input'!S$26="ja",0.1%,0)+IF('Quick Input'!S$27="ja",0.6%,0)</f>
        <v>3.0000000000000001E-3</v>
      </c>
      <c r="M202" s="436"/>
      <c r="N202" s="437"/>
      <c r="O202" s="149">
        <f>IF('Quick Input'!V$25="ja",0.3%,0)+IF('Quick Input'!V$26="ja",0.1%,0)+IF('Quick Input'!V$27="ja",0.6%,0)</f>
        <v>3.0000000000000001E-3</v>
      </c>
      <c r="P202" s="436"/>
      <c r="Q202" s="437"/>
      <c r="R202" s="149">
        <f>IF('Quick Input'!Y$25="ja",0.3%,0)+IF('Quick Input'!Y$26="ja",0.1%,0)+IF('Quick Input'!Y$27="ja",0.6%,0)</f>
        <v>3.0000000000000001E-3</v>
      </c>
      <c r="S202" s="436"/>
      <c r="T202" s="437"/>
      <c r="U202" s="149">
        <f>IF('Quick Input'!AB$25="ja",0.3%,0)+IF('Quick Input'!AB$26="ja",0.1%,0)+IF('Quick Input'!AB$27="ja",0.6%,0)</f>
        <v>3.0000000000000001E-3</v>
      </c>
      <c r="V202" s="11"/>
    </row>
    <row r="203" spans="2:24" ht="15" thickBot="1" x14ac:dyDescent="0.25">
      <c r="B203" s="482">
        <v>37</v>
      </c>
      <c r="C203" s="96" t="s">
        <v>354</v>
      </c>
      <c r="D203" s="100" t="s">
        <v>395</v>
      </c>
      <c r="E203" s="584" t="s">
        <v>578</v>
      </c>
      <c r="F203" s="149">
        <f>MIN(0.5%,3/F94*4%)</f>
        <v>1.1999999999999999E-3</v>
      </c>
      <c r="G203" s="436"/>
      <c r="H203" s="437"/>
      <c r="I203" s="149">
        <f>MIN(0.5%,3/I94*4%)</f>
        <v>1.1999999999999999E-3</v>
      </c>
      <c r="J203" s="436"/>
      <c r="K203" s="437"/>
      <c r="L203" s="149">
        <f t="shared" ref="L203" si="11">MIN(0.5%,3/L94*4%)</f>
        <v>1.1999999999999999E-3</v>
      </c>
      <c r="M203" s="436"/>
      <c r="N203" s="437"/>
      <c r="O203" s="149" t="e">
        <f t="shared" ref="O203" si="12">MIN(0.5%,3/O94*4%)</f>
        <v>#DIV/0!</v>
      </c>
      <c r="P203" s="436"/>
      <c r="Q203" s="437"/>
      <c r="R203" s="149" t="e">
        <f t="shared" ref="R203" si="13">MIN(0.5%,3/R94*4%)</f>
        <v>#DIV/0!</v>
      </c>
      <c r="S203" s="436"/>
      <c r="T203" s="437"/>
      <c r="U203" s="149" t="e">
        <f t="shared" ref="U203" si="14">MIN(0.5%,3/U94*4%)</f>
        <v>#DIV/0!</v>
      </c>
      <c r="V203" s="11"/>
    </row>
    <row r="204" spans="2:24" ht="15.75" thickBot="1" x14ac:dyDescent="0.3">
      <c r="B204" s="482">
        <v>43</v>
      </c>
      <c r="C204" s="95" t="s">
        <v>845</v>
      </c>
      <c r="D204" s="98"/>
      <c r="E204" s="589" t="s">
        <v>501</v>
      </c>
      <c r="F204" s="684">
        <f>IF(Refkalkulation!H$108=0,'Länder-DB'!$I$33,Refkalkulation!H$108)</f>
        <v>0.12</v>
      </c>
      <c r="G204" s="7"/>
      <c r="H204" s="7"/>
      <c r="I204" s="684">
        <f>IF(Refkalkulation!K$108=0,'Länder-DB'!$I$33,Refkalkulation!K$108)</f>
        <v>0.12</v>
      </c>
      <c r="J204" s="7"/>
      <c r="K204" s="7"/>
      <c r="L204" s="684">
        <f>IF(Refkalkulation!N$108=0,'Länder-DB'!$I$33,Refkalkulation!N$108)</f>
        <v>0.12</v>
      </c>
      <c r="M204" s="7"/>
      <c r="N204" s="7"/>
      <c r="O204" s="684">
        <f>IF(Refkalkulation!Q$108=0,'Länder-DB'!$I$33,Refkalkulation!Q$108)</f>
        <v>0.12</v>
      </c>
      <c r="P204" s="7"/>
      <c r="Q204" s="7"/>
      <c r="R204" s="684">
        <f>IF(Refkalkulation!T$108=0,'Länder-DB'!$I$33,Refkalkulation!T$108)</f>
        <v>0.12</v>
      </c>
      <c r="S204" s="7"/>
      <c r="T204" s="7"/>
      <c r="U204" s="684">
        <f>IF(Refkalkulation!W$108=0,'Länder-DB'!$I$33,Refkalkulation!W$108)</f>
        <v>0.12</v>
      </c>
      <c r="V204" s="11"/>
      <c r="X204" s="526"/>
    </row>
    <row r="205" spans="2:24" ht="15" x14ac:dyDescent="0.25">
      <c r="B205" s="546">
        <v>62</v>
      </c>
      <c r="C205" s="95" t="s">
        <v>566</v>
      </c>
      <c r="D205" s="98"/>
      <c r="E205" s="589" t="s">
        <v>501</v>
      </c>
      <c r="F205" s="209">
        <f>F$206*F$209/MIN(F$207,F$254/Refkalkulation!H$61)</f>
        <v>0</v>
      </c>
      <c r="G205" s="434"/>
      <c r="H205" s="435"/>
      <c r="I205" s="209">
        <f>I$206*I$209/MIN(I$207,I$254/Refkalkulation!K$61)</f>
        <v>0</v>
      </c>
      <c r="J205" s="434"/>
      <c r="K205" s="435"/>
      <c r="L205" s="209">
        <f>L$206*L$209/MIN(L$207,L$254/Refkalkulation!N$61)</f>
        <v>0</v>
      </c>
      <c r="M205" s="434"/>
      <c r="N205" s="435"/>
      <c r="O205" s="209" t="e">
        <f>O$206*O$209/MIN(O$207,O$254/Refkalkulation!Q$61)</f>
        <v>#DIV/0!</v>
      </c>
      <c r="P205" s="434"/>
      <c r="Q205" s="435"/>
      <c r="R205" s="209" t="e">
        <f>R$206*R$209/MIN(R$207,R$254/Refkalkulation!T$61)</f>
        <v>#DIV/0!</v>
      </c>
      <c r="S205" s="434"/>
      <c r="T205" s="435"/>
      <c r="U205" s="209" t="e">
        <f>U$206*U$209/MIN(U$207,U$254/Refkalkulation!W$61)</f>
        <v>#DIV/0!</v>
      </c>
      <c r="V205" s="8"/>
      <c r="X205" s="526"/>
    </row>
    <row r="206" spans="2:24" x14ac:dyDescent="0.2">
      <c r="B206" s="482">
        <f>B205</f>
        <v>62</v>
      </c>
      <c r="C206" s="96" t="s">
        <v>636</v>
      </c>
      <c r="D206" s="100"/>
      <c r="E206" s="584" t="s">
        <v>500</v>
      </c>
      <c r="F206" s="211">
        <f>IFERROR(Refkalkulation!H$58*F$41,0)</f>
        <v>0</v>
      </c>
      <c r="G206" s="436"/>
      <c r="H206" s="437"/>
      <c r="I206" s="211">
        <f>IFERROR(Refkalkulation!K$58*I$41,0)</f>
        <v>0</v>
      </c>
      <c r="J206" s="436"/>
      <c r="K206" s="437"/>
      <c r="L206" s="211">
        <f>IFERROR(Refkalkulation!N$58*L$41,0)</f>
        <v>0</v>
      </c>
      <c r="M206" s="436"/>
      <c r="N206" s="437"/>
      <c r="O206" s="211">
        <f>IFERROR(Refkalkulation!Q$58*O$41,0)</f>
        <v>0</v>
      </c>
      <c r="P206" s="436"/>
      <c r="Q206" s="437"/>
      <c r="R206" s="211">
        <f>IFERROR(Refkalkulation!T$58*R$41,0)</f>
        <v>0</v>
      </c>
      <c r="S206" s="436"/>
      <c r="T206" s="437"/>
      <c r="U206" s="211">
        <f>IFERROR(Refkalkulation!W$58*U$41,0)</f>
        <v>0</v>
      </c>
      <c r="V206" s="11"/>
      <c r="W206" s="495"/>
    </row>
    <row r="207" spans="2:24" ht="15" x14ac:dyDescent="0.25">
      <c r="B207" s="482">
        <f>B206</f>
        <v>62</v>
      </c>
      <c r="C207" s="96" t="s">
        <v>917</v>
      </c>
      <c r="D207" s="540">
        <v>8</v>
      </c>
      <c r="E207" s="584" t="s">
        <v>500</v>
      </c>
      <c r="F207" s="206">
        <f>'Länder-DB'!$M$51</f>
        <v>40</v>
      </c>
      <c r="G207" s="436"/>
      <c r="H207" s="437"/>
      <c r="I207" s="206">
        <f>'Länder-DB'!$M$51</f>
        <v>40</v>
      </c>
      <c r="J207" s="436"/>
      <c r="K207" s="437"/>
      <c r="L207" s="206">
        <f>'Länder-DB'!$M$51</f>
        <v>40</v>
      </c>
      <c r="M207" s="436"/>
      <c r="N207" s="437"/>
      <c r="O207" s="206">
        <f>'Länder-DB'!$M$51</f>
        <v>40</v>
      </c>
      <c r="P207" s="436"/>
      <c r="Q207" s="437"/>
      <c r="R207" s="206">
        <f>'Länder-DB'!$M$51</f>
        <v>40</v>
      </c>
      <c r="S207" s="436"/>
      <c r="T207" s="437"/>
      <c r="U207" s="206">
        <f>'Länder-DB'!$M$51</f>
        <v>40</v>
      </c>
      <c r="V207" s="5"/>
    </row>
    <row r="208" spans="2:24" ht="15" x14ac:dyDescent="0.25">
      <c r="B208" s="482">
        <f>B207</f>
        <v>62</v>
      </c>
      <c r="C208" s="96" t="s">
        <v>635</v>
      </c>
      <c r="D208" s="540">
        <v>14</v>
      </c>
      <c r="E208" s="584" t="s">
        <v>634</v>
      </c>
      <c r="F208" s="806">
        <f>IF(F206=0,0,IFERROR(IF('Quick Input'!M22=Auswahlfelder!$D$38,$D$207,$D$208),0))</f>
        <v>0</v>
      </c>
      <c r="G208" s="436"/>
      <c r="H208" s="437"/>
      <c r="I208" s="806">
        <f>IF(I206=0,0,IFERROR(IF('Quick Input'!P22=Auswahlfelder!$D$38,$D$207,$D$208),0))</f>
        <v>0</v>
      </c>
      <c r="J208" s="436"/>
      <c r="K208" s="437"/>
      <c r="L208" s="806">
        <f>IF(L206=0,0,IFERROR(IF('Quick Input'!S22=Auswahlfelder!$D$38,$D$207,$D$208),0))</f>
        <v>0</v>
      </c>
      <c r="M208" s="436"/>
      <c r="N208" s="437"/>
      <c r="O208" s="806">
        <f>IF(O206=0,0,IFERROR(IF('Quick Input'!V22=Auswahlfelder!$D$38,$D$207,$D$208),0))</f>
        <v>0</v>
      </c>
      <c r="P208" s="436"/>
      <c r="Q208" s="437"/>
      <c r="R208" s="806">
        <f>IF(R206=0,0,IFERROR(IF('Quick Input'!Y22=Auswahlfelder!$D$38,$D$207,$D$208),0))</f>
        <v>0</v>
      </c>
      <c r="S208" s="436"/>
      <c r="T208" s="437"/>
      <c r="U208" s="806">
        <f>IF(U206=0,0,IFERROR(IF('Quick Input'!AB22=Auswahlfelder!$D$38,$D$207,$D$208),0))</f>
        <v>0</v>
      </c>
      <c r="V208" s="5"/>
    </row>
    <row r="209" spans="2:24" ht="15" thickBot="1" x14ac:dyDescent="0.25">
      <c r="B209" s="547">
        <f>B207</f>
        <v>62</v>
      </c>
      <c r="C209" s="97" t="s">
        <v>567</v>
      </c>
      <c r="D209" s="102"/>
      <c r="E209" s="585" t="s">
        <v>500</v>
      </c>
      <c r="F209" s="717">
        <f>'Länder-DB'!$M$53*(1+18%*(VLOOKUP('Quick Input'!M$45,DB_Länder,5,FALSE)/'Länder-DB'!$E$2-1))</f>
        <v>3.08</v>
      </c>
      <c r="G209" s="438"/>
      <c r="H209" s="439"/>
      <c r="I209" s="717">
        <f>'Länder-DB'!$M$53*(1+18%*(VLOOKUP('Quick Input'!P$45,DB_Länder,5,FALSE)/'Länder-DB'!$E$2-1))</f>
        <v>2.6170250879249708</v>
      </c>
      <c r="J209" s="438"/>
      <c r="K209" s="439"/>
      <c r="L209" s="717">
        <f>'Länder-DB'!$M$53*(1+18%*(VLOOKUP('Quick Input'!S$45,DB_Länder,5,FALSE)/'Länder-DB'!$E$2-1))</f>
        <v>2.6980511137162955</v>
      </c>
      <c r="M209" s="438"/>
      <c r="N209" s="439"/>
      <c r="O209" s="717">
        <f>'Länder-DB'!$M$53*(1+18%*(VLOOKUP('Quick Input'!V$45,DB_Länder,5,FALSE)/'Länder-DB'!$E$2-1))</f>
        <v>3.08</v>
      </c>
      <c r="P209" s="438"/>
      <c r="Q209" s="439"/>
      <c r="R209" s="717">
        <f>'Länder-DB'!$M$53*(1+18%*(VLOOKUP('Quick Input'!Y$45,DB_Länder,5,FALSE)/'Länder-DB'!$E$2-1))</f>
        <v>3.08</v>
      </c>
      <c r="S209" s="438"/>
      <c r="T209" s="439"/>
      <c r="U209" s="717">
        <f>'Länder-DB'!$M$53*(1+18%*(VLOOKUP('Quick Input'!AB$45,DB_Länder,5,FALSE)/'Länder-DB'!$E$2-1))</f>
        <v>3.08</v>
      </c>
      <c r="V209" s="32"/>
    </row>
    <row r="210" spans="2:24" ht="15" x14ac:dyDescent="0.25">
      <c r="B210" s="17">
        <v>20</v>
      </c>
      <c r="C210" s="99" t="s">
        <v>816</v>
      </c>
      <c r="D210" s="100"/>
      <c r="E210" s="583" t="s">
        <v>501</v>
      </c>
      <c r="F210" s="930">
        <f>F212+F213+F214</f>
        <v>5.2999999999999999E-2</v>
      </c>
      <c r="G210" s="931"/>
      <c r="H210" s="931"/>
      <c r="I210" s="930">
        <f>I212+I213+I214</f>
        <v>0.04</v>
      </c>
      <c r="J210" s="931"/>
      <c r="K210" s="931"/>
      <c r="L210" s="930">
        <f t="shared" ref="L210" si="15">L212+L213+L214</f>
        <v>0.1237</v>
      </c>
      <c r="M210" s="931"/>
      <c r="N210" s="931"/>
      <c r="O210" s="930">
        <f t="shared" ref="O210" si="16">O212+O213+O214</f>
        <v>5.2999999999999999E-2</v>
      </c>
      <c r="P210" s="931"/>
      <c r="Q210" s="931"/>
      <c r="R210" s="930">
        <f t="shared" ref="R210" si="17">R212+R213+R214</f>
        <v>5.2999999999999999E-2</v>
      </c>
      <c r="S210" s="931"/>
      <c r="T210" s="931"/>
      <c r="U210" s="930">
        <f t="shared" ref="U210" si="18">U212+U213+U214</f>
        <v>5.2999999999999999E-2</v>
      </c>
      <c r="V210" s="11"/>
    </row>
    <row r="211" spans="2:24" x14ac:dyDescent="0.2">
      <c r="B211" s="482">
        <f>B210</f>
        <v>20</v>
      </c>
      <c r="C211" s="96" t="s">
        <v>814</v>
      </c>
      <c r="D211" s="100"/>
      <c r="E211" s="586" t="s">
        <v>578</v>
      </c>
      <c r="F211" s="471" t="str">
        <f>IFERROR(VLOOKUP(Refkalkulation!H30,Auswahlfelder!$D$71:$D$73,1,FALSE),VLOOKUP(Refkalkulation!H30,Auswahlfelder!$C$71:$D$73,2,FALSE))</f>
        <v>Gas</v>
      </c>
      <c r="G211" s="10"/>
      <c r="H211" s="10"/>
      <c r="I211" s="471" t="str">
        <f>IFERROR(VLOOKUP(Refkalkulation!K30,Auswahlfelder!$D$71:$D$73,1,FALSE),VLOOKUP(Refkalkulation!K30,Auswahlfelder!$C$71:$D$73,2,FALSE))</f>
        <v>Gas</v>
      </c>
      <c r="J211" s="10"/>
      <c r="K211" s="10"/>
      <c r="L211" s="471" t="str">
        <f>IFERROR(VLOOKUP(Refkalkulation!N30,Auswahlfelder!$D$71:$D$73,1,FALSE),VLOOKUP(Refkalkulation!N30,Auswahlfelder!$C$71:$D$73,2,FALSE))</f>
        <v>Gas</v>
      </c>
      <c r="M211" s="10"/>
      <c r="N211" s="10"/>
      <c r="O211" s="471" t="str">
        <f>IFERROR(VLOOKUP(Refkalkulation!Q30,Auswahlfelder!$D$71:$D$73,1,FALSE),VLOOKUP(Refkalkulation!Q30,Auswahlfelder!$C$71:$D$73,2,FALSE))</f>
        <v>Gas</v>
      </c>
      <c r="P211" s="10"/>
      <c r="Q211" s="10"/>
      <c r="R211" s="471" t="str">
        <f>IFERROR(VLOOKUP(Refkalkulation!T30,Auswahlfelder!$D$71:$D$73,1,FALSE),VLOOKUP(Refkalkulation!T30,Auswahlfelder!$C$71:$D$73,2,FALSE))</f>
        <v>Gas</v>
      </c>
      <c r="S211" s="10"/>
      <c r="T211" s="10"/>
      <c r="U211" s="471" t="str">
        <f>IFERROR(VLOOKUP(Refkalkulation!W30,Auswahlfelder!$D$71:$D$73,1,FALSE),VLOOKUP(Refkalkulation!W30,Auswahlfelder!$C$71:$D$73,2,FALSE))</f>
        <v>Gas</v>
      </c>
      <c r="V211" s="11"/>
    </row>
    <row r="212" spans="2:24" x14ac:dyDescent="0.2">
      <c r="B212" s="482">
        <f>B211</f>
        <v>20</v>
      </c>
      <c r="C212" s="96" t="s">
        <v>817</v>
      </c>
      <c r="D212" s="876"/>
      <c r="E212" s="586" t="s">
        <v>578</v>
      </c>
      <c r="F212" s="478">
        <f>IF(F$211=Auswahlfelder!$D71,VLOOKUP('Quick Input'!M$45,DB_Länder,9,FALSE),0)</f>
        <v>5.2999999999999999E-2</v>
      </c>
      <c r="G212" s="436"/>
      <c r="H212" s="437"/>
      <c r="I212" s="478">
        <f>IF(I$211=Auswahlfelder!$D71,VLOOKUP('Quick Input'!P$45,DB_Länder,9,FALSE),0)</f>
        <v>0.04</v>
      </c>
      <c r="J212" s="436"/>
      <c r="K212" s="437"/>
      <c r="L212" s="478">
        <f>IF(L$211=Auswahlfelder!$D71,VLOOKUP('Quick Input'!S$45,DB_Länder,9,FALSE),0)</f>
        <v>0.1237</v>
      </c>
      <c r="M212" s="436"/>
      <c r="N212" s="437"/>
      <c r="O212" s="478">
        <f>IF(O$211=Auswahlfelder!$D71,VLOOKUP('Quick Input'!V$45,DB_Länder,9,FALSE),0)</f>
        <v>5.2999999999999999E-2</v>
      </c>
      <c r="P212" s="436"/>
      <c r="Q212" s="437"/>
      <c r="R212" s="478">
        <f>IF(R$211=Auswahlfelder!$D71,VLOOKUP('Quick Input'!Y$45,DB_Länder,9,FALSE),0)</f>
        <v>5.2999999999999999E-2</v>
      </c>
      <c r="S212" s="436"/>
      <c r="T212" s="437"/>
      <c r="U212" s="478">
        <f>IF(U$211=Auswahlfelder!$D71,VLOOKUP('Quick Input'!AB$45,DB_Länder,9,FALSE),0)</f>
        <v>5.2999999999999999E-2</v>
      </c>
      <c r="V212" s="11"/>
    </row>
    <row r="213" spans="2:24" x14ac:dyDescent="0.2">
      <c r="B213" s="482">
        <f>B212</f>
        <v>20</v>
      </c>
      <c r="C213" s="96" t="s">
        <v>818</v>
      </c>
      <c r="E213" s="586" t="s">
        <v>578</v>
      </c>
      <c r="F213" s="478">
        <f>IF(F$211=Auswahlfelder!$D72,VLOOKUP('Quick Input'!M$45,DB_Länder,7,FALSE),0)</f>
        <v>0</v>
      </c>
      <c r="G213" s="436"/>
      <c r="H213" s="437"/>
      <c r="I213" s="478">
        <f>IF(I$211=Auswahlfelder!$D72,VLOOKUP('Quick Input'!P$45,DB_Länder,7,FALSE),0)</f>
        <v>0</v>
      </c>
      <c r="J213" s="436"/>
      <c r="K213" s="437"/>
      <c r="L213" s="478">
        <f>IF(L$211=Auswahlfelder!$D72,VLOOKUP('Quick Input'!S$45,DB_Länder,7,FALSE),0)</f>
        <v>0</v>
      </c>
      <c r="M213" s="436"/>
      <c r="N213" s="437"/>
      <c r="O213" s="478">
        <f>IF(O$211=Auswahlfelder!$D72,VLOOKUP('Quick Input'!V$45,DB_Länder,7,FALSE),0)</f>
        <v>0</v>
      </c>
      <c r="P213" s="436"/>
      <c r="Q213" s="437"/>
      <c r="R213" s="478">
        <f>IF(R$211=Auswahlfelder!$D72,VLOOKUP('Quick Input'!Y$45,DB_Länder,7,FALSE),0)</f>
        <v>0</v>
      </c>
      <c r="S213" s="436"/>
      <c r="T213" s="437"/>
      <c r="U213" s="478">
        <f>IF(U$211=Auswahlfelder!$D72,VLOOKUP('Quick Input'!AB$45,DB_Länder,7,FALSE),0)</f>
        <v>0</v>
      </c>
      <c r="V213" s="11"/>
    </row>
    <row r="214" spans="2:24" ht="15" x14ac:dyDescent="0.25">
      <c r="B214" s="482">
        <f>B213</f>
        <v>20</v>
      </c>
      <c r="C214" s="96" t="s">
        <v>822</v>
      </c>
      <c r="D214" s="729">
        <f>11.8*1000</f>
        <v>11800</v>
      </c>
      <c r="E214" s="586"/>
      <c r="F214" s="478">
        <f>IF(F$211=Auswahlfelder!$D73,F215/$D$214,0)</f>
        <v>0</v>
      </c>
      <c r="G214" s="436"/>
      <c r="H214" s="437"/>
      <c r="I214" s="478">
        <f>IF(I$211=Auswahlfelder!$D73,I215/$D$214,0)</f>
        <v>0</v>
      </c>
      <c r="J214" s="436"/>
      <c r="K214" s="437"/>
      <c r="L214" s="478">
        <f>IF(L$211=Auswahlfelder!$D73,L215/$D$214,0)</f>
        <v>0</v>
      </c>
      <c r="M214" s="436"/>
      <c r="N214" s="437"/>
      <c r="O214" s="478">
        <f>IF(O$211=Auswahlfelder!$D73,O215/$D$214,0)</f>
        <v>0</v>
      </c>
      <c r="P214" s="436"/>
      <c r="Q214" s="437"/>
      <c r="R214" s="478">
        <f>IF(R$211=Auswahlfelder!$D73,R215/$D$214,0)</f>
        <v>0</v>
      </c>
      <c r="S214" s="436"/>
      <c r="T214" s="437"/>
      <c r="U214" s="478">
        <f>IF(U$211=Auswahlfelder!$D73,U215/$D$214,0)</f>
        <v>0</v>
      </c>
      <c r="V214" s="11"/>
    </row>
    <row r="215" spans="2:24" ht="15" thickBot="1" x14ac:dyDescent="0.25">
      <c r="B215" s="547">
        <f>B214</f>
        <v>20</v>
      </c>
      <c r="C215" s="97" t="s">
        <v>823</v>
      </c>
      <c r="D215" s="952">
        <v>135</v>
      </c>
      <c r="E215" s="587" t="s">
        <v>578</v>
      </c>
      <c r="F215" s="474">
        <f>IFERROR(VLOOKUP("Heizöl",#REF!,4,FALSE),VLOOKUP("Heizöl",'Länder-DB'!$A$20:$B$51,2,FALSE))+$D$215</f>
        <v>568</v>
      </c>
      <c r="G215" s="438"/>
      <c r="H215" s="439"/>
      <c r="I215" s="474">
        <f>IFERROR(VLOOKUP("Heizöl",#REF!,4,FALSE),VLOOKUP("Heizöl",'Länder-DB'!$A$20:$B$51,2,FALSE))+$D$215</f>
        <v>568</v>
      </c>
      <c r="J215" s="438"/>
      <c r="K215" s="439"/>
      <c r="L215" s="474">
        <f>IFERROR(VLOOKUP("Heizöl",#REF!,4,FALSE),VLOOKUP("Heizöl",'Länder-DB'!$A$20:$B$51,2,FALSE))+$D$215</f>
        <v>568</v>
      </c>
      <c r="M215" s="438"/>
      <c r="N215" s="439"/>
      <c r="O215" s="474">
        <f>IFERROR(VLOOKUP("Heizöl",#REF!,4,FALSE),VLOOKUP("Heizöl",'Länder-DB'!$A$20:$B$51,2,FALSE))+$D$215</f>
        <v>568</v>
      </c>
      <c r="P215" s="438"/>
      <c r="Q215" s="439"/>
      <c r="R215" s="474">
        <f>IFERROR(VLOOKUP("Heizöl",#REF!,4,FALSE),VLOOKUP("Heizöl",'Länder-DB'!$A$20:$B$51,2,FALSE))+$D$215</f>
        <v>568</v>
      </c>
      <c r="S215" s="438"/>
      <c r="T215" s="439"/>
      <c r="U215" s="474">
        <f>IFERROR(VLOOKUP("Heizöl",#REF!,4,FALSE),VLOOKUP("Heizöl",'Länder-DB'!$A$20:$B$51,2,FALSE))+$D$215</f>
        <v>568</v>
      </c>
      <c r="V215" s="126"/>
      <c r="X215" s="526"/>
    </row>
    <row r="216" spans="2:24" ht="15" x14ac:dyDescent="0.25">
      <c r="B216" s="593">
        <v>20</v>
      </c>
      <c r="C216" s="95" t="s">
        <v>906</v>
      </c>
      <c r="D216" s="98"/>
      <c r="E216" s="589" t="s">
        <v>501</v>
      </c>
      <c r="F216" s="161">
        <f>VLOOKUP(F$105,DB_Ofen,7,FALSE)</f>
        <v>400</v>
      </c>
      <c r="G216" s="451"/>
      <c r="H216" s="435"/>
      <c r="I216" s="161">
        <f>VLOOKUP(I$105,DB_Ofen,7,FALSE)</f>
        <v>400</v>
      </c>
      <c r="J216" s="451"/>
      <c r="K216" s="435"/>
      <c r="L216" s="161">
        <f>VLOOKUP(L$105,DB_Ofen,7,FALSE)</f>
        <v>400</v>
      </c>
      <c r="M216" s="451"/>
      <c r="N216" s="435"/>
      <c r="O216" s="161">
        <f>VLOOKUP(O$105,DB_Ofen,7,FALSE)</f>
        <v>400</v>
      </c>
      <c r="P216" s="451"/>
      <c r="Q216" s="435"/>
      <c r="R216" s="161">
        <f>VLOOKUP(R$105,DB_Ofen,7,FALSE)</f>
        <v>400</v>
      </c>
      <c r="S216" s="451"/>
      <c r="T216" s="435"/>
      <c r="U216" s="161">
        <f>VLOOKUP(U$105,DB_Ofen,7,FALSE)</f>
        <v>400</v>
      </c>
      <c r="V216" s="8"/>
      <c r="X216" s="526"/>
    </row>
    <row r="217" spans="2:24" x14ac:dyDescent="0.2">
      <c r="B217" s="592">
        <f>B216</f>
        <v>20</v>
      </c>
      <c r="C217" s="96" t="s">
        <v>907</v>
      </c>
      <c r="D217" s="100"/>
      <c r="E217" s="584" t="s">
        <v>501</v>
      </c>
      <c r="F217" s="649">
        <f>VLOOKUP(F$105+1,DB_Ofen,7,FALSE)</f>
        <v>2000</v>
      </c>
      <c r="G217" s="436"/>
      <c r="H217" s="437"/>
      <c r="I217" s="649">
        <f>VLOOKUP(I$105+1,DB_Ofen,7,FALSE)</f>
        <v>2000</v>
      </c>
      <c r="J217" s="436"/>
      <c r="K217" s="437"/>
      <c r="L217" s="649">
        <f>VLOOKUP(L$105+1,DB_Ofen,7,FALSE)</f>
        <v>2000</v>
      </c>
      <c r="M217" s="436"/>
      <c r="N217" s="437"/>
      <c r="O217" s="649">
        <f>VLOOKUP(O$105+1,DB_Ofen,7,FALSE)</f>
        <v>2000</v>
      </c>
      <c r="P217" s="436"/>
      <c r="Q217" s="437"/>
      <c r="R217" s="649">
        <f>VLOOKUP(R$105+1,DB_Ofen,7,FALSE)</f>
        <v>2000</v>
      </c>
      <c r="S217" s="436"/>
      <c r="T217" s="437"/>
      <c r="U217" s="649">
        <f>VLOOKUP(U$105+1,DB_Ofen,7,FALSE)</f>
        <v>2000</v>
      </c>
      <c r="V217" s="11"/>
    </row>
    <row r="218" spans="2:24" x14ac:dyDescent="0.2">
      <c r="B218" s="592">
        <f t="shared" ref="B218:B219" si="19">B217</f>
        <v>20</v>
      </c>
      <c r="C218" s="96" t="s">
        <v>908</v>
      </c>
      <c r="D218" s="100"/>
      <c r="E218" s="584" t="s">
        <v>501</v>
      </c>
      <c r="F218" s="649">
        <f>VLOOKUP(F$105+2,DB_Ofen,7,FALSE)</f>
        <v>3000</v>
      </c>
      <c r="G218" s="461"/>
      <c r="H218" s="462"/>
      <c r="I218" s="649">
        <f>VLOOKUP(I$105+2,DB_Ofen,7,FALSE)</f>
        <v>3000</v>
      </c>
      <c r="J218" s="461"/>
      <c r="K218" s="462"/>
      <c r="L218" s="649">
        <f>VLOOKUP(L$105+2,DB_Ofen,7,FALSE)</f>
        <v>3000</v>
      </c>
      <c r="M218" s="461"/>
      <c r="N218" s="462"/>
      <c r="O218" s="649">
        <f>VLOOKUP(O$105+2,DB_Ofen,7,FALSE)</f>
        <v>3000</v>
      </c>
      <c r="P218" s="461"/>
      <c r="Q218" s="462"/>
      <c r="R218" s="649">
        <f>VLOOKUP(R$105+2,DB_Ofen,7,FALSE)</f>
        <v>3000</v>
      </c>
      <c r="S218" s="461"/>
      <c r="T218" s="462"/>
      <c r="U218" s="649">
        <f>VLOOKUP(U$105+2,DB_Ofen,7,FALSE)</f>
        <v>3000</v>
      </c>
      <c r="V218" s="11"/>
    </row>
    <row r="219" spans="2:24" ht="15" thickBot="1" x14ac:dyDescent="0.25">
      <c r="B219" s="974">
        <f t="shared" si="19"/>
        <v>20</v>
      </c>
      <c r="C219" s="97" t="s">
        <v>909</v>
      </c>
      <c r="D219" s="102"/>
      <c r="E219" s="585" t="s">
        <v>501</v>
      </c>
      <c r="F219" s="1060">
        <f>IFERROR(VLOOKUP(F$105+3,DB_Ofen,7,FALSE),"")</f>
        <v>5000</v>
      </c>
      <c r="G219" s="475"/>
      <c r="H219" s="476"/>
      <c r="I219" s="1060">
        <f>IFERROR(VLOOKUP(I$105+3,DB_Ofen,7,FALSE),"")</f>
        <v>5000</v>
      </c>
      <c r="J219" s="475"/>
      <c r="K219" s="476"/>
      <c r="L219" s="1060">
        <f>IFERROR(VLOOKUP(L$105+3,DB_Ofen,7,FALSE),"")</f>
        <v>5000</v>
      </c>
      <c r="M219" s="475"/>
      <c r="N219" s="476"/>
      <c r="O219" s="1060">
        <f>IFERROR(VLOOKUP(O$105+3,DB_Ofen,7,FALSE),"")</f>
        <v>5000</v>
      </c>
      <c r="P219" s="475"/>
      <c r="Q219" s="476"/>
      <c r="R219" s="1060">
        <f>IFERROR(VLOOKUP(R$105+3,DB_Ofen,7,FALSE),"")</f>
        <v>5000</v>
      </c>
      <c r="S219" s="475"/>
      <c r="T219" s="476"/>
      <c r="U219" s="1060">
        <f>IFERROR(VLOOKUP(U$105+3,DB_Ofen,7,FALSE),"")</f>
        <v>5000</v>
      </c>
      <c r="V219" s="126"/>
    </row>
    <row r="220" spans="2:24" ht="15" x14ac:dyDescent="0.25">
      <c r="B220" s="482">
        <v>63</v>
      </c>
      <c r="C220" s="95" t="s">
        <v>708</v>
      </c>
      <c r="D220" s="100"/>
      <c r="E220" s="583" t="s">
        <v>501</v>
      </c>
      <c r="F220" s="351">
        <f>F221+F222/60*F21</f>
        <v>14.495533333333334</v>
      </c>
      <c r="G220" s="451"/>
      <c r="H220" s="435"/>
      <c r="I220" s="351">
        <f>I221+I222/60*I21</f>
        <v>9.0839485</v>
      </c>
      <c r="J220" s="451"/>
      <c r="K220" s="435"/>
      <c r="L220" s="351">
        <f>L221+L222/60*L21</f>
        <v>9.4911577999999999</v>
      </c>
      <c r="M220" s="451"/>
      <c r="N220" s="435"/>
      <c r="O220" s="351">
        <f>O221+O222/60*O21</f>
        <v>13.884145</v>
      </c>
      <c r="P220" s="451"/>
      <c r="Q220" s="435"/>
      <c r="R220" s="351">
        <f>R221+R222/60*R21</f>
        <v>13.884145</v>
      </c>
      <c r="S220" s="451"/>
      <c r="T220" s="435"/>
      <c r="U220" s="351">
        <f>U221+U222/60*U21</f>
        <v>13.884145</v>
      </c>
      <c r="V220" s="8"/>
      <c r="W220" s="795"/>
      <c r="X220" s="526"/>
    </row>
    <row r="221" spans="2:24" x14ac:dyDescent="0.2">
      <c r="B221" s="482">
        <f t="shared" ref="B221:B224" si="20">B220</f>
        <v>63</v>
      </c>
      <c r="C221" s="96" t="s">
        <v>712</v>
      </c>
      <c r="D221" s="875"/>
      <c r="E221" s="584" t="s">
        <v>500</v>
      </c>
      <c r="F221" s="471">
        <f>'Länder-DB'!$M$41</f>
        <v>8</v>
      </c>
      <c r="G221" s="436"/>
      <c r="H221" s="437"/>
      <c r="I221" s="471">
        <f>'Länder-DB'!$M$41</f>
        <v>8</v>
      </c>
      <c r="J221" s="436"/>
      <c r="K221" s="437"/>
      <c r="L221" s="471">
        <f>'Länder-DB'!$M$41</f>
        <v>8</v>
      </c>
      <c r="M221" s="436"/>
      <c r="N221" s="437"/>
      <c r="O221" s="471">
        <f>'Länder-DB'!$M$41</f>
        <v>8</v>
      </c>
      <c r="P221" s="436"/>
      <c r="Q221" s="437"/>
      <c r="R221" s="471">
        <f>'Länder-DB'!$M$41</f>
        <v>8</v>
      </c>
      <c r="S221" s="436"/>
      <c r="T221" s="437"/>
      <c r="U221" s="471">
        <f>'Länder-DB'!$M$41</f>
        <v>8</v>
      </c>
      <c r="V221" s="11"/>
    </row>
    <row r="222" spans="2:24" x14ac:dyDescent="0.2">
      <c r="B222" s="482">
        <f t="shared" si="20"/>
        <v>63</v>
      </c>
      <c r="C222" s="96" t="s">
        <v>711</v>
      </c>
      <c r="D222" s="876"/>
      <c r="E222" s="584" t="s">
        <v>500</v>
      </c>
      <c r="F222" s="460">
        <f>'Länder-DB'!$M$45</f>
        <v>12</v>
      </c>
      <c r="G222" s="436"/>
      <c r="H222" s="437"/>
      <c r="I222" s="460">
        <f>'Länder-DB'!$M$45</f>
        <v>12</v>
      </c>
      <c r="J222" s="436"/>
      <c r="K222" s="437"/>
      <c r="L222" s="460">
        <f>'Länder-DB'!$M$45</f>
        <v>12</v>
      </c>
      <c r="M222" s="436"/>
      <c r="N222" s="437"/>
      <c r="O222" s="460">
        <f>'Länder-DB'!$M$45</f>
        <v>12</v>
      </c>
      <c r="P222" s="436"/>
      <c r="Q222" s="437"/>
      <c r="R222" s="460">
        <f>'Länder-DB'!$M$45</f>
        <v>12</v>
      </c>
      <c r="S222" s="436"/>
      <c r="T222" s="437"/>
      <c r="U222" s="460">
        <f>'Länder-DB'!$M$45</f>
        <v>12</v>
      </c>
      <c r="V222" s="11"/>
      <c r="X222" s="526"/>
    </row>
    <row r="223" spans="2:24" x14ac:dyDescent="0.2">
      <c r="B223" s="482">
        <f t="shared" si="20"/>
        <v>63</v>
      </c>
      <c r="C223" s="96" t="s">
        <v>709</v>
      </c>
      <c r="D223" s="876"/>
      <c r="E223" s="584" t="s">
        <v>501</v>
      </c>
      <c r="F223" s="460">
        <f>ROUND('Länder-DB'!$M$43*(1+F224),1)</f>
        <v>14.8</v>
      </c>
      <c r="G223" s="461"/>
      <c r="H223" s="462"/>
      <c r="I223" s="460">
        <f>ROUND('Länder-DB'!$M$43*(1+I224),1)</f>
        <v>25.4</v>
      </c>
      <c r="J223" s="461"/>
      <c r="K223" s="462"/>
      <c r="L223" s="460">
        <f>ROUND('Länder-DB'!$M$43*(1+L224),1)</f>
        <v>25.4</v>
      </c>
      <c r="M223" s="461"/>
      <c r="N223" s="462"/>
      <c r="O223" s="460">
        <f>ROUND('Länder-DB'!$M$43*(1+O224),1)</f>
        <v>23.2</v>
      </c>
      <c r="P223" s="461"/>
      <c r="Q223" s="462"/>
      <c r="R223" s="460">
        <f>ROUND('Länder-DB'!$M$43*(1+R224),1)</f>
        <v>23.2</v>
      </c>
      <c r="S223" s="461"/>
      <c r="T223" s="462"/>
      <c r="U223" s="460">
        <f>ROUND('Länder-DB'!$M$43*(1+U224),1)</f>
        <v>23.2</v>
      </c>
      <c r="V223" s="11"/>
    </row>
    <row r="224" spans="2:24" ht="15" thickBot="1" x14ac:dyDescent="0.25">
      <c r="B224" s="547">
        <f t="shared" si="20"/>
        <v>63</v>
      </c>
      <c r="C224" s="97" t="s">
        <v>714</v>
      </c>
      <c r="D224" s="102"/>
      <c r="E224" s="585" t="s">
        <v>634</v>
      </c>
      <c r="F224" s="877">
        <f>0.08*(-6+F23/4%+6%/VLOOKUP('Quick Input'!M$10,'Material-DB'!$A$4:$R$37,18,FALSE))</f>
        <v>-0.26233333333333336</v>
      </c>
      <c r="G224" s="475"/>
      <c r="H224" s="476"/>
      <c r="I224" s="877">
        <f>0.08*(-6+I23/4%+6%/VLOOKUP('Quick Input'!P$10,'Material-DB'!$A$4:$R$37,18,FALSE))</f>
        <v>0.27100000000000002</v>
      </c>
      <c r="J224" s="475"/>
      <c r="K224" s="476"/>
      <c r="L224" s="877">
        <f>0.08*(-6+L23/4%+6%/VLOOKUP('Quick Input'!S$10,'Material-DB'!$A$4:$R$37,18,FALSE))</f>
        <v>0.27100000000000002</v>
      </c>
      <c r="M224" s="475"/>
      <c r="N224" s="476"/>
      <c r="O224" s="877">
        <f>0.08*(-6+O23/4%+6%/VLOOKUP('Quick Input'!V$10,'Material-DB'!$A$4:$R$37,18,FALSE))</f>
        <v>0.16</v>
      </c>
      <c r="P224" s="475"/>
      <c r="Q224" s="476"/>
      <c r="R224" s="877">
        <f>0.08*(-6+R23/4%+6%/VLOOKUP('Quick Input'!Y$10,'Material-DB'!$A$4:$R$37,18,FALSE))</f>
        <v>0.16</v>
      </c>
      <c r="S224" s="475"/>
      <c r="T224" s="476"/>
      <c r="U224" s="877">
        <f>0.08*(-6+U23/4%+6%/VLOOKUP('Quick Input'!AB$10,'Material-DB'!$A$4:$R$37,18,FALSE))</f>
        <v>0.16</v>
      </c>
      <c r="V224" s="126"/>
    </row>
    <row r="225" spans="2:24" ht="15" x14ac:dyDescent="0.25">
      <c r="B225" s="482" t="s">
        <v>69</v>
      </c>
      <c r="C225" s="95" t="s">
        <v>868</v>
      </c>
      <c r="D225" s="100"/>
      <c r="E225" s="589" t="s">
        <v>501</v>
      </c>
      <c r="F225" s="930">
        <f>IFERROR((F229/60*F231*2)/Refkalkulation!H$67,0)</f>
        <v>0</v>
      </c>
      <c r="G225" s="931"/>
      <c r="H225" s="931"/>
      <c r="I225" s="930">
        <f>IFERROR((I229/60*I231*2)/Refkalkulation!K$67,0)</f>
        <v>0</v>
      </c>
      <c r="J225" s="931"/>
      <c r="K225" s="931"/>
      <c r="L225" s="930">
        <f>IFERROR((L229/60*L231*2)/Refkalkulation!N$67,0)</f>
        <v>0</v>
      </c>
      <c r="M225" s="931"/>
      <c r="N225" s="931"/>
      <c r="O225" s="930">
        <f>IFERROR((O229/60*O231*2)/Refkalkulation!Q$67,0)</f>
        <v>0</v>
      </c>
      <c r="P225" s="931"/>
      <c r="Q225" s="931"/>
      <c r="R225" s="930">
        <f>IFERROR((R229/60*R231*2)/Refkalkulation!T$67,0)</f>
        <v>0</v>
      </c>
      <c r="S225" s="931"/>
      <c r="T225" s="931"/>
      <c r="U225" s="930">
        <f>IFERROR((U229/60*U231*2)/Refkalkulation!W$67,0)</f>
        <v>0</v>
      </c>
      <c r="V225" s="8"/>
      <c r="W225" s="795"/>
      <c r="X225" s="526"/>
    </row>
    <row r="226" spans="2:24" x14ac:dyDescent="0.2">
      <c r="B226" s="482" t="str">
        <f t="shared" ref="B226:B233" si="21">B225</f>
        <v>?</v>
      </c>
      <c r="C226" s="96" t="s">
        <v>873</v>
      </c>
      <c r="D226" s="100"/>
      <c r="E226" s="584" t="s">
        <v>500</v>
      </c>
      <c r="F226" s="460" t="str">
        <f>IF('Quick Input'!M$23=Auswahlfelder!$D$51,Auswahlfelder!$D$54,VLOOKUP('Quick Input'!M$24,Auswahlfelder!$D$54:$E$57,1,FALSE))</f>
        <v>Cold Box</v>
      </c>
      <c r="G226" s="461"/>
      <c r="H226" s="462"/>
      <c r="I226" s="460" t="str">
        <f>IF('Quick Input'!P$23=Auswahlfelder!$D$51,Auswahlfelder!$D$54,VLOOKUP('Quick Input'!P$24,Auswahlfelder!$D$54:$E$57,1,FALSE))</f>
        <v>Cold Box</v>
      </c>
      <c r="J226" s="461"/>
      <c r="K226" s="462"/>
      <c r="L226" s="460" t="str">
        <f>IF('Quick Input'!S$23=Auswahlfelder!$D$51,Auswahlfelder!$D$54,VLOOKUP('Quick Input'!S$24,Auswahlfelder!$D$54:$E$57,1,FALSE))</f>
        <v>Cold Box</v>
      </c>
      <c r="M226" s="461"/>
      <c r="N226" s="462"/>
      <c r="O226" s="460" t="str">
        <f>IF('Quick Input'!V$23=Auswahlfelder!$D$51,Auswahlfelder!$D$54,VLOOKUP('Quick Input'!V$24,Auswahlfelder!$D$54:$E$57,1,FALSE))</f>
        <v>Cold Box</v>
      </c>
      <c r="P226" s="461"/>
      <c r="Q226" s="462"/>
      <c r="R226" s="460" t="str">
        <f>IF('Quick Input'!Y$23=Auswahlfelder!$D$51,Auswahlfelder!$D$54,VLOOKUP('Quick Input'!Y$24,Auswahlfelder!$D$54:$E$57,1,FALSE))</f>
        <v>Cold Box</v>
      </c>
      <c r="S226" s="461"/>
      <c r="T226" s="462"/>
      <c r="U226" s="460" t="str">
        <f>IF('Quick Input'!AB$23=Auswahlfelder!$D$51,Auswahlfelder!$D$54,VLOOKUP('Quick Input'!AB$24,Auswahlfelder!$D$54:$E$57,1,FALSE))</f>
        <v>Cold Box</v>
      </c>
      <c r="V226" s="11"/>
    </row>
    <row r="227" spans="2:24" x14ac:dyDescent="0.2">
      <c r="B227" s="482" t="str">
        <f t="shared" si="21"/>
        <v>?</v>
      </c>
      <c r="C227" s="96" t="s">
        <v>874</v>
      </c>
      <c r="D227" s="100"/>
      <c r="E227" s="584" t="s">
        <v>500</v>
      </c>
      <c r="F227" s="969">
        <f>VLOOKUP(F226,Auswahlfelder!$D$54:$E$57,2,FALSE)</f>
        <v>1</v>
      </c>
      <c r="G227" s="461"/>
      <c r="H227" s="462"/>
      <c r="I227" s="969">
        <f>VLOOKUP(I226,Auswahlfelder!$D$54:$E$57,2,FALSE)</f>
        <v>1</v>
      </c>
      <c r="J227" s="461"/>
      <c r="K227" s="462"/>
      <c r="L227" s="969">
        <f>VLOOKUP(L226,Auswahlfelder!$D$54:$E$57,2,FALSE)</f>
        <v>1</v>
      </c>
      <c r="M227" s="461"/>
      <c r="N227" s="462"/>
      <c r="O227" s="969">
        <f>VLOOKUP(O226,Auswahlfelder!$D$54:$E$57,2,FALSE)</f>
        <v>1</v>
      </c>
      <c r="P227" s="461"/>
      <c r="Q227" s="462"/>
      <c r="R227" s="969">
        <f>VLOOKUP(R226,Auswahlfelder!$D$54:$E$57,2,FALSE)</f>
        <v>1</v>
      </c>
      <c r="S227" s="461"/>
      <c r="T227" s="462"/>
      <c r="U227" s="969">
        <f>VLOOKUP(U226,Auswahlfelder!$D$54:$E$57,2,FALSE)</f>
        <v>1</v>
      </c>
      <c r="V227" s="11"/>
    </row>
    <row r="228" spans="2:24" x14ac:dyDescent="0.2">
      <c r="B228" s="482" t="str">
        <f t="shared" si="21"/>
        <v>?</v>
      </c>
      <c r="C228" s="96" t="s">
        <v>869</v>
      </c>
      <c r="D228" s="876"/>
      <c r="E228" s="584"/>
      <c r="F228" s="969">
        <f>IFERROR(VLOOKUP(Refkalkulation!H$67/2,'Maschinen-DB'!$K$47:$O$51,5,TRUE),1)+1</f>
        <v>2</v>
      </c>
      <c r="G228" s="436"/>
      <c r="H228" s="437"/>
      <c r="I228" s="969">
        <f>IFERROR(VLOOKUP(Refkalkulation!K$67/2,'Maschinen-DB'!$K$47:$O$51,5,TRUE),1)+1</f>
        <v>2</v>
      </c>
      <c r="J228" s="436"/>
      <c r="K228" s="437"/>
      <c r="L228" s="969">
        <f>IFERROR(VLOOKUP(Refkalkulation!N$67/2,'Maschinen-DB'!$K$47:$O$51,5,TRUE),1)+1</f>
        <v>2</v>
      </c>
      <c r="M228" s="436"/>
      <c r="N228" s="437"/>
      <c r="O228" s="969">
        <f>IFERROR(VLOOKUP(Refkalkulation!Q$67/2,'Maschinen-DB'!$K$47:$O$51,5,TRUE),1)+1</f>
        <v>2</v>
      </c>
      <c r="P228" s="436"/>
      <c r="Q228" s="437"/>
      <c r="R228" s="969">
        <f>IFERROR(VLOOKUP(Refkalkulation!T$67/2,'Maschinen-DB'!$K$47:$O$51,5,TRUE),1)+1</f>
        <v>2</v>
      </c>
      <c r="S228" s="436"/>
      <c r="T228" s="437"/>
      <c r="U228" s="969">
        <f>IFERROR(VLOOKUP(Refkalkulation!W$67/2,'Maschinen-DB'!$K$47:$O$51,5,TRUE),1)+1</f>
        <v>2</v>
      </c>
      <c r="V228" s="11"/>
    </row>
    <row r="229" spans="2:24" ht="15" x14ac:dyDescent="0.25">
      <c r="B229" s="482" t="str">
        <f t="shared" si="21"/>
        <v>?</v>
      </c>
      <c r="C229" s="96" t="s">
        <v>871</v>
      </c>
      <c r="D229" s="729">
        <v>0.5</v>
      </c>
      <c r="E229" s="584" t="s">
        <v>500</v>
      </c>
      <c r="F229" s="471">
        <f>VLOOKUP(F228,'Maschinen-DB'!$C$46:$N$51,7,FALSE)/60+IF(F227=2,$D$229,IF(F227=3,$D$230,IF(F227=4,$D$231,0)))</f>
        <v>1.1666666666666667</v>
      </c>
      <c r="G229" s="436"/>
      <c r="H229" s="437"/>
      <c r="I229" s="471">
        <f>VLOOKUP(I228,'Maschinen-DB'!$C$46:$N$51,7,FALSE)/60+IF(I227=2,$D$229,IF(I227=3,$D$230,IF(I227=4,$D$231,0)))</f>
        <v>1.1666666666666667</v>
      </c>
      <c r="J229" s="436"/>
      <c r="K229" s="437"/>
      <c r="L229" s="471">
        <f>VLOOKUP(L228,'Maschinen-DB'!$C$46:$N$51,7,FALSE)/60+IF(L227=2,$D$229,IF(L227=3,$D$230,IF(L227=4,$D$231,0)))</f>
        <v>1.1666666666666667</v>
      </c>
      <c r="M229" s="436"/>
      <c r="N229" s="437"/>
      <c r="O229" s="471">
        <f>VLOOKUP(O228,'Maschinen-DB'!$C$46:$N$51,7,FALSE)/60+IF(O227=2,$D$229,IF(O227=3,$D$230,IF(O227=4,$D$231,0)))</f>
        <v>1.1666666666666667</v>
      </c>
      <c r="P229" s="436"/>
      <c r="Q229" s="437"/>
      <c r="R229" s="471">
        <f>VLOOKUP(R228,'Maschinen-DB'!$C$46:$N$51,7,FALSE)/60+IF(R227=2,$D$229,IF(R227=3,$D$230,IF(R227=4,$D$231,0)))</f>
        <v>1.1666666666666667</v>
      </c>
      <c r="S229" s="436"/>
      <c r="T229" s="437"/>
      <c r="U229" s="471">
        <f>VLOOKUP(U228,'Maschinen-DB'!$C$46:$N$51,7,FALSE)/60+IF(U227=2,$D$229,IF(U227=3,$D$230,IF(U227=4,$D$231,0)))</f>
        <v>1.1666666666666667</v>
      </c>
      <c r="V229" s="11"/>
    </row>
    <row r="230" spans="2:24" ht="15" x14ac:dyDescent="0.25">
      <c r="B230" s="482" t="str">
        <f t="shared" si="21"/>
        <v>?</v>
      </c>
      <c r="C230" s="96" t="s">
        <v>872</v>
      </c>
      <c r="D230" s="729">
        <v>1.5</v>
      </c>
      <c r="E230" s="584" t="s">
        <v>500</v>
      </c>
      <c r="F230" s="471">
        <f>(VLOOKUP(F228,'Maschinen-DB'!$C$46:$N$51,12,FALSE)/'Länder-DB'!$I$27+VLOOKUP(F228,'Maschinen-DB'!$C$46:$N$51,12,FALSE)*'Länder-DB'!$I$29)/F149</f>
        <v>13.700371773288438</v>
      </c>
      <c r="G230" s="436"/>
      <c r="H230" s="437"/>
      <c r="I230" s="471">
        <f>(VLOOKUP(I228,'Maschinen-DB'!$C$46:$N$51,12,FALSE)/'Länder-DB'!$I$27+VLOOKUP(I228,'Maschinen-DB'!$C$46:$N$51,12,FALSE)*'Länder-DB'!$I$29)/I149</f>
        <v>23.826733518762509</v>
      </c>
      <c r="J230" s="436"/>
      <c r="K230" s="437"/>
      <c r="L230" s="471">
        <f>(VLOOKUP(L228,'Maschinen-DB'!$C$46:$N$51,12,FALSE)/'Länder-DB'!$I$27+VLOOKUP(L228,'Maschinen-DB'!$C$46:$N$51,12,FALSE)*'Länder-DB'!$I$29)/L149</f>
        <v>32.761758588298441</v>
      </c>
      <c r="M230" s="436"/>
      <c r="N230" s="437"/>
      <c r="O230" s="471">
        <f>(VLOOKUP(O228,'Maschinen-DB'!$C$46:$N$51,12,FALSE)/'Länder-DB'!$I$27+VLOOKUP(O228,'Maschinen-DB'!$C$46:$N$51,12,FALSE)*'Länder-DB'!$I$29)/O149</f>
        <v>19.657055152979062</v>
      </c>
      <c r="P230" s="436"/>
      <c r="Q230" s="437"/>
      <c r="R230" s="471">
        <f>(VLOOKUP(R228,'Maschinen-DB'!$C$46:$N$51,12,FALSE)/'Länder-DB'!$I$27+VLOOKUP(R228,'Maschinen-DB'!$C$46:$N$51,12,FALSE)*'Länder-DB'!$I$29)/R149</f>
        <v>19.657055152979062</v>
      </c>
      <c r="S230" s="436"/>
      <c r="T230" s="437"/>
      <c r="U230" s="471">
        <f>(VLOOKUP(U228,'Maschinen-DB'!$C$46:$N$51,12,FALSE)/'Länder-DB'!$I$27+VLOOKUP(U228,'Maschinen-DB'!$C$46:$N$51,12,FALSE)*'Länder-DB'!$I$29)/U149</f>
        <v>19.657055152979062</v>
      </c>
      <c r="V230" s="11"/>
      <c r="X230" s="526"/>
    </row>
    <row r="231" spans="2:24" ht="15" x14ac:dyDescent="0.25">
      <c r="B231" s="482" t="str">
        <f t="shared" si="21"/>
        <v>?</v>
      </c>
      <c r="C231" s="96" t="s">
        <v>875</v>
      </c>
      <c r="D231" s="729">
        <v>1.1000000000000001</v>
      </c>
      <c r="E231" s="584" t="s">
        <v>500</v>
      </c>
      <c r="F231" s="350">
        <f>F230+F232*F21</f>
        <v>46.178038439955102</v>
      </c>
      <c r="G231" s="442"/>
      <c r="H231" s="443"/>
      <c r="I231" s="350">
        <f>I230+I232*I21</f>
        <v>29.246476018762511</v>
      </c>
      <c r="J231" s="442"/>
      <c r="K231" s="443"/>
      <c r="L231" s="350">
        <f>L230+L232*L21</f>
        <v>40.217547588298437</v>
      </c>
      <c r="M231" s="442"/>
      <c r="N231" s="443"/>
      <c r="O231" s="350">
        <f>O230+O232*O21</f>
        <v>49.077780152979059</v>
      </c>
      <c r="P231" s="442"/>
      <c r="Q231" s="443"/>
      <c r="R231" s="350">
        <f>R230+R232*R21</f>
        <v>49.077780152979059</v>
      </c>
      <c r="S231" s="442"/>
      <c r="T231" s="443"/>
      <c r="U231" s="350">
        <f>U230+U232*U21</f>
        <v>49.077780152979059</v>
      </c>
      <c r="V231" s="11"/>
    </row>
    <row r="232" spans="2:24" x14ac:dyDescent="0.2">
      <c r="B232" s="482" t="str">
        <f t="shared" si="21"/>
        <v>?</v>
      </c>
      <c r="C232" s="96" t="s">
        <v>870</v>
      </c>
      <c r="D232" s="100"/>
      <c r="E232" s="584" t="s">
        <v>500</v>
      </c>
      <c r="F232" s="460">
        <f>MAX(1,ROUNDDOWN(MIN(2,F228/2),0))</f>
        <v>1</v>
      </c>
      <c r="G232" s="461"/>
      <c r="H232" s="462"/>
      <c r="I232" s="460">
        <f>MAX(1,ROUNDDOWN(MIN(2,I228/2),0))</f>
        <v>1</v>
      </c>
      <c r="J232" s="461"/>
      <c r="K232" s="462"/>
      <c r="L232" s="460">
        <f t="shared" ref="L232" si="22">MAX(1,ROUNDDOWN(MIN(2,L228/2),0))</f>
        <v>1</v>
      </c>
      <c r="M232" s="461"/>
      <c r="N232" s="462"/>
      <c r="O232" s="460">
        <f t="shared" ref="O232" si="23">MAX(1,ROUNDDOWN(MIN(2,O228/2),0))</f>
        <v>1</v>
      </c>
      <c r="P232" s="461"/>
      <c r="Q232" s="462"/>
      <c r="R232" s="460">
        <f t="shared" ref="R232" si="24">MAX(1,ROUNDDOWN(MIN(2,R228/2),0))</f>
        <v>1</v>
      </c>
      <c r="S232" s="461"/>
      <c r="T232" s="462"/>
      <c r="U232" s="460">
        <f t="shared" ref="U232" si="25">MAX(1,ROUNDDOWN(MIN(2,U228/2),0))</f>
        <v>1</v>
      </c>
      <c r="V232" s="11"/>
    </row>
    <row r="233" spans="2:24" ht="15" thickBot="1" x14ac:dyDescent="0.25">
      <c r="B233" s="974" t="str">
        <f t="shared" si="21"/>
        <v>?</v>
      </c>
      <c r="C233" s="97" t="s">
        <v>350</v>
      </c>
      <c r="D233" s="102"/>
      <c r="E233" s="585"/>
      <c r="F233" s="454"/>
      <c r="G233" s="438"/>
      <c r="H233" s="439"/>
      <c r="I233" s="454"/>
      <c r="J233" s="438"/>
      <c r="K233" s="439"/>
      <c r="L233" s="454"/>
      <c r="M233" s="438"/>
      <c r="N233" s="439"/>
      <c r="O233" s="454"/>
      <c r="P233" s="438"/>
      <c r="Q233" s="439"/>
      <c r="R233" s="454"/>
      <c r="S233" s="438"/>
      <c r="T233" s="439"/>
      <c r="U233" s="454"/>
      <c r="V233" s="126"/>
    </row>
    <row r="234" spans="2:24" ht="15" x14ac:dyDescent="0.25">
      <c r="B234" s="482" t="s">
        <v>69</v>
      </c>
      <c r="C234" s="99" t="s">
        <v>857</v>
      </c>
      <c r="D234" s="100"/>
      <c r="E234" s="589" t="s">
        <v>501</v>
      </c>
      <c r="F234" s="161">
        <f>IFERROR(F235*(1+F236+F237),0)</f>
        <v>26.144585576580216</v>
      </c>
      <c r="G234" s="967"/>
      <c r="H234" s="968"/>
      <c r="I234" s="161">
        <f>IFERROR(I235*(1+I236+I237),0)</f>
        <v>26.139248634013285</v>
      </c>
      <c r="J234" s="967"/>
      <c r="K234" s="968"/>
      <c r="L234" s="161">
        <f t="shared" ref="L234" si="26">IFERROR(L235*(1+L236+L237),0)</f>
        <v>26.139248634013285</v>
      </c>
      <c r="M234" s="967"/>
      <c r="N234" s="968"/>
      <c r="O234" s="161">
        <f t="shared" ref="O234" si="27">IFERROR(O235*(1+O236+O237),0)</f>
        <v>21.333333333333332</v>
      </c>
      <c r="P234" s="967"/>
      <c r="Q234" s="968"/>
      <c r="R234" s="161">
        <f t="shared" ref="R234" si="28">IFERROR(R235*(1+R236+R237),0)</f>
        <v>21.333333333333332</v>
      </c>
      <c r="S234" s="967"/>
      <c r="T234" s="968"/>
      <c r="U234" s="161">
        <f t="shared" ref="U234" si="29">IFERROR(U235*(1+U236+U237),0)</f>
        <v>21.333333333333332</v>
      </c>
      <c r="V234" s="11"/>
      <c r="X234" s="526"/>
    </row>
    <row r="235" spans="2:24" ht="15" x14ac:dyDescent="0.25">
      <c r="B235" s="482" t="str">
        <f>B234</f>
        <v>?</v>
      </c>
      <c r="C235" s="96" t="s">
        <v>855</v>
      </c>
      <c r="D235" s="729">
        <v>20</v>
      </c>
      <c r="E235" s="584" t="s">
        <v>500</v>
      </c>
      <c r="F235" s="30">
        <f>IF('Quick Input'!M$25="ja",$D$235,0)</f>
        <v>20</v>
      </c>
      <c r="G235" s="436"/>
      <c r="H235" s="437"/>
      <c r="I235" s="30">
        <f>IF('Quick Input'!P$25="ja",$D$235,0)</f>
        <v>20</v>
      </c>
      <c r="J235" s="436"/>
      <c r="K235" s="437"/>
      <c r="L235" s="30">
        <f>IF('Quick Input'!S$25="ja",$D$235,0)</f>
        <v>20</v>
      </c>
      <c r="M235" s="436"/>
      <c r="N235" s="437"/>
      <c r="O235" s="30">
        <f>IF('Quick Input'!V$25="ja",$D$235,0)</f>
        <v>20</v>
      </c>
      <c r="P235" s="436"/>
      <c r="Q235" s="437"/>
      <c r="R235" s="30">
        <f>IF('Quick Input'!Y$25="ja",$D$235,0)</f>
        <v>20</v>
      </c>
      <c r="S235" s="436"/>
      <c r="T235" s="437"/>
      <c r="U235" s="30">
        <f>IF('Quick Input'!AB$25="ja",$D$235,0)</f>
        <v>20</v>
      </c>
      <c r="V235" s="11"/>
    </row>
    <row r="236" spans="2:24" x14ac:dyDescent="0.2">
      <c r="B236" s="482" t="str">
        <f>B235</f>
        <v>?</v>
      </c>
      <c r="C236" s="96" t="s">
        <v>184</v>
      </c>
      <c r="D236" s="100"/>
      <c r="E236" s="584" t="s">
        <v>500</v>
      </c>
      <c r="F236" s="202">
        <f>MAX(0,POWER(VLOOKUP('Quick Input'!M$21,Auswahlfelder!$D$16:$E$19,2,FALSE)-1,2)/15)</f>
        <v>6.6666666666666666E-2</v>
      </c>
      <c r="G236" s="446"/>
      <c r="H236" s="447"/>
      <c r="I236" s="202">
        <f>MAX(0,POWER(VLOOKUP('Quick Input'!P$21,Auswahlfelder!$D$16:$E$19,2,FALSE)-1,2)/15)</f>
        <v>6.6666666666666666E-2</v>
      </c>
      <c r="J236" s="446"/>
      <c r="K236" s="447"/>
      <c r="L236" s="202">
        <f>MAX(0,POWER(VLOOKUP('Quick Input'!S$21,Auswahlfelder!$D$16:$E$19,2,FALSE)-1,2)/15)</f>
        <v>6.6666666666666666E-2</v>
      </c>
      <c r="M236" s="446"/>
      <c r="N236" s="447"/>
      <c r="O236" s="202">
        <f>MAX(0,POWER(VLOOKUP('Quick Input'!V$21,Auswahlfelder!$D$16:$E$19,2,FALSE)-1,2)/15)</f>
        <v>6.6666666666666666E-2</v>
      </c>
      <c r="P236" s="446"/>
      <c r="Q236" s="447"/>
      <c r="R236" s="202">
        <f>MAX(0,POWER(VLOOKUP('Quick Input'!Y$21,Auswahlfelder!$D$16:$E$19,2,FALSE)-1,2)/15)</f>
        <v>6.6666666666666666E-2</v>
      </c>
      <c r="S236" s="446"/>
      <c r="T236" s="447"/>
      <c r="U236" s="202">
        <f>MAX(0,POWER(VLOOKUP('Quick Input'!AB$21,Auswahlfelder!$D$16:$E$19,2,FALSE)-1,2)/15)</f>
        <v>6.6666666666666666E-2</v>
      </c>
      <c r="V236" s="11"/>
      <c r="X236" s="526"/>
    </row>
    <row r="237" spans="2:24" ht="15" thickBot="1" x14ac:dyDescent="0.25">
      <c r="B237" s="547" t="str">
        <f>B236</f>
        <v>?</v>
      </c>
      <c r="C237" s="97" t="s">
        <v>181</v>
      </c>
      <c r="D237" s="810">
        <v>0.25</v>
      </c>
      <c r="E237" s="584" t="s">
        <v>500</v>
      </c>
      <c r="F237" s="929">
        <f>SQRT('Quick Input'!M$20/2000)*$D$237</f>
        <v>0.24056261216234406</v>
      </c>
      <c r="G237" s="438"/>
      <c r="H237" s="439"/>
      <c r="I237" s="929">
        <f>SQRT('Quick Input'!P$20/2000)*$D$237</f>
        <v>0.24029576503399763</v>
      </c>
      <c r="J237" s="438"/>
      <c r="K237" s="439"/>
      <c r="L237" s="929">
        <f>SQRT('Quick Input'!S$20/2000)*$D$237</f>
        <v>0.24029576503399763</v>
      </c>
      <c r="M237" s="438"/>
      <c r="N237" s="439"/>
      <c r="O237" s="929">
        <f>SQRT('Quick Input'!V$20/2000)*$D$237</f>
        <v>0</v>
      </c>
      <c r="P237" s="438"/>
      <c r="Q237" s="439"/>
      <c r="R237" s="929">
        <f>SQRT('Quick Input'!Y$20/2000)*$D$237</f>
        <v>0</v>
      </c>
      <c r="S237" s="438"/>
      <c r="T237" s="439"/>
      <c r="U237" s="929">
        <f>SQRT('Quick Input'!AB$20/2000)*$D$237</f>
        <v>0</v>
      </c>
      <c r="V237" s="11"/>
    </row>
    <row r="238" spans="2:24" ht="15" x14ac:dyDescent="0.25">
      <c r="B238" s="482" t="s">
        <v>69</v>
      </c>
      <c r="C238" s="95" t="s">
        <v>862</v>
      </c>
      <c r="D238" s="100"/>
      <c r="E238" s="589" t="s">
        <v>501</v>
      </c>
      <c r="F238" s="782">
        <f>IFERROR(F239*F240/F241/'Quick Input'!M$19*1000,0)</f>
        <v>0</v>
      </c>
      <c r="G238" s="931"/>
      <c r="H238" s="931"/>
      <c r="I238" s="782">
        <f>IFERROR(I239*I240/I241/'Quick Input'!P$19*1000,0)</f>
        <v>0</v>
      </c>
      <c r="J238" s="931"/>
      <c r="K238" s="931"/>
      <c r="L238" s="782">
        <f>IFERROR(L239*L240/L241/'Quick Input'!S$19*1000,0)</f>
        <v>0</v>
      </c>
      <c r="M238" s="931"/>
      <c r="N238" s="931"/>
      <c r="O238" s="782">
        <f>IFERROR(O239*O240/O241/'Quick Input'!V$19*1000,0)</f>
        <v>0</v>
      </c>
      <c r="P238" s="931"/>
      <c r="Q238" s="931"/>
      <c r="R238" s="782">
        <f>IFERROR(R239*R240/R241/'Quick Input'!Y$19*1000,0)</f>
        <v>0</v>
      </c>
      <c r="S238" s="931"/>
      <c r="T238" s="931"/>
      <c r="U238" s="782">
        <f>IFERROR(U239*U240/U241/'Quick Input'!AB$19*1000,0)</f>
        <v>0</v>
      </c>
      <c r="V238" s="8"/>
      <c r="W238" s="795"/>
      <c r="X238" s="526"/>
    </row>
    <row r="239" spans="2:24" ht="15" x14ac:dyDescent="0.25">
      <c r="B239" s="482" t="str">
        <f t="shared" ref="B239:B241" si="30">B238</f>
        <v>?</v>
      </c>
      <c r="C239" s="96" t="s">
        <v>859</v>
      </c>
      <c r="D239" s="729">
        <v>22</v>
      </c>
      <c r="E239" s="584" t="s">
        <v>500</v>
      </c>
      <c r="F239" s="30">
        <f>IF('Quick Input'!M$26="ja",$D$239,0)</f>
        <v>0</v>
      </c>
      <c r="G239" s="436"/>
      <c r="H239" s="437"/>
      <c r="I239" s="30">
        <f>IF('Quick Input'!P$26="ja",$D$239,0)</f>
        <v>0</v>
      </c>
      <c r="J239" s="436"/>
      <c r="K239" s="437"/>
      <c r="L239" s="30">
        <f>IF('Quick Input'!S$26="ja",$D$239,0)</f>
        <v>0</v>
      </c>
      <c r="M239" s="436"/>
      <c r="N239" s="437"/>
      <c r="O239" s="30">
        <f>IF('Quick Input'!V$26="ja",$D$239,0)</f>
        <v>0</v>
      </c>
      <c r="P239" s="436"/>
      <c r="Q239" s="437"/>
      <c r="R239" s="30">
        <f>IF('Quick Input'!Y$26="ja",$D$239,0)</f>
        <v>0</v>
      </c>
      <c r="S239" s="436"/>
      <c r="T239" s="437"/>
      <c r="U239" s="30">
        <f>IF('Quick Input'!AB$26="ja",$D$239,0)</f>
        <v>0</v>
      </c>
      <c r="V239" s="11"/>
    </row>
    <row r="240" spans="2:24" ht="15" x14ac:dyDescent="0.25">
      <c r="B240" s="482" t="str">
        <f t="shared" si="30"/>
        <v>?</v>
      </c>
      <c r="C240" s="96" t="s">
        <v>860</v>
      </c>
      <c r="D240" s="729">
        <v>3.5</v>
      </c>
      <c r="E240" s="584" t="s">
        <v>500</v>
      </c>
      <c r="F240" s="350">
        <f>$D$240/60</f>
        <v>5.8333333333333334E-2</v>
      </c>
      <c r="G240" s="436"/>
      <c r="H240" s="437"/>
      <c r="I240" s="350">
        <f>$D$240/60</f>
        <v>5.8333333333333334E-2</v>
      </c>
      <c r="J240" s="436"/>
      <c r="K240" s="437"/>
      <c r="L240" s="350">
        <f>$D$240/60</f>
        <v>5.8333333333333334E-2</v>
      </c>
      <c r="M240" s="436"/>
      <c r="N240" s="437"/>
      <c r="O240" s="350">
        <f>$D$240/60</f>
        <v>5.8333333333333334E-2</v>
      </c>
      <c r="P240" s="436"/>
      <c r="Q240" s="437"/>
      <c r="R240" s="350">
        <f>$D$240/60</f>
        <v>5.8333333333333334E-2</v>
      </c>
      <c r="S240" s="436"/>
      <c r="T240" s="437"/>
      <c r="U240" s="350">
        <f>$D$240/60</f>
        <v>5.8333333333333334E-2</v>
      </c>
      <c r="V240" s="11"/>
      <c r="X240" s="526"/>
    </row>
    <row r="241" spans="2:24" ht="15.75" thickBot="1" x14ac:dyDescent="0.3">
      <c r="B241" s="547" t="str">
        <f t="shared" si="30"/>
        <v>?</v>
      </c>
      <c r="C241" s="97" t="s">
        <v>861</v>
      </c>
      <c r="D241" s="985">
        <v>30</v>
      </c>
      <c r="E241" s="584" t="s">
        <v>500</v>
      </c>
      <c r="F241" s="969">
        <f>MAX(MIN(ROUNDDOWN($D$241/'Quick Input'!M$19,0),Refkalkulation!H$61),1)</f>
        <v>6</v>
      </c>
      <c r="G241" s="442"/>
      <c r="H241" s="443"/>
      <c r="I241" s="969">
        <f>MAX(MIN(ROUNDDOWN($D$241/'Quick Input'!P$19,0),Refkalkulation!K$61),1)</f>
        <v>6</v>
      </c>
      <c r="J241" s="442"/>
      <c r="K241" s="443"/>
      <c r="L241" s="969">
        <f>MAX(MIN(ROUNDDOWN($D$241/'Quick Input'!S$19,0),Refkalkulation!N$61),1)</f>
        <v>6</v>
      </c>
      <c r="M241" s="442"/>
      <c r="N241" s="443"/>
      <c r="O241" s="969" t="e">
        <f>MAX(MIN(ROUNDDOWN($D$241/'Quick Input'!V$19,0),Refkalkulation!Q$61),1)</f>
        <v>#VALUE!</v>
      </c>
      <c r="P241" s="442"/>
      <c r="Q241" s="443"/>
      <c r="R241" s="969" t="e">
        <f>MAX(MIN(ROUNDDOWN($D$241/'Quick Input'!Y$19,0),Refkalkulation!T$61),1)</f>
        <v>#VALUE!</v>
      </c>
      <c r="S241" s="442"/>
      <c r="T241" s="443"/>
      <c r="U241" s="969" t="e">
        <f>MAX(MIN(ROUNDDOWN($D$241/'Quick Input'!AB$19,0),Refkalkulation!W$61),1)</f>
        <v>#VALUE!</v>
      </c>
      <c r="V241" s="11"/>
    </row>
    <row r="242" spans="2:24" ht="15" x14ac:dyDescent="0.25">
      <c r="B242" s="482" t="s">
        <v>69</v>
      </c>
      <c r="C242" s="99" t="s">
        <v>858</v>
      </c>
      <c r="D242" s="100"/>
      <c r="E242" s="589" t="s">
        <v>501</v>
      </c>
      <c r="F242" s="161">
        <f>IFERROR(F243*(1+F244+F245),0)</f>
        <v>0</v>
      </c>
      <c r="G242" s="967"/>
      <c r="H242" s="968"/>
      <c r="I242" s="161">
        <f>IFERROR(I243*(1+I244+I245),0)</f>
        <v>0</v>
      </c>
      <c r="J242" s="967"/>
      <c r="K242" s="968"/>
      <c r="L242" s="161">
        <f t="shared" ref="L242" si="31">IFERROR(L243*(1+L244+L245),0)</f>
        <v>0</v>
      </c>
      <c r="M242" s="967"/>
      <c r="N242" s="968"/>
      <c r="O242" s="161">
        <f t="shared" ref="O242" si="32">IFERROR(O243*(1+O244+O245),0)</f>
        <v>0</v>
      </c>
      <c r="P242" s="967"/>
      <c r="Q242" s="968"/>
      <c r="R242" s="161">
        <f t="shared" ref="R242" si="33">IFERROR(R243*(1+R244+R245),0)</f>
        <v>0</v>
      </c>
      <c r="S242" s="967"/>
      <c r="T242" s="968"/>
      <c r="U242" s="161">
        <f t="shared" ref="U242" si="34">IFERROR(U243*(1+U244+U245),0)</f>
        <v>0</v>
      </c>
      <c r="V242" s="11"/>
      <c r="X242" s="526"/>
    </row>
    <row r="243" spans="2:24" ht="15" x14ac:dyDescent="0.25">
      <c r="B243" s="482" t="str">
        <f>B242</f>
        <v>?</v>
      </c>
      <c r="C243" s="96" t="s">
        <v>856</v>
      </c>
      <c r="D243" s="729">
        <v>15</v>
      </c>
      <c r="E243" s="584" t="s">
        <v>500</v>
      </c>
      <c r="F243" s="30">
        <f>IF('Quick Input'!M$27="nein",0,$D$243+IF('Quick Input'!M$19&gt;8,$D$244,0))</f>
        <v>0</v>
      </c>
      <c r="G243" s="436"/>
      <c r="H243" s="437"/>
      <c r="I243" s="30">
        <f>IF('Quick Input'!P$27="nein",0,$D$243+IF('Quick Input'!P$19&gt;8,$D$244,0))</f>
        <v>0</v>
      </c>
      <c r="J243" s="436"/>
      <c r="K243" s="437"/>
      <c r="L243" s="30">
        <f>IF('Quick Input'!S$27="nein",0,$D$243+IF('Quick Input'!S$19&gt;8,$D$244,0))</f>
        <v>0</v>
      </c>
      <c r="M243" s="436"/>
      <c r="N243" s="437"/>
      <c r="O243" s="30">
        <f>IF('Quick Input'!V$27="nein",0,$D$243+IF('Quick Input'!V$19&gt;8,$D$244,0))</f>
        <v>0</v>
      </c>
      <c r="P243" s="436"/>
      <c r="Q243" s="437"/>
      <c r="R243" s="30">
        <f>IF('Quick Input'!Y$27="nein",0,$D$243+IF('Quick Input'!Y$19&gt;8,$D$244,0))</f>
        <v>0</v>
      </c>
      <c r="S243" s="436"/>
      <c r="T243" s="437"/>
      <c r="U243" s="30">
        <f>IF('Quick Input'!AB$27="nein",0,$D$243+IF('Quick Input'!AB$19&gt;8,$D$244,0))</f>
        <v>0</v>
      </c>
      <c r="V243" s="11"/>
    </row>
    <row r="244" spans="2:24" ht="15" x14ac:dyDescent="0.25">
      <c r="B244" s="482" t="str">
        <f t="shared" ref="B244:B245" si="35">B243</f>
        <v>?</v>
      </c>
      <c r="C244" s="96" t="s">
        <v>904</v>
      </c>
      <c r="D244" s="729">
        <v>35</v>
      </c>
      <c r="E244" s="584" t="s">
        <v>500</v>
      </c>
      <c r="F244" s="202">
        <f>MAX(0,POWER(VLOOKUP('Quick Input'!M$21,Auswahlfelder!$D$16:$E$19,2,FALSE)-1,2)/8)</f>
        <v>0.125</v>
      </c>
      <c r="G244" s="446"/>
      <c r="H244" s="447"/>
      <c r="I244" s="202">
        <f>MAX(0,POWER(VLOOKUP('Quick Input'!P$21,Auswahlfelder!$D$16:$E$19,2,FALSE)-1,2)/8)</f>
        <v>0.125</v>
      </c>
      <c r="J244" s="446"/>
      <c r="K244" s="447"/>
      <c r="L244" s="202">
        <f>MAX(0,POWER(VLOOKUP('Quick Input'!S$21,Auswahlfelder!$D$16:$E$19,2,FALSE)-1,2)/8)</f>
        <v>0.125</v>
      </c>
      <c r="M244" s="446"/>
      <c r="N244" s="447"/>
      <c r="O244" s="202">
        <f>MAX(0,POWER(VLOOKUP('Quick Input'!V$21,Auswahlfelder!$D$16:$E$19,2,FALSE)-1,2)/8)</f>
        <v>0.125</v>
      </c>
      <c r="P244" s="446"/>
      <c r="Q244" s="447"/>
      <c r="R244" s="202">
        <f>MAX(0,POWER(VLOOKUP('Quick Input'!Y$21,Auswahlfelder!$D$16:$E$19,2,FALSE)-1,2)/8)</f>
        <v>0.125</v>
      </c>
      <c r="S244" s="446"/>
      <c r="T244" s="447"/>
      <c r="U244" s="202">
        <f>MAX(0,POWER(VLOOKUP('Quick Input'!AB$21,Auswahlfelder!$D$16:$E$19,2,FALSE)-1,2)/8)</f>
        <v>0.125</v>
      </c>
      <c r="V244" s="11"/>
      <c r="X244" s="526"/>
    </row>
    <row r="245" spans="2:24" ht="15" thickBot="1" x14ac:dyDescent="0.25">
      <c r="B245" s="547" t="str">
        <f t="shared" si="35"/>
        <v>?</v>
      </c>
      <c r="C245" s="97" t="s">
        <v>181</v>
      </c>
      <c r="D245" s="810">
        <v>0.35</v>
      </c>
      <c r="E245" s="585" t="s">
        <v>500</v>
      </c>
      <c r="F245" s="349">
        <f>SQRT('Quick Input'!M$20/2000)*$D$245</f>
        <v>0.33678765702728169</v>
      </c>
      <c r="G245" s="438"/>
      <c r="H245" s="439"/>
      <c r="I245" s="349">
        <f>SQRT('Quick Input'!P$20/2000)*$D$245</f>
        <v>0.33641407104759669</v>
      </c>
      <c r="J245" s="438"/>
      <c r="K245" s="439"/>
      <c r="L245" s="349">
        <f>SQRT('Quick Input'!S$20/2000)*$D$245</f>
        <v>0.33641407104759669</v>
      </c>
      <c r="M245" s="438"/>
      <c r="N245" s="439"/>
      <c r="O245" s="349">
        <f>SQRT('Quick Input'!V$20/2000)*$D$245</f>
        <v>0</v>
      </c>
      <c r="P245" s="438"/>
      <c r="Q245" s="439"/>
      <c r="R245" s="349">
        <f>SQRT('Quick Input'!Y$20/2000)*$D$245</f>
        <v>0</v>
      </c>
      <c r="S245" s="438"/>
      <c r="T245" s="439"/>
      <c r="U245" s="349">
        <f>SQRT('Quick Input'!AB$20/2000)*$D$245</f>
        <v>0</v>
      </c>
      <c r="V245" s="126"/>
    </row>
    <row r="246" spans="2:24" ht="15" x14ac:dyDescent="0.25">
      <c r="B246" s="17">
        <v>39</v>
      </c>
      <c r="C246" s="99" t="s">
        <v>616</v>
      </c>
      <c r="D246" s="100"/>
      <c r="E246" s="583" t="s">
        <v>501</v>
      </c>
      <c r="F246" s="782">
        <f>IF('Quick Input'!M$28=Auswahlfelder!$D$22,0,ROUND(F247*(1+F$248),2))</f>
        <v>7.39</v>
      </c>
      <c r="G246" s="10"/>
      <c r="H246" s="10"/>
      <c r="I246" s="782">
        <f>IF('Quick Input'!P$28=Auswahlfelder!$D$22,0,ROUND(I247*(1+I$248),2))</f>
        <v>2.4500000000000002</v>
      </c>
      <c r="J246" s="10"/>
      <c r="K246" s="10"/>
      <c r="L246" s="782">
        <f>IF('Quick Input'!S$28=Auswahlfelder!$D$22,0,ROUND(L247*(1+L$248),2))</f>
        <v>0</v>
      </c>
      <c r="M246" s="10"/>
      <c r="N246" s="10"/>
      <c r="O246" s="782">
        <f>IF('Quick Input'!V$28=Auswahlfelder!$D$22,0,ROUND(O247*(1+O$248),2))</f>
        <v>0</v>
      </c>
      <c r="P246" s="10"/>
      <c r="Q246" s="10"/>
      <c r="R246" s="782">
        <f>IF('Quick Input'!Y$28=Auswahlfelder!$D$22,0,ROUND(R247*(1+R$248),2))</f>
        <v>0</v>
      </c>
      <c r="S246" s="10"/>
      <c r="T246" s="10"/>
      <c r="U246" s="782">
        <f>IF('Quick Input'!AB$28=Auswahlfelder!$D$22,0,ROUND(U247*(1+U$248),2))</f>
        <v>0</v>
      </c>
      <c r="V246" s="11"/>
    </row>
    <row r="247" spans="2:24" x14ac:dyDescent="0.2">
      <c r="B247" s="17">
        <v>39</v>
      </c>
      <c r="C247" s="96" t="s">
        <v>617</v>
      </c>
      <c r="D247" s="100"/>
      <c r="E247" s="586" t="s">
        <v>578</v>
      </c>
      <c r="F247" s="471">
        <f>'Länder-DB'!$I$39*(0.2+0.8*VLOOKUP(F$19,DB_Länder,5,FALSE)/'Länder-DB'!$E$2)</f>
        <v>4</v>
      </c>
      <c r="G247" s="10"/>
      <c r="H247" s="10"/>
      <c r="I247" s="471">
        <f>'Länder-DB'!$I$39*(0.2+0.8*VLOOKUP(I$19,DB_Länder,5,FALSE)/'Länder-DB'!$E$2)</f>
        <v>1.3277061352090662</v>
      </c>
      <c r="J247" s="10"/>
      <c r="K247" s="10"/>
      <c r="L247" s="471">
        <f>'Länder-DB'!$I$39*(0.2+0.8*VLOOKUP(L$19,DB_Länder,5,FALSE)/'Länder-DB'!$E$2)</f>
        <v>1.7953888237592812</v>
      </c>
      <c r="M247" s="10"/>
      <c r="N247" s="10"/>
      <c r="O247" s="471">
        <f>'Länder-DB'!$I$39*(0.2+0.8*VLOOKUP(O$19,DB_Länder,5,FALSE)/'Länder-DB'!$E$2)</f>
        <v>4</v>
      </c>
      <c r="P247" s="10"/>
      <c r="Q247" s="10"/>
      <c r="R247" s="471">
        <f>'Länder-DB'!$I$39*(0.2+0.8*VLOOKUP(R$19,DB_Länder,5,FALSE)/'Länder-DB'!$E$2)</f>
        <v>4</v>
      </c>
      <c r="S247" s="10"/>
      <c r="T247" s="10"/>
      <c r="U247" s="471">
        <f>'Länder-DB'!$I$39*(0.2+0.8*VLOOKUP(U$19,DB_Länder,5,FALSE)/'Länder-DB'!$E$2)</f>
        <v>4</v>
      </c>
      <c r="V247" s="11"/>
    </row>
    <row r="248" spans="2:24" ht="15" thickBot="1" x14ac:dyDescent="0.25">
      <c r="B248" s="17">
        <v>39</v>
      </c>
      <c r="C248" s="96" t="s">
        <v>181</v>
      </c>
      <c r="D248" s="102"/>
      <c r="E248" s="587" t="s">
        <v>578</v>
      </c>
      <c r="F248" s="349">
        <f>SQRT(MAX(0,'Quick Input'!M$19-0.5))*40%</f>
        <v>0.84852813742385702</v>
      </c>
      <c r="G248" s="10"/>
      <c r="H248" s="10"/>
      <c r="I248" s="349">
        <f>SQRT(MAX(0,'Quick Input'!P$19-0.5))*40%</f>
        <v>0.84852813742385702</v>
      </c>
      <c r="J248" s="10"/>
      <c r="K248" s="10"/>
      <c r="L248" s="349">
        <f>SQRT(MAX(0,'Quick Input'!S$19-0.5))*40%</f>
        <v>0.84852813742385702</v>
      </c>
      <c r="M248" s="10"/>
      <c r="N248" s="10"/>
      <c r="O248" s="349" t="e">
        <f>SQRT(MAX(0,'Quick Input'!V$19-0.5))*40%</f>
        <v>#VALUE!</v>
      </c>
      <c r="P248" s="10"/>
      <c r="Q248" s="10"/>
      <c r="R248" s="349" t="e">
        <f>SQRT(MAX(0,'Quick Input'!Y$19-0.5))*40%</f>
        <v>#VALUE!</v>
      </c>
      <c r="S248" s="10"/>
      <c r="T248" s="10"/>
      <c r="U248" s="349" t="e">
        <f>SQRT(MAX(0,'Quick Input'!AB$19-0.5))*40%</f>
        <v>#VALUE!</v>
      </c>
      <c r="V248" s="11"/>
    </row>
    <row r="249" spans="2:24" ht="15" x14ac:dyDescent="0.25">
      <c r="B249" s="17">
        <v>39</v>
      </c>
      <c r="C249" s="95" t="s">
        <v>618</v>
      </c>
      <c r="D249" s="100"/>
      <c r="E249" s="583" t="s">
        <v>501</v>
      </c>
      <c r="F249" s="351">
        <f>IF('Quick Input'!M29=Auswahlfelder!$D$22,0,ROUND(F250*(1+F251),2))</f>
        <v>0</v>
      </c>
      <c r="G249" s="7"/>
      <c r="H249" s="7"/>
      <c r="I249" s="351">
        <f>IF('Quick Input'!P29=Auswahlfelder!$D$22,0,ROUND(I250*(1+I251),2))</f>
        <v>0</v>
      </c>
      <c r="J249" s="7"/>
      <c r="K249" s="7"/>
      <c r="L249" s="351">
        <f>IF('Quick Input'!S29=Auswahlfelder!$D$22,0,ROUND(L250*(1+L251),2))</f>
        <v>0</v>
      </c>
      <c r="M249" s="7"/>
      <c r="N249" s="7"/>
      <c r="O249" s="351">
        <f>IF('Quick Input'!V29=Auswahlfelder!$D$22,0,ROUND(O250*(1+O251),2))</f>
        <v>0</v>
      </c>
      <c r="P249" s="7"/>
      <c r="Q249" s="7"/>
      <c r="R249" s="351">
        <f>IF('Quick Input'!Y29=Auswahlfelder!$D$22,0,ROUND(R250*(1+R251),2))</f>
        <v>0</v>
      </c>
      <c r="S249" s="7"/>
      <c r="T249" s="7"/>
      <c r="U249" s="351">
        <f>IF('Quick Input'!AB29=Auswahlfelder!$D$22,0,ROUND(U250*(1+U251),2))</f>
        <v>0</v>
      </c>
      <c r="V249" s="11"/>
    </row>
    <row r="250" spans="2:24" x14ac:dyDescent="0.2">
      <c r="B250" s="17">
        <v>39</v>
      </c>
      <c r="C250" s="96" t="s">
        <v>619</v>
      </c>
      <c r="D250" s="100"/>
      <c r="E250" s="586" t="s">
        <v>578</v>
      </c>
      <c r="F250" s="471">
        <f>'Länder-DB'!$I$41*(0.4+0.6*VLOOKUP(F$19,DB_Länder,5,FALSE)/'Länder-DB'!$E$2)</f>
        <v>6</v>
      </c>
      <c r="G250" s="10"/>
      <c r="H250" s="10"/>
      <c r="I250" s="471">
        <f>'Länder-DB'!$I$41*(0.4+0.6*VLOOKUP(I$19,DB_Länder,5,FALSE)/'Länder-DB'!$E$2)</f>
        <v>2.9936694021101995</v>
      </c>
      <c r="J250" s="10"/>
      <c r="K250" s="10"/>
      <c r="L250" s="471">
        <f>'Länder-DB'!$I$41*(0.4+0.6*VLOOKUP(L$19,DB_Länder,5,FALSE)/'Länder-DB'!$E$2)</f>
        <v>3.519812426729191</v>
      </c>
      <c r="M250" s="10"/>
      <c r="N250" s="10"/>
      <c r="O250" s="471">
        <f>'Länder-DB'!$I$41*(0.4+0.6*VLOOKUP(O$19,DB_Länder,5,FALSE)/'Länder-DB'!$E$2)</f>
        <v>6</v>
      </c>
      <c r="P250" s="10"/>
      <c r="Q250" s="10"/>
      <c r="R250" s="471">
        <f>'Länder-DB'!$I$41*(0.4+0.6*VLOOKUP(R$19,DB_Länder,5,FALSE)/'Länder-DB'!$E$2)</f>
        <v>6</v>
      </c>
      <c r="S250" s="10"/>
      <c r="T250" s="10"/>
      <c r="U250" s="471">
        <f>'Länder-DB'!$I$41*(0.4+0.6*VLOOKUP(U$19,DB_Länder,5,FALSE)/'Länder-DB'!$E$2)</f>
        <v>6</v>
      </c>
      <c r="V250" s="11"/>
    </row>
    <row r="251" spans="2:24" ht="15" thickBot="1" x14ac:dyDescent="0.25">
      <c r="B251" s="291">
        <v>39</v>
      </c>
      <c r="C251" s="97" t="s">
        <v>181</v>
      </c>
      <c r="D251" s="102"/>
      <c r="E251" s="587" t="s">
        <v>578</v>
      </c>
      <c r="F251" s="349">
        <f>SQRT(MAX(0,'Quick Input'!M$19-0.5))*50%</f>
        <v>1.0606601717798212</v>
      </c>
      <c r="G251" s="438"/>
      <c r="H251" s="439"/>
      <c r="I251" s="349">
        <f>SQRT(MAX(0,'Quick Input'!P$19-0.5))*50%</f>
        <v>1.0606601717798212</v>
      </c>
      <c r="J251" s="438"/>
      <c r="K251" s="439"/>
      <c r="L251" s="349">
        <f>SQRT(MAX(0,'Quick Input'!S$19-0.5))*50%</f>
        <v>1.0606601717798212</v>
      </c>
      <c r="M251" s="438"/>
      <c r="N251" s="439"/>
      <c r="O251" s="349" t="e">
        <f>SQRT(MAX(0,'Quick Input'!V$19-0.5))*50%</f>
        <v>#VALUE!</v>
      </c>
      <c r="P251" s="438"/>
      <c r="Q251" s="439"/>
      <c r="R251" s="349" t="e">
        <f>SQRT(MAX(0,'Quick Input'!Y$19-0.5))*50%</f>
        <v>#VALUE!</v>
      </c>
      <c r="S251" s="438"/>
      <c r="T251" s="439"/>
      <c r="U251" s="349" t="e">
        <f>SQRT(MAX(0,'Quick Input'!AB$19-0.5))*50%</f>
        <v>#VALUE!</v>
      </c>
      <c r="V251" s="126"/>
    </row>
    <row r="252" spans="2:24" ht="15" thickBot="1" x14ac:dyDescent="0.25">
      <c r="B252" s="783">
        <v>39</v>
      </c>
      <c r="C252" s="784"/>
      <c r="D252" s="785" t="s">
        <v>620</v>
      </c>
      <c r="E252" s="786"/>
      <c r="F252" s="787" t="str">
        <f>CONCATENATE(IF(F246&gt;0,"US ",""),IF(F249&gt;0,"PT ",""),IF(F177&gt;0,IF(Deutsch,"Röntgen ","X-ray "),""),IF(SUM(F175:F177)=0,IF(Deutsch,"ohne Prfg.","no test"),IF(Deutsch,"prüfen","test")))</f>
        <v>US prüfen</v>
      </c>
      <c r="G252" s="788"/>
      <c r="H252" s="788"/>
      <c r="I252" s="787" t="str">
        <f>CONCATENATE(IF(I246&gt;0,"US ",""),IF(I249&gt;0,"PT ",""),IF(I177&gt;0,IF(Deutsch,"Röntgen ","X-ray "),""),IF(SUM(I175:I177)=0,IF(Deutsch,"ohne Prfg.","no test"),IF(Deutsch,"prüfen","test")))</f>
        <v>US prüfen</v>
      </c>
      <c r="J252" s="788"/>
      <c r="K252" s="788"/>
      <c r="L252" s="787" t="str">
        <f>CONCATENATE(IF(L246&gt;0,"US ",""),IF(L249&gt;0,"PT ",""),IF(L177&gt;0,IF(Deutsch,"Röntgen ","X-ray "),""),IF(SUM(L175:L177)=0,IF(Deutsch,"ohne Prfg.","no test"),IF(Deutsch,"prüfen","test")))</f>
        <v>ohne Prfg.</v>
      </c>
      <c r="M252" s="788"/>
      <c r="N252" s="788"/>
      <c r="O252" s="787" t="str">
        <f>CONCATENATE(IF(O246&gt;0,"US ",""),IF(O249&gt;0,"PT ",""),IF(O177&gt;0,IF(Deutsch,"Röntgen ","X-ray "),""),IF(SUM(O175:O177)=0,IF(Deutsch,"ohne Prfg.","no test"),IF(Deutsch,"prüfen","test")))</f>
        <v>ohne Prfg.</v>
      </c>
      <c r="P252" s="788"/>
      <c r="Q252" s="788"/>
      <c r="R252" s="787" t="str">
        <f>CONCATENATE(IF(R246&gt;0,"US ",""),IF(R249&gt;0,"PT ",""),IF(R177&gt;0,IF(Deutsch,"Röntgen ","X-ray "),""),IF(SUM(R175:R177)=0,IF(Deutsch,"ohne Prfg.","no test"),IF(Deutsch,"prüfen","test")))</f>
        <v>ohne Prfg.</v>
      </c>
      <c r="S252" s="788"/>
      <c r="T252" s="788"/>
      <c r="U252" s="787" t="str">
        <f>CONCATENATE(IF(U246&gt;0,"US ",""),IF(U249&gt;0,"PT ",""),IF(U177&gt;0,IF(Deutsch,"Röntgen ","X-ray "),""),IF(SUM(U175:U177)=0,IF(Deutsch,"ohne Prfg.","no test"),IF(Deutsch,"prüfen","test")))</f>
        <v>ohne Prfg.</v>
      </c>
      <c r="V252" s="789"/>
    </row>
    <row r="253" spans="2:24" ht="15" x14ac:dyDescent="0.25">
      <c r="B253" s="482">
        <v>44</v>
      </c>
      <c r="C253" s="95" t="s">
        <v>381</v>
      </c>
      <c r="D253" s="98"/>
      <c r="E253" s="589" t="s">
        <v>501</v>
      </c>
      <c r="F253" s="205">
        <f>ROUNDDOWN(F$46*HLOOKUP(F$258,'Länder-DB'!$M$54:$O$55,2,FALSE)*(1-F$260-F$261-F$262),-1)</f>
        <v>23700</v>
      </c>
      <c r="G253" s="7"/>
      <c r="H253" s="7"/>
      <c r="I253" s="205">
        <f>ROUNDDOWN(I$46*HLOOKUP(I$258,'Länder-DB'!$M$54:$O$55,2,FALSE)*(1-I$260-I$261-I$262),-1)</f>
        <v>23450</v>
      </c>
      <c r="J253" s="7"/>
      <c r="K253" s="7"/>
      <c r="L253" s="205">
        <f>ROUNDDOWN(L$46*HLOOKUP(L$258,'Länder-DB'!$M$54:$O$55,2,FALSE)*(1-L$260-L$261-L$262),-1)</f>
        <v>23040</v>
      </c>
      <c r="M253" s="7"/>
      <c r="N253" s="7"/>
      <c r="O253" s="205" t="e">
        <f>ROUNDDOWN(O$46*HLOOKUP(O$258,'Länder-DB'!$M$54:$O$55,2,FALSE)*(1-O$260-O$261-O$262),-1)</f>
        <v>#VALUE!</v>
      </c>
      <c r="P253" s="28"/>
      <c r="Q253" s="28"/>
      <c r="R253" s="205" t="e">
        <f>ROUNDDOWN(R$46*HLOOKUP(R$258,'Länder-DB'!$M$54:$O$55,2,FALSE)*(1-R$260-R$261-R$262),-1)</f>
        <v>#VALUE!</v>
      </c>
      <c r="S253" s="28"/>
      <c r="T253" s="28"/>
      <c r="U253" s="205" t="e">
        <f>ROUNDDOWN(U$46*HLOOKUP(U$258,'Länder-DB'!$M$54:$O$55,2,FALSE)*(1-U$260-U$261-U$262),-1)</f>
        <v>#VALUE!</v>
      </c>
      <c r="V253" s="11"/>
    </row>
    <row r="254" spans="2:24" x14ac:dyDescent="0.2">
      <c r="B254" s="482">
        <v>44</v>
      </c>
      <c r="C254" s="483" t="s">
        <v>544</v>
      </c>
      <c r="D254" s="100">
        <v>1</v>
      </c>
      <c r="E254" s="586"/>
      <c r="F254" s="572">
        <f>IFERROR('Quick Input'!M$44,1)</f>
        <v>30000</v>
      </c>
      <c r="G254" s="10"/>
      <c r="H254" s="10"/>
      <c r="I254" s="572">
        <f>IFERROR('Quick Input'!P$44,1)</f>
        <v>30000</v>
      </c>
      <c r="J254" s="10"/>
      <c r="K254" s="10"/>
      <c r="L254" s="572">
        <f>IFERROR('Quick Input'!S$44,1)</f>
        <v>30000</v>
      </c>
      <c r="M254" s="10"/>
      <c r="N254" s="10"/>
      <c r="O254" s="572">
        <f>IFERROR('Quick Input'!V$44,1)</f>
        <v>1</v>
      </c>
      <c r="P254" s="4"/>
      <c r="Q254" s="4"/>
      <c r="R254" s="572">
        <f>IFERROR('Quick Input'!Y$44,1)</f>
        <v>1</v>
      </c>
      <c r="S254" s="4"/>
      <c r="T254" s="4"/>
      <c r="U254" s="572">
        <f>IFERROR('Quick Input'!AB$44,1)</f>
        <v>1</v>
      </c>
      <c r="V254" s="11"/>
    </row>
    <row r="255" spans="2:24" x14ac:dyDescent="0.2">
      <c r="B255" s="482">
        <v>44</v>
      </c>
      <c r="C255" s="483" t="s">
        <v>489</v>
      </c>
      <c r="D255" s="100">
        <v>1</v>
      </c>
      <c r="E255" s="586"/>
      <c r="F255" s="572">
        <f>ROUNDDOWN(F$46*'Länder-DB'!$M$55*(1-F$260-F$261-F$262),-1)</f>
        <v>940</v>
      </c>
      <c r="G255" s="573"/>
      <c r="H255" s="10"/>
      <c r="I255" s="572">
        <f>ROUNDDOWN(I$46*'Länder-DB'!$M$55*(1-I$260-I$261-I$262),-1)</f>
        <v>930</v>
      </c>
      <c r="J255" s="573"/>
      <c r="K255" s="10"/>
      <c r="L255" s="572">
        <f>ROUNDDOWN(L$46*'Länder-DB'!$M$55*(1-L$260-L$261-L$262),-1)</f>
        <v>920</v>
      </c>
      <c r="M255" s="573"/>
      <c r="N255" s="10"/>
      <c r="O255" s="572" t="e">
        <f>ROUNDDOWN(O$46*'Länder-DB'!$M$55*(1-O$260-O$261-O$262),-1)</f>
        <v>#VALUE!</v>
      </c>
      <c r="P255" s="573"/>
      <c r="Q255" s="10"/>
      <c r="R255" s="572" t="e">
        <f>ROUNDDOWN(R$46*'Länder-DB'!$M$55*(1-R$260-R$261-R$262),-1)</f>
        <v>#VALUE!</v>
      </c>
      <c r="S255" s="573"/>
      <c r="T255" s="10"/>
      <c r="U255" s="572" t="e">
        <f>ROUNDDOWN(U$46*'Länder-DB'!$M$55*(1-U$260-U$261-U$262),-1)</f>
        <v>#VALUE!</v>
      </c>
      <c r="V255" s="11"/>
    </row>
    <row r="256" spans="2:24" x14ac:dyDescent="0.2">
      <c r="B256" s="482">
        <v>44</v>
      </c>
      <c r="C256" s="483" t="s">
        <v>486</v>
      </c>
      <c r="D256" s="100">
        <v>1</v>
      </c>
      <c r="E256" s="586"/>
      <c r="F256" s="572">
        <f>F$46*'Länder-DB'!$N$55*(1-F$260-F$261-F$262)</f>
        <v>9480.4705882352955</v>
      </c>
      <c r="G256" s="573"/>
      <c r="H256" s="10"/>
      <c r="I256" s="572">
        <f>I$46*'Länder-DB'!$N$55*(1-I$260-I$261-I$262)</f>
        <v>9383.6705882352944</v>
      </c>
      <c r="J256" s="10"/>
      <c r="K256" s="10"/>
      <c r="L256" s="572">
        <f>L$46*'Länder-DB'!$N$55*(1-L$260-L$261-L$262)</f>
        <v>9218.0705882352941</v>
      </c>
      <c r="M256" s="10"/>
      <c r="N256" s="10"/>
      <c r="O256" s="572" t="e">
        <f>O$46*'Länder-DB'!$N$55*(1-O$260-O$261-O$262)</f>
        <v>#VALUE!</v>
      </c>
      <c r="P256" s="4"/>
      <c r="Q256" s="4"/>
      <c r="R256" s="572" t="e">
        <f>R$46*'Länder-DB'!$N$55*(1-R$260-R$261-R$262)</f>
        <v>#VALUE!</v>
      </c>
      <c r="S256" s="4"/>
      <c r="T256" s="4"/>
      <c r="U256" s="572" t="e">
        <f>U$46*'Länder-DB'!$N$55*(1-U$260-U$261-U$262)</f>
        <v>#VALUE!</v>
      </c>
      <c r="V256" s="11"/>
    </row>
    <row r="257" spans="1:24" x14ac:dyDescent="0.2">
      <c r="B257" s="482">
        <v>44</v>
      </c>
      <c r="C257" s="483" t="s">
        <v>487</v>
      </c>
      <c r="D257" s="100">
        <v>1</v>
      </c>
      <c r="E257" s="586"/>
      <c r="F257" s="572">
        <f>F$46*'Länder-DB'!$O$55*(1-F$260-F$261-F$262)</f>
        <v>23701.176470588238</v>
      </c>
      <c r="G257" s="573"/>
      <c r="H257" s="10"/>
      <c r="I257" s="572">
        <f>I$46*'Länder-DB'!$O$55*(1-I$260-I$261-I$262)</f>
        <v>23459.176470588238</v>
      </c>
      <c r="J257" s="10"/>
      <c r="K257" s="10"/>
      <c r="L257" s="572">
        <f>L$46*'Länder-DB'!$O$55*(1-L$260-L$261-L$262)</f>
        <v>23045.176470588234</v>
      </c>
      <c r="M257" s="10"/>
      <c r="N257" s="10"/>
      <c r="O257" s="572" t="e">
        <f>O$46*'Länder-DB'!$O$55*(1-O$260-O$261-O$262)</f>
        <v>#VALUE!</v>
      </c>
      <c r="P257" s="4"/>
      <c r="Q257" s="4"/>
      <c r="R257" s="572" t="e">
        <f>R$46*'Länder-DB'!$O$55*(1-R$260-R$261-R$262)</f>
        <v>#VALUE!</v>
      </c>
      <c r="S257" s="4"/>
      <c r="T257" s="4"/>
      <c r="U257" s="572" t="e">
        <f>U$46*'Länder-DB'!$O$55*(1-U$260-U$261-U$262)</f>
        <v>#VALUE!</v>
      </c>
      <c r="V257" s="11"/>
    </row>
    <row r="258" spans="1:24" x14ac:dyDescent="0.2">
      <c r="B258" s="482">
        <v>44</v>
      </c>
      <c r="C258" s="483" t="s">
        <v>488</v>
      </c>
      <c r="D258" s="598" t="s">
        <v>507</v>
      </c>
      <c r="E258" s="584" t="s">
        <v>501</v>
      </c>
      <c r="F258" s="572" t="str">
        <f>IF(F$254&gt;MIN(F$257,2*F$256),'Länder-DB'!$O$54,IF(F$254&gt;MIN(F$256,3*F$255),'Länder-DB'!$N$54,'Länder-DB'!$M$54))</f>
        <v>Alu</v>
      </c>
      <c r="G258" s="10"/>
      <c r="H258" s="10"/>
      <c r="I258" s="572" t="str">
        <f>IF(I$254&gt;MIN(I$257,2*I$256),'Länder-DB'!$O$54,IF(I$254&gt;MIN(I$256,3*I$255),'Länder-DB'!$N$54,'Länder-DB'!$M$54))</f>
        <v>Alu</v>
      </c>
      <c r="J258" s="10"/>
      <c r="K258" s="10"/>
      <c r="L258" s="572" t="str">
        <f>IF(L$254&gt;MIN(L$257,2*L$256),'Länder-DB'!$O$54,IF(L$254&gt;MIN(L$256,3*L$255),'Länder-DB'!$N$54,'Länder-DB'!$M$54))</f>
        <v>Alu</v>
      </c>
      <c r="M258" s="10"/>
      <c r="N258" s="10"/>
      <c r="O258" s="572" t="e">
        <f>IF(O$254&gt;MIN(O$257,2*O$256),'Länder-DB'!$O$54,IF(O$254&gt;MIN(O$256,3*O$255),'Länder-DB'!$N$54,'Länder-DB'!$M$54))</f>
        <v>#VALUE!</v>
      </c>
      <c r="P258" s="10"/>
      <c r="Q258" s="10"/>
      <c r="R258" s="572" t="e">
        <f>IF(R$254&gt;MIN(R$257,2*R$256),'Länder-DB'!$O$54,IF(R$254&gt;MIN(R$256,3*R$255),'Länder-DB'!$N$54,'Länder-DB'!$M$54))</f>
        <v>#VALUE!</v>
      </c>
      <c r="S258" s="10"/>
      <c r="T258" s="10"/>
      <c r="U258" s="572" t="e">
        <f>IF(U$254&gt;MIN(U$257,2*U$256),'Länder-DB'!$O$54,IF(U$254&gt;MIN(U$256,3*U$255),'Länder-DB'!$N$54,'Länder-DB'!$M$54))</f>
        <v>#VALUE!</v>
      </c>
      <c r="V258" s="11"/>
    </row>
    <row r="259" spans="1:24" x14ac:dyDescent="0.2">
      <c r="B259" s="482">
        <v>44</v>
      </c>
      <c r="C259" s="483" t="s">
        <v>545</v>
      </c>
      <c r="D259" s="598" t="s">
        <v>507</v>
      </c>
      <c r="E259" s="584" t="s">
        <v>501</v>
      </c>
      <c r="F259" s="572">
        <f>ROUNDUP(F254/F253,0)</f>
        <v>2</v>
      </c>
      <c r="G259" s="10"/>
      <c r="H259" s="10"/>
      <c r="I259" s="572">
        <f>ROUNDUP(I254/I253,0)</f>
        <v>2</v>
      </c>
      <c r="J259" s="10"/>
      <c r="K259" s="10"/>
      <c r="L259" s="572">
        <f>ROUNDUP(L254/L253,0)</f>
        <v>2</v>
      </c>
      <c r="M259" s="10"/>
      <c r="N259" s="10"/>
      <c r="O259" s="572" t="e">
        <f>ROUNDUP(O254/O253,0)</f>
        <v>#VALUE!</v>
      </c>
      <c r="P259" s="4"/>
      <c r="Q259" s="4"/>
      <c r="R259" s="572" t="e">
        <f>ROUNDUP(R254/R253,0)</f>
        <v>#VALUE!</v>
      </c>
      <c r="S259" s="4"/>
      <c r="T259" s="4"/>
      <c r="U259" s="572" t="e">
        <f>ROUNDUP(U254/U253,0)</f>
        <v>#VALUE!</v>
      </c>
      <c r="V259" s="11"/>
    </row>
    <row r="260" spans="1:24" x14ac:dyDescent="0.2">
      <c r="B260" s="482">
        <v>44</v>
      </c>
      <c r="C260" s="96" t="s">
        <v>142</v>
      </c>
      <c r="D260" s="100" t="s">
        <v>395</v>
      </c>
      <c r="E260" s="584" t="s">
        <v>500</v>
      </c>
      <c r="F260" s="149">
        <f>10%*(0.85-F$27)</f>
        <v>1.4599999999999991E-2</v>
      </c>
      <c r="G260" s="10"/>
      <c r="H260" s="10"/>
      <c r="I260" s="149">
        <f>10%*(0.85-I$27)</f>
        <v>2.4280000000000003E-2</v>
      </c>
      <c r="J260" s="10"/>
      <c r="K260" s="10"/>
      <c r="L260" s="149">
        <f>10%*(0.85-L$27)</f>
        <v>4.0840000000000001E-2</v>
      </c>
      <c r="M260" s="10"/>
      <c r="N260" s="10"/>
      <c r="O260" s="149">
        <f>10%*(0.85-O$27)</f>
        <v>1.1399999999999988E-2</v>
      </c>
      <c r="P260" s="4"/>
      <c r="Q260" s="4"/>
      <c r="R260" s="149">
        <f>10%*(0.85-R$27)</f>
        <v>1.1399999999999988E-2</v>
      </c>
      <c r="S260" s="4"/>
      <c r="T260" s="4"/>
      <c r="U260" s="149">
        <f>10%*(0.85-U$27)</f>
        <v>1.1399999999999988E-2</v>
      </c>
      <c r="V260" s="11"/>
    </row>
    <row r="261" spans="1:24" x14ac:dyDescent="0.2">
      <c r="B261" s="482">
        <v>44</v>
      </c>
      <c r="C261" s="96" t="s">
        <v>141</v>
      </c>
      <c r="D261" s="100" t="s">
        <v>395</v>
      </c>
      <c r="E261" s="584" t="s">
        <v>500</v>
      </c>
      <c r="F261" s="149">
        <f>1.5%*(VLOOKUP('Quick Input'!M$21,Auswahlfelder!$D$16:$E$19,2,FALSE)-1)</f>
        <v>1.4999999999999999E-2</v>
      </c>
      <c r="G261" s="10"/>
      <c r="H261" s="10"/>
      <c r="I261" s="149">
        <f>1.5%*(VLOOKUP('Quick Input'!P$21,Auswahlfelder!$D$16:$E$19,2,FALSE)-1)</f>
        <v>1.4999999999999999E-2</v>
      </c>
      <c r="J261" s="10"/>
      <c r="K261" s="10"/>
      <c r="L261" s="149">
        <f>1.5%*(VLOOKUP('Quick Input'!S$21,Auswahlfelder!$D$16:$E$19,2,FALSE)-1)</f>
        <v>1.4999999999999999E-2</v>
      </c>
      <c r="M261" s="10"/>
      <c r="N261" s="10"/>
      <c r="O261" s="149">
        <f>1.5%*(VLOOKUP('Quick Input'!V$21,Auswahlfelder!$D$16:$E$19,2,FALSE)-1)</f>
        <v>1.4999999999999999E-2</v>
      </c>
      <c r="P261" s="10"/>
      <c r="Q261" s="10"/>
      <c r="R261" s="149">
        <f>1.5%*(VLOOKUP('Quick Input'!Y$21,Auswahlfelder!$D$16:$E$19,2,FALSE)-1)</f>
        <v>1.4999999999999999E-2</v>
      </c>
      <c r="S261" s="10"/>
      <c r="T261" s="10"/>
      <c r="U261" s="149">
        <f>1.5%*(VLOOKUP('Quick Input'!AB$21,Auswahlfelder!$D$16:$E$19,2,FALSE)-1)</f>
        <v>1.4999999999999999E-2</v>
      </c>
      <c r="V261" s="5"/>
    </row>
    <row r="262" spans="1:24" ht="15" thickBot="1" x14ac:dyDescent="0.25">
      <c r="B262" s="482">
        <v>44</v>
      </c>
      <c r="C262" s="97" t="s">
        <v>145</v>
      </c>
      <c r="D262" s="102" t="s">
        <v>395</v>
      </c>
      <c r="E262" s="585" t="s">
        <v>500</v>
      </c>
      <c r="F262" s="668">
        <f>4%*(('Quick Input'!$E$18-1.2)/('Quick Input'!M$18-1.2))</f>
        <v>2.2352941176470589E-2</v>
      </c>
      <c r="G262" s="13"/>
      <c r="H262" s="13"/>
      <c r="I262" s="668">
        <f>4%*(('Quick Input'!$E$18-1.2)/('Quick Input'!P$18-1.2))</f>
        <v>2.2352941176470589E-2</v>
      </c>
      <c r="J262" s="13"/>
      <c r="K262" s="13"/>
      <c r="L262" s="668">
        <f>4%*(('Quick Input'!$E$18-1.2)/('Quick Input'!S$18-1.2))</f>
        <v>2.2352941176470589E-2</v>
      </c>
      <c r="M262" s="13"/>
      <c r="N262" s="13"/>
      <c r="O262" s="668" t="e">
        <f>4%*(('Quick Input'!$E$18-1.2)/('Quick Input'!V$18-1.2))</f>
        <v>#VALUE!</v>
      </c>
      <c r="P262" s="27"/>
      <c r="Q262" s="27"/>
      <c r="R262" s="668" t="e">
        <f>4%*(('Quick Input'!$E$18-1.2)/('Quick Input'!Y$18-1.2))</f>
        <v>#VALUE!</v>
      </c>
      <c r="S262" s="27"/>
      <c r="T262" s="27"/>
      <c r="U262" s="668" t="e">
        <f>4%*(('Quick Input'!$E$18-1.2)/('Quick Input'!AB$18-1.2))</f>
        <v>#VALUE!</v>
      </c>
      <c r="V262" s="32"/>
    </row>
    <row r="263" spans="1:24" ht="15" x14ac:dyDescent="0.25">
      <c r="B263" s="482">
        <v>49</v>
      </c>
      <c r="C263" s="95" t="s">
        <v>576</v>
      </c>
      <c r="D263" s="98"/>
      <c r="E263" s="589" t="s">
        <v>501</v>
      </c>
      <c r="F263" s="205">
        <f>ROUND(F265*(1+F266+F267),-2)</f>
        <v>10100</v>
      </c>
      <c r="G263" s="434"/>
      <c r="H263" s="435"/>
      <c r="I263" s="205">
        <f>ROUND(I265*(1+I266+I267),-2)</f>
        <v>8500</v>
      </c>
      <c r="J263" s="434"/>
      <c r="K263" s="435"/>
      <c r="L263" s="205">
        <f>ROUND(L265*(1+L266+L267),-2)</f>
        <v>8800</v>
      </c>
      <c r="M263" s="434"/>
      <c r="N263" s="435"/>
      <c r="O263" s="205" t="e">
        <f>ROUND(O265*(1+O266+O267),-2)</f>
        <v>#VALUE!</v>
      </c>
      <c r="P263" s="434"/>
      <c r="Q263" s="435"/>
      <c r="R263" s="205" t="e">
        <f>ROUND(R265*(1+R266+R267),-2)</f>
        <v>#VALUE!</v>
      </c>
      <c r="S263" s="434"/>
      <c r="T263" s="435"/>
      <c r="U263" s="205" t="e">
        <f>ROUND(U265*(1+U266+U267),-2)</f>
        <v>#VALUE!</v>
      </c>
      <c r="V263" s="11"/>
      <c r="X263" s="526"/>
    </row>
    <row r="264" spans="1:24" x14ac:dyDescent="0.2">
      <c r="B264" s="482">
        <v>49</v>
      </c>
      <c r="C264" s="96" t="s">
        <v>186</v>
      </c>
      <c r="D264" s="100"/>
      <c r="E264" s="584" t="s">
        <v>578</v>
      </c>
      <c r="F264" s="206">
        <f>SQRT(F$31)*10</f>
        <v>424.26406871192853</v>
      </c>
      <c r="G264" s="436"/>
      <c r="H264" s="437"/>
      <c r="I264" s="206">
        <f>SQRT(I$31)*10</f>
        <v>424.26406871192853</v>
      </c>
      <c r="J264" s="436"/>
      <c r="K264" s="437"/>
      <c r="L264" s="206">
        <f>SQRT(L$31)*10</f>
        <v>424.26406871192853</v>
      </c>
      <c r="M264" s="436"/>
      <c r="N264" s="437"/>
      <c r="O264" s="206" t="e">
        <f>SQRT(O$31)*10</f>
        <v>#VALUE!</v>
      </c>
      <c r="P264" s="436"/>
      <c r="Q264" s="437"/>
      <c r="R264" s="206" t="e">
        <f>SQRT(R$31)*10</f>
        <v>#VALUE!</v>
      </c>
      <c r="S264" s="436"/>
      <c r="T264" s="437"/>
      <c r="U264" s="206" t="e">
        <f>SQRT(U$31)*10</f>
        <v>#VALUE!</v>
      </c>
      <c r="V264" s="11"/>
      <c r="W264" s="495"/>
    </row>
    <row r="265" spans="1:24" x14ac:dyDescent="0.2">
      <c r="B265" s="482">
        <v>49</v>
      </c>
      <c r="C265" s="96" t="s">
        <v>577</v>
      </c>
      <c r="D265" s="100"/>
      <c r="E265" s="584" t="s">
        <v>500</v>
      </c>
      <c r="F265" s="206">
        <f>F$264*SQRT(Refkalkulation!H$50)*0.15*SQRT(HLOOKUP(F$258,'Länder-DB'!$M$54:$O$55,2,FALSE))</f>
        <v>10062.305898749055</v>
      </c>
      <c r="G265" s="436"/>
      <c r="H265" s="437"/>
      <c r="I265" s="206">
        <f>I$264*SQRT(Refkalkulation!K$50)*0.15*SQRT(HLOOKUP(I$258,'Länder-DB'!$M$54:$O$55,2,FALSE))</f>
        <v>10062.305898749055</v>
      </c>
      <c r="J265" s="436"/>
      <c r="K265" s="437"/>
      <c r="L265" s="206">
        <f>L$264*SQRT(Refkalkulation!N$50)*0.15*SQRT(HLOOKUP(L$258,'Länder-DB'!$M$54:$O$55,2,FALSE))</f>
        <v>10062.305898749055</v>
      </c>
      <c r="M265" s="436"/>
      <c r="N265" s="437"/>
      <c r="O265" s="206" t="e">
        <f>O$264*SQRT(Refkalkulation!Q$50)*0.15*SQRT(HLOOKUP(O$258,'Länder-DB'!$M$54:$O$55,2,FALSE))</f>
        <v>#VALUE!</v>
      </c>
      <c r="P265" s="436"/>
      <c r="Q265" s="437"/>
      <c r="R265" s="206" t="e">
        <f>R$264*SQRT(Refkalkulation!T$50)*0.15*SQRT(HLOOKUP(R$258,'Länder-DB'!$M$54:$O$55,2,FALSE))</f>
        <v>#VALUE!</v>
      </c>
      <c r="S265" s="436"/>
      <c r="T265" s="437"/>
      <c r="U265" s="206" t="e">
        <f>U$264*SQRT(Refkalkulation!W$50)*0.15*SQRT(HLOOKUP(U$258,'Länder-DB'!$M$54:$O$55,2,FALSE))</f>
        <v>#VALUE!</v>
      </c>
      <c r="V265" s="5"/>
    </row>
    <row r="266" spans="1:24" x14ac:dyDescent="0.2">
      <c r="B266" s="482">
        <v>49</v>
      </c>
      <c r="C266" s="96" t="s">
        <v>185</v>
      </c>
      <c r="D266" s="100"/>
      <c r="E266" s="584" t="s">
        <v>500</v>
      </c>
      <c r="F266" s="202">
        <f>10%*(VLOOKUP('Quick Input'!M$21,Auswahlfelder!$D$16:$E$19,2,FALSE)-2)</f>
        <v>0</v>
      </c>
      <c r="G266" s="436"/>
      <c r="H266" s="437"/>
      <c r="I266" s="202">
        <f>10%*(VLOOKUP('Quick Input'!P$21,Auswahlfelder!$D$16:$E$19,2,FALSE)-2)</f>
        <v>0</v>
      </c>
      <c r="J266" s="436"/>
      <c r="K266" s="437"/>
      <c r="L266" s="202">
        <f>10%*(VLOOKUP('Quick Input'!S$21,Auswahlfelder!$D$16:$E$19,2,FALSE)-2)</f>
        <v>0</v>
      </c>
      <c r="M266" s="436"/>
      <c r="N266" s="437"/>
      <c r="O266" s="202">
        <f>10%*(VLOOKUP('Quick Input'!V$21,Auswahlfelder!$D$16:$E$19,2,FALSE)-2)</f>
        <v>0</v>
      </c>
      <c r="P266" s="436"/>
      <c r="Q266" s="437"/>
      <c r="R266" s="202">
        <f>10%*(VLOOKUP('Quick Input'!Y$21,Auswahlfelder!$D$16:$E$19,2,FALSE)-2)</f>
        <v>0</v>
      </c>
      <c r="S266" s="436"/>
      <c r="T266" s="437"/>
      <c r="U266" s="202">
        <f>10%*(VLOOKUP('Quick Input'!AB$21,Auswahlfelder!$D$16:$E$19,2,FALSE)-2)</f>
        <v>0</v>
      </c>
      <c r="V266" s="5"/>
    </row>
    <row r="267" spans="1:24" ht="15" thickBot="1" x14ac:dyDescent="0.25">
      <c r="B267" s="482">
        <v>49</v>
      </c>
      <c r="C267" s="96" t="s">
        <v>187</v>
      </c>
      <c r="D267" s="102"/>
      <c r="E267" s="585" t="s">
        <v>500</v>
      </c>
      <c r="F267" s="202">
        <f>18%*(VLOOKUP(F$19,DB_Länder,5,FALSE)/'Länder-DB'!$E$2-1)</f>
        <v>0</v>
      </c>
      <c r="G267" s="438"/>
      <c r="H267" s="437"/>
      <c r="I267" s="202">
        <f>18%*(VLOOKUP(I$19,DB_Länder,5,FALSE)/'Länder-DB'!$E$2-1)</f>
        <v>-0.15031652989449001</v>
      </c>
      <c r="J267" s="438"/>
      <c r="K267" s="437"/>
      <c r="L267" s="202">
        <f>18%*(VLOOKUP(L$19,DB_Länder,5,FALSE)/'Länder-DB'!$E$2-1)</f>
        <v>-0.12400937866354043</v>
      </c>
      <c r="M267" s="438"/>
      <c r="N267" s="437"/>
      <c r="O267" s="202">
        <f>18%*(VLOOKUP(O$19,DB_Länder,5,FALSE)/'Länder-DB'!$E$2-1)</f>
        <v>0</v>
      </c>
      <c r="P267" s="438"/>
      <c r="Q267" s="437"/>
      <c r="R267" s="202">
        <f>18%*(VLOOKUP(R$19,DB_Länder,5,FALSE)/'Länder-DB'!$E$2-1)</f>
        <v>0</v>
      </c>
      <c r="S267" s="438"/>
      <c r="T267" s="437"/>
      <c r="U267" s="202">
        <f>18%*(VLOOKUP(U$19,DB_Länder,5,FALSE)/'Länder-DB'!$E$2-1)</f>
        <v>0</v>
      </c>
      <c r="V267" s="32"/>
    </row>
    <row r="268" spans="1:24" ht="15" x14ac:dyDescent="0.25">
      <c r="B268" s="482">
        <v>55</v>
      </c>
      <c r="C268" s="95" t="s">
        <v>382</v>
      </c>
      <c r="D268" s="100"/>
      <c r="E268" s="589" t="s">
        <v>501</v>
      </c>
      <c r="F268" s="161">
        <f>ROUND(IF('Quick Input'!M23=Auswahlfelder!$D$49,0,350+ROUND(SQRT(F269*1000)*$D$269,0)/F270),-2)</f>
        <v>0</v>
      </c>
      <c r="G268" s="451"/>
      <c r="H268" s="435"/>
      <c r="I268" s="161">
        <f>ROUND(IF('Quick Input'!P23=Auswahlfelder!$D$49,0,350+ROUND(SQRT(I269*1000)*$D$269,0)/I270),-2)</f>
        <v>0</v>
      </c>
      <c r="J268" s="451"/>
      <c r="K268" s="435"/>
      <c r="L268" s="161">
        <f>ROUND(IF('Quick Input'!S23=Auswahlfelder!$D$49,0,350+ROUND(SQRT(L269*1000)*$D$269,0)/L270),-2)</f>
        <v>0</v>
      </c>
      <c r="M268" s="451"/>
      <c r="N268" s="435"/>
      <c r="O268" s="161">
        <f>ROUND(IF('Quick Input'!V23=Auswahlfelder!$D$49,0,350+ROUND(SQRT(O269*1000)*$D$269,0)/O270),-2)</f>
        <v>0</v>
      </c>
      <c r="P268" s="451"/>
      <c r="Q268" s="435"/>
      <c r="R268" s="161">
        <f>ROUND(IF('Quick Input'!Y23=Auswahlfelder!$D$49,0,(350+SQRT(R269*1000)*$D$269)/R270),-2)</f>
        <v>0</v>
      </c>
      <c r="S268" s="451"/>
      <c r="T268" s="435"/>
      <c r="U268" s="161">
        <f>ROUND(IF('Quick Input'!AB23=Auswahlfelder!$D$49,0,350+ROUND(SQRT(U269*1000)*$D$269,0)/U270),-2)</f>
        <v>0</v>
      </c>
      <c r="V268" s="8"/>
    </row>
    <row r="269" spans="1:24" x14ac:dyDescent="0.2">
      <c r="B269" s="482">
        <f>B268</f>
        <v>55</v>
      </c>
      <c r="C269" s="96" t="s">
        <v>592</v>
      </c>
      <c r="D269" s="953">
        <v>1.9</v>
      </c>
      <c r="E269" s="584" t="s">
        <v>500</v>
      </c>
      <c r="F269" s="471">
        <f>200+20*Refkalkulation!H$67*SQRT(IF('Quick Input'!M$23=Auswahlfelder!$D$51,0.8,F227*2))</f>
        <v>200</v>
      </c>
      <c r="G269" s="436"/>
      <c r="H269" s="437"/>
      <c r="I269" s="471">
        <f>200+20*Refkalkulation!K$67*SQRT(IF('Quick Input'!P$23=Auswahlfelder!$D$51,0.8,I227*2))</f>
        <v>200</v>
      </c>
      <c r="J269" s="436"/>
      <c r="K269" s="437"/>
      <c r="L269" s="471">
        <f>200+20*Refkalkulation!N$67*SQRT(IF('Quick Input'!S$23=Auswahlfelder!$D$51,0.8,L227*2))</f>
        <v>200</v>
      </c>
      <c r="M269" s="436"/>
      <c r="N269" s="437"/>
      <c r="O269" s="471">
        <f>200+20*Refkalkulation!Q$67*SQRT(IF('Quick Input'!V$23=Auswahlfelder!$D$51,0.8,O227*2))</f>
        <v>200</v>
      </c>
      <c r="P269" s="436"/>
      <c r="Q269" s="437"/>
      <c r="R269" s="471">
        <f>200+20*Refkalkulation!T$67*SQRT(IF('Quick Input'!Y$23=Auswahlfelder!$D$51,0.8,R227*2))</f>
        <v>200</v>
      </c>
      <c r="S269" s="436"/>
      <c r="T269" s="437"/>
      <c r="U269" s="471">
        <f>200+20*Refkalkulation!W$67*SQRT(IF('Quick Input'!AB$23=Auswahlfelder!$D$51,0.8,U227*2))</f>
        <v>200</v>
      </c>
      <c r="V269" s="11"/>
    </row>
    <row r="270" spans="1:24" ht="15" thickBot="1" x14ac:dyDescent="0.25">
      <c r="B270" s="547">
        <f>B269</f>
        <v>55</v>
      </c>
      <c r="C270" s="97" t="s">
        <v>355</v>
      </c>
      <c r="D270" s="102"/>
      <c r="E270" s="585" t="s">
        <v>500</v>
      </c>
      <c r="F270" s="474">
        <f>1+0.25*(1-VLOOKUP(F$19,DB_Länder,4,FALSE)/'Länder-DB'!$D$2)</f>
        <v>1</v>
      </c>
      <c r="G270" s="475"/>
      <c r="H270" s="476"/>
      <c r="I270" s="474">
        <f>1+0.25*(1-VLOOKUP(I$19,DB_Länder,4,FALSE)/'Länder-DB'!$D$2)</f>
        <v>1.2066815144766148</v>
      </c>
      <c r="J270" s="475"/>
      <c r="K270" s="476"/>
      <c r="L270" s="474">
        <f>1+0.25*(1-VLOOKUP(L$19,DB_Länder,4,FALSE)/'Länder-DB'!$D$2)</f>
        <v>1.1839643652561247</v>
      </c>
      <c r="M270" s="475"/>
      <c r="N270" s="476"/>
      <c r="O270" s="474">
        <f>1+0.25*(1-VLOOKUP(O$19,DB_Länder,4,FALSE)/'Länder-DB'!$D$2)</f>
        <v>1</v>
      </c>
      <c r="P270" s="475"/>
      <c r="Q270" s="476"/>
      <c r="R270" s="474">
        <f>1+0.25*(1-VLOOKUP(R$19,DB_Länder,4,FALSE)/'Länder-DB'!$D$2)</f>
        <v>1</v>
      </c>
      <c r="S270" s="475"/>
      <c r="T270" s="476"/>
      <c r="U270" s="474">
        <f>1+0.25*(1-VLOOKUP(U$19,DB_Länder,4,FALSE)/'Länder-DB'!$D$2)</f>
        <v>1</v>
      </c>
      <c r="V270" s="126"/>
    </row>
    <row r="271" spans="1:24" x14ac:dyDescent="0.2">
      <c r="A271" s="526"/>
      <c r="B271" s="526"/>
      <c r="C271" s="526"/>
      <c r="D271" s="526"/>
      <c r="E271" s="526"/>
      <c r="F271" s="526"/>
      <c r="G271" s="526"/>
      <c r="H271" s="526"/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</row>
    <row r="273" spans="5:25" ht="15" thickBot="1" x14ac:dyDescent="0.25"/>
    <row r="274" spans="5:25" s="55" customFormat="1" ht="15" thickBot="1" x14ac:dyDescent="0.25">
      <c r="E274" s="614">
        <v>0</v>
      </c>
      <c r="F274" s="608" t="s">
        <v>530</v>
      </c>
      <c r="G274" s="609"/>
      <c r="H274" s="604">
        <v>0</v>
      </c>
      <c r="I274" s="608" t="s">
        <v>530</v>
      </c>
      <c r="J274" s="609"/>
      <c r="K274" s="604">
        <v>0</v>
      </c>
      <c r="L274" s="608" t="s">
        <v>530</v>
      </c>
      <c r="M274" s="609"/>
      <c r="N274" s="604">
        <v>0</v>
      </c>
      <c r="O274" s="608" t="s">
        <v>530</v>
      </c>
      <c r="P274" s="609"/>
      <c r="Q274" s="604">
        <v>0</v>
      </c>
      <c r="R274" s="608" t="s">
        <v>530</v>
      </c>
      <c r="S274" s="609"/>
      <c r="T274" s="604">
        <v>0</v>
      </c>
      <c r="U274" s="608" t="s">
        <v>530</v>
      </c>
      <c r="V274" s="609"/>
      <c r="W274" s="669" t="s">
        <v>398</v>
      </c>
      <c r="X274" s="610" t="s">
        <v>529</v>
      </c>
      <c r="Y274" s="615"/>
    </row>
    <row r="275" spans="5:25" ht="15" thickBot="1" x14ac:dyDescent="0.25">
      <c r="E275" s="124">
        <f>IF(F275,E274+1,E274)</f>
        <v>1</v>
      </c>
      <c r="F275" s="604" t="b">
        <f>F$71&lt;&gt;F$60</f>
        <v>1</v>
      </c>
      <c r="G275" s="617"/>
      <c r="H275" s="604">
        <f>IF(I275,H274+1,H274)</f>
        <v>1</v>
      </c>
      <c r="I275" s="604" t="b">
        <f>I$71&lt;&gt;I$60</f>
        <v>1</v>
      </c>
      <c r="J275" s="604"/>
      <c r="K275" s="604">
        <f>IF(L275,K274+1,K274)</f>
        <v>1</v>
      </c>
      <c r="L275" s="604" t="b">
        <f>L$71&lt;&gt;L$60</f>
        <v>1</v>
      </c>
      <c r="M275" s="604"/>
      <c r="N275" s="604">
        <f>IF(O275,N274+1,N274)</f>
        <v>0</v>
      </c>
      <c r="O275" s="604" t="b">
        <f>O$71&lt;&gt;O$60</f>
        <v>0</v>
      </c>
      <c r="P275" s="604"/>
      <c r="Q275" s="604">
        <f>IF(R275,Q274+1,Q274)</f>
        <v>0</v>
      </c>
      <c r="R275" s="604" t="b">
        <f>R$71&lt;&gt;R$60</f>
        <v>0</v>
      </c>
      <c r="S275" s="604"/>
      <c r="T275" s="604">
        <f>IF(U275,T274+1,T274)</f>
        <v>0</v>
      </c>
      <c r="U275" s="604" t="b">
        <f>U$71&lt;&gt;U$60</f>
        <v>0</v>
      </c>
      <c r="V275" s="618"/>
      <c r="W275" s="124" t="str">
        <f>C74</f>
        <v>Empfehlung Formverfahren</v>
      </c>
      <c r="X275" s="607" t="s">
        <v>581</v>
      </c>
      <c r="Y275" s="37"/>
    </row>
    <row r="276" spans="5:25" ht="15" thickBot="1" x14ac:dyDescent="0.25">
      <c r="E276" s="124">
        <f>IF(F275,E275+1,E275)</f>
        <v>2</v>
      </c>
      <c r="F276" s="606" t="str">
        <f>F74</f>
        <v>automatisch</v>
      </c>
      <c r="G276" s="617"/>
      <c r="H276" s="604">
        <f>IF(I275,H275+1,H275)</f>
        <v>2</v>
      </c>
      <c r="I276" s="606" t="str">
        <f>I74</f>
        <v>automatisch</v>
      </c>
      <c r="J276" s="606"/>
      <c r="K276" s="604">
        <f>IF(L275,K275+1,K275)</f>
        <v>2</v>
      </c>
      <c r="L276" s="606" t="str">
        <f>L74</f>
        <v>automatisch</v>
      </c>
      <c r="M276" s="606"/>
      <c r="N276" s="604">
        <f>IF(O275,N275+1,N275)</f>
        <v>0</v>
      </c>
      <c r="O276" s="606" t="str">
        <f>O74</f>
        <v>automatisch</v>
      </c>
      <c r="P276" s="606"/>
      <c r="Q276" s="604">
        <f>IF(R275,Q275+1,Q275)</f>
        <v>0</v>
      </c>
      <c r="R276" s="606" t="str">
        <f>R74</f>
        <v>automatisch</v>
      </c>
      <c r="S276" s="606"/>
      <c r="T276" s="604">
        <f>IF(U275,T275+1,T275)</f>
        <v>0</v>
      </c>
      <c r="U276" s="606" t="str">
        <f>U74</f>
        <v>automatisch</v>
      </c>
      <c r="V276" s="619"/>
      <c r="W276" s="605"/>
      <c r="X276" s="27"/>
      <c r="Y276" s="32"/>
    </row>
    <row r="277" spans="5:25" ht="15" thickBot="1" x14ac:dyDescent="0.25">
      <c r="E277" s="124">
        <f>IF(F277,E276+1,E276)</f>
        <v>3</v>
      </c>
      <c r="F277" s="604" t="b">
        <f>IFERROR(F78/F77&lt;3%,FALSE)</f>
        <v>1</v>
      </c>
      <c r="G277" s="617"/>
      <c r="H277" s="604">
        <f>IF(I277,H276+1,H276)</f>
        <v>3</v>
      </c>
      <c r="I277" s="604" t="b">
        <f>IFERROR(I78/I77&lt;3%,FALSE)</f>
        <v>1</v>
      </c>
      <c r="J277" s="604"/>
      <c r="K277" s="604">
        <f>IF(L277,K276+1,K276)</f>
        <v>3</v>
      </c>
      <c r="L277" s="604" t="b">
        <f>IFERROR(L78/L77&lt;3%,FALSE)</f>
        <v>1</v>
      </c>
      <c r="M277" s="604"/>
      <c r="N277" s="604">
        <f>IF(O277,N276+1,N276)</f>
        <v>0</v>
      </c>
      <c r="O277" s="604" t="b">
        <f>IFERROR(O78/O77&lt;3%,FALSE)</f>
        <v>0</v>
      </c>
      <c r="P277" s="604"/>
      <c r="Q277" s="604">
        <f>IF(R277,Q276+1,Q276)</f>
        <v>0</v>
      </c>
      <c r="R277" s="604" t="b">
        <f>IFERROR(R78/R77&lt;3%,FALSE)</f>
        <v>0</v>
      </c>
      <c r="S277" s="604"/>
      <c r="T277" s="604">
        <f>IF(U277,T276+1,T276)</f>
        <v>0</v>
      </c>
      <c r="U277" s="604" t="b">
        <f>IFERROR(U78/U77&lt;3%,FALSE)</f>
        <v>0</v>
      </c>
      <c r="V277" s="604"/>
      <c r="W277" s="607" t="str">
        <f>C76</f>
        <v>Kastenausnutzung (Volumen)</v>
      </c>
      <c r="X277" s="607" t="s">
        <v>582</v>
      </c>
      <c r="Y277" s="37"/>
    </row>
    <row r="278" spans="5:25" ht="15" thickBot="1" x14ac:dyDescent="0.25">
      <c r="E278" s="124">
        <f>IF(F277,E277+1,E277)</f>
        <v>4</v>
      </c>
      <c r="F278" s="726" t="str">
        <f>IF(F277,TEXT(F$76,"0%")," ")</f>
        <v>0%</v>
      </c>
      <c r="G278" s="617"/>
      <c r="H278" s="604">
        <f>IF(I277,H277+1,H277)</f>
        <v>4</v>
      </c>
      <c r="I278" s="726" t="str">
        <f>IF(I277,TEXT(I$76,"0%")," ")</f>
        <v>1%</v>
      </c>
      <c r="J278" s="606"/>
      <c r="K278" s="604">
        <f>IF(L277,K277+1,K277)</f>
        <v>4</v>
      </c>
      <c r="L278" s="726" t="str">
        <f>IF(L277,TEXT(L$76,"0%")," ")</f>
        <v>1%</v>
      </c>
      <c r="M278" s="606"/>
      <c r="N278" s="604">
        <f>IF(O277,N277+1,N277)</f>
        <v>0</v>
      </c>
      <c r="O278" s="726" t="str">
        <f>IF(O277,TEXT(O$76,"0%")," ")</f>
        <v xml:space="preserve"> </v>
      </c>
      <c r="P278" s="606"/>
      <c r="Q278" s="604">
        <f>IF(R277,Q277+1,Q277)</f>
        <v>0</v>
      </c>
      <c r="R278" s="726" t="str">
        <f>IF(R277,TEXT(R$76,"0%")," ")</f>
        <v xml:space="preserve"> </v>
      </c>
      <c r="S278" s="606"/>
      <c r="T278" s="604">
        <f>IF(U277,T277+1,T277)</f>
        <v>0</v>
      </c>
      <c r="U278" s="726" t="str">
        <f>IF(U277,TEXT(U$76,"0%")," ")</f>
        <v xml:space="preserve"> </v>
      </c>
      <c r="V278" s="606"/>
      <c r="W278" s="27"/>
      <c r="X278" s="27"/>
      <c r="Y278" s="32"/>
    </row>
    <row r="279" spans="5:25" ht="15" thickBot="1" x14ac:dyDescent="0.25">
      <c r="E279" s="124">
        <f>IF(F279,E278+1,E278)</f>
        <v>4</v>
      </c>
      <c r="F279" s="604" t="b">
        <f>IFERROR(Refkalkulation!H66/(Refkalkulation!H66+Refkalkulation!H60)&gt;15%,FALSE)</f>
        <v>0</v>
      </c>
      <c r="G279" s="617"/>
      <c r="H279" s="604">
        <f>IF(I279,H278+1,H278)</f>
        <v>5</v>
      </c>
      <c r="I279" s="604" t="b">
        <f>IFERROR(Refkalkulation!K66/(Refkalkulation!K66+Refkalkulation!K60)&gt;15%,FALSE)</f>
        <v>1</v>
      </c>
      <c r="J279" s="604"/>
      <c r="K279" s="604">
        <f>IF(L279,K278+1,K278)</f>
        <v>5</v>
      </c>
      <c r="L279" s="604" t="b">
        <f>IFERROR(Refkalkulation!N66/(Refkalkulation!N66+Refkalkulation!N60)&gt;15%,FALSE)</f>
        <v>1</v>
      </c>
      <c r="M279" s="604"/>
      <c r="N279" s="604">
        <f>IF(O279,N278+1,N278)</f>
        <v>0</v>
      </c>
      <c r="O279" s="604" t="b">
        <f>IFERROR(Refkalkulation!Q66/(Refkalkulation!Q66+Refkalkulation!Q60)&gt;15%,FALSE)</f>
        <v>0</v>
      </c>
      <c r="P279" s="604"/>
      <c r="Q279" s="604">
        <f>IF(R279,Q278+1,Q278)</f>
        <v>0</v>
      </c>
      <c r="R279" s="604" t="b">
        <f>IFERROR(Refkalkulation!T66/(Refkalkulation!T66+Refkalkulation!T60)&gt;15%,FALSE)</f>
        <v>0</v>
      </c>
      <c r="S279" s="604"/>
      <c r="T279" s="604">
        <f>IF(U279,T278+1,T278)</f>
        <v>0</v>
      </c>
      <c r="U279" s="604" t="b">
        <f>IFERROR(Refkalkulation!W66/(Refkalkulation!W66+Refkalkulation!W60)&gt;15%,FALSE)</f>
        <v>0</v>
      </c>
      <c r="V279" s="604"/>
      <c r="W279" s="607" t="s">
        <v>548</v>
      </c>
      <c r="X279" s="607" t="s">
        <v>584</v>
      </c>
      <c r="Y279" s="37"/>
    </row>
    <row r="280" spans="5:25" ht="15" thickBot="1" x14ac:dyDescent="0.25">
      <c r="E280" s="124">
        <f>IF(F279,E279+1,E279)</f>
        <v>4</v>
      </c>
      <c r="F280" s="727" t="str">
        <f>TEXT(Refkalkulation!H62/(Refkalkulation!H62+Refkalkulation!H59*Refkalkulation!H61/60/Refkalkulation!H50),"0,0 %")</f>
        <v>6,3 %</v>
      </c>
      <c r="G280" s="617"/>
      <c r="H280" s="604">
        <f>IF(I279,H279+1,H279)</f>
        <v>6</v>
      </c>
      <c r="I280" s="725" t="str">
        <f>TEXT(Refkalkulation!K62/(Refkalkulation!K62+Refkalkulation!K59*Refkalkulation!K61/60/Refkalkulation!K50),"0,0 %")</f>
        <v>43,1 %</v>
      </c>
      <c r="J280" s="606"/>
      <c r="K280" s="604">
        <f>IF(L279,K279+1,K279)</f>
        <v>6</v>
      </c>
      <c r="L280" s="725" t="str">
        <f>TEXT(Refkalkulation!N62/(Refkalkulation!N62+Refkalkulation!N59*Refkalkulation!N61/60/Refkalkulation!N50),"0,0 %")</f>
        <v>43,1 %</v>
      </c>
      <c r="M280" s="606"/>
      <c r="N280" s="604">
        <f>IF(O279,N279+1,N279)</f>
        <v>0</v>
      </c>
      <c r="O280" s="725" t="str">
        <f>TEXT(Refkalkulation!Q62/(Refkalkulation!Q62+Refkalkulation!Q59*Refkalkulation!Q61/60/Refkalkulation!Q50),"0,0 %")</f>
        <v>100,0 %</v>
      </c>
      <c r="P280" s="606"/>
      <c r="Q280" s="604">
        <f>IF(R279,Q279+1,Q279)</f>
        <v>0</v>
      </c>
      <c r="R280" s="725" t="str">
        <f>TEXT(Refkalkulation!T62/(Refkalkulation!T62+Refkalkulation!T59*Refkalkulation!T61/60/Refkalkulation!T50),"0,0 %")</f>
        <v>100,0 %</v>
      </c>
      <c r="S280" s="606"/>
      <c r="T280" s="604">
        <f>IF(U279,T279+1,T279)</f>
        <v>0</v>
      </c>
      <c r="U280" s="725" t="str">
        <f>TEXT(Refkalkulation!W62/(Refkalkulation!W62+Refkalkulation!W59*Refkalkulation!W61/60/Refkalkulation!W50),"0,0 %")</f>
        <v>100,0 %</v>
      </c>
      <c r="V280" s="606"/>
      <c r="W280" s="27"/>
      <c r="X280" s="27"/>
      <c r="Y280" s="32"/>
    </row>
    <row r="281" spans="5:25" ht="15" thickBot="1" x14ac:dyDescent="0.25">
      <c r="E281" s="124">
        <f>IF(F281,E280+1,E280)</f>
        <v>5</v>
      </c>
      <c r="F281" s="604" t="b">
        <f>IFERROR(F259&gt;1,FALSE)</f>
        <v>1</v>
      </c>
      <c r="G281" s="617"/>
      <c r="H281" s="604">
        <f>IF(I281,H280+1,H280)</f>
        <v>7</v>
      </c>
      <c r="I281" s="604" t="b">
        <f>IFERROR(I259&gt;1,FALSE)</f>
        <v>1</v>
      </c>
      <c r="J281" s="604"/>
      <c r="K281" s="604">
        <f>IF(L281,K280+1,K280)</f>
        <v>7</v>
      </c>
      <c r="L281" s="604" t="b">
        <f>IFERROR(L259&gt;1,FALSE)</f>
        <v>1</v>
      </c>
      <c r="M281" s="604"/>
      <c r="N281" s="604">
        <f>IF(O281,N280+1,N280)</f>
        <v>0</v>
      </c>
      <c r="O281" s="604" t="b">
        <f>IFERROR(O259&gt;1,FALSE)</f>
        <v>0</v>
      </c>
      <c r="P281" s="604"/>
      <c r="Q281" s="604">
        <f>IF(R281,Q280+1,Q280)</f>
        <v>0</v>
      </c>
      <c r="R281" s="604" t="b">
        <f>IFERROR(R259&gt;1,FALSE)</f>
        <v>0</v>
      </c>
      <c r="S281" s="604"/>
      <c r="T281" s="604">
        <f>IF(U281,T280+1,T280)</f>
        <v>0</v>
      </c>
      <c r="U281" s="604" t="b">
        <f>IFERROR(U259&gt;1,FALSE)</f>
        <v>0</v>
      </c>
      <c r="V281" s="604"/>
      <c r="W281" s="607" t="s">
        <v>547</v>
      </c>
      <c r="X281" s="607" t="s">
        <v>580</v>
      </c>
      <c r="Y281" s="37"/>
    </row>
    <row r="282" spans="5:25" ht="15" thickBot="1" x14ac:dyDescent="0.25">
      <c r="E282" s="124">
        <f>IF(F281,E281+1,E281)</f>
        <v>6</v>
      </c>
      <c r="F282" s="621" t="str">
        <f>CONCATENATE(F259,IF(Deutsch," WKZ aus "," tool from "),F258)</f>
        <v>2 WKZ aus Alu</v>
      </c>
      <c r="G282" s="617"/>
      <c r="H282" s="604">
        <f>IF(I281,H281+1,H281)</f>
        <v>8</v>
      </c>
      <c r="I282" s="621" t="str">
        <f>CONCATENATE(I259,IF(Deutsch," WKZ aus "," tool from "),I258)</f>
        <v>2 WKZ aus Alu</v>
      </c>
      <c r="J282" s="606"/>
      <c r="K282" s="604">
        <f>IF(L281,K281+1,K281)</f>
        <v>8</v>
      </c>
      <c r="L282" s="621" t="str">
        <f>CONCATENATE(L259,IF(Deutsch," WKZ aus "," tool from "),L258)</f>
        <v>2 WKZ aus Alu</v>
      </c>
      <c r="M282" s="606"/>
      <c r="N282" s="604">
        <f>IF(O281,N281+1,N281)</f>
        <v>0</v>
      </c>
      <c r="O282" s="621" t="e">
        <f>CONCATENATE(O259,IF(Deutsch," WKZ aus "," tool from "),O258)</f>
        <v>#VALUE!</v>
      </c>
      <c r="P282" s="606"/>
      <c r="Q282" s="604">
        <f>IF(R281,Q281+1,Q281)</f>
        <v>0</v>
      </c>
      <c r="R282" s="621" t="e">
        <f>CONCATENATE(R259,IF(Deutsch," WKZ aus "," tool from "),R258)</f>
        <v>#VALUE!</v>
      </c>
      <c r="S282" s="606"/>
      <c r="T282" s="604">
        <f>IF(U281,T281+1,T281)</f>
        <v>0</v>
      </c>
      <c r="U282" s="621" t="e">
        <f>CONCATENATE(U259,IF(Deutsch," WKZ aus "," tool from "),U258)</f>
        <v>#VALUE!</v>
      </c>
      <c r="V282" s="606"/>
      <c r="W282" s="27"/>
      <c r="X282" s="27"/>
      <c r="Y282" s="32"/>
    </row>
    <row r="283" spans="5:25" ht="15" thickBot="1" x14ac:dyDescent="0.25">
      <c r="E283" s="124">
        <f>IF(F283,E282+1,E282)</f>
        <v>6</v>
      </c>
      <c r="F283" s="719" t="b">
        <f>IFERROR(F$129&lt;30%,FALSE)</f>
        <v>0</v>
      </c>
      <c r="G283" s="617"/>
      <c r="H283" s="604">
        <f>IF(I283,H282+1,H282)</f>
        <v>8</v>
      </c>
      <c r="I283" s="719" t="b">
        <f>IFERROR(I$129&lt;30%,FALSE)</f>
        <v>0</v>
      </c>
      <c r="J283" s="604"/>
      <c r="K283" s="604">
        <f>IF(L283,K282+1,K282)</f>
        <v>8</v>
      </c>
      <c r="L283" s="719" t="b">
        <f>IFERROR(L$129&lt;30%,FALSE)</f>
        <v>0</v>
      </c>
      <c r="M283" s="604"/>
      <c r="N283" s="604">
        <f>IF(O283,N282+1,N282)</f>
        <v>0</v>
      </c>
      <c r="O283" s="719" t="b">
        <f>IFERROR(O$129&lt;30%,FALSE)</f>
        <v>0</v>
      </c>
      <c r="P283" s="604"/>
      <c r="Q283" s="604">
        <f>IF(R283,Q282+1,Q282)</f>
        <v>0</v>
      </c>
      <c r="R283" s="719" t="b">
        <f>IFERROR(R$129&lt;30%,FALSE)</f>
        <v>0</v>
      </c>
      <c r="S283" s="604"/>
      <c r="T283" s="604">
        <f>IF(U283,T282+1,T282)</f>
        <v>0</v>
      </c>
      <c r="U283" s="719" t="b">
        <f>IFERROR(U$129&lt;30%,FALSE)</f>
        <v>0</v>
      </c>
      <c r="V283" s="604"/>
      <c r="W283" s="607" t="s">
        <v>579</v>
      </c>
      <c r="X283" s="607" t="s">
        <v>583</v>
      </c>
      <c r="Y283" s="37"/>
    </row>
    <row r="284" spans="5:25" ht="15" thickBot="1" x14ac:dyDescent="0.25">
      <c r="E284" s="124">
        <f>IF(F283,E283+1,E283)</f>
        <v>6</v>
      </c>
      <c r="F284" s="725" t="str">
        <f>TEXT(F$129,"0 %")</f>
        <v>58 %</v>
      </c>
      <c r="G284" s="617"/>
      <c r="H284" s="604">
        <f>IF(I283,H283+1,H283)</f>
        <v>8</v>
      </c>
      <c r="I284" s="725" t="str">
        <f>TEXT(I$129,"0 %")</f>
        <v>56 %</v>
      </c>
      <c r="J284" s="606"/>
      <c r="K284" s="604">
        <f>IF(L283,K283+1,K283)</f>
        <v>8</v>
      </c>
      <c r="L284" s="725" t="str">
        <f>TEXT(L$129,"0 %")</f>
        <v>54 %</v>
      </c>
      <c r="M284" s="606"/>
      <c r="N284" s="604">
        <f>IF(O283,N283+1,N283)</f>
        <v>0</v>
      </c>
      <c r="O284" s="725" t="e">
        <f>TEXT(O$129,"0 %")</f>
        <v>#VALUE!</v>
      </c>
      <c r="P284" s="606"/>
      <c r="Q284" s="604">
        <f>IF(R283,Q283+1,Q283)</f>
        <v>0</v>
      </c>
      <c r="R284" s="725" t="e">
        <f>TEXT(R$129,"0 %")</f>
        <v>#VALUE!</v>
      </c>
      <c r="S284" s="606"/>
      <c r="T284" s="604">
        <f>IF(U283,T283+1,T283)</f>
        <v>0</v>
      </c>
      <c r="U284" s="725" t="e">
        <f>TEXT(U$129,"0 %")</f>
        <v>#VALUE!</v>
      </c>
      <c r="V284" s="606"/>
      <c r="W284" s="27"/>
      <c r="X284" s="27"/>
      <c r="Y284" s="32"/>
    </row>
    <row r="285" spans="5:25" ht="15" thickBot="1" x14ac:dyDescent="0.25">
      <c r="E285" s="124">
        <f>IF(F285,E284+1,E284)</f>
        <v>6</v>
      </c>
      <c r="F285" s="604" t="b">
        <f>IFERROR(F61&gt;F70,FALSE)</f>
        <v>0</v>
      </c>
      <c r="G285" s="617"/>
      <c r="H285" s="604">
        <f>IF(I285,H284+1,H284)</f>
        <v>8</v>
      </c>
      <c r="I285" s="604" t="b">
        <f>IFERROR(I61&gt;I70,FALSE)</f>
        <v>0</v>
      </c>
      <c r="J285" s="604"/>
      <c r="K285" s="604">
        <f>IF(L285,K284+1,K284)</f>
        <v>8</v>
      </c>
      <c r="L285" s="604" t="b">
        <f>IFERROR(L61&gt;L70,FALSE)</f>
        <v>0</v>
      </c>
      <c r="M285" s="604"/>
      <c r="N285" s="604">
        <f>IF(O285,N284+1,N284)</f>
        <v>0</v>
      </c>
      <c r="O285" s="604" t="b">
        <f>IFERROR(O61&gt;O70,FALSE)</f>
        <v>0</v>
      </c>
      <c r="P285" s="604"/>
      <c r="Q285" s="604">
        <f>IF(R285,Q284+1,Q284)</f>
        <v>0</v>
      </c>
      <c r="R285" s="604" t="b">
        <f>IFERROR(R61&gt;R70,FALSE)</f>
        <v>0</v>
      </c>
      <c r="S285" s="604"/>
      <c r="T285" s="604">
        <f>IF(U285,T284+1,T284)</f>
        <v>0</v>
      </c>
      <c r="U285" s="604" t="b">
        <f>IFERROR(U61&gt;U70,FALSE)</f>
        <v>0</v>
      </c>
      <c r="V285" s="604"/>
      <c r="W285" s="607" t="s">
        <v>630</v>
      </c>
      <c r="X285" s="607" t="s">
        <v>631</v>
      </c>
      <c r="Y285" s="37"/>
    </row>
    <row r="286" spans="5:25" ht="15" thickBot="1" x14ac:dyDescent="0.25">
      <c r="E286" s="124">
        <f>IF(F285,E285+1,E285)</f>
        <v>6</v>
      </c>
      <c r="F286" s="621" t="str">
        <f>IF(F285,"","")</f>
        <v/>
      </c>
      <c r="G286" s="617"/>
      <c r="H286" s="604">
        <f>IF(I285,H285+1,H285)</f>
        <v>8</v>
      </c>
      <c r="I286" s="621" t="str">
        <f>IF(I285,"","")</f>
        <v/>
      </c>
      <c r="J286" s="606"/>
      <c r="K286" s="604">
        <f>IF(L285,K285+1,K285)</f>
        <v>8</v>
      </c>
      <c r="L286" s="621" t="str">
        <f>IF(L285,"","")</f>
        <v/>
      </c>
      <c r="M286" s="606"/>
      <c r="N286" s="604">
        <f>IF(O285,N285+1,N285)</f>
        <v>0</v>
      </c>
      <c r="O286" s="621" t="str">
        <f>IF(O285,"","")</f>
        <v/>
      </c>
      <c r="P286" s="606"/>
      <c r="Q286" s="604">
        <f>IF(R285,Q285+1,Q285)</f>
        <v>0</v>
      </c>
      <c r="R286" s="621" t="str">
        <f>IF(R285,"","")</f>
        <v/>
      </c>
      <c r="S286" s="606"/>
      <c r="T286" s="604">
        <f>IF(U285,T285+1,T285)</f>
        <v>0</v>
      </c>
      <c r="U286" s="621" t="str">
        <f>IF(U285,"","")</f>
        <v/>
      </c>
      <c r="V286" s="606"/>
      <c r="W286" s="27"/>
      <c r="X286" s="27"/>
      <c r="Y286" s="32"/>
    </row>
    <row r="287" spans="5:25" ht="15" thickBot="1" x14ac:dyDescent="0.25">
      <c r="E287" s="124">
        <f>IF(F287,E286+1,E286)</f>
        <v>7</v>
      </c>
      <c r="F287" s="604" t="b">
        <v>1</v>
      </c>
      <c r="G287" s="617"/>
      <c r="H287" s="604">
        <f>IF(I287,H286+1,H286)</f>
        <v>9</v>
      </c>
      <c r="I287" s="604" t="b">
        <v>1</v>
      </c>
      <c r="J287" s="604"/>
      <c r="K287" s="604">
        <f>IF(L287,K286+1,K286)</f>
        <v>9</v>
      </c>
      <c r="L287" s="604" t="b">
        <v>1</v>
      </c>
      <c r="M287" s="604"/>
      <c r="N287" s="604">
        <f>IF(O287,N286+1,N286)</f>
        <v>1</v>
      </c>
      <c r="O287" s="604" t="b">
        <v>1</v>
      </c>
      <c r="P287" s="604"/>
      <c r="Q287" s="604">
        <f>IF(R287,Q286+1,Q286)</f>
        <v>1</v>
      </c>
      <c r="R287" s="604" t="b">
        <v>1</v>
      </c>
      <c r="S287" s="604"/>
      <c r="T287" s="604">
        <f>IF(U287,T286+1,T286)</f>
        <v>1</v>
      </c>
      <c r="U287" s="604" t="b">
        <v>1</v>
      </c>
      <c r="V287" s="604"/>
      <c r="W287" s="607" t="s">
        <v>33</v>
      </c>
      <c r="X287" s="607" t="s">
        <v>33</v>
      </c>
      <c r="Y287" s="37"/>
    </row>
    <row r="288" spans="5:25" ht="15" thickBot="1" x14ac:dyDescent="0.25">
      <c r="E288" s="124">
        <f>IF(F287,E287+1,E287)</f>
        <v>8</v>
      </c>
      <c r="F288" s="621" t="s">
        <v>33</v>
      </c>
      <c r="G288" s="617"/>
      <c r="H288" s="604">
        <f>IF(I287,H287+1,H287)</f>
        <v>10</v>
      </c>
      <c r="I288" s="621" t="s">
        <v>33</v>
      </c>
      <c r="J288" s="606"/>
      <c r="K288" s="604">
        <f>IF(L287,K287+1,K287)</f>
        <v>10</v>
      </c>
      <c r="L288" s="621" t="s">
        <v>33</v>
      </c>
      <c r="M288" s="606"/>
      <c r="N288" s="604">
        <f>IF(O287,N287+1,N287)</f>
        <v>2</v>
      </c>
      <c r="O288" s="621" t="s">
        <v>33</v>
      </c>
      <c r="P288" s="606"/>
      <c r="Q288" s="604">
        <f>IF(R287,Q287+1,Q287)</f>
        <v>2</v>
      </c>
      <c r="R288" s="621" t="s">
        <v>33</v>
      </c>
      <c r="S288" s="606"/>
      <c r="T288" s="604">
        <f>IF(U287,T287+1,T287)</f>
        <v>2</v>
      </c>
      <c r="U288" s="621" t="s">
        <v>33</v>
      </c>
      <c r="V288" s="606"/>
      <c r="W288" s="27"/>
      <c r="X288" s="27"/>
      <c r="Y288" s="32"/>
    </row>
    <row r="289" spans="5:25" ht="15" thickBot="1" x14ac:dyDescent="0.25">
      <c r="E289" s="124">
        <f>IF(F289,E288+1,E288)</f>
        <v>9</v>
      </c>
      <c r="F289" s="604" t="b">
        <v>1</v>
      </c>
      <c r="G289" s="617"/>
      <c r="H289" s="604">
        <f>IF(I289,H288+1,H288)</f>
        <v>11</v>
      </c>
      <c r="I289" s="604" t="b">
        <v>1</v>
      </c>
      <c r="J289" s="604"/>
      <c r="K289" s="604">
        <f>IF(L289,K288+1,K288)</f>
        <v>11</v>
      </c>
      <c r="L289" s="604" t="b">
        <v>1</v>
      </c>
      <c r="M289" s="604"/>
      <c r="N289" s="604">
        <f>IF(O289,N288+1,N288)</f>
        <v>3</v>
      </c>
      <c r="O289" s="604" t="b">
        <v>1</v>
      </c>
      <c r="P289" s="604"/>
      <c r="Q289" s="604">
        <f>IF(R289,Q288+1,Q288)</f>
        <v>3</v>
      </c>
      <c r="R289" s="604" t="b">
        <v>1</v>
      </c>
      <c r="S289" s="604"/>
      <c r="T289" s="604">
        <f>IF(U289,T288+1,T288)</f>
        <v>3</v>
      </c>
      <c r="U289" s="604" t="b">
        <v>1</v>
      </c>
      <c r="V289" s="604"/>
      <c r="W289" s="607" t="s">
        <v>33</v>
      </c>
      <c r="X289" s="607" t="s">
        <v>33</v>
      </c>
      <c r="Y289" s="37"/>
    </row>
    <row r="290" spans="5:25" ht="15" thickBot="1" x14ac:dyDescent="0.25">
      <c r="E290" s="124">
        <f>IF(F289,E289+1,E289)</f>
        <v>10</v>
      </c>
      <c r="F290" s="621" t="s">
        <v>33</v>
      </c>
      <c r="G290" s="617"/>
      <c r="H290" s="604">
        <f>IF(I289,H289+1,H289)</f>
        <v>12</v>
      </c>
      <c r="I290" s="621" t="s">
        <v>33</v>
      </c>
      <c r="J290" s="606"/>
      <c r="K290" s="604">
        <f>IF(L289,K289+1,K289)</f>
        <v>12</v>
      </c>
      <c r="L290" s="621" t="s">
        <v>33</v>
      </c>
      <c r="M290" s="606"/>
      <c r="N290" s="604">
        <f>IF(O289,N289+1,N289)</f>
        <v>4</v>
      </c>
      <c r="O290" s="621" t="s">
        <v>33</v>
      </c>
      <c r="P290" s="606"/>
      <c r="Q290" s="604">
        <f>IF(R289,Q289+1,Q289)</f>
        <v>4</v>
      </c>
      <c r="R290" s="621" t="s">
        <v>33</v>
      </c>
      <c r="S290" s="606"/>
      <c r="T290" s="604">
        <f>IF(U289,T289+1,T289)</f>
        <v>4</v>
      </c>
      <c r="U290" s="621" t="s">
        <v>33</v>
      </c>
      <c r="V290" s="606"/>
      <c r="W290" s="27"/>
      <c r="X290" s="27"/>
      <c r="Y290" s="32"/>
    </row>
    <row r="291" spans="5:25" ht="15" thickBot="1" x14ac:dyDescent="0.25">
      <c r="E291" s="124">
        <f>IF(F291,E290+1,E290)</f>
        <v>11</v>
      </c>
      <c r="F291" s="604" t="b">
        <v>1</v>
      </c>
      <c r="G291" s="617"/>
      <c r="H291" s="604">
        <f>IF(I291,H290+1,H290)</f>
        <v>13</v>
      </c>
      <c r="I291" s="604" t="b">
        <v>1</v>
      </c>
      <c r="J291" s="604"/>
      <c r="K291" s="604">
        <f>IF(L291,K290+1,K290)</f>
        <v>13</v>
      </c>
      <c r="L291" s="604" t="b">
        <v>1</v>
      </c>
      <c r="M291" s="604"/>
      <c r="N291" s="604">
        <f>IF(O291,N290+1,N290)</f>
        <v>5</v>
      </c>
      <c r="O291" s="604" t="b">
        <v>1</v>
      </c>
      <c r="P291" s="604"/>
      <c r="Q291" s="604">
        <f>IF(R291,Q290+1,Q290)</f>
        <v>5</v>
      </c>
      <c r="R291" s="604" t="b">
        <v>1</v>
      </c>
      <c r="S291" s="604"/>
      <c r="T291" s="604">
        <f>IF(U291,T290+1,T290)</f>
        <v>5</v>
      </c>
      <c r="U291" s="604" t="b">
        <v>1</v>
      </c>
      <c r="V291" s="604"/>
      <c r="W291" s="607" t="s">
        <v>33</v>
      </c>
      <c r="X291" s="607" t="s">
        <v>33</v>
      </c>
      <c r="Y291" s="37"/>
    </row>
    <row r="292" spans="5:25" ht="15" thickBot="1" x14ac:dyDescent="0.25">
      <c r="E292" s="616">
        <f>IF(F291,E291+1,E291)</f>
        <v>12</v>
      </c>
      <c r="F292" s="621" t="s">
        <v>33</v>
      </c>
      <c r="G292" s="606"/>
      <c r="H292" s="620">
        <f>IF(I291,H291+1,H291)</f>
        <v>14</v>
      </c>
      <c r="I292" s="621" t="s">
        <v>33</v>
      </c>
      <c r="J292" s="606"/>
      <c r="K292" s="620">
        <f>IF(L291,K291+1,K291)</f>
        <v>14</v>
      </c>
      <c r="L292" s="621" t="s">
        <v>33</v>
      </c>
      <c r="M292" s="606"/>
      <c r="N292" s="620">
        <f>IF(O291,N291+1,N291)</f>
        <v>6</v>
      </c>
      <c r="O292" s="621" t="s">
        <v>33</v>
      </c>
      <c r="P292" s="606"/>
      <c r="Q292" s="620">
        <f>IF(R291,Q291+1,Q291)</f>
        <v>6</v>
      </c>
      <c r="R292" s="621" t="s">
        <v>33</v>
      </c>
      <c r="S292" s="606"/>
      <c r="T292" s="620">
        <f>IF(U291,T291+1,T291)</f>
        <v>6</v>
      </c>
      <c r="U292" s="621" t="s">
        <v>33</v>
      </c>
      <c r="V292" s="606"/>
      <c r="W292" s="27"/>
      <c r="X292" s="27"/>
      <c r="Y292" s="32"/>
    </row>
  </sheetData>
  <autoFilter ref="B3:D246" xr:uid="{00000000-0009-0000-0000-000009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10B344DA-5C6A-4DD1-83FB-576B035A96CF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D3E6-D5A0-4DA5-9981-D16B123DF988}">
  <dimension ref="A1"/>
  <sheetViews>
    <sheetView workbookViewId="0">
      <selection sqref="A1:C5"/>
    </sheetView>
  </sheetViews>
  <sheetFormatPr baseColWidth="10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F13-DA82-43C7-A534-BD79E942994A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58" bestFit="1" customWidth="1"/>
    <col min="2" max="2" width="8" style="1158" bestFit="1" customWidth="1"/>
    <col min="3" max="3" width="8.625" style="1158" bestFit="1" customWidth="1"/>
    <col min="4" max="4" width="8.5" style="1158" bestFit="1" customWidth="1"/>
    <col min="5" max="5" width="8" style="1158" bestFit="1" customWidth="1"/>
    <col min="6" max="6" width="11.75" style="1158" bestFit="1" customWidth="1"/>
    <col min="7" max="7" width="9.875" style="1158" bestFit="1" customWidth="1"/>
    <col min="8" max="8" width="8.75" style="1158" bestFit="1" customWidth="1"/>
    <col min="9" max="9" width="16.75" style="1158" bestFit="1" customWidth="1"/>
    <col min="10" max="10" width="3.75" style="1158" customWidth="1"/>
    <col min="11" max="11" width="16.5" style="1181"/>
    <col min="12" max="16384" width="16.5" style="1158"/>
  </cols>
  <sheetData>
    <row r="1" spans="1:14" x14ac:dyDescent="0.2">
      <c r="A1" s="1157"/>
      <c r="B1" s="1157"/>
      <c r="C1" s="1157"/>
      <c r="D1" s="1157"/>
      <c r="E1" s="1157" t="str">
        <f>CONCATENATE(MID($D$9,1,2),".",MID($D$9,3,2),".",MID($D$9,5,4))</f>
        <v>12.06.20</v>
      </c>
      <c r="F1" s="1157"/>
      <c r="G1" s="1157"/>
      <c r="H1" s="1157"/>
      <c r="I1" s="1157"/>
      <c r="N1" s="1181" t="s">
        <v>953</v>
      </c>
    </row>
    <row r="2" spans="1:14" ht="38.25" x14ac:dyDescent="0.2">
      <c r="A2" s="1157" t="s">
        <v>931</v>
      </c>
      <c r="B2" s="1157" t="s">
        <v>932</v>
      </c>
      <c r="C2" s="1157" t="s">
        <v>933</v>
      </c>
      <c r="D2" s="1157" t="s">
        <v>934</v>
      </c>
      <c r="E2" s="1159" t="s">
        <v>935</v>
      </c>
      <c r="F2" s="1160" t="s">
        <v>936</v>
      </c>
      <c r="G2" s="1161" t="s">
        <v>937</v>
      </c>
      <c r="H2" s="1162" t="s">
        <v>940</v>
      </c>
      <c r="I2" s="1163" t="s">
        <v>941</v>
      </c>
      <c r="N2" s="1181" t="s">
        <v>954</v>
      </c>
    </row>
    <row r="3" spans="1:14" s="1169" customFormat="1" x14ac:dyDescent="0.2">
      <c r="A3" s="1164" t="s">
        <v>938</v>
      </c>
      <c r="B3" s="1165">
        <v>121400</v>
      </c>
      <c r="C3" s="1165">
        <v>121400</v>
      </c>
      <c r="D3" s="1165"/>
      <c r="E3" s="1180" t="str">
        <f t="shared" ref="E3:E5" si="0">MID($B$9,1,6)</f>
        <v>1,1319</v>
      </c>
      <c r="F3" s="1166"/>
      <c r="G3" s="1165"/>
      <c r="H3" s="1167">
        <f t="shared" ref="H3:H5" si="1">(C3/100+G3*E3)/1000*(1+F3)</f>
        <v>1.214</v>
      </c>
      <c r="I3" s="1168">
        <f t="shared" ref="I3:I5" si="2">H3/E3</f>
        <v>1.0725329092676033</v>
      </c>
      <c r="N3" s="1182"/>
    </row>
    <row r="4" spans="1:14" s="1176" customFormat="1" x14ac:dyDescent="0.2">
      <c r="A4" s="1170" t="s">
        <v>939</v>
      </c>
      <c r="B4" s="1171">
        <v>121000</v>
      </c>
      <c r="C4" s="1171">
        <v>121000</v>
      </c>
      <c r="D4" s="1171"/>
      <c r="E4" s="1179" t="str">
        <f t="shared" si="0"/>
        <v>1,1319</v>
      </c>
      <c r="F4" s="1172">
        <v>0.1</v>
      </c>
      <c r="G4" s="1173">
        <v>180</v>
      </c>
      <c r="H4" s="1174">
        <f t="shared" si="1"/>
        <v>1.5551162000000003</v>
      </c>
      <c r="I4" s="1175">
        <f t="shared" si="2"/>
        <v>1.3738989310009722</v>
      </c>
      <c r="K4" s="1176" t="s">
        <v>963</v>
      </c>
      <c r="N4" s="1183"/>
    </row>
    <row r="5" spans="1:14" s="1169" customFormat="1" x14ac:dyDescent="0.2">
      <c r="A5" s="1164" t="s">
        <v>959</v>
      </c>
      <c r="B5" s="1165">
        <v>120600</v>
      </c>
      <c r="C5" s="1165">
        <v>120600</v>
      </c>
      <c r="D5" s="1165"/>
      <c r="E5" s="1180" t="str">
        <f t="shared" si="0"/>
        <v>1,1319</v>
      </c>
      <c r="F5" s="1166"/>
      <c r="G5" s="1165"/>
      <c r="H5" s="1167">
        <f t="shared" si="1"/>
        <v>1.206</v>
      </c>
      <c r="I5" s="1168">
        <f t="shared" si="2"/>
        <v>1.0654651470978003</v>
      </c>
      <c r="N5" s="1182"/>
    </row>
    <row r="6" spans="1:14" x14ac:dyDescent="0.2">
      <c r="A6" s="1157"/>
      <c r="B6" s="1157"/>
      <c r="C6" s="1157"/>
      <c r="D6" s="1157"/>
      <c r="E6" s="1157"/>
      <c r="F6" s="1157"/>
      <c r="G6" s="1157"/>
      <c r="H6" s="1157"/>
      <c r="I6" s="1157"/>
      <c r="N6" s="1181"/>
    </row>
    <row r="7" spans="1:14" x14ac:dyDescent="0.2">
      <c r="N7" s="1181"/>
    </row>
    <row r="8" spans="1:14" ht="14.25" x14ac:dyDescent="0.2">
      <c r="A8" s="526" t="s">
        <v>942</v>
      </c>
      <c r="B8" t="s">
        <v>943</v>
      </c>
      <c r="C8" t="s">
        <v>944</v>
      </c>
      <c r="D8" t="s">
        <v>72</v>
      </c>
      <c r="E8" t="s">
        <v>945</v>
      </c>
      <c r="F8" t="s">
        <v>946</v>
      </c>
      <c r="G8" t="s">
        <v>947</v>
      </c>
      <c r="H8" t="s">
        <v>948</v>
      </c>
      <c r="N8" s="1181" t="s">
        <v>955</v>
      </c>
    </row>
    <row r="9" spans="1:14" ht="14.25" x14ac:dyDescent="0.2">
      <c r="A9" s="1177" t="s">
        <v>949</v>
      </c>
      <c r="B9" s="1177" t="s">
        <v>965</v>
      </c>
      <c r="C9" s="1177" t="s">
        <v>966</v>
      </c>
      <c r="D9">
        <v>120620</v>
      </c>
      <c r="E9" s="1178">
        <v>0.47638888888888886</v>
      </c>
      <c r="F9" s="1177" t="s">
        <v>967</v>
      </c>
      <c r="G9" s="1177" t="s">
        <v>968</v>
      </c>
      <c r="H9" s="1177" t="s">
        <v>969</v>
      </c>
    </row>
    <row r="10" spans="1:14" ht="14.25" x14ac:dyDescent="0.2">
      <c r="A10" s="1177" t="s">
        <v>949</v>
      </c>
      <c r="B10" s="1177" t="s">
        <v>970</v>
      </c>
      <c r="C10" s="1177" t="s">
        <v>950</v>
      </c>
      <c r="D10">
        <v>100620</v>
      </c>
      <c r="E10" s="1178">
        <v>0.5854166666666667</v>
      </c>
      <c r="F10" s="1177" t="s">
        <v>951</v>
      </c>
      <c r="G10" s="1177" t="s">
        <v>970</v>
      </c>
      <c r="H10" s="1177" t="s">
        <v>970</v>
      </c>
    </row>
    <row r="11" spans="1:14" ht="14.25" x14ac:dyDescent="0.2">
      <c r="A11" s="1177" t="s">
        <v>949</v>
      </c>
      <c r="B11" s="1177" t="s">
        <v>968</v>
      </c>
      <c r="C11" s="1177" t="s">
        <v>971</v>
      </c>
      <c r="D11">
        <v>110620</v>
      </c>
      <c r="E11" s="1178">
        <v>0.55277777777777781</v>
      </c>
      <c r="F11" s="1177" t="s">
        <v>951</v>
      </c>
      <c r="G11" s="1177" t="s">
        <v>968</v>
      </c>
      <c r="H11" s="1177" t="s">
        <v>968</v>
      </c>
    </row>
    <row r="12" spans="1:14" ht="14.25" x14ac:dyDescent="0.2">
      <c r="A12" s="1177" t="s">
        <v>949</v>
      </c>
      <c r="B12" s="1177" t="s">
        <v>965</v>
      </c>
      <c r="C12" s="1177" t="s">
        <v>972</v>
      </c>
      <c r="D12">
        <v>120620</v>
      </c>
      <c r="E12" s="1178">
        <v>0.47569444444444442</v>
      </c>
      <c r="F12" s="1177" t="s">
        <v>951</v>
      </c>
      <c r="G12" s="1177" t="s">
        <v>968</v>
      </c>
      <c r="H12" s="1177" t="s">
        <v>973</v>
      </c>
    </row>
    <row r="13" spans="1:14" ht="14.25" x14ac:dyDescent="0.2">
      <c r="A13" s="1177" t="s">
        <v>952</v>
      </c>
      <c r="B13" s="1177" t="s">
        <v>974</v>
      </c>
      <c r="C13" s="1177" t="s">
        <v>975</v>
      </c>
      <c r="D13">
        <v>120620</v>
      </c>
      <c r="E13" s="1178">
        <v>0.46597222222222223</v>
      </c>
      <c r="F13" s="1177" t="s">
        <v>976</v>
      </c>
      <c r="G13" s="1177" t="s">
        <v>977</v>
      </c>
      <c r="H13" s="1177" t="s">
        <v>978</v>
      </c>
    </row>
    <row r="16" spans="1:14" x14ac:dyDescent="0.2">
      <c r="E16" s="1157" t="str">
        <f>CONCATENATE(MID($D$9,1,2),".",MID($D$9,3,2),".",MID($D$9,5,4))</f>
        <v>12.06.20</v>
      </c>
    </row>
    <row r="17" spans="1:14" ht="38.25" x14ac:dyDescent="0.2">
      <c r="A17" s="1157" t="s">
        <v>931</v>
      </c>
      <c r="B17" s="1157" t="s">
        <v>932</v>
      </c>
      <c r="C17" s="1157" t="s">
        <v>933</v>
      </c>
      <c r="D17" s="1157" t="s">
        <v>934</v>
      </c>
      <c r="E17" s="1159" t="s">
        <v>935</v>
      </c>
      <c r="F17" s="1160" t="s">
        <v>936</v>
      </c>
      <c r="G17" s="1161" t="s">
        <v>937</v>
      </c>
      <c r="H17" s="1162" t="s">
        <v>940</v>
      </c>
      <c r="I17" s="1163" t="s">
        <v>941</v>
      </c>
    </row>
    <row r="18" spans="1:14" x14ac:dyDescent="0.2">
      <c r="A18" s="1164" t="s">
        <v>938</v>
      </c>
      <c r="B18" s="1165">
        <v>158200</v>
      </c>
      <c r="C18" s="1165">
        <v>158200</v>
      </c>
      <c r="D18" s="1165"/>
      <c r="E18" s="1180" t="str">
        <f t="shared" ref="E18:E21" si="3">MID($B$9,1,6)</f>
        <v>1,1319</v>
      </c>
      <c r="F18" s="1166"/>
      <c r="G18" s="1165"/>
      <c r="H18" s="1167">
        <f t="shared" ref="H18:H21" si="4">(C18/100+G18*E18)/1000*(1+F18)</f>
        <v>1.5820000000000001</v>
      </c>
      <c r="I18" s="1168">
        <f t="shared" ref="I18:I21" si="5">H18/E18</f>
        <v>1.3976499690785407</v>
      </c>
      <c r="N18" s="1181" t="s">
        <v>961</v>
      </c>
    </row>
    <row r="19" spans="1:14" x14ac:dyDescent="0.2">
      <c r="A19" s="1170" t="s">
        <v>939</v>
      </c>
      <c r="B19" s="1170">
        <v>160550</v>
      </c>
      <c r="C19" s="1170">
        <v>160550</v>
      </c>
      <c r="D19" s="1170"/>
      <c r="E19" s="1170" t="str">
        <f t="shared" si="3"/>
        <v>1,1319</v>
      </c>
      <c r="F19" s="1172">
        <v>0.1</v>
      </c>
      <c r="G19" s="1173">
        <v>400</v>
      </c>
      <c r="H19" s="1174">
        <f t="shared" si="4"/>
        <v>2.2640860000000003</v>
      </c>
      <c r="I19" s="1175">
        <f t="shared" si="5"/>
        <v>2.0002526724975707</v>
      </c>
      <c r="K19" s="1176" t="s">
        <v>962</v>
      </c>
    </row>
    <row r="20" spans="1:14" x14ac:dyDescent="0.2">
      <c r="A20" s="1164" t="s">
        <v>959</v>
      </c>
      <c r="B20" s="1165">
        <v>170500</v>
      </c>
      <c r="C20" s="1165">
        <v>170500</v>
      </c>
      <c r="D20" s="1165"/>
      <c r="E20" s="1180" t="str">
        <f t="shared" si="3"/>
        <v>1,1319</v>
      </c>
      <c r="F20" s="1166"/>
      <c r="G20" s="1165"/>
      <c r="H20" s="1167">
        <f t="shared" si="4"/>
        <v>1.7050000000000001</v>
      </c>
      <c r="I20" s="1168">
        <f t="shared" si="5"/>
        <v>1.5063168124392616</v>
      </c>
    </row>
    <row r="21" spans="1:14" x14ac:dyDescent="0.2">
      <c r="A21" s="1164" t="s">
        <v>960</v>
      </c>
      <c r="B21" s="1165">
        <v>178150</v>
      </c>
      <c r="C21" s="1165">
        <v>178150</v>
      </c>
      <c r="D21" s="1165"/>
      <c r="E21" s="1180" t="str">
        <f t="shared" si="3"/>
        <v>1,1319</v>
      </c>
      <c r="F21" s="1166"/>
      <c r="G21" s="1165"/>
      <c r="H21" s="1167">
        <f t="shared" si="4"/>
        <v>1.7815000000000001</v>
      </c>
      <c r="I21" s="1168">
        <f t="shared" si="5"/>
        <v>1.5739022881880027</v>
      </c>
    </row>
  </sheetData>
  <hyperlinks>
    <hyperlink ref="N18" r:id="rId1" location="tabIndex=0" display="https://www.lme.com/Metals/Non-ferrous/Aluminium - tabIndex=0" xr:uid="{8F993CA3-AD6D-4CCE-BDC5-60C00FC62717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2021-08-04T09:51:43Z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
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09AF71A7-1143-4A92-A1B2-94B46DD8703F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Charts!$C$67:$I$67</definedName>
    <definedName name="_xlchart.v1.4" hidden="1">Charts!$C$68:$I$68</definedName>
    <definedName name="_xlchart.v1.5" hidden="1">Charts!$C$69:$H$69</definedName>
    <definedName name="_xlchart.v1.6" hidden="1">Charts!$C$62:$I$62</definedName>
    <definedName name="_xlchart.v1.7" hidden="1">Charts!$C$63:$I$63</definedName>
    <definedName name="_xlchart.v1.8" hidden="1">Charts!$C$64:$I$64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Refkalkulation!$A$1:$X$141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Refkalkulation!$A$1:$X$141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E16" i="32" l="1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41" i="7"/>
  <c r="L49" i="31" s="1"/>
  <c r="P58" i="3"/>
  <c r="K141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M13" i="3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H14" i="7" s="1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41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9" i="7"/>
  <c r="K109" i="7"/>
  <c r="H109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D96" i="7" l="1"/>
  <c r="D97" i="7"/>
  <c r="D86" i="7"/>
  <c r="D82" i="7"/>
  <c r="D79" i="7"/>
  <c r="D85" i="7"/>
  <c r="D108" i="7"/>
  <c r="D107" i="7"/>
  <c r="D101" i="7"/>
  <c r="D105" i="7"/>
  <c r="D99" i="7"/>
  <c r="D104" i="7"/>
  <c r="D100" i="7"/>
  <c r="D103" i="7"/>
  <c r="I28" i="3"/>
  <c r="C23" i="24" s="1"/>
  <c r="S45" i="3"/>
  <c r="N7" i="7" s="1"/>
  <c r="P45" i="3"/>
  <c r="K7" i="7" s="1"/>
  <c r="D90" i="7"/>
  <c r="D80" i="7"/>
  <c r="D81" i="7"/>
  <c r="D83" i="7"/>
  <c r="D106" i="7"/>
  <c r="D102" i="7"/>
  <c r="D84" i="7"/>
  <c r="D109" i="7"/>
  <c r="D110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40" i="7"/>
  <c r="D141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1" i="7" s="1"/>
  <c r="I242" i="15"/>
  <c r="D78" i="7"/>
  <c r="D87" i="7"/>
  <c r="D77" i="7"/>
  <c r="D76" i="7"/>
  <c r="D114" i="7"/>
  <c r="D93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23" i="7"/>
  <c r="D119" i="7"/>
  <c r="C38" i="31" s="1"/>
  <c r="D124" i="7"/>
  <c r="D18" i="7"/>
  <c r="D89" i="7"/>
  <c r="D46" i="7"/>
  <c r="D91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4" i="7"/>
  <c r="C42" i="31" s="1"/>
  <c r="D113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9" i="7"/>
  <c r="D136" i="7"/>
  <c r="D126" i="7"/>
  <c r="D121" i="7"/>
  <c r="D63" i="7"/>
  <c r="D55" i="7"/>
  <c r="D52" i="7"/>
  <c r="D35" i="7"/>
  <c r="D28" i="7"/>
  <c r="D5" i="7"/>
  <c r="D147" i="7"/>
  <c r="D139" i="7"/>
  <c r="D133" i="7"/>
  <c r="D112" i="7"/>
  <c r="D88" i="7"/>
  <c r="D64" i="7"/>
  <c r="D51" i="7"/>
  <c r="D38" i="7"/>
  <c r="D34" i="7"/>
  <c r="D26" i="7"/>
  <c r="C35" i="30" s="1"/>
  <c r="D145" i="7"/>
  <c r="D138" i="7"/>
  <c r="D131" i="7"/>
  <c r="D125" i="7"/>
  <c r="D118" i="7"/>
  <c r="C43" i="31" s="1"/>
  <c r="D116" i="7"/>
  <c r="D66" i="7"/>
  <c r="D62" i="7"/>
  <c r="D59" i="7"/>
  <c r="D54" i="7"/>
  <c r="D49" i="7"/>
  <c r="D41" i="7"/>
  <c r="D37" i="7"/>
  <c r="D17" i="7"/>
  <c r="D143" i="7"/>
  <c r="D137" i="7"/>
  <c r="D129" i="7"/>
  <c r="D98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7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1" i="7"/>
  <c r="L239" i="15"/>
  <c r="N81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5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5" i="7" s="1"/>
  <c r="F246" i="15"/>
  <c r="F243" i="15" s="1"/>
  <c r="H84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92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5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11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35" i="7"/>
  <c r="C47" i="31" s="1"/>
  <c r="G3" i="14"/>
  <c r="B62" i="14"/>
  <c r="B41" i="14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5" i="7"/>
  <c r="D14" i="7"/>
  <c r="D24" i="7"/>
  <c r="C55" i="24"/>
  <c r="D13" i="7"/>
  <c r="C7" i="24"/>
  <c r="C58" i="24"/>
  <c r="D50" i="7"/>
  <c r="D58" i="7"/>
  <c r="C60" i="24"/>
  <c r="D128" i="7"/>
  <c r="C77" i="24"/>
  <c r="C5" i="24"/>
  <c r="C61" i="24"/>
  <c r="D61" i="7"/>
  <c r="C14" i="31" s="1"/>
  <c r="C76" i="24"/>
  <c r="D127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32" i="3" l="1"/>
  <c r="N90" i="7"/>
  <c r="H90" i="7"/>
  <c r="K90" i="7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5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K101" i="7" l="1"/>
  <c r="K105" i="7"/>
  <c r="K97" i="7"/>
  <c r="N101" i="7"/>
  <c r="N100" i="7" s="1"/>
  <c r="N97" i="7"/>
  <c r="N105" i="7"/>
  <c r="N104" i="7" s="1"/>
  <c r="H108" i="7"/>
  <c r="H86" i="7"/>
  <c r="H105" i="7"/>
  <c r="H104" i="7" s="1"/>
  <c r="H101" i="7"/>
  <c r="H97" i="7"/>
  <c r="H96" i="7" s="1"/>
  <c r="P71" i="3"/>
  <c r="O71" i="3" s="1"/>
  <c r="H91" i="7"/>
  <c r="M71" i="3"/>
  <c r="L71" i="3" s="1"/>
  <c r="H85" i="7"/>
  <c r="R74" i="3"/>
  <c r="R75" i="3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40" i="7" s="1"/>
  <c r="F194" i="15"/>
  <c r="F151" i="15"/>
  <c r="F185" i="15" s="1"/>
  <c r="F125" i="15"/>
  <c r="F122" i="15" s="1"/>
  <c r="H88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8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M75" i="3" l="1"/>
  <c r="L75" i="3" s="1"/>
  <c r="H83" i="7"/>
  <c r="H82" i="7" s="1"/>
  <c r="H80" i="7"/>
  <c r="H79" i="7" s="1"/>
  <c r="R76" i="3"/>
  <c r="N107" i="7"/>
  <c r="M76" i="3"/>
  <c r="L76" i="3" s="1"/>
  <c r="H107" i="7"/>
  <c r="P76" i="3"/>
  <c r="O76" i="3" s="1"/>
  <c r="K107" i="7"/>
  <c r="P75" i="3"/>
  <c r="O75" i="3" s="1"/>
  <c r="K104" i="7"/>
  <c r="M74" i="3"/>
  <c r="L74" i="3" s="1"/>
  <c r="H100" i="7"/>
  <c r="P74" i="3"/>
  <c r="O74" i="3" s="1"/>
  <c r="K100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6" i="7" s="1"/>
  <c r="I271" i="15"/>
  <c r="I269" i="15" s="1"/>
  <c r="K140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8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40" i="7" s="1"/>
  <c r="L154" i="15"/>
  <c r="L17" i="15"/>
  <c r="L15" i="15" s="1"/>
  <c r="L125" i="15"/>
  <c r="L122" i="15" s="1"/>
  <c r="N88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5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K83" i="7" l="1"/>
  <c r="K82" i="7" s="1"/>
  <c r="K80" i="7"/>
  <c r="K79" i="7" s="1"/>
  <c r="N83" i="7"/>
  <c r="N82" i="7" s="1"/>
  <c r="N80" i="7"/>
  <c r="N79" i="7" s="1"/>
  <c r="H87" i="7"/>
  <c r="E36" i="30"/>
  <c r="E34" i="31"/>
  <c r="I36" i="30"/>
  <c r="I34" i="31"/>
  <c r="F261" i="15"/>
  <c r="F256" i="15" s="1"/>
  <c r="L175" i="15"/>
  <c r="L253" i="15" s="1"/>
  <c r="N94" i="7" s="1"/>
  <c r="K16" i="30" s="1"/>
  <c r="I175" i="15"/>
  <c r="I253" i="15" s="1"/>
  <c r="K94" i="7" s="1"/>
  <c r="G16" i="30" s="1"/>
  <c r="F253" i="15"/>
  <c r="H94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6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8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8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7" i="7"/>
  <c r="F257" i="15"/>
  <c r="K87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12" i="7"/>
  <c r="H113" i="7" s="1"/>
  <c r="E42" i="31" s="1"/>
  <c r="F189" i="15"/>
  <c r="F276" i="15"/>
  <c r="K116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9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M42" i="31"/>
  <c r="I42" i="3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33" i="7" s="1"/>
  <c r="L77" i="15"/>
  <c r="I43" i="15"/>
  <c r="I40" i="15" s="1"/>
  <c r="I111" i="15" s="1"/>
  <c r="K17" i="7"/>
  <c r="I59" i="15"/>
  <c r="I70" i="15"/>
  <c r="H51" i="7"/>
  <c r="H133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9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8" i="7" s="1"/>
  <c r="N59" i="7"/>
  <c r="N60" i="7" s="1"/>
  <c r="I109" i="15"/>
  <c r="K62" i="7" s="1"/>
  <c r="K65" i="7" s="1"/>
  <c r="K66" i="7" s="1"/>
  <c r="I78" i="15"/>
  <c r="I264" i="15"/>
  <c r="K139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33" i="7" s="1"/>
  <c r="I160" i="15"/>
  <c r="I158" i="15" s="1"/>
  <c r="I156" i="15" s="1"/>
  <c r="U278" i="15"/>
  <c r="O278" i="15"/>
  <c r="N276" i="15"/>
  <c r="T276" i="15"/>
  <c r="H19" i="7" l="1"/>
  <c r="H20" i="7" s="1"/>
  <c r="H89" i="7"/>
  <c r="H93" i="7" s="1"/>
  <c r="H138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8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5" i="7"/>
  <c r="N146" i="7"/>
  <c r="N148" i="7"/>
  <c r="N147" i="7"/>
  <c r="R279" i="15"/>
  <c r="N150" i="7"/>
  <c r="N149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7" i="7"/>
  <c r="K146" i="7"/>
  <c r="K150" i="7"/>
  <c r="K145" i="7"/>
  <c r="K149" i="7"/>
  <c r="K148" i="7"/>
  <c r="E285" i="15"/>
  <c r="E286" i="15" s="1"/>
  <c r="E287" i="15" s="1"/>
  <c r="E288" i="15" s="1"/>
  <c r="E289" i="15" s="1"/>
  <c r="E290" i="15" s="1"/>
  <c r="E291" i="15" s="1"/>
  <c r="E292" i="15" s="1"/>
  <c r="E293" i="15" s="1"/>
  <c r="H148" i="7" s="1"/>
  <c r="I41" i="30" l="1"/>
  <c r="I39" i="31"/>
  <c r="E39" i="30"/>
  <c r="E37" i="31"/>
  <c r="D33" i="31" s="1"/>
  <c r="I39" i="30"/>
  <c r="I37" i="31"/>
  <c r="H33" i="31" s="1"/>
  <c r="H115" i="7"/>
  <c r="H118" i="7" s="1"/>
  <c r="E43" i="31" s="1"/>
  <c r="D38" i="31" s="1"/>
  <c r="D57" i="31" s="1"/>
  <c r="E41" i="30"/>
  <c r="N115" i="7"/>
  <c r="N118" i="7" s="1"/>
  <c r="M43" i="31" s="1"/>
  <c r="L38" i="31" s="1"/>
  <c r="M41" i="30"/>
  <c r="H26" i="7"/>
  <c r="D35" i="30" s="1"/>
  <c r="K26" i="7"/>
  <c r="H35" i="30" s="1"/>
  <c r="K115" i="7"/>
  <c r="H146" i="7"/>
  <c r="H145" i="7"/>
  <c r="H147" i="7"/>
  <c r="H150" i="7"/>
  <c r="H149" i="7"/>
  <c r="C57" i="31" l="1"/>
  <c r="D58" i="31" s="1"/>
  <c r="E58" i="31" s="1"/>
  <c r="C63" i="31"/>
  <c r="D64" i="31" s="1"/>
  <c r="K129" i="7"/>
  <c r="H129" i="7"/>
  <c r="N119" i="7"/>
  <c r="D68" i="31" s="1"/>
  <c r="H119" i="7"/>
  <c r="K118" i="7"/>
  <c r="I43" i="31" s="1"/>
  <c r="H38" i="31" s="1"/>
  <c r="D47" i="30" l="1"/>
  <c r="D45" i="31"/>
  <c r="H47" i="30"/>
  <c r="H45" i="31"/>
  <c r="N125" i="7"/>
  <c r="L40" i="30"/>
  <c r="M45" i="30"/>
  <c r="E45" i="30"/>
  <c r="D40" i="30"/>
  <c r="K119" i="7"/>
  <c r="H122" i="7"/>
  <c r="H124" i="7" s="1"/>
  <c r="H125" i="7"/>
  <c r="W4" i="7"/>
  <c r="F63" i="31" l="1"/>
  <c r="F57" i="31"/>
  <c r="D63" i="31"/>
  <c r="E64" i="31" s="1"/>
  <c r="K122" i="7"/>
  <c r="K124" i="7" s="1"/>
  <c r="I45" i="30"/>
  <c r="H40" i="30"/>
  <c r="H126" i="7"/>
  <c r="D44" i="31" s="1"/>
  <c r="K125" i="7"/>
  <c r="E57" i="31" l="1"/>
  <c r="F58" i="31" s="1"/>
  <c r="D46" i="31"/>
  <c r="E47" i="31" s="1"/>
  <c r="K126" i="7"/>
  <c r="H131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31" i="7"/>
  <c r="K2" i="7" s="1"/>
  <c r="K3" i="7" s="1"/>
  <c r="K4" i="7" s="1"/>
  <c r="H136" i="7"/>
  <c r="H137" i="7" s="1"/>
  <c r="E46" i="30"/>
  <c r="E47" i="30"/>
  <c r="I46" i="30" l="1"/>
  <c r="E63" i="31"/>
  <c r="F64" i="31" s="1"/>
  <c r="H46" i="31"/>
  <c r="I47" i="31" s="1"/>
  <c r="K136" i="7"/>
  <c r="K137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22" i="7"/>
  <c r="N129" i="7"/>
  <c r="L35" i="30"/>
  <c r="L47" i="30" l="1"/>
  <c r="L45" i="31"/>
  <c r="N124" i="7"/>
  <c r="N126" i="7" s="1"/>
  <c r="L44" i="31" l="1"/>
  <c r="L46" i="31" s="1"/>
  <c r="L46" i="30"/>
  <c r="N131" i="7"/>
  <c r="F68" i="31"/>
  <c r="L48" i="30" l="1"/>
  <c r="M47" i="30" s="1"/>
  <c r="M47" i="31"/>
  <c r="G68" i="31"/>
  <c r="H68" i="31" s="1"/>
  <c r="M45" i="31"/>
  <c r="N2" i="7"/>
  <c r="N3" i="7" s="1"/>
  <c r="N4" i="7" s="1"/>
  <c r="N136" i="7"/>
  <c r="N137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<sst xmlns="http://schemas.openxmlformats.org/spreadsheetml/2006/main" count="3287" uniqueCount="1001">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</sst>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9"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/>
      <sheetData sheetId="1"/>
      <sheetData sheetId="2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26" dataDxfId="25">
  <autoFilter ref="A2:I5" xr:uid="{00000000-0009-0000-0100-000001000000}"/>
  <tableColumns count="9">
    <tableColumn id="1" xr3:uid="{00000000-0010-0000-0000-000001000000}" uniqueName="1" name="Contract" queryTableFieldId="1" dataDxfId="24"/>
    <tableColumn id="2" xr3:uid="{00000000-0010-0000-0000-000002000000}" uniqueName="2" name="Bid (US$ / Tonne)" queryTableFieldId="2" dataDxfId="23"/>
    <tableColumn id="3" xr3:uid="{00000000-0010-0000-0000-000003000000}" uniqueName="3" name="Offer (US$ / Tonne)*" queryTableFieldId="3" dataDxfId="22"/>
    <tableColumn id="11" xr3:uid="{00000000-0010-0000-0000-00000B000000}" uniqueName="11" name="Spalte2" queryTableFieldId="11" dataDxfId="21"/>
    <tableColumn id="6" xr3:uid="{00000000-0010-0000-0000-000006000000}" uniqueName="6" name="Exchange [$/€]" queryTableFieldId="6" dataDxfId="20">
      <calculatedColumnFormula>MID($B$9,1,6)</calculatedColumnFormula>
    </tableColumn>
    <tableColumn id="13" xr3:uid="{00000000-0010-0000-0000-00000D000000}" uniqueName="13" name="Abbrand" queryTableFieldId="4" dataDxfId="19"/>
    <tableColumn id="12" xr3:uid="{00000000-0010-0000-0000-00000C000000}" uniqueName="12" name="Premium_x000a_[€/t]" queryTableFieldId="5" dataDxfId="18"/>
    <tableColumn id="8" xr3:uid="{00000000-0010-0000-0000-000008000000}" uniqueName="8" name="Alu-Alloy_x000a_3-months [$/kg]" queryTableFieldId="8" dataDxfId="17">
      <calculatedColumnFormula>(C3/100+G3*E3)/1000*(1+F3)</calculatedColumnFormula>
    </tableColumn>
    <tableColumn id="9" xr3:uid="{00000000-0010-0000-0000-000009000000}" uniqueName="9" name="Alu-Alloy_x000a_3-months [€/kg]" queryTableFieldId="9" dataDxfId="16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5"/>
    <tableColumn id="2" xr3:uid="{00000000-0010-0000-0100-000002000000}" uniqueName="2" name="Kurs" queryTableFieldId="2" dataDxfId="14"/>
    <tableColumn id="3" xr3:uid="{00000000-0010-0000-0100-000003000000}" uniqueName="3" name="Diff. %" queryTableFieldId="3" dataDxfId="13"/>
    <tableColumn id="4" xr3:uid="{00000000-0010-0000-0100-000004000000}" uniqueName="4" name="Datum" queryTableFieldId="4"/>
    <tableColumn id="5" xr3:uid="{00000000-0010-0000-0100-000005000000}" uniqueName="5" name="Zeit" queryTableFieldId="5" dataDxfId="12"/>
    <tableColumn id="6" xr3:uid="{00000000-0010-0000-0100-000006000000}" uniqueName="6" name="Eröffnung" queryTableFieldId="6" dataDxfId="11"/>
    <tableColumn id="7" xr3:uid="{00000000-0010-0000-0100-000007000000}" uniqueName="7" name="T.-Hoch" queryTableFieldId="7" dataDxfId="10"/>
    <tableColumn id="8" xr3:uid="{00000000-0010-0000-0100-000008000000}" uniqueName="8" name="T.-Tief" queryTableFieldId="8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8" dataCellStyle="Standard 4"/>
    <tableColumn id="2" xr3:uid="{00000000-0010-0000-0200-000002000000}" uniqueName="2" name="Bid (US$ / Tonne)" queryTableFieldId="2" dataDxfId="7" dataCellStyle="Standard 4"/>
    <tableColumn id="3" xr3:uid="{00000000-0010-0000-0200-000003000000}" uniqueName="3" name="Offer (US$ / Tonne)*" queryTableFieldId="3" dataDxfId="6" dataCellStyle="Standard 4"/>
    <tableColumn id="4" xr3:uid="{00000000-0010-0000-0200-000004000000}" uniqueName="4" name="Spalte2" queryTableFieldId="4" dataDxfId="5" dataCellStyle="Standard 4"/>
    <tableColumn id="5" xr3:uid="{00000000-0010-0000-0200-000005000000}" uniqueName="5" name="Exchange [$/€]" queryTableFieldId="5" dataDxfId="4" dataCellStyle="Standard 4">
      <calculatedColumnFormula>MID($B$9,1,6)</calculatedColumnFormula>
    </tableColumn>
    <tableColumn id="6" xr3:uid="{00000000-0010-0000-0200-000006000000}" uniqueName="6" name="Abbrand" queryTableFieldId="6" dataDxfId="3" dataCellStyle="Prozent 3"/>
    <tableColumn id="7" xr3:uid="{00000000-0010-0000-0200-000007000000}" uniqueName="7" name="Premium_x000a_[€/t]" queryTableFieldId="7" dataDxfId="2" dataCellStyle="Standard 4"/>
    <tableColumn id="8" xr3:uid="{00000000-0010-0000-0200-000008000000}" uniqueName="8" name="Alu-Alloy_x000a_3-months [$/kg]" queryTableFieldId="8" dataDxfId="1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44532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? / ESN: ?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Deutschland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44532</v>
      </c>
      <c r="E11" s="1065"/>
      <c r="F11" s="958"/>
      <c r="G11" s="1076" t="str">
        <f>C11</f>
        <v>Project-Start:</v>
      </c>
      <c r="H11" s="1060">
        <f>Refkalkulation!K8</f>
        <v>44532</v>
      </c>
      <c r="I11" s="1065"/>
      <c r="J11" s="958"/>
      <c r="K11" s="1076" t="str">
        <f>C11</f>
        <v>Project-Start:</v>
      </c>
      <c r="L11" s="1060">
        <f>Refkalkulation!N8</f>
        <v>44532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 t="str">
        <f>'Quick Input'!L36</f>
        <v>?</v>
      </c>
      <c r="E13" s="1065"/>
      <c r="F13" s="958"/>
      <c r="G13" s="1077" t="str">
        <f>CONCATENATE('Quick Input'!$I$36,": ")</f>
        <v xml:space="preserve">Stückzahl pa (peak): </v>
      </c>
      <c r="H13" s="1074" t="str">
        <f>'Quick Input'!O36</f>
        <v>?</v>
      </c>
      <c r="I13" s="1065"/>
      <c r="J13" s="958"/>
      <c r="K13" s="1077" t="str">
        <f>CONCATENATE('Quick Input'!$I$36,": ")</f>
        <v xml:space="preserve">Stückzahl pa (peak): </v>
      </c>
      <c r="L13" s="1074" t="str">
        <f>'Quick Input'!R36</f>
        <v>?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0</v>
      </c>
      <c r="E14" s="1065"/>
      <c r="F14" s="958"/>
      <c r="G14" s="1077" t="str">
        <f>$C$14</f>
        <v>Fertigungslosgröße</v>
      </c>
      <c r="H14" s="1074">
        <f>Refkalkulation!K61</f>
        <v>0</v>
      </c>
      <c r="I14" s="1065"/>
      <c r="J14" s="958"/>
      <c r="K14" s="1077" t="str">
        <f>$C$14</f>
        <v>Fertigungslosgröße</v>
      </c>
      <c r="L14" s="1074">
        <f>Refkalkulation!N61</f>
        <v>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automatisch / Sandkern: ohne</v>
      </c>
      <c r="D15" s="1079"/>
      <c r="E15" s="1065"/>
      <c r="F15" s="958"/>
      <c r="G15" s="1078" t="str">
        <f>CONCATENATE('Quick Input'!I22,": ",'Quick Input'!O22," / Sandkern: ",'Quick Input'!O23)</f>
        <v>Formverfahren: automatisch / Sandkern: ohne</v>
      </c>
      <c r="H15" s="1080"/>
      <c r="I15" s="1081"/>
      <c r="J15" s="958"/>
      <c r="K15" s="1078" t="str">
        <f>CONCATENATE('Quick Input'!I22,": ",'Quick Input'!R22," / Sandkern: ",'Quick Input'!R23)</f>
        <v>Formverfahren: automatisch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AC-43100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Si10Mg(b)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2.29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2.29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2.29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 t="e">
        <f>SUM(E34:E37)</f>
        <v>#VALUE!</v>
      </c>
      <c r="E33" s="1095"/>
      <c r="F33" s="958"/>
      <c r="G33" s="1093" t="str">
        <f t="shared" si="0"/>
        <v>Materialien</v>
      </c>
      <c r="H33" s="1094" t="e">
        <f>SUM(I34:I37)</f>
        <v>#VALUE!</v>
      </c>
      <c r="I33" s="1095"/>
      <c r="J33" s="958"/>
      <c r="K33" s="1093" t="str">
        <f t="shared" si="1"/>
        <v>Materialien</v>
      </c>
      <c r="L33" s="1094" t="e">
        <f>SUM(M34:M37)</f>
        <v>#VALUE!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 t="e">
        <f>Refkalkulation!H15</f>
        <v>#VALUE!</v>
      </c>
      <c r="F34" s="992"/>
      <c r="G34" s="1096" t="str">
        <f t="shared" si="0"/>
        <v xml:space="preserve">               Materialkosten Rohteil</v>
      </c>
      <c r="H34" s="1097"/>
      <c r="I34" s="1098" t="e">
        <f>Refkalkulation!K15</f>
        <v>#VALUE!</v>
      </c>
      <c r="J34" s="992"/>
      <c r="K34" s="1096" t="str">
        <f t="shared" si="1"/>
        <v xml:space="preserve">               Materialkosten Rohteil</v>
      </c>
      <c r="L34" s="1097"/>
      <c r="M34" s="1098" t="e">
        <f>Refkalkulation!N15</f>
        <v>#VALUE!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 t="e">
        <f>Refkalkulation!H17</f>
        <v>#VALUE!</v>
      </c>
      <c r="F35" s="992"/>
      <c r="G35" s="1096" t="str">
        <f t="shared" si="0"/>
        <v xml:space="preserve">               Kosten Schmelzverlust</v>
      </c>
      <c r="H35" s="1097"/>
      <c r="I35" s="1098" t="e">
        <f>Refkalkulation!K17</f>
        <v>#VALUE!</v>
      </c>
      <c r="J35" s="992"/>
      <c r="K35" s="1096" t="str">
        <f t="shared" si="1"/>
        <v xml:space="preserve">               Kosten Schmelzverlust</v>
      </c>
      <c r="L35" s="1097"/>
      <c r="M35" s="1098" t="e">
        <f>Refkalkulation!N17</f>
        <v>#VALUE!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 t="e">
        <f>Refkalkulation!H23</f>
        <v>#VALUE!</v>
      </c>
      <c r="F36" s="992"/>
      <c r="G36" s="1096" t="str">
        <f t="shared" si="0"/>
        <v xml:space="preserve">               Kosten Hilfsstoffe (€/Stk.)</v>
      </c>
      <c r="H36" s="1097"/>
      <c r="I36" s="1098" t="e">
        <f>Refkalkulation!K23</f>
        <v>#VALUE!</v>
      </c>
      <c r="J36" s="992"/>
      <c r="K36" s="1096" t="str">
        <f t="shared" si="1"/>
        <v xml:space="preserve">               Kosten Hilfsstoffe (€/Stk.)</v>
      </c>
      <c r="L36" s="1097"/>
      <c r="M36" s="1098" t="e">
        <f>Refkalkulation!N23</f>
        <v>#VALUE!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 t="e">
        <f>Refkalkulation!H25</f>
        <v>#VALUE!</v>
      </c>
      <c r="F37" s="992"/>
      <c r="G37" s="1099" t="str">
        <f t="shared" si="0"/>
        <v xml:space="preserve">               Materialgemeinkosten</v>
      </c>
      <c r="H37" s="1100"/>
      <c r="I37" s="1101" t="e">
        <f>Refkalkulation!K25</f>
        <v>#VALUE!</v>
      </c>
      <c r="J37" s="992"/>
      <c r="K37" s="1099" t="str">
        <f t="shared" si="1"/>
        <v xml:space="preserve">               Materialgemeinkosten</v>
      </c>
      <c r="L37" s="1100"/>
      <c r="M37" s="1101" t="e">
        <f>Refkalkulation!N25</f>
        <v>#VALUE!</v>
      </c>
      <c r="N37" s="992"/>
      <c r="O37" s="957"/>
    </row>
    <row r="38" spans="1:16" ht="15" x14ac:dyDescent="0.25">
      <c r="A38" s="955"/>
      <c r="B38" s="958"/>
      <c r="C38" s="1093" t="str">
        <f>Refkalkulation!D119</f>
        <v>Fertigungskosten gesamt</v>
      </c>
      <c r="D38" s="1094" t="e">
        <f>SUM(E39:E43)</f>
        <v>#VALUE!</v>
      </c>
      <c r="E38" s="1102"/>
      <c r="F38" s="999"/>
      <c r="G38" s="1093" t="str">
        <f t="shared" si="0"/>
        <v>Fertigungskosten gesamt</v>
      </c>
      <c r="H38" s="1094" t="e">
        <f>SUM(I39:I43)</f>
        <v>#VALUE!</v>
      </c>
      <c r="I38" s="1102"/>
      <c r="J38" s="999"/>
      <c r="K38" s="1093" t="str">
        <f t="shared" si="1"/>
        <v>Fertigungskosten gesamt</v>
      </c>
      <c r="L38" s="1094" t="e">
        <f>SUM(M39:M43)</f>
        <v>#VALUE!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 t="e">
        <f>Refkalkulation!H47</f>
        <v>#VALUE!</v>
      </c>
      <c r="F39" s="1003"/>
      <c r="G39" s="1103" t="str">
        <f t="shared" si="0"/>
        <v xml:space="preserve">               Prozess Schmelzen</v>
      </c>
      <c r="H39" s="1104"/>
      <c r="I39" s="1105" t="e">
        <f>Refkalkulation!K47</f>
        <v>#VALUE!</v>
      </c>
      <c r="J39" s="1003"/>
      <c r="K39" s="1103" t="str">
        <f t="shared" si="1"/>
        <v xml:space="preserve">               Prozess Schmelzen</v>
      </c>
      <c r="L39" s="1104"/>
      <c r="M39" s="1105" t="e">
        <f>Refkalkulation!N47</f>
        <v>#VALUE!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 t="e">
        <f>Refkalkulation!H72</f>
        <v>#VALUE!</v>
      </c>
      <c r="F40" s="1003"/>
      <c r="G40" s="1103" t="str">
        <f t="shared" si="0"/>
        <v xml:space="preserve">               Prozess Formen</v>
      </c>
      <c r="H40" s="1106"/>
      <c r="I40" s="1105" t="e">
        <f>Refkalkulation!K72</f>
        <v>#VALUE!</v>
      </c>
      <c r="J40" s="1003"/>
      <c r="K40" s="1103" t="str">
        <f t="shared" si="1"/>
        <v xml:space="preserve">               Prozess Formen</v>
      </c>
      <c r="L40" s="1106"/>
      <c r="M40" s="1105" t="e">
        <f>Refkalkulation!N72</f>
        <v>#VALUE!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 t="e">
        <f>Refkalkulation!H93</f>
        <v>#VALUE!</v>
      </c>
      <c r="F41" s="1003"/>
      <c r="G41" s="1103" t="str">
        <f t="shared" si="0"/>
        <v xml:space="preserve">               Nachbehandlung</v>
      </c>
      <c r="H41" s="1106"/>
      <c r="I41" s="1105" t="e">
        <f>Refkalkulation!K93</f>
        <v>#VALUE!</v>
      </c>
      <c r="J41" s="1003"/>
      <c r="K41" s="1103" t="str">
        <f t="shared" si="1"/>
        <v xml:space="preserve">               Nachbehandlung</v>
      </c>
      <c r="L41" s="1106"/>
      <c r="M41" s="1105" t="e">
        <f>Refkalkulation!N93</f>
        <v>#VALUE!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",Refkalkulation!D94)</f>
        <v xml:space="preserve">               Prüfen</v>
      </c>
      <c r="D42" s="1106"/>
      <c r="E42" s="1105" t="e">
        <f>Refkalkulation!H113+Refkalkulation!H116/Refkalkulation!H61</f>
        <v>#DIV/0!</v>
      </c>
      <c r="F42" s="1003"/>
      <c r="G42" s="1103" t="str">
        <f t="shared" si="0"/>
        <v xml:space="preserve">               Prüfen</v>
      </c>
      <c r="H42" s="1106"/>
      <c r="I42" s="1105" t="e">
        <f>Refkalkulation!K113+Refkalkulation!K116/Refkalkulation!K61</f>
        <v>#DIV/0!</v>
      </c>
      <c r="J42" s="1003"/>
      <c r="K42" s="1103" t="str">
        <f t="shared" si="1"/>
        <v xml:space="preserve">               Prüfen</v>
      </c>
      <c r="L42" s="1106"/>
      <c r="M42" s="1105" t="e">
        <f>Refkalkulation!N113+Refkalkulation!N116/Refkalkulation!N61</f>
        <v>#DIV/0!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",Refkalkulation!D118)</f>
        <v xml:space="preserve">               Fertigungsgemeinkosten</v>
      </c>
      <c r="D43" s="1106"/>
      <c r="E43" s="1105" t="e">
        <f>Refkalkulation!H118</f>
        <v>#VALUE!</v>
      </c>
      <c r="F43" s="1003"/>
      <c r="G43" s="1103" t="str">
        <f t="shared" si="0"/>
        <v xml:space="preserve">               Fertigungsgemeinkosten</v>
      </c>
      <c r="H43" s="1106"/>
      <c r="I43" s="1105" t="e">
        <f>Refkalkulation!K118</f>
        <v>#VALUE!</v>
      </c>
      <c r="J43" s="1003"/>
      <c r="K43" s="1103" t="str">
        <f t="shared" si="1"/>
        <v xml:space="preserve">               Fertigungsgemeinkosten</v>
      </c>
      <c r="L43" s="1106"/>
      <c r="M43" s="1105" t="e">
        <f>Refkalkulation!N118</f>
        <v>#VALUE!</v>
      </c>
      <c r="N43" s="1003"/>
      <c r="O43" s="957"/>
    </row>
    <row r="44" spans="1:16" x14ac:dyDescent="0.2">
      <c r="A44" s="955"/>
      <c r="B44" s="958"/>
      <c r="C44" s="1107" t="str">
        <f>Refkalkulation!D126</f>
        <v>Gesamtgemeinkosten</v>
      </c>
      <c r="D44" s="1108" t="e">
        <f>Refkalkulation!H126</f>
        <v>#VALUE!</v>
      </c>
      <c r="E44" s="1109" t="e">
        <f>D44/D46</f>
        <v>#VALUE!</v>
      </c>
      <c r="F44" s="1003"/>
      <c r="G44" s="1107" t="str">
        <f t="shared" si="0"/>
        <v>Gesamtgemeinkosten</v>
      </c>
      <c r="H44" s="1108" t="e">
        <f>Refkalkulation!K126</f>
        <v>#VALUE!</v>
      </c>
      <c r="I44" s="1109" t="e">
        <f>H44/H46</f>
        <v>#VALUE!</v>
      </c>
      <c r="J44" s="958"/>
      <c r="K44" s="1107" t="str">
        <f t="shared" si="1"/>
        <v>Gesamtgemeinkosten</v>
      </c>
      <c r="L44" s="1108" t="e">
        <f>Refkalkulation!N126</f>
        <v>#VALUE!</v>
      </c>
      <c r="M44" s="1109" t="e">
        <f>L44/L46</f>
        <v>#VALUE!</v>
      </c>
      <c r="N44" s="958"/>
      <c r="O44" s="957"/>
    </row>
    <row r="45" spans="1:16" ht="18" customHeight="1" x14ac:dyDescent="0.25">
      <c r="A45" s="955"/>
      <c r="B45" s="958"/>
      <c r="C45" s="1110" t="str">
        <f>Refkalkulation!D129</f>
        <v>Gesamtgewinn</v>
      </c>
      <c r="D45" s="1108" t="e">
        <f>Refkalkulation!H129</f>
        <v>#VALUE!</v>
      </c>
      <c r="E45" s="1111" t="e">
        <f>D45/D46</f>
        <v>#VALUE!</v>
      </c>
      <c r="F45" s="1003"/>
      <c r="G45" s="1110" t="str">
        <f t="shared" si="0"/>
        <v>Gesamtgewinn</v>
      </c>
      <c r="H45" s="1108" t="e">
        <f>Refkalkulation!K129</f>
        <v>#VALUE!</v>
      </c>
      <c r="I45" s="1111" t="e">
        <f>H45/H46</f>
        <v>#VALUE!</v>
      </c>
      <c r="J45" s="958"/>
      <c r="K45" s="1110" t="str">
        <f t="shared" si="1"/>
        <v>Gesamtgewinn</v>
      </c>
      <c r="L45" s="1108" t="e">
        <f>Refkalkulation!N129</f>
        <v>#VALUE!</v>
      </c>
      <c r="M45" s="1111" t="e">
        <f>L45/L46</f>
        <v>#VALUE!</v>
      </c>
      <c r="N45" s="958"/>
      <c r="O45" s="957"/>
    </row>
    <row r="46" spans="1:16" ht="15" x14ac:dyDescent="0.2">
      <c r="A46" s="955"/>
      <c r="B46" s="958"/>
      <c r="C46" s="1116" t="str">
        <f>Refkalkulation!D131</f>
        <v>Bauteilpreis gesamt</v>
      </c>
      <c r="D46" s="1112" t="e">
        <f>SUM(D33:D45)</f>
        <v>#VALUE!</v>
      </c>
      <c r="E46" s="1113" t="s">
        <v>917</v>
      </c>
      <c r="F46" s="1075"/>
      <c r="G46" s="1116" t="str">
        <f t="shared" si="0"/>
        <v>Bauteilpreis gesamt</v>
      </c>
      <c r="H46" s="1112" t="e">
        <f>SUM(H33:H45)</f>
        <v>#VALUE!</v>
      </c>
      <c r="I46" s="1113" t="s">
        <v>917</v>
      </c>
      <c r="J46" s="1075"/>
      <c r="K46" s="1116" t="str">
        <f t="shared" si="1"/>
        <v>Bauteilpreis gesamt</v>
      </c>
      <c r="L46" s="1112" t="e">
        <f>SUM(L33:L45)</f>
        <v>#VALUE!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Refkalkulation!D135</f>
        <v>Zielpreis Bauteil</v>
      </c>
      <c r="D47" s="1114" t="e">
        <f>Refkalkulation!H135</f>
        <v>#DIV/0!</v>
      </c>
      <c r="E47" s="1115" t="e">
        <f>(D47-D46)*D13</f>
        <v>#DIV/0!</v>
      </c>
      <c r="F47" s="1075"/>
      <c r="G47" s="1117" t="str">
        <f>C47</f>
        <v>Zielpreis Bauteil</v>
      </c>
      <c r="H47" s="1114" t="e">
        <f>Refkalkulation!K135</f>
        <v>#DIV/0!</v>
      </c>
      <c r="I47" s="1115" t="e">
        <f>(H47-H46)*H13</f>
        <v>#DIV/0!</v>
      </c>
      <c r="J47" s="1075"/>
      <c r="K47" s="1117" t="str">
        <f>C47</f>
        <v>Zielpreis Bauteil</v>
      </c>
      <c r="L47" s="1114" t="e">
        <f>Refkalkulation!N135</f>
        <v>#DIV/0!</v>
      </c>
      <c r="M47" s="1115" t="e">
        <f>(L47-L46)*L13</f>
        <v>#DIV/0!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 t="e">
        <f>Refkalkulation!H139+Refkalkulation!H140</f>
        <v>#VALUE!</v>
      </c>
      <c r="E48" s="1113" t="s">
        <v>918</v>
      </c>
      <c r="F48" s="1075"/>
      <c r="G48" s="1116" t="str">
        <f>C48</f>
        <v>Modellkosten geschätzt</v>
      </c>
      <c r="H48" s="1112" t="e">
        <f>Refkalkulation!K139+Refkalkulation!K140</f>
        <v>#VALUE!</v>
      </c>
      <c r="I48" s="1113" t="s">
        <v>918</v>
      </c>
      <c r="J48" s="1075"/>
      <c r="K48" s="1116" t="str">
        <f>C48</f>
        <v>Modellkosten geschätzt</v>
      </c>
      <c r="L48" s="1112" t="e">
        <f>Refkalkulation!N139+Refkalkulation!N140</f>
        <v>#VALUE!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Refkalkulation!D141</f>
        <v>Modellkosten Angebot</v>
      </c>
      <c r="D49" s="1114" t="e">
        <f>Refkalkulation!H141</f>
        <v>#VALUE!</v>
      </c>
      <c r="E49" s="1115" t="e">
        <f>D49-D48</f>
        <v>#VALUE!</v>
      </c>
      <c r="F49" s="1075"/>
      <c r="G49" s="1117" t="str">
        <f>C49</f>
        <v>Modellkosten Angebot</v>
      </c>
      <c r="H49" s="1114" t="e">
        <f>Refkalkulation!K141</f>
        <v>#VALUE!</v>
      </c>
      <c r="I49" s="1115" t="e">
        <f>H49-H48</f>
        <v>#VALUE!</v>
      </c>
      <c r="J49" s="1075"/>
      <c r="K49" s="1117" t="str">
        <f>C49</f>
        <v>Modellkosten Angebot</v>
      </c>
      <c r="L49" s="1114" t="e">
        <f>Refkalkulation!N141</f>
        <v>#VALUE!</v>
      </c>
      <c r="M49" s="1115" t="e">
        <f>L49-L48</f>
        <v>#VALUE!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 t="e">
        <f>D33</f>
        <v>#VALUE!</v>
      </c>
      <c r="D57" s="1082" t="e">
        <f>D38</f>
        <v>#VALUE!</v>
      </c>
      <c r="E57" s="1082" t="e">
        <f>D44</f>
        <v>#VALUE!</v>
      </c>
      <c r="F57" s="1082" t="e">
        <f>D45</f>
        <v>#VALUE!</v>
      </c>
      <c r="G57" s="1082" t="e">
        <f>D46</f>
        <v>#VALUE!</v>
      </c>
      <c r="H57" s="1082" t="e">
        <f>I57-G57</f>
        <v>#DIV/0!</v>
      </c>
      <c r="I57" s="1082" t="e">
        <f>D47</f>
        <v>#DIV/0!</v>
      </c>
    </row>
    <row r="58" spans="1:15" ht="0.2" customHeight="1" x14ac:dyDescent="0.2">
      <c r="C58" s="1082"/>
      <c r="D58" s="1082" t="e">
        <f>C57</f>
        <v>#VALUE!</v>
      </c>
      <c r="E58" s="1082" t="e">
        <f>D57+D58</f>
        <v>#VALUE!</v>
      </c>
      <c r="F58" s="1082" t="e">
        <f>E57+E58</f>
        <v>#VALUE!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Deutschland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 t="e">
        <f>H33</f>
        <v>#VALUE!</v>
      </c>
      <c r="D63" s="1082" t="e">
        <f>H38</f>
        <v>#VALUE!</v>
      </c>
      <c r="E63" s="1082" t="e">
        <f>H44</f>
        <v>#VALUE!</v>
      </c>
      <c r="F63" s="1082" t="e">
        <f>H45</f>
        <v>#VALUE!</v>
      </c>
      <c r="G63" s="1082" t="e">
        <f>H46</f>
        <v>#VALUE!</v>
      </c>
      <c r="H63" s="1082" t="e">
        <f>I63-G63</f>
        <v>#DIV/0!</v>
      </c>
      <c r="I63" s="1082" t="e">
        <f>H47</f>
        <v>#DIV/0!</v>
      </c>
    </row>
    <row r="64" spans="1:15" ht="0.2" customHeight="1" x14ac:dyDescent="0.2">
      <c r="C64" s="1082"/>
      <c r="D64" s="1082" t="e">
        <f>C63</f>
        <v>#VALUE!</v>
      </c>
      <c r="E64" s="1082" t="e">
        <f>D63+D64</f>
        <v>#VALUE!</v>
      </c>
      <c r="F64" s="1082" t="e">
        <f>E63+E64</f>
        <v>#VALUE!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 t="e">
        <f>L33</f>
        <v>#VALUE!</v>
      </c>
      <c r="D68" s="1082" t="e">
        <f>L38</f>
        <v>#VALUE!</v>
      </c>
      <c r="E68" s="1082" t="e">
        <f>L44</f>
        <v>#VALUE!</v>
      </c>
      <c r="F68" s="1082" t="e">
        <f>L45</f>
        <v>#VALUE!</v>
      </c>
      <c r="G68" s="1082" t="e">
        <f>L46</f>
        <v>#VALUE!</v>
      </c>
      <c r="H68" s="1082" t="e">
        <f>I68-G68</f>
        <v>#DIV/0!</v>
      </c>
      <c r="I68" s="1082" t="e">
        <f>L47</f>
        <v>#DIV/0!</v>
      </c>
    </row>
    <row r="69" spans="1:9" ht="0.2" customHeight="1" x14ac:dyDescent="0.2">
      <c r="C69" s="1082"/>
      <c r="D69" s="1082" t="e">
        <f>C68</f>
        <v>#VALUE!</v>
      </c>
      <c r="E69" s="1082" t="e">
        <f>D68+D69</f>
        <v>#VALUE!</v>
      </c>
      <c r="F69" s="1082" t="e">
        <f>E68+E69</f>
        <v>#VALUE!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44532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?</v>
      </c>
      <c r="E12" s="975"/>
      <c r="F12" s="976"/>
      <c r="G12" s="973" t="str">
        <f>Refkalkulation!K7</f>
        <v>Deutschland</v>
      </c>
      <c r="H12" s="974" t="str">
        <f>Refkalkulation!K$6</f>
        <v>?</v>
      </c>
      <c r="I12" s="975"/>
      <c r="J12" s="976"/>
      <c r="K12" s="973" t="str">
        <f>Refkalkulation!N7</f>
        <v>Deutschland</v>
      </c>
      <c r="L12" s="974" t="str">
        <f>Refkalkulation!N$6</f>
        <v>?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automatisch</v>
      </c>
      <c r="D13" s="958" t="str">
        <f>'Quick Input'!L19</f>
        <v>?</v>
      </c>
      <c r="E13" s="957" t="s">
        <v>70</v>
      </c>
      <c r="F13" s="958"/>
      <c r="G13" s="955" t="str">
        <f>CONCATENATE('Quick Input'!$I22," ",'Quick Input'!O22)</f>
        <v>Formverfahren automatisch</v>
      </c>
      <c r="H13" s="958" t="str">
        <f>'Quick Input'!O19</f>
        <v>?</v>
      </c>
      <c r="I13" s="957" t="s">
        <v>70</v>
      </c>
      <c r="J13" s="958"/>
      <c r="K13" s="955" t="str">
        <f>CONCATENATE('Quick Input'!$I22," ",'Quick Input'!R22)</f>
        <v>Formverfahren automatisch</v>
      </c>
      <c r="L13" s="958" t="str">
        <f>'Quick Input'!R19</f>
        <v>?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ohne: 0 ltr</v>
      </c>
      <c r="D14" s="958"/>
      <c r="E14" s="957"/>
      <c r="F14" s="958"/>
      <c r="G14" s="955" t="str">
        <f>CONCATENATE('Quick Input'!$I23," ",'Quick Input'!O23,": ",Refkalkulation!K67," ltr")</f>
        <v>Sandkerne ohne: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</v>
      </c>
      <c r="D15" s="958"/>
      <c r="E15" s="957"/>
      <c r="F15" s="958"/>
      <c r="G15" s="955" t="str">
        <f>Refkalkulation!K73</f>
        <v>Sandstrahlen</v>
      </c>
      <c r="H15" s="958"/>
      <c r="I15" s="957"/>
      <c r="J15" s="958"/>
      <c r="K15" s="955" t="str">
        <f>Refkalkulation!N73</f>
        <v>Sandstrahlen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Refkalkulation!H94</f>
        <v>ohne Prfg.</v>
      </c>
      <c r="D16" s="958"/>
      <c r="E16" s="957"/>
      <c r="F16" s="958"/>
      <c r="G16" s="955" t="str">
        <f>Refkalkulation!K94</f>
        <v>ohne Prfg.</v>
      </c>
      <c r="H16" s="958"/>
      <c r="I16" s="957"/>
      <c r="J16" s="958"/>
      <c r="K16" s="955" t="str">
        <f>Refkalkulation!N94</f>
        <v>ohne Prfg.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Si10Mg(b)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2.29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2.29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2.29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 t="e">
        <f>Refkalkulation!H26</f>
        <v>#VALUE!</v>
      </c>
      <c r="E35" s="988"/>
      <c r="F35" s="958"/>
      <c r="G35" s="986" t="str">
        <f t="shared" si="0"/>
        <v>Materialkosten gesamt</v>
      </c>
      <c r="H35" s="987" t="e">
        <f>Refkalkulation!K26</f>
        <v>#VALUE!</v>
      </c>
      <c r="I35" s="988"/>
      <c r="J35" s="958"/>
      <c r="K35" s="986" t="str">
        <f t="shared" si="1"/>
        <v>Materialkosten gesamt</v>
      </c>
      <c r="L35" s="987" t="e">
        <f>Refkalkulation!N26</f>
        <v>#VALUE!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 t="e">
        <f>Refkalkulation!H15</f>
        <v>#VALUE!</v>
      </c>
      <c r="F36" s="992"/>
      <c r="G36" s="989" t="str">
        <f t="shared" si="0"/>
        <v xml:space="preserve">               Materialkosten Rohteil</v>
      </c>
      <c r="H36" s="990"/>
      <c r="I36" s="991" t="e">
        <f>Refkalkulation!K15</f>
        <v>#VALUE!</v>
      </c>
      <c r="J36" s="992"/>
      <c r="K36" s="989" t="str">
        <f t="shared" si="1"/>
        <v xml:space="preserve">               Materialkosten Rohteil</v>
      </c>
      <c r="L36" s="990"/>
      <c r="M36" s="991" t="e">
        <f>Refkalkulation!N15</f>
        <v>#VALUE!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 t="e">
        <f>Refkalkulation!H17</f>
        <v>#VALUE!</v>
      </c>
      <c r="F37" s="992"/>
      <c r="G37" s="989" t="str">
        <f t="shared" si="0"/>
        <v xml:space="preserve">               Kosten Schmelzverlust</v>
      </c>
      <c r="H37" s="990"/>
      <c r="I37" s="991" t="e">
        <f>Refkalkulation!K17</f>
        <v>#VALUE!</v>
      </c>
      <c r="J37" s="992"/>
      <c r="K37" s="989" t="str">
        <f t="shared" si="1"/>
        <v xml:space="preserve">               Kosten Schmelzverlust</v>
      </c>
      <c r="L37" s="990"/>
      <c r="M37" s="991" t="e">
        <f>Refkalkulation!N17</f>
        <v>#VALUE!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 t="e">
        <f>Refkalkulation!H23</f>
        <v>#VALUE!</v>
      </c>
      <c r="F38" s="992"/>
      <c r="G38" s="989" t="str">
        <f t="shared" si="0"/>
        <v xml:space="preserve">               Kosten Hilfsstoffe (€/Stk.)</v>
      </c>
      <c r="H38" s="990"/>
      <c r="I38" s="991" t="e">
        <f>Refkalkulation!K23</f>
        <v>#VALUE!</v>
      </c>
      <c r="J38" s="992"/>
      <c r="K38" s="989" t="str">
        <f t="shared" si="1"/>
        <v xml:space="preserve">               Kosten Hilfsstoffe (€/Stk.)</v>
      </c>
      <c r="L38" s="990"/>
      <c r="M38" s="991" t="e">
        <f>Refkalkulation!N23</f>
        <v>#VALUE!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 t="e">
        <f>Refkalkulation!H25</f>
        <v>#VALUE!</v>
      </c>
      <c r="F39" s="992"/>
      <c r="G39" s="993" t="str">
        <f t="shared" si="0"/>
        <v xml:space="preserve">               Materialgemeinkosten</v>
      </c>
      <c r="H39" s="994"/>
      <c r="I39" s="995" t="e">
        <f>Refkalkulation!K25</f>
        <v>#VALUE!</v>
      </c>
      <c r="J39" s="992"/>
      <c r="K39" s="993" t="str">
        <f t="shared" si="1"/>
        <v xml:space="preserve">               Materialgemeinkosten</v>
      </c>
      <c r="L39" s="994"/>
      <c r="M39" s="995" t="e">
        <f>Refkalkulation!N25</f>
        <v>#VALUE!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 t="e">
        <f>Refkalkulation!H119</f>
        <v>#VALUE!</v>
      </c>
      <c r="E40" s="998"/>
      <c r="F40" s="999"/>
      <c r="G40" s="996" t="str">
        <f t="shared" si="0"/>
        <v>Fertigungskosten</v>
      </c>
      <c r="H40" s="997" t="e">
        <f>Refkalkulation!K119</f>
        <v>#VALUE!</v>
      </c>
      <c r="I40" s="998"/>
      <c r="J40" s="999"/>
      <c r="K40" s="996" t="str">
        <f t="shared" si="1"/>
        <v>Fertigungskosten</v>
      </c>
      <c r="L40" s="997" t="e">
        <f>Refkalkulation!N119</f>
        <v>#VALUE!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 t="e">
        <f>Refkalkulation!H47</f>
        <v>#VALUE!</v>
      </c>
      <c r="F41" s="1003"/>
      <c r="G41" s="1000" t="str">
        <f t="shared" si="0"/>
        <v xml:space="preserve">               Prozess Schmelzen</v>
      </c>
      <c r="H41" s="1001"/>
      <c r="I41" s="1002" t="e">
        <f>Refkalkulation!K47</f>
        <v>#VALUE!</v>
      </c>
      <c r="J41" s="1003"/>
      <c r="K41" s="1000" t="str">
        <f t="shared" si="1"/>
        <v xml:space="preserve">               Prozess Schmelzen</v>
      </c>
      <c r="L41" s="1001"/>
      <c r="M41" s="1002" t="e">
        <f>Refkalkulation!N47</f>
        <v>#VALUE!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 t="e">
        <f>Refkalkulation!H72</f>
        <v>#VALUE!</v>
      </c>
      <c r="F42" s="1003"/>
      <c r="G42" s="1000" t="str">
        <f t="shared" si="0"/>
        <v xml:space="preserve">               Prozess Formen</v>
      </c>
      <c r="H42" s="1004"/>
      <c r="I42" s="1002" t="e">
        <f>Refkalkulation!K72</f>
        <v>#VALUE!</v>
      </c>
      <c r="J42" s="1003"/>
      <c r="K42" s="1000" t="str">
        <f t="shared" si="1"/>
        <v xml:space="preserve">               Prozess Formen</v>
      </c>
      <c r="L42" s="1004"/>
      <c r="M42" s="1002" t="e">
        <f>Refkalkulation!N72</f>
        <v>#VALUE!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 t="e">
        <f>Refkalkulation!H93</f>
        <v>#VALUE!</v>
      </c>
      <c r="F43" s="1003"/>
      <c r="G43" s="1000" t="str">
        <f t="shared" si="0"/>
        <v xml:space="preserve">               Nachbehandlung</v>
      </c>
      <c r="H43" s="1004"/>
      <c r="I43" s="1002" t="e">
        <f>Refkalkulation!K93</f>
        <v>#VALUE!</v>
      </c>
      <c r="J43" s="1003"/>
      <c r="K43" s="1000" t="str">
        <f t="shared" si="1"/>
        <v xml:space="preserve">               Nachbehandlung</v>
      </c>
      <c r="L43" s="1004"/>
      <c r="M43" s="1002" t="e">
        <f>Refkalkulation!N93</f>
        <v>#VALUE!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Refkalkulation!H113</f>
        <v>0</v>
      </c>
      <c r="F44" s="1003"/>
      <c r="G44" s="1000" t="str">
        <f t="shared" si="0"/>
        <v xml:space="preserve">               Prüfen</v>
      </c>
      <c r="H44" s="1004"/>
      <c r="I44" s="1002">
        <f>Refkalkulation!K113</f>
        <v>0</v>
      </c>
      <c r="J44" s="1003"/>
      <c r="K44" s="1000" t="str">
        <f t="shared" si="1"/>
        <v xml:space="preserve">               Prüfen</v>
      </c>
      <c r="L44" s="1004"/>
      <c r="M44" s="1002">
        <f>Refkalkulation!N113</f>
        <v>0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 t="e">
        <f>Refkalkulation!H119-Refkalkulation!H115</f>
        <v>#VALUE!</v>
      </c>
      <c r="F45" s="1003"/>
      <c r="G45" s="1000" t="str">
        <f t="shared" si="0"/>
        <v xml:space="preserve">               Fertigungsnebenkosten</v>
      </c>
      <c r="H45" s="1004"/>
      <c r="I45" s="1002" t="e">
        <f>Refkalkulation!K119-Refkalkulation!K115</f>
        <v>#VALUE!</v>
      </c>
      <c r="J45" s="1003"/>
      <c r="K45" s="1000" t="str">
        <f t="shared" si="1"/>
        <v xml:space="preserve">               Fertigungsnebenkosten</v>
      </c>
      <c r="L45" s="1004"/>
      <c r="M45" s="1002" t="e">
        <f>Refkalkulation!N119-Refkalkulation!N115</f>
        <v>#VALUE!</v>
      </c>
      <c r="N45" s="1003"/>
      <c r="O45" s="957"/>
    </row>
    <row r="46" spans="1:15" ht="15" x14ac:dyDescent="0.25">
      <c r="A46" s="955"/>
      <c r="B46" s="958"/>
      <c r="C46" s="1005" t="str">
        <f>Refkalkulation!D126</f>
        <v>Gesamtgemeinkosten</v>
      </c>
      <c r="D46" s="1006" t="e">
        <f>Refkalkulation!H126</f>
        <v>#VALUE!</v>
      </c>
      <c r="E46" s="1007" t="e">
        <f>D46/D48</f>
        <v>#VALUE!</v>
      </c>
      <c r="F46" s="1003"/>
      <c r="G46" s="1005" t="str">
        <f t="shared" si="0"/>
        <v>Gesamtgemeinkosten</v>
      </c>
      <c r="H46" s="1006" t="e">
        <f>Refkalkulation!K126</f>
        <v>#VALUE!</v>
      </c>
      <c r="I46" s="1007" t="e">
        <f>H46/H48</f>
        <v>#VALUE!</v>
      </c>
      <c r="J46" s="958"/>
      <c r="K46" s="1005" t="str">
        <f t="shared" si="1"/>
        <v>Gesamtgemeinkosten</v>
      </c>
      <c r="L46" s="1006" t="e">
        <f>Refkalkulation!N126</f>
        <v>#VALUE!</v>
      </c>
      <c r="M46" s="1007" t="e">
        <f>L46/L48</f>
        <v>#VALUE!</v>
      </c>
      <c r="N46" s="958"/>
      <c r="O46" s="957"/>
    </row>
    <row r="47" spans="1:15" ht="18" customHeight="1" x14ac:dyDescent="0.25">
      <c r="A47" s="955"/>
      <c r="B47" s="958"/>
      <c r="C47" s="1008" t="str">
        <f>Refkalkulation!D129</f>
        <v>Gesamtgewinn</v>
      </c>
      <c r="D47" s="1009" t="e">
        <f>Refkalkulation!H129</f>
        <v>#VALUE!</v>
      </c>
      <c r="E47" s="1010" t="e">
        <f>D47/D48</f>
        <v>#VALUE!</v>
      </c>
      <c r="F47" s="1003"/>
      <c r="G47" s="1008" t="str">
        <f t="shared" si="0"/>
        <v>Gesamtgewinn</v>
      </c>
      <c r="H47" s="1009" t="e">
        <f>Refkalkulation!K129</f>
        <v>#VALUE!</v>
      </c>
      <c r="I47" s="1010" t="e">
        <f>H47/H48</f>
        <v>#VALUE!</v>
      </c>
      <c r="J47" s="958"/>
      <c r="K47" s="1008" t="str">
        <f t="shared" si="1"/>
        <v>Gesamtgewinn</v>
      </c>
      <c r="L47" s="1009" t="e">
        <f>Refkalkulation!N129</f>
        <v>#VALUE!</v>
      </c>
      <c r="M47" s="1010" t="e">
        <f>L47/L48</f>
        <v>#VALUE!</v>
      </c>
      <c r="N47" s="958"/>
      <c r="O47" s="957"/>
    </row>
    <row r="48" spans="1:15" ht="33" customHeight="1" x14ac:dyDescent="0.2">
      <c r="A48" s="955"/>
      <c r="B48" s="958"/>
      <c r="C48" s="1011" t="str">
        <f>Refkalkulation!D131</f>
        <v>Bauteilpreis gesamt</v>
      </c>
      <c r="D48" s="1012" t="e">
        <f>SUM(D35:D47)</f>
        <v>#VALUE!</v>
      </c>
      <c r="E48" s="1013"/>
      <c r="F48" s="1014"/>
      <c r="G48" s="1011" t="str">
        <f t="shared" si="0"/>
        <v>Bauteilpreis gesamt</v>
      </c>
      <c r="H48" s="1012" t="e">
        <f>SUM(H35:H47)</f>
        <v>#VALUE!</v>
      </c>
      <c r="I48" s="1013"/>
      <c r="J48" s="1014"/>
      <c r="K48" s="1011" t="str">
        <f t="shared" si="1"/>
        <v>Bauteilpreis gesamt</v>
      </c>
      <c r="L48" s="1012" t="e">
        <f>SUM(L35:L47)</f>
        <v>#VALUE!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10" activePane="bottomRight" state="frozenSplit"/>
      <selection activeCell="L30" sqref="L30"/>
      <selection pane="topRight" activeCell="L30" sqref="L30"/>
      <selection pane="bottomLeft" activeCell="L30" sqref="L30"/>
      <selection pane="bottomRight" activeCell="L8" sqref="L8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44532</v>
      </c>
      <c r="H4" s="125"/>
      <c r="I4" s="255" t="str">
        <f>IF(Deutsch,C4,D4)</f>
        <v>Datum</v>
      </c>
      <c r="J4" s="257" t="s">
        <v>230</v>
      </c>
      <c r="K4" s="34">
        <f ca="1">TODAY()</f>
        <v>44532</v>
      </c>
      <c r="L4" s="455">
        <v>44532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 t="s">
        <v>69</v>
      </c>
      <c r="M8" s="108" t="str">
        <f>L$8</f>
        <v>?</v>
      </c>
      <c r="N8" s="104"/>
      <c r="O8" s="50" t="s">
        <v>69</v>
      </c>
      <c r="P8" s="108" t="str">
        <f>O$8</f>
        <v>?</v>
      </c>
      <c r="Q8" s="104"/>
      <c r="R8" s="50" t="s">
        <v>69</v>
      </c>
      <c r="S8" s="108" t="str">
        <f>R8</f>
        <v>?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69</v>
      </c>
      <c r="M9" s="104" t="str">
        <f>L$9</f>
        <v>?</v>
      </c>
      <c r="N9" s="104"/>
      <c r="O9" s="52" t="s">
        <v>69</v>
      </c>
      <c r="P9" s="104" t="str">
        <f>O$9</f>
        <v>?</v>
      </c>
      <c r="Q9" s="104"/>
      <c r="R9" s="52" t="s">
        <v>69</v>
      </c>
      <c r="S9" s="104" t="str">
        <f>R$9</f>
        <v>?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304</v>
      </c>
      <c r="M10" s="104" t="str">
        <f>IF(L$10=0,$G10,IF(L$10=" ",$G10,L$10))</f>
        <v>EN AC-43100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Si10Mg(b)  L239 (b)</v>
      </c>
      <c r="L11" s="674"/>
      <c r="M11" s="105" t="str">
        <f>IF(ISERROR(VLOOKUP(M$10,DB_Material,2,FALSE)),L11,VLOOKUP(M$10,DB_Material,2,FALSE))</f>
        <v>Al Si10Mg(b)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6</v>
      </c>
      <c r="M12" s="104" t="str">
        <f>IFERROR(VLOOKUP(L$12,Auswahlfelder!$D$12:$D$13,1,FALSE),VLOOKUP(L$12,Auswahlfelder!$C$12:$D$13,2,FALSE))</f>
        <v>Materialdatenbank</v>
      </c>
      <c r="N12" s="104"/>
      <c r="O12" s="47" t="s">
        <v>6</v>
      </c>
      <c r="P12" s="104" t="str">
        <f>IFERROR(VLOOKUP(O$12,Auswahlfelder!$D$12:$D$13,1,FALSE),VLOOKUP(O$12,Auswahlfelder!$C$12:$D$13,2,FALSE))</f>
        <v>Materialdatenbank</v>
      </c>
      <c r="Q12" s="104"/>
      <c r="R12" s="47" t="s">
        <v>6</v>
      </c>
      <c r="S12" s="104" t="str">
        <f>IFERROR(VLOOKUP(R$12,Auswahlfelder!$D$12:$D$13,1,FALSE),VLOOKUP(R$12,Auswahlfelder!$C$12:$D$13,2,FALSE))</f>
        <v>Materialdatenbank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2.29</v>
      </c>
      <c r="K13" s="471" t="str">
        <f>TEXT(M13,"0,000")</f>
        <v>2,290</v>
      </c>
      <c r="L13" s="291"/>
      <c r="M13" s="107">
        <f>IF(M$12=Auswahlfelder!$D$12,L$13,VLOOKUP(M$10,DB_Material,3,FALSE))</f>
        <v>2.29</v>
      </c>
      <c r="N13" s="474" t="str">
        <f>TEXT(P13,"0,000")</f>
        <v>2,290</v>
      </c>
      <c r="O13" s="291"/>
      <c r="P13" s="107">
        <f>IF(P$12=Auswahlfelder!$D$12,O$13,VLOOKUP(P$10,DB_Material,3,FALSE))</f>
        <v>2.29</v>
      </c>
      <c r="Q13" s="474" t="str">
        <f t="shared" ref="Q13" si="1">TEXT(S13,"0,000")</f>
        <v>2,290</v>
      </c>
      <c r="R13" s="291"/>
      <c r="S13" s="107">
        <f>IF(S$12=Auswahlfelder!$D$12,R$13,VLOOKUP(S$10,DB_Material,3,FALSE))</f>
        <v>2.29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 t="s">
        <v>69</v>
      </c>
      <c r="M14" s="108" t="str">
        <f>L$14</f>
        <v>?</v>
      </c>
      <c r="N14" s="104"/>
      <c r="O14" s="50" t="s">
        <v>69</v>
      </c>
      <c r="P14" s="108" t="str">
        <f>O$14</f>
        <v>?</v>
      </c>
      <c r="Q14" s="104"/>
      <c r="R14" s="50" t="s">
        <v>69</v>
      </c>
      <c r="S14" s="108" t="str">
        <f>R$14</f>
        <v>?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 t="s">
        <v>69</v>
      </c>
      <c r="M15" s="108" t="str">
        <f>L$15</f>
        <v>?</v>
      </c>
      <c r="N15" s="104"/>
      <c r="O15" s="50" t="s">
        <v>69</v>
      </c>
      <c r="P15" s="108" t="str">
        <f>O$15</f>
        <v>?</v>
      </c>
      <c r="Q15" s="104"/>
      <c r="R15" s="50" t="s">
        <v>69</v>
      </c>
      <c r="S15" s="108" t="str">
        <f>R$15</f>
        <v>?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 t="s">
        <v>69</v>
      </c>
      <c r="M16" s="108" t="str">
        <f>L$16</f>
        <v>?</v>
      </c>
      <c r="N16" s="104"/>
      <c r="O16" s="50" t="s">
        <v>69</v>
      </c>
      <c r="P16" s="108" t="str">
        <f>O$16</f>
        <v>?</v>
      </c>
      <c r="Q16" s="104"/>
      <c r="R16" s="50" t="s">
        <v>69</v>
      </c>
      <c r="S16" s="108" t="str">
        <f>R$16</f>
        <v>?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 t="s">
        <v>69</v>
      </c>
      <c r="M17" s="106" t="str">
        <f>L$17</f>
        <v>?</v>
      </c>
      <c r="N17" s="106"/>
      <c r="O17" s="48" t="s">
        <v>69</v>
      </c>
      <c r="P17" s="106" t="str">
        <f>O$17</f>
        <v>?</v>
      </c>
      <c r="Q17" s="106"/>
      <c r="R17" s="48" t="s">
        <v>69</v>
      </c>
      <c r="S17" s="106" t="str">
        <f>R$17</f>
        <v>?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 t="s">
        <v>69</v>
      </c>
      <c r="M18" s="107" t="str">
        <f>L$18</f>
        <v>?</v>
      </c>
      <c r="N18" s="107"/>
      <c r="O18" s="49" t="s">
        <v>69</v>
      </c>
      <c r="P18" s="107" t="str">
        <f>O$18</f>
        <v>?</v>
      </c>
      <c r="Q18" s="107"/>
      <c r="R18" s="49" t="s">
        <v>69</v>
      </c>
      <c r="S18" s="107" t="str">
        <f>R$18</f>
        <v>?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 t="e">
        <f>0.9*Parametrikber!F$38</f>
        <v>#VALUE!</v>
      </c>
      <c r="L19" s="491" t="s">
        <v>69</v>
      </c>
      <c r="M19" s="107" t="str">
        <f>L$19</f>
        <v>?</v>
      </c>
      <c r="N19" s="108" t="e">
        <f>0.9*Parametrikber!I$38</f>
        <v>#VALUE!</v>
      </c>
      <c r="O19" s="492" t="s">
        <v>69</v>
      </c>
      <c r="P19" s="107" t="str">
        <f>O$19</f>
        <v>?</v>
      </c>
      <c r="Q19" s="108" t="e">
        <f>0.9*Parametrikber!L$38</f>
        <v>#VALUE!</v>
      </c>
      <c r="R19" s="492" t="s">
        <v>69</v>
      </c>
      <c r="S19" s="107" t="str">
        <f>R$19</f>
        <v>?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00</v>
      </c>
      <c r="L20" s="292"/>
      <c r="M20" s="235">
        <f>IF(M$19&lt;&gt;"?",M$19*1000/VLOOKUP(M$10,DB_Material,5,FALSE),0)</f>
        <v>0</v>
      </c>
      <c r="N20" s="261" t="str">
        <f>TEXT(P20,"0.0")</f>
        <v>00</v>
      </c>
      <c r="O20" s="234"/>
      <c r="P20" s="235">
        <f>IF(P$19&lt;&gt;"?",P$19*1000/VLOOKUP(P$10,DB_Material,5,FALSE),0)</f>
        <v>0</v>
      </c>
      <c r="Q20" s="261" t="str">
        <f>TEXT(S20,"0.0")</f>
        <v>00</v>
      </c>
      <c r="R20" s="234"/>
      <c r="S20" s="235">
        <f>IF(S$19&lt;&gt;"?",S$19*1000/VLOOKUP(S$10,'Material-DB'!$A$4:$F$37,5,FALSE),0)</f>
        <v>0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470</v>
      </c>
      <c r="M22" s="104" t="str">
        <f>IFERROR(VLOOKUP(L$22,Auswahlfelder!$D$36:$D$38,1,FALSE),VLOOKUP(L$22,Auswahlfelder!$C$36:$D$38,2,FALSE))</f>
        <v>automatisch</v>
      </c>
      <c r="N22" s="104"/>
      <c r="O22" s="528" t="s">
        <v>470</v>
      </c>
      <c r="P22" s="104" t="str">
        <f>IFERROR(VLOOKUP(O$22,Auswahlfelder!$D$36:$D$38,1,FALSE),VLOOKUP(O$22,Auswahlfelder!$C$36:$D$38,2,FALSE))</f>
        <v>automatisch</v>
      </c>
      <c r="Q22" s="104"/>
      <c r="R22" s="528" t="s">
        <v>470</v>
      </c>
      <c r="S22" s="104" t="str">
        <f>IFERROR(VLOOKUP(R$22,Auswahlfelder!$D$36:$D$38,1,FALSE),VLOOKUP(R$22,Auswahlfelder!$C$36:$D$38,2,FALSE))</f>
        <v>automatisch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262</v>
      </c>
      <c r="M23" s="104" t="str">
        <f>IFERROR(VLOOKUP(L$23,Auswahlfelder!$D$49:$D$51,1,FALSE),VLOOKUP(L$23,Auswahlfelder!$C$49:$D$51,2,FALSE))</f>
        <v>ohne</v>
      </c>
      <c r="N23" s="104"/>
      <c r="O23" s="52" t="s">
        <v>262</v>
      </c>
      <c r="P23" s="104" t="str">
        <f>IFERROR(VLOOKUP(O$23,Auswahlfelder!$D$49:$D$51,1,FALSE),VLOOKUP(O$23,Auswahlfelder!$C$49:$D$51,2,FALSE))</f>
        <v>ohne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763</v>
      </c>
      <c r="M24" s="104" t="str">
        <f>IFERROR(VLOOKUP(L$24,Auswahlfelder!$D$54:$D$57,1,FALSE),VLOOKUP(L$24,Auswahlfelder!$C$54:$D$57,2,FALSE))</f>
        <v>Cold Box</v>
      </c>
      <c r="N24" s="104"/>
      <c r="O24" s="47" t="s">
        <v>763</v>
      </c>
      <c r="P24" s="104" t="str">
        <f>IFERROR(VLOOKUP(O$24,Auswahlfelder!$D$54:$D$57,1,FALSE),VLOOKUP(O$24,Auswahlfelder!$C$54:$D$57,2,FALSE))</f>
        <v>Cold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>IF($G$2,C28,D28)</f>
        <v>Ultraschall Prüfung</v>
      </c>
      <c r="J28" s="18"/>
      <c r="K28" s="104" t="e">
        <f>IF(K$31="nein",0,L28)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995</v>
      </c>
      <c r="J29" s="18"/>
      <c r="K29" s="104" t="e">
        <f>IF(K$31="nein",0,L29)</f>
        <v>#N/A</v>
      </c>
      <c r="L29" s="290" t="s">
        <v>44</v>
      </c>
      <c r="M29" s="104" t="str">
        <f>IFERROR(VLOOKUP(L$29,Auswahlfelder!$D$22:$D$23,1,FALSE),VLOOKUP(L$29,Auswahlfelder!$C$22:$D$23,2,FALSE))</f>
        <v>nein</v>
      </c>
      <c r="N29" s="104"/>
      <c r="O29" s="47" t="s">
        <v>44</v>
      </c>
      <c r="P29" s="104" t="str">
        <f>IFERROR(VLOOKUP(O$29,Auswahlfelder!$D$22:$D$23,1,FALSE),VLOOKUP(O$29,Auswahlfelder!$C$22:$D$23,2,FALSE))</f>
        <v>nein</v>
      </c>
      <c r="Q29" s="104"/>
      <c r="R29" s="47" t="s">
        <v>44</v>
      </c>
      <c r="S29" s="104" t="str">
        <f>IFERROR(VLOOKUP(R$29,Auswahlfelder!$D$22:$D$23,1,FALSE),VLOOKUP(R$29,Auswahlfelder!$C$22:$D$23,2,FALSE))</f>
        <v>nein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ref="I30:I34" si="4">IF($G$2,C30,D30)</f>
        <v>Röntgen Prüfung</v>
      </c>
      <c r="J30" s="18"/>
      <c r="K30" s="104" t="e">
        <f>IF(K$31="nein",0,L30)</f>
        <v>#N/A</v>
      </c>
      <c r="L30" s="290" t="s">
        <v>44</v>
      </c>
      <c r="M30" s="104" t="str">
        <f>IFERROR(VLOOKUP(L$30,Auswahlfelder!$D$22:$D$23,1,FALSE),VLOOKUP(L$30,Auswahlfelder!$C$22:$D$23,2,FALSE))</f>
        <v>nein</v>
      </c>
      <c r="N30" s="104"/>
      <c r="O30" s="47" t="s">
        <v>44</v>
      </c>
      <c r="P30" s="104" t="str">
        <f>IFERROR(VLOOKUP(O$30,Auswahlfelder!$D$22:$D$23,1,FALSE),VLOOKUP(O$30,Auswahlfelder!$C$22:$D$23,2,FALSE))</f>
        <v>nein</v>
      </c>
      <c r="Q30" s="104"/>
      <c r="R30" s="47" t="s">
        <v>44</v>
      </c>
      <c r="S30" s="104" t="str">
        <f>IFERROR(VLOOKUP(R$30,Auswahlfelder!$D$22:$D$23,1,FALSE),VLOOKUP(R$30,Auswahlfelder!$C$22:$D$23,2,FALSE))</f>
        <v>nein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569</v>
      </c>
      <c r="M32" s="104" t="str">
        <f>IFERROR(VLOOKUP(L$32,Auswahlfelder!$D$41:$D$46,1,FALSE),VLOOKUP(L$32,Auswahlfelder!$C$41:$D$46,2,FALSE))</f>
        <v>ohne (F)</v>
      </c>
      <c r="N32" s="104"/>
      <c r="O32" s="47" t="s">
        <v>569</v>
      </c>
      <c r="P32" s="104" t="str">
        <f>IFERROR(VLOOKUP(O$32,Auswahlfelder!$D$41:$D$46,1,FALSE),VLOOKUP(O$32,Auswahlfelder!$C$41:$D$46,2,FALSE))</f>
        <v>ohne (F)</v>
      </c>
      <c r="Q32" s="104"/>
      <c r="R32" s="47" t="s">
        <v>569</v>
      </c>
      <c r="S32" s="104" t="str">
        <f>IFERROR(VLOOKUP(R$32,Auswahlfelder!$D$41:$D$46,1,FALSE),VLOOKUP(R$32,Auswahlfelder!$C$41:$D$46,2,FALSE))</f>
        <v>ohne (F)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44532</v>
      </c>
      <c r="H34" s="17"/>
      <c r="I34" s="535" t="str">
        <f t="shared" si="4"/>
        <v>Datum</v>
      </c>
      <c r="J34" s="18"/>
      <c r="K34" s="109">
        <f>L34</f>
        <v>44532</v>
      </c>
      <c r="L34" s="660">
        <v>44532</v>
      </c>
      <c r="M34" s="109">
        <f>L$34</f>
        <v>44532</v>
      </c>
      <c r="N34" s="109"/>
      <c r="O34" s="226">
        <v>44532</v>
      </c>
      <c r="P34" s="109">
        <f>O$34</f>
        <v>44532</v>
      </c>
      <c r="Q34" s="109"/>
      <c r="R34" s="226">
        <v>44532</v>
      </c>
      <c r="S34" s="109">
        <f>R$34</f>
        <v>44532</v>
      </c>
      <c r="T34" s="1203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 t="str">
        <f>M36</f>
        <v>?</v>
      </c>
      <c r="L36" s="53" t="s">
        <v>69</v>
      </c>
      <c r="M36" s="110" t="str">
        <f>L$36</f>
        <v>?</v>
      </c>
      <c r="N36" s="39" t="str">
        <f>P36</f>
        <v>?</v>
      </c>
      <c r="O36" s="53" t="s">
        <v>69</v>
      </c>
      <c r="P36" s="110" t="str">
        <f>O$36</f>
        <v>?</v>
      </c>
      <c r="Q36" s="39" t="e">
        <f>MAX(Q37:Q43)</f>
        <v>#VALUE!</v>
      </c>
      <c r="R36" s="53" t="s">
        <v>69</v>
      </c>
      <c r="S36" s="110" t="str">
        <f>R$36</f>
        <v>?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e">
        <f t="shared" ref="K37:K44" si="7">TEXT(M37,"0.0")</f>
        <v>#VALUE!</v>
      </c>
      <c r="L37" s="133"/>
      <c r="M37" s="132" t="e">
        <f>IF(L$37&lt;&gt;"",L$37,0.5*M$36)</f>
        <v>#VALUE!</v>
      </c>
      <c r="N37" s="454" t="e">
        <f t="shared" ref="N37:N44" si="8">TEXT(P37,"0.0")</f>
        <v>#VALUE!</v>
      </c>
      <c r="O37" s="133"/>
      <c r="P37" s="132" t="e">
        <f>IF(O$37&lt;&gt;"",O$37,0.5*O$36)</f>
        <v>#VALUE!</v>
      </c>
      <c r="Q37" s="454" t="e">
        <f t="shared" ref="Q37:Q44" si="9">TEXT(S37,"0.0")</f>
        <v>#VALUE!</v>
      </c>
      <c r="R37" s="133"/>
      <c r="S37" s="132" t="e">
        <f>IF(R$37&lt;&gt;"",R$37,0.5*R$36)</f>
        <v>#VALUE!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e">
        <f t="shared" si="7"/>
        <v>#VALUE!</v>
      </c>
      <c r="L38" s="133"/>
      <c r="M38" s="132" t="e">
        <f>IF(L38&lt;&gt;"",L38,IF(SUM(M$37:M37)+1.1*M$36&gt;L$36*L$35,MAX(0.75*(M$35*M$36-SUM(M$37:M37)),0.01*L$36),L$36))</f>
        <v>#VALUE!</v>
      </c>
      <c r="N38" s="454" t="e">
        <f t="shared" si="8"/>
        <v>#VALUE!</v>
      </c>
      <c r="O38" s="133"/>
      <c r="P38" s="132" t="e">
        <f>IF(O38&lt;&gt;"",O38,IF(SUM(P$37:P37)+1.1*P$36&gt;O$36*O$35,MAX(0.75*(P$35*P$36-SUM(P$37:P37)),0.01*O$36),O$36))</f>
        <v>#VALUE!</v>
      </c>
      <c r="Q38" s="454" t="e">
        <f t="shared" si="9"/>
        <v>#VALUE!</v>
      </c>
      <c r="R38" s="133"/>
      <c r="S38" s="132" t="e">
        <f>IF(R38&lt;&gt;"",R38,IF(SUM(S$37:S37)+1.1*S$36&gt;R$36*R$35,MAX(0.75*(S$35*S$36-SUM(S$37:S37)),0.01*R$36),R$36))</f>
        <v>#VALUE!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e">
        <f t="shared" si="7"/>
        <v>#VALUE!</v>
      </c>
      <c r="L39" s="133"/>
      <c r="M39" s="132" t="e">
        <f>IF(L39&lt;&gt;"",L39,IF(SUM(M$37:M38)+1.1*M$36&gt;L$36*L$35,MAX(0.75*(M$35*M$36-SUM(M$37:M38)),0.01*L$36),L$36))</f>
        <v>#VALUE!</v>
      </c>
      <c r="N39" s="454" t="e">
        <f t="shared" si="8"/>
        <v>#VALUE!</v>
      </c>
      <c r="O39" s="133"/>
      <c r="P39" s="132" t="e">
        <f>IF(O39&lt;&gt;"",O39,IF(SUM(P$37:P38)+1.1*P$36&gt;O$36*O$35,MAX(0.75*(P$35*P$36-SUM(P$37:P38)),0.01*O$36),O$36))</f>
        <v>#VALUE!</v>
      </c>
      <c r="Q39" s="454" t="e">
        <f t="shared" si="9"/>
        <v>#VALUE!</v>
      </c>
      <c r="R39" s="133"/>
      <c r="S39" s="132" t="e">
        <f>IF(R39&lt;&gt;"",R39,IF(SUM(S$37:S38)+1.1*S$36&gt;R$36*R$35,MAX(0.75*(S$35*S$36-SUM(S$37:S38)),0.01*R$36),R$36))</f>
        <v>#VALUE!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e">
        <f t="shared" si="7"/>
        <v>#VALUE!</v>
      </c>
      <c r="L40" s="133"/>
      <c r="M40" s="132" t="e">
        <f>IF(L40&lt;&gt;"",L40,IF(SUM(M$37:M39)+1.1*M$36&gt;L$36*L$35,MAX(0.75*(M$35*M$36-SUM(M$37:M39)),0.01*L$36),L$36))</f>
        <v>#VALUE!</v>
      </c>
      <c r="N40" s="454" t="e">
        <f t="shared" si="8"/>
        <v>#VALUE!</v>
      </c>
      <c r="O40" s="133"/>
      <c r="P40" s="132" t="e">
        <f>IF(O40&lt;&gt;"",O40,IF(SUM(P$37:P39)+1.1*P$36&gt;O$36*O$35,MAX(0.75*(P$35*P$36-SUM(P$37:P39)),0.01*O$36),O$36))</f>
        <v>#VALUE!</v>
      </c>
      <c r="Q40" s="454" t="e">
        <f t="shared" si="9"/>
        <v>#VALUE!</v>
      </c>
      <c r="R40" s="133"/>
      <c r="S40" s="132" t="e">
        <f>IF(R40&lt;&gt;"",R40,IF(SUM(S$37:S39)+1.1*S$36&gt;R$36*R$35,MAX(0.75*(S$35*S$36-SUM(S$37:S39)),0.01*R$36),R$36))</f>
        <v>#VALUE!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e">
        <f t="shared" si="7"/>
        <v>#VALUE!</v>
      </c>
      <c r="L41" s="133"/>
      <c r="M41" s="132" t="e">
        <f>IF(L41&lt;&gt;"",L41,IF(SUM(M$37:M40)+1.1*M$36&gt;L$36*L$35,MAX(0.75*(M$35*M$36-SUM(M$37:M40)),0.01*L$36),L$36))</f>
        <v>#VALUE!</v>
      </c>
      <c r="N41" s="454" t="e">
        <f t="shared" si="8"/>
        <v>#VALUE!</v>
      </c>
      <c r="O41" s="133"/>
      <c r="P41" s="132" t="e">
        <f>IF(O41&lt;&gt;"",O41,IF(SUM(P$37:P40)+1.1*P$36&gt;O$36*O$35,MAX(0.75*(P$35*P$36-SUM(P$37:P40)),0.01*O$36),O$36))</f>
        <v>#VALUE!</v>
      </c>
      <c r="Q41" s="454" t="e">
        <f t="shared" si="9"/>
        <v>#VALUE!</v>
      </c>
      <c r="R41" s="133"/>
      <c r="S41" s="132" t="e">
        <f>IF(R41&lt;&gt;"",R41,IF(SUM(S$37:S40)+1.1*S$36&gt;R$36*R$35,MAX(0.75*(S$35*S$36-SUM(S$37:S40)),0.01*R$36),R$36))</f>
        <v>#VALUE!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e">
        <f t="shared" si="7"/>
        <v>#VALUE!</v>
      </c>
      <c r="L42" s="133"/>
      <c r="M42" s="132" t="e">
        <f>IF(L42&lt;&gt;"",L42,IF(SUM(M$37:M41)+1.1*M$36&gt;L$36*L$35,MAX(0.75*(M$35*M$36-SUM(M$37:M41)),0.01*L$36),L$36))</f>
        <v>#VALUE!</v>
      </c>
      <c r="N42" s="454" t="e">
        <f t="shared" si="8"/>
        <v>#VALUE!</v>
      </c>
      <c r="O42" s="133"/>
      <c r="P42" s="132" t="e">
        <f>IF(O42&lt;&gt;"",O42,IF(SUM(P$37:P41)+1.1*P$36&gt;O$36*O$35,MAX(0.75*(P$35*P$36-SUM(P$37:P41)),0.01*O$36),O$36))</f>
        <v>#VALUE!</v>
      </c>
      <c r="Q42" s="454" t="e">
        <f t="shared" si="9"/>
        <v>#VALUE!</v>
      </c>
      <c r="R42" s="133"/>
      <c r="S42" s="132" t="e">
        <f>IF(R42&lt;&gt;"",R42,IF(SUM(S$37:S41)+1.1*S$36&gt;R$36*R$35,MAX(0.75*(S$35*S$36-SUM(S$37:S41)),0.01*R$36),R$36))</f>
        <v>#VALUE!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e">
        <f t="shared" si="7"/>
        <v>#VALUE!</v>
      </c>
      <c r="L43" s="133"/>
      <c r="M43" s="132" t="e">
        <f>IF(L43&lt;&gt;"",L43,IF(SUM(M$37:M42)+1.1*M$36&gt;L$36*L$35,MAX(0.75*(M$35*M$36-SUM(M$37:M42)),0.01*L$36),L$36))</f>
        <v>#VALUE!</v>
      </c>
      <c r="N43" s="454" t="e">
        <f t="shared" si="8"/>
        <v>#VALUE!</v>
      </c>
      <c r="O43" s="133"/>
      <c r="P43" s="132" t="e">
        <f>IF(O43&lt;&gt;"",O43,IF(SUM(P$37:P42)+1.1*P$36&gt;O$36*O$35,MAX(0.75*(P$35*P$36-SUM(P$37:P42)),0.01*O$36),O$36))</f>
        <v>#VALUE!</v>
      </c>
      <c r="Q43" s="454" t="e">
        <f t="shared" si="9"/>
        <v>#VALUE!</v>
      </c>
      <c r="R43" s="133"/>
      <c r="S43" s="132" t="e">
        <f>IF(R43&lt;&gt;"",R43,IF(SUM(S$37:S42)+1.1*S$36&gt;R$36*R$35,MAX(0.75*(S$35*S$36-SUM(S$37:S42)),0.01*R$36),R$36))</f>
        <v>#VALUE!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e">
        <f t="shared" si="7"/>
        <v>#VALUE!</v>
      </c>
      <c r="L44" s="538"/>
      <c r="M44" s="230" t="e">
        <f>MAX(SUM(M$37:M$43),M$36*M$35,L$44,1)</f>
        <v>#VALUE!</v>
      </c>
      <c r="N44" s="658" t="e">
        <f t="shared" si="8"/>
        <v>#VALUE!</v>
      </c>
      <c r="O44" s="659"/>
      <c r="P44" s="230" t="e">
        <f>MAX(SUM(P$37:P$43),P$36*P$35,O$44,1)</f>
        <v>#VALUE!</v>
      </c>
      <c r="Q44" s="658" t="e">
        <f t="shared" si="9"/>
        <v>#VALUE!</v>
      </c>
      <c r="R44" s="659"/>
      <c r="S44" s="230" t="e">
        <f t="shared" ref="S44" si="10">MAX(SUM(S$37:S$43),S$36*S$35,R$44,1)</f>
        <v>#VALUE!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14</v>
      </c>
      <c r="P45" s="104" t="str">
        <f>IFERROR(VLOOKUP(O$45,Auswahlfelder!$I$3:$I$15,1,FALSE),VLOOKUP(O$45,Auswahlfelder!$H$3:$I$15,2,FALSE))</f>
        <v>Deutschland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0.8</v>
      </c>
      <c r="P50" s="111">
        <f>O$50</f>
        <v>0.8</v>
      </c>
      <c r="Q50" s="111"/>
      <c r="R50" s="54">
        <v>0.8</v>
      </c>
      <c r="S50" s="111">
        <f>R$50</f>
        <v>0.8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21/22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>?</v>
      </c>
      <c r="L52" s="293" t="s">
        <v>69</v>
      </c>
      <c r="M52" s="39" t="str">
        <f>IF(L$52&lt;&gt;"",L$52,0)</f>
        <v>?</v>
      </c>
      <c r="N52" s="39"/>
      <c r="O52" s="51" t="s">
        <v>69</v>
      </c>
      <c r="P52" s="39" t="str">
        <f>IF(O$52&lt;&gt;"",O$52,0)</f>
        <v>?</v>
      </c>
      <c r="Q52" s="39"/>
      <c r="R52" s="51" t="s">
        <v>69</v>
      </c>
      <c r="S52" s="39" t="str">
        <f>IF(R$52&lt;&gt;"",R$52,0)</f>
        <v>?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?</v>
      </c>
      <c r="L53" s="293"/>
      <c r="M53" s="39" t="str">
        <f>IF(L$53&lt;&gt;"",L$53,M$52)</f>
        <v>?</v>
      </c>
      <c r="N53" s="478" t="str">
        <f>TEXT(P53,"0,00")</f>
        <v>?</v>
      </c>
      <c r="O53" s="293"/>
      <c r="P53" s="39" t="str">
        <f>IF(O$53&lt;&gt;"",O$53,P$52)</f>
        <v>?</v>
      </c>
      <c r="Q53" s="478" t="str">
        <f>TEXT(S53,"0,00")</f>
        <v>?</v>
      </c>
      <c r="R53" s="293"/>
      <c r="S53" s="39" t="str">
        <f>IF(R$53&lt;&gt;"",R$53,S$52)</f>
        <v>?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?</v>
      </c>
      <c r="L54" s="293"/>
      <c r="M54" s="39" t="str">
        <f>IF(L$54&lt;&gt;"",L$54,M$53)</f>
        <v>?</v>
      </c>
      <c r="N54" s="134" t="str">
        <f>TEXT(P54,"0,00")</f>
        <v>?</v>
      </c>
      <c r="O54" s="293"/>
      <c r="P54" s="39" t="str">
        <f>IF(O$54&lt;&gt;"",O$54,P$53)</f>
        <v>?</v>
      </c>
      <c r="Q54" s="134" t="str">
        <f>TEXT(S54,"0,00")</f>
        <v>?</v>
      </c>
      <c r="R54" s="293"/>
      <c r="S54" s="39" t="str">
        <f>IF(R$54&lt;&gt;"",R$54,S$53)</f>
        <v>?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?</v>
      </c>
      <c r="L55" s="293"/>
      <c r="M55" s="39" t="str">
        <f>IF(L$55&lt;&gt;"",L$55,M$54)</f>
        <v>?</v>
      </c>
      <c r="N55" s="134" t="str">
        <f>TEXT(P55,"0,00")</f>
        <v>?</v>
      </c>
      <c r="O55" s="293"/>
      <c r="P55" s="39" t="str">
        <f>IF(O$55&lt;&gt;"",O$55,P$54)</f>
        <v>?</v>
      </c>
      <c r="Q55" s="134" t="str">
        <f>TEXT(S55,"0,00")</f>
        <v>?</v>
      </c>
      <c r="R55" s="293"/>
      <c r="S55" s="39" t="str">
        <f>IF(R$55&lt;&gt;"",R$55,S$54)</f>
        <v>?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?</v>
      </c>
      <c r="L56" s="293"/>
      <c r="M56" s="39" t="str">
        <f>IF(L$56&lt;&gt;"",L$56,M$55)</f>
        <v>?</v>
      </c>
      <c r="N56" s="134" t="str">
        <f>TEXT(P56,"0,00")</f>
        <v>?</v>
      </c>
      <c r="O56" s="293"/>
      <c r="P56" s="39" t="str">
        <f>IF(O$56&lt;&gt;"",O$56,P$55)</f>
        <v>?</v>
      </c>
      <c r="Q56" s="134" t="str">
        <f>TEXT(S56,"0,00")</f>
        <v>?</v>
      </c>
      <c r="R56" s="293"/>
      <c r="S56" s="39" t="str">
        <f>IF(R$56&lt;&gt;"",R$56,S$55)</f>
        <v>?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 t="str">
        <f>L57</f>
        <v>?</v>
      </c>
      <c r="L57" s="298" t="s">
        <v>69</v>
      </c>
      <c r="M57" s="651" t="str">
        <f>L$57</f>
        <v>?</v>
      </c>
      <c r="N57" s="39"/>
      <c r="O57" s="188" t="s">
        <v>69</v>
      </c>
      <c r="P57" s="651" t="str">
        <f>O$57</f>
        <v>?</v>
      </c>
      <c r="Q57" s="39"/>
      <c r="R57" s="188" t="s">
        <v>69</v>
      </c>
      <c r="S57" s="651" t="str">
        <f t="shared" ref="S57" si="14">R$57</f>
        <v>?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 t="str">
        <f>L58</f>
        <v>?</v>
      </c>
      <c r="L58" s="298" t="s">
        <v>69</v>
      </c>
      <c r="M58" s="651">
        <f>IF(M23=Auswahlfelder!$D$49,0,L$58)</f>
        <v>0</v>
      </c>
      <c r="N58" s="39"/>
      <c r="O58" s="188" t="s">
        <v>69</v>
      </c>
      <c r="P58" s="651">
        <f>IF(P23=Auswahlfelder!$D$49,0,O$58)</f>
        <v>0</v>
      </c>
      <c r="Q58" s="39"/>
      <c r="R58" s="188" t="s">
        <v>69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0</v>
      </c>
      <c r="L59" s="135">
        <f>M$59</f>
        <v>0</v>
      </c>
      <c r="M59" s="233">
        <f>Refkalkulation!H$16</f>
        <v>0</v>
      </c>
      <c r="N59" s="233"/>
      <c r="O59" s="135">
        <f>P$59</f>
        <v>0</v>
      </c>
      <c r="P59" s="233">
        <f>Refkalkulation!K$16</f>
        <v>0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0</v>
      </c>
      <c r="L60" s="135">
        <f>M$60</f>
        <v>0</v>
      </c>
      <c r="M60" s="233">
        <f>Refkalkulation!H$24</f>
        <v>0</v>
      </c>
      <c r="N60" s="233"/>
      <c r="O60" s="135">
        <f>P$60</f>
        <v>0</v>
      </c>
      <c r="P60" s="233">
        <f>Refkalkulation!K$24</f>
        <v>0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0</v>
      </c>
      <c r="M62" s="233">
        <f>Refkalkulation!H$31</f>
        <v>0</v>
      </c>
      <c r="N62" s="233"/>
      <c r="O62" s="187">
        <f>P$62</f>
        <v>0</v>
      </c>
      <c r="P62" s="233">
        <f>Refkalkulation!K$31</f>
        <v>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0</v>
      </c>
      <c r="L63" s="187">
        <f>M$63</f>
        <v>0</v>
      </c>
      <c r="M63" s="272">
        <f>Refkalkulation!H$50</f>
        <v>0</v>
      </c>
      <c r="N63" s="273"/>
      <c r="O63" s="187">
        <f>P$63</f>
        <v>0</v>
      </c>
      <c r="P63" s="272">
        <f>Refkalkulation!K$50</f>
        <v>0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0</v>
      </c>
      <c r="M64" s="272">
        <f>Refkalkulation!H$52</f>
        <v>0</v>
      </c>
      <c r="N64" s="273"/>
      <c r="O64" s="187">
        <f>P$64</f>
        <v>0</v>
      </c>
      <c r="P64" s="272">
        <f>Refkalkulation!K$52</f>
        <v>0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0</v>
      </c>
      <c r="M66" s="272">
        <f>Refkalkulation!H$61</f>
        <v>0</v>
      </c>
      <c r="N66" s="273"/>
      <c r="O66" s="187">
        <f>P$66</f>
        <v>0</v>
      </c>
      <c r="P66" s="272">
        <f>Refkalkulation!K$61</f>
        <v>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0</v>
      </c>
      <c r="M67" s="272">
        <f>Refkalkulation!H$67</f>
        <v>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0</v>
      </c>
      <c r="M70" s="272">
        <f>Refkalkulation!H$75</f>
        <v>0</v>
      </c>
      <c r="N70" s="273"/>
      <c r="O70" s="923">
        <f>P$70</f>
        <v>0</v>
      </c>
      <c r="P70" s="272">
        <f>Refkalkulation!K$75</f>
        <v>0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</v>
      </c>
      <c r="M71" s="122">
        <f>Refkalkulation!H$90</f>
        <v>0</v>
      </c>
      <c r="N71" s="122"/>
      <c r="O71" s="924">
        <f>P$71</f>
        <v>0</v>
      </c>
      <c r="P71" s="122">
        <f>Refkalkulation!K$90</f>
        <v>0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</v>
      </c>
      <c r="M72" s="233">
        <f>Refkalkulation!H$92</f>
        <v>0</v>
      </c>
      <c r="N72" s="273"/>
      <c r="O72" s="135">
        <f>P$72</f>
        <v>0</v>
      </c>
      <c r="P72" s="233">
        <f>Refkalkulation!K$92</f>
        <v>0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990</v>
      </c>
      <c r="D73" s="318" t="s">
        <v>991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0</v>
      </c>
      <c r="M73" s="272">
        <f>Refkalkulation!H$95</f>
        <v>0</v>
      </c>
      <c r="N73" s="273"/>
      <c r="O73" s="187">
        <f>P$73</f>
        <v>0</v>
      </c>
      <c r="P73" s="272">
        <f>Refkalkulation!K$95</f>
        <v>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</v>
      </c>
      <c r="M74" s="272">
        <f>Refkalkulation!H$101</f>
        <v>0</v>
      </c>
      <c r="N74" s="273"/>
      <c r="O74" s="924">
        <f>P$74</f>
        <v>0</v>
      </c>
      <c r="P74" s="272">
        <f>Refkalkulation!K$101</f>
        <v>0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</v>
      </c>
      <c r="M75" s="233">
        <f>Refkalkulation!H$105</f>
        <v>0</v>
      </c>
      <c r="N75" s="273"/>
      <c r="O75" s="924">
        <f>P$75</f>
        <v>0</v>
      </c>
      <c r="P75" s="233">
        <f>Refkalkulation!K$105</f>
        <v>0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0</v>
      </c>
      <c r="M76" s="233">
        <f>Refkalkulation!H$108</f>
        <v>0</v>
      </c>
      <c r="N76" s="273"/>
      <c r="O76" s="924">
        <f>P$76</f>
        <v>0</v>
      </c>
      <c r="P76" s="233">
        <f>Refkalkulation!K$108</f>
        <v>0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Refkalkulation!H$111</f>
        <v>0.5</v>
      </c>
      <c r="N77" s="273"/>
      <c r="O77" s="762">
        <f>P$77</f>
        <v>0.5</v>
      </c>
      <c r="P77" s="233">
        <f>Refkalkulation!K$111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Refkalkulation!H$110</f>
        <v>0</v>
      </c>
      <c r="N78" s="122"/>
      <c r="O78" s="135">
        <f>P$78</f>
        <v>0</v>
      </c>
      <c r="P78" s="122">
        <f>Refkalkulation!K$110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</v>
      </c>
      <c r="M79" s="233">
        <f>Refkalkulation!H$117</f>
        <v>0</v>
      </c>
      <c r="N79" s="273"/>
      <c r="O79" s="135">
        <f>P$79</f>
        <v>0.1</v>
      </c>
      <c r="P79" s="233">
        <f>Refkalkulation!K$117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Refkalkulation!H$123</f>
        <v>0.12</v>
      </c>
      <c r="N80" s="273"/>
      <c r="O80" s="135">
        <f>P$80</f>
        <v>0.12</v>
      </c>
      <c r="P80" s="233">
        <f>Refkalkulation!K$123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Refkalkulation!H$127</f>
        <v>0</v>
      </c>
      <c r="N81" s="273"/>
      <c r="O81" s="135">
        <f>P$81</f>
        <v>0</v>
      </c>
      <c r="P81" s="233">
        <f>Refkalkulation!K$127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Refkalkulation!H$128</f>
        <v>0</v>
      </c>
      <c r="N82" s="273"/>
      <c r="O82" s="135">
        <f>P$82</f>
        <v>0</v>
      </c>
      <c r="P82" s="233">
        <f>Refkalkulation!K$128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 x14ac:dyDescent="0.2"/>
  </sheetData>
  <sheetProtection algorithmName="SHA-512" hashValue="My1BNl8euTzPfdWtfJk9ZftPeU4vkFPY815tPFyl/fAw0EWvzgPrYIYOZMAfezKvjT6hebyUSTvWY7oozeXa/w==" saltValue="SzOeTPyv7aPr9y7UPQP1pw==" spinCount="100000" sheet="1" objects="1" scenarios="1"/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88" priority="65" stopIfTrue="1">
      <formula>VALUE(L12="Materialdatenbank")</formula>
    </cfRule>
  </conditionalFormatting>
  <conditionalFormatting sqref="O36 R36 L36">
    <cfRule type="cellIs" dxfId="187" priority="66" stopIfTrue="1" operator="notBetween">
      <formula>$E$36</formula>
      <formula>$F$36</formula>
    </cfRule>
  </conditionalFormatting>
  <conditionalFormatting sqref="L11 L20 O20 R20 O11 R11">
    <cfRule type="expression" dxfId="186" priority="70" stopIfTrue="1">
      <formula>K$11=0</formula>
    </cfRule>
  </conditionalFormatting>
  <conditionalFormatting sqref="L44">
    <cfRule type="cellIs" dxfId="185" priority="71" stopIfTrue="1" operator="lessThan">
      <formula>$E44</formula>
    </cfRule>
  </conditionalFormatting>
  <conditionalFormatting sqref="R37:R43 O37:O43 L37:L43">
    <cfRule type="cellIs" dxfId="184" priority="72" stopIfTrue="1" operator="greaterThan">
      <formula>M$36</formula>
    </cfRule>
  </conditionalFormatting>
  <conditionalFormatting sqref="O8:O9 R8:R9 L9">
    <cfRule type="cellIs" dxfId="183" priority="73" operator="equal">
      <formula>"?"</formula>
    </cfRule>
  </conditionalFormatting>
  <conditionalFormatting sqref="X4:X5">
    <cfRule type="cellIs" dxfId="182" priority="74" operator="equal">
      <formula>FALSE</formula>
    </cfRule>
  </conditionalFormatting>
  <conditionalFormatting sqref="L13 O13 R13">
    <cfRule type="cellIs" dxfId="181" priority="431" operator="notBetween">
      <formula>$E13</formula>
      <formula>$F13</formula>
    </cfRule>
  </conditionalFormatting>
  <conditionalFormatting sqref="L28">
    <cfRule type="expression" dxfId="180" priority="60" stopIfTrue="1">
      <formula>VALUE(#REF!="Materialdatenbank")</formula>
    </cfRule>
  </conditionalFormatting>
  <conditionalFormatting sqref="L29">
    <cfRule type="expression" dxfId="179" priority="59" stopIfTrue="1">
      <formula>VALUE(#REF!="Materialdatenbank")</formula>
    </cfRule>
  </conditionalFormatting>
  <conditionalFormatting sqref="L30">
    <cfRule type="expression" dxfId="178" priority="58" stopIfTrue="1">
      <formula>VALUE(#REF!="Materialdatenbank")</formula>
    </cfRule>
  </conditionalFormatting>
  <conditionalFormatting sqref="O28">
    <cfRule type="expression" dxfId="177" priority="57" stopIfTrue="1">
      <formula>VALUE(#REF!="Materialdatenbank")</formula>
    </cfRule>
  </conditionalFormatting>
  <conditionalFormatting sqref="O29">
    <cfRule type="expression" dxfId="176" priority="56" stopIfTrue="1">
      <formula>VALUE(#REF!="Materialdatenbank")</formula>
    </cfRule>
  </conditionalFormatting>
  <conditionalFormatting sqref="O30">
    <cfRule type="expression" dxfId="175" priority="55" stopIfTrue="1">
      <formula>VALUE(#REF!="Materialdatenbank")</formula>
    </cfRule>
  </conditionalFormatting>
  <conditionalFormatting sqref="R28">
    <cfRule type="expression" dxfId="174" priority="42" stopIfTrue="1">
      <formula>VALUE(#REF!="Materialdatenbank")</formula>
    </cfRule>
  </conditionalFormatting>
  <conditionalFormatting sqref="R29">
    <cfRule type="expression" dxfId="173" priority="41" stopIfTrue="1">
      <formula>VALUE(#REF!="Materialdatenbank")</formula>
    </cfRule>
  </conditionalFormatting>
  <conditionalFormatting sqref="R30">
    <cfRule type="expression" dxfId="172" priority="40" stopIfTrue="1">
      <formula>VALUE(#REF!="Materialdatenbank")</formula>
    </cfRule>
  </conditionalFormatting>
  <conditionalFormatting sqref="L25">
    <cfRule type="expression" dxfId="171" priority="23" stopIfTrue="1">
      <formula>VALUE(#REF!="Materialdatenbank")</formula>
    </cfRule>
  </conditionalFormatting>
  <conditionalFormatting sqref="O25">
    <cfRule type="expression" dxfId="170" priority="22" stopIfTrue="1">
      <formula>VALUE(#REF!="Materialdatenbank")</formula>
    </cfRule>
  </conditionalFormatting>
  <conditionalFormatting sqref="R25">
    <cfRule type="expression" dxfId="169" priority="21" stopIfTrue="1">
      <formula>VALUE(#REF!="Materialdatenbank")</formula>
    </cfRule>
  </conditionalFormatting>
  <conditionalFormatting sqref="L26">
    <cfRule type="expression" dxfId="168" priority="17" stopIfTrue="1">
      <formula>VALUE(#REF!="Materialdatenbank")</formula>
    </cfRule>
  </conditionalFormatting>
  <conditionalFormatting sqref="O26">
    <cfRule type="expression" dxfId="167" priority="16" stopIfTrue="1">
      <formula>VALUE(#REF!="Materialdatenbank")</formula>
    </cfRule>
  </conditionalFormatting>
  <conditionalFormatting sqref="R26">
    <cfRule type="expression" dxfId="166" priority="15" stopIfTrue="1">
      <formula>VALUE(#REF!="Materialdatenbank")</formula>
    </cfRule>
  </conditionalFormatting>
  <conditionalFormatting sqref="L27">
    <cfRule type="expression" dxfId="165" priority="11" stopIfTrue="1">
      <formula>VALUE(#REF!="Materialdatenbank")</formula>
    </cfRule>
  </conditionalFormatting>
  <conditionalFormatting sqref="O27">
    <cfRule type="expression" dxfId="164" priority="10" stopIfTrue="1">
      <formula>VALUE(#REF!="Materialdatenbank")</formula>
    </cfRule>
  </conditionalFormatting>
  <conditionalFormatting sqref="R27">
    <cfRule type="expression" dxfId="163" priority="9" stopIfTrue="1">
      <formula>VALUE(#REF!="Materialdatenbank")</formula>
    </cfRule>
  </conditionalFormatting>
  <conditionalFormatting sqref="L8">
    <cfRule type="cellIs" dxfId="162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4"/>
  <sheetViews>
    <sheetView tabSelected="1" zoomScaleNormal="100" workbookViewId="0">
      <pane xSplit="6" ySplit="8" topLeftCell="G9" activePane="bottomRight" state="frozenSplit"/>
      <selection activeCell="L30" sqref="L30"/>
      <selection pane="topRight" activeCell="L30" sqref="L30"/>
      <selection pane="bottomLeft" activeCell="L30" sqref="L30"/>
      <selection pane="bottomRight" activeCell="H115" sqref="H115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OR(ISERROR(H131),H5="?",H5=0,H12=0,H16=0,H24=0)</f>
        <v>1</v>
      </c>
      <c r="I2" s="67"/>
      <c r="J2" s="67"/>
      <c r="K2" s="376" t="b">
        <f>OR(ISERROR(K131),K5="?",K5=0,K12=0,K16=0,K24=0)</f>
        <v>1</v>
      </c>
      <c r="L2" s="67"/>
      <c r="M2" s="67"/>
      <c r="N2" s="376" t="b">
        <f>OR(ISERROR(N131),N5="?",N5=0,N12=0,N16=0,N24=0)</f>
        <v>1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1</v>
      </c>
      <c r="I3" s="67"/>
      <c r="J3" s="67"/>
      <c r="K3" s="917" t="b">
        <f>K2</f>
        <v>1</v>
      </c>
      <c r="L3" s="67"/>
      <c r="M3" s="67"/>
      <c r="N3" s="377" t="b">
        <f>N2</f>
        <v>1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1</v>
      </c>
      <c r="I4" s="90"/>
      <c r="J4" s="90"/>
      <c r="K4" s="378" t="b">
        <f>K3</f>
        <v>1</v>
      </c>
      <c r="L4" s="90"/>
      <c r="M4" s="90"/>
      <c r="N4" s="378" t="b">
        <f>N3</f>
        <v>1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3" t="str">
        <f>IF(Deutsch,"Artikel (Nr.  /  Bezeichnung)","part (no. / name)")</f>
        <v>Artikel (Nr.  /  Bezeichnung)</v>
      </c>
      <c r="E5" s="1224"/>
      <c r="F5" s="1225"/>
      <c r="G5" s="610"/>
      <c r="H5" s="773" t="str">
        <f>'Quick Input'!M$8</f>
        <v>?</v>
      </c>
      <c r="I5" s="618" t="s">
        <v>285</v>
      </c>
      <c r="J5" s="618"/>
      <c r="K5" s="773" t="str">
        <f>'Quick Input'!P$8</f>
        <v>?</v>
      </c>
      <c r="L5" s="618" t="s">
        <v>285</v>
      </c>
      <c r="M5" s="618"/>
      <c r="N5" s="773" t="str">
        <f>'Quick Input'!S$8</f>
        <v>?</v>
      </c>
      <c r="O5" s="489" t="s">
        <v>285</v>
      </c>
      <c r="Y5" s="55" t="s">
        <v>33</v>
      </c>
    </row>
    <row r="6" spans="1:25" ht="15" thickBot="1" x14ac:dyDescent="0.25">
      <c r="D6" s="1226"/>
      <c r="E6" s="1227"/>
      <c r="F6" s="1228"/>
      <c r="G6" s="611"/>
      <c r="H6" s="68" t="str">
        <f>'Quick Input'!M$9</f>
        <v>?</v>
      </c>
      <c r="I6" s="619" t="s">
        <v>285</v>
      </c>
      <c r="J6" s="619"/>
      <c r="K6" s="70" t="str">
        <f>'Quick Input'!P9</f>
        <v>?</v>
      </c>
      <c r="L6" s="503" t="s">
        <v>750</v>
      </c>
      <c r="M6" s="78"/>
      <c r="N6" s="70" t="str">
        <f>'Quick Input'!S9</f>
        <v>?</v>
      </c>
      <c r="O6" s="1188" t="s">
        <v>750</v>
      </c>
      <c r="Y6" s="55" t="s">
        <v>33</v>
      </c>
    </row>
    <row r="7" spans="1:25" ht="15.75" customHeight="1" thickBot="1" x14ac:dyDescent="0.25">
      <c r="D7" s="1243" t="str">
        <f>'Quick Input'!$I$45</f>
        <v>Produktionsregion</v>
      </c>
      <c r="E7" s="1244"/>
      <c r="F7" s="1245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Deutschland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6" t="str">
        <f>'Quick Input'!$I$4</f>
        <v>Datum</v>
      </c>
      <c r="E8" s="1247"/>
      <c r="F8" s="1248"/>
      <c r="G8" s="615"/>
      <c r="H8" s="663">
        <f>'Quick Input'!M$34</f>
        <v>44532</v>
      </c>
      <c r="I8" s="625" t="s">
        <v>285</v>
      </c>
      <c r="J8" s="625"/>
      <c r="K8" s="663">
        <f>'Quick Input'!P$34</f>
        <v>44532</v>
      </c>
      <c r="L8" s="87" t="s">
        <v>285</v>
      </c>
      <c r="M8" s="87"/>
      <c r="N8" s="663">
        <f>'Quick Input'!S$34</f>
        <v>44532</v>
      </c>
      <c r="O8" s="1188" t="s">
        <v>285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Materialien</v>
      </c>
      <c r="E9" s="1241"/>
      <c r="F9" s="1242"/>
      <c r="G9" s="611"/>
      <c r="H9" s="662" t="str">
        <f>'Quick Input'!M$10</f>
        <v>EN AC-43100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611"/>
      <c r="H10" s="662" t="str">
        <f>'Quick Input'!M$11</f>
        <v>Al Si10Mg(b)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611"/>
      <c r="H11" s="662" t="str">
        <f>IFERROR(VLOOKUP(H$9,DB_Material,4,FALSE),"")</f>
        <v>L239 (b)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2.29</v>
      </c>
      <c r="I12" s="619" t="s">
        <v>285</v>
      </c>
      <c r="J12" s="619"/>
      <c r="K12" s="872">
        <f>'Quick Input'!P$13</f>
        <v>2.29</v>
      </c>
      <c r="L12" s="78" t="s">
        <v>285</v>
      </c>
      <c r="M12" s="78"/>
      <c r="N12" s="872">
        <f>'Quick Input'!S$13</f>
        <v>2.29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Daten aus 0.0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Daten aus 0.0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Daten aus 0.0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 t="str">
        <f>'Quick Input'!M$19</f>
        <v>?</v>
      </c>
      <c r="I14" s="619" t="s">
        <v>285</v>
      </c>
      <c r="J14" s="619"/>
      <c r="K14" s="579" t="str">
        <f>'Quick Input'!P$19</f>
        <v>?</v>
      </c>
      <c r="L14" s="78" t="s">
        <v>285</v>
      </c>
      <c r="M14" s="78"/>
      <c r="N14" s="579" t="str">
        <f>'Quick Input'!S$19</f>
        <v>?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 t="e">
        <f>H$14*H$12</f>
        <v>#VALUE!</v>
      </c>
      <c r="I15" s="619" t="s">
        <v>285</v>
      </c>
      <c r="J15" s="619"/>
      <c r="K15" s="74" t="e">
        <f>K$14*K$12</f>
        <v>#VALUE!</v>
      </c>
      <c r="L15" s="78" t="s">
        <v>285</v>
      </c>
      <c r="M15" s="78"/>
      <c r="N15" s="74" t="e">
        <f>N$14*N$12</f>
        <v>#VALUE!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0</v>
      </c>
      <c r="I16" s="620"/>
      <c r="J16" s="620"/>
      <c r="K16" s="119">
        <v>0</v>
      </c>
      <c r="L16" s="870"/>
      <c r="M16" s="355"/>
      <c r="N16" s="119">
        <v>0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 t="e">
        <f>H$15*(1+Parametrikber!F$42)*H$16</f>
        <v>#VALUE!</v>
      </c>
      <c r="I17" s="619" t="s">
        <v>285</v>
      </c>
      <c r="J17" s="619"/>
      <c r="K17" s="74" t="e">
        <f>K$15*(1+Parametrikber!I$42)*K$16</f>
        <v>#VALUE!</v>
      </c>
      <c r="L17" s="78" t="s">
        <v>285</v>
      </c>
      <c r="M17" s="78"/>
      <c r="N17" s="74" t="e">
        <f>N$15*(1+Parametrikber!L$42)*N$16</f>
        <v>#VALUE!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 t="e">
        <f>H15+H17</f>
        <v>#VALUE!</v>
      </c>
      <c r="I18" s="619" t="s">
        <v>285</v>
      </c>
      <c r="J18" s="619"/>
      <c r="K18" s="85" t="e">
        <f>K15+K17</f>
        <v>#VALUE!</v>
      </c>
      <c r="L18" s="619" t="s">
        <v>285</v>
      </c>
      <c r="M18" s="619"/>
      <c r="N18" s="85" t="e">
        <f>N15+N17</f>
        <v>#VALUE!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 t="e">
        <f>Parametrikber!F$75</f>
        <v>#VALUE!</v>
      </c>
      <c r="I19" s="619" t="s">
        <v>285</v>
      </c>
      <c r="J19" s="619"/>
      <c r="K19" s="579" t="e">
        <f>Parametrikber!I$75</f>
        <v>#VALUE!</v>
      </c>
      <c r="L19" s="619" t="s">
        <v>285</v>
      </c>
      <c r="M19" s="619"/>
      <c r="N19" s="579" t="e">
        <f>Parametrikber!L$75</f>
        <v>#VALUE!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 t="e">
        <f>H$19*('Länder-DB'!$M$23*'Länder-DB'!$M$25/1000+Parametrikber!F$79)</f>
        <v>#VALUE!</v>
      </c>
      <c r="I20" s="619" t="s">
        <v>285</v>
      </c>
      <c r="J20" s="619"/>
      <c r="K20" s="74" t="e">
        <f>K$19*('Länder-DB'!$M$23*'Länder-DB'!$M$25/1000+Parametrikber!I$79)</f>
        <v>#VALUE!</v>
      </c>
      <c r="L20" s="619" t="s">
        <v>285</v>
      </c>
      <c r="M20" s="619"/>
      <c r="N20" s="74" t="e">
        <f>N$19*('Länder-DB'!$M$23*'Länder-DB'!$M$25/1000+Parametrikber!L$79)</f>
        <v>#VALUE!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 t="e">
        <f>'Länder-DB'!$M$39*H$33/1000*(1+Parametrikber!F224)</f>
        <v>#VALUE!</v>
      </c>
      <c r="I21" s="619" t="s">
        <v>285</v>
      </c>
      <c r="J21" s="619"/>
      <c r="K21" s="74" t="e">
        <f>'Länder-DB'!$M$39*K$33/1000*(1+Parametrikber!I224)</f>
        <v>#VALUE!</v>
      </c>
      <c r="L21" s="503" t="s">
        <v>285</v>
      </c>
      <c r="M21" s="503"/>
      <c r="N21" s="74" t="e">
        <f>'Länder-DB'!$M$39*N$33/1000*(1+Parametrikber!L224)</f>
        <v>#VALUE!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 t="e">
        <f>Parametrikber!F$205</f>
        <v>#DIV/0!</v>
      </c>
      <c r="I22" s="619" t="s">
        <v>285</v>
      </c>
      <c r="J22" s="607"/>
      <c r="K22" s="74" t="e">
        <f>Parametrikber!I$205</f>
        <v>#DIV/0!</v>
      </c>
      <c r="L22" s="503" t="s">
        <v>285</v>
      </c>
      <c r="M22" s="166"/>
      <c r="N22" s="74" t="e">
        <f>Parametrikber!L$205</f>
        <v>#DIV/0!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 t="e">
        <f>H$20+H$21+H$22</f>
        <v>#VALUE!</v>
      </c>
      <c r="I23" s="619" t="s">
        <v>285</v>
      </c>
      <c r="J23" s="619"/>
      <c r="K23" s="85" t="e">
        <f>K$20+K$21+K$22</f>
        <v>#VALUE!</v>
      </c>
      <c r="L23" s="619" t="s">
        <v>285</v>
      </c>
      <c r="M23" s="619"/>
      <c r="N23" s="85" t="e">
        <f t="shared" ref="N23" si="0">N$20+N$21+N$22</f>
        <v>#VALUE!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0</v>
      </c>
      <c r="I24" s="620"/>
      <c r="J24" s="620"/>
      <c r="K24" s="119">
        <v>0</v>
      </c>
      <c r="L24" s="355"/>
      <c r="M24" s="355"/>
      <c r="N24" s="119">
        <v>0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 t="e">
        <f>(H$18+H$23)*H$24</f>
        <v>#VALUE!</v>
      </c>
      <c r="I25" s="619" t="s">
        <v>285</v>
      </c>
      <c r="J25" s="619"/>
      <c r="K25" s="85" t="e">
        <f>(K$18+K$23)*K$24</f>
        <v>#VALUE!</v>
      </c>
      <c r="L25" s="619" t="s">
        <v>285</v>
      </c>
      <c r="M25" s="619"/>
      <c r="N25" s="85" t="e">
        <f t="shared" ref="N25" si="1">(N$18+N$23)*N$24</f>
        <v>#VALUE!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 t="e">
        <f>H$18+H$23+H$25</f>
        <v>#VALUE!</v>
      </c>
      <c r="I26" s="857" t="s">
        <v>285</v>
      </c>
      <c r="J26" s="858"/>
      <c r="K26" s="77" t="e">
        <f>K$18+K$23+K$25</f>
        <v>#VALUE!</v>
      </c>
      <c r="L26" s="857" t="s">
        <v>285</v>
      </c>
      <c r="M26" s="858"/>
      <c r="N26" s="77" t="e">
        <f>N$18+N$23+N$25</f>
        <v>#VALUE!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9" t="str">
        <f>IF(Deutsch,"Prozess Schmelzen","melting process")</f>
        <v>Prozess Schmelzen</v>
      </c>
      <c r="E28" s="1235"/>
      <c r="F28" s="1236"/>
      <c r="G28" s="900"/>
      <c r="H28" s="901" t="e">
        <f>CONCATENATE(VLOOKUP(Parametrikber!F$98,DB_Ofen,11,FALSE),"-",IF(Deutsch,"Ofen","oven"))</f>
        <v>#VALUE!</v>
      </c>
      <c r="I28" s="618" t="s">
        <v>285</v>
      </c>
      <c r="J28" s="618"/>
      <c r="K28" s="901" t="e">
        <f>CONCATENATE(VLOOKUP(Parametrikber!I$98,DB_Ofen,11,FALSE),"-",IF(Deutsch,"Ofen","oven"))</f>
        <v>#VALUE!</v>
      </c>
      <c r="L28" s="266" t="s">
        <v>285</v>
      </c>
      <c r="M28" s="266"/>
      <c r="N28" s="901" t="e">
        <f>CONCATENATE(VLOOKUP(Parametrikber!L$98,DB_Ofen,11,FALSE),"-",IF(Deutsch,"Ofen","oven"))</f>
        <v>#VALUE!</v>
      </c>
      <c r="O28" s="1189" t="s">
        <v>285</v>
      </c>
      <c r="Y28" s="55" t="s">
        <v>33</v>
      </c>
    </row>
    <row r="29" spans="1:25" ht="12.75" customHeight="1" thickBot="1" x14ac:dyDescent="0.25">
      <c r="D29" s="1237"/>
      <c r="E29" s="1238"/>
      <c r="F29" s="1239"/>
      <c r="G29" s="859"/>
      <c r="H29" s="576" t="e">
        <f>CONCATENATE(VLOOKUP(Parametrikber!F98,DB_Ofen,5,FALSE)," kg / ",VLOOKUP(Parametrikber!F$98,DB_Ofen,2,FALSE))</f>
        <v>#VALUE!</v>
      </c>
      <c r="I29" s="619" t="s">
        <v>285</v>
      </c>
      <c r="J29" s="619"/>
      <c r="K29" s="576" t="e">
        <f>CONCATENATE(VLOOKUP(Parametrikber!I98,DB_Ofen,5,FALSE)," kg / ",VLOOKUP(Parametrikber!I$98,DB_Ofen,2,FALSE))</f>
        <v>#VALUE!</v>
      </c>
      <c r="L29" s="619" t="s">
        <v>285</v>
      </c>
      <c r="M29" s="619"/>
      <c r="N29" s="576" t="e">
        <f>CONCATENATE(VLOOKUP(Parametrikber!L98,DB_Ofen,5,FALSE)," kg / ",VLOOKUP(Parametrikber!L$98,DB_Ofen,2,FALSE))</f>
        <v>#VALUE!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0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0</v>
      </c>
      <c r="I31" s="78"/>
      <c r="J31" s="609"/>
      <c r="K31" s="121">
        <v>0</v>
      </c>
      <c r="L31" s="78"/>
      <c r="M31" s="609"/>
      <c r="N31" s="121">
        <v>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 t="e">
        <f>VLOOKUP(Parametrikber!F$98,DB_Ofen,7,FALSE)</f>
        <v>#VALUE!</v>
      </c>
      <c r="I32" s="683" t="str">
        <f>IFERROR(VLOOKUP(H$30,Auswahlfelder!$D$71:$D$73,1,FALSE),VLOOKUP(H$30,Auswahlfelder!$C$71:$D$73,2,FALSE))</f>
        <v>Gas</v>
      </c>
      <c r="J32" s="619"/>
      <c r="K32" s="80" t="e">
        <f>VLOOKUP(Parametrikber!I$98,DB_Ofen,7,FALSE)</f>
        <v>#VALUE!</v>
      </c>
      <c r="L32" s="683" t="str">
        <f>IFERROR(VLOOKUP(K$30,Auswahlfelder!$D$71:$D$73,1,FALSE),VLOOKUP(K$30,Auswahlfelder!$C$71:$D$73,2,FALSE))</f>
        <v>Gas</v>
      </c>
      <c r="M32" s="619"/>
      <c r="N32" s="80" t="e">
        <f>VLOOKUP(Parametrikber!L$98,DB_Ofen,7,FALSE)</f>
        <v>#VALUE!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 t="e">
        <f>Parametrikber!F$40/H$50*(1+H$16)</f>
        <v>#VALUE!</v>
      </c>
      <c r="I33" s="619" t="s">
        <v>285</v>
      </c>
      <c r="J33" s="619"/>
      <c r="K33" s="493" t="e">
        <f>Parametrikber!I$40/K$50*(1+K$16)</f>
        <v>#VALUE!</v>
      </c>
      <c r="L33" s="78" t="s">
        <v>285</v>
      </c>
      <c r="M33" s="78"/>
      <c r="N33" s="493" t="e">
        <f>Parametrikber!L$40/N$50*(1+N$16)</f>
        <v>#VALUE!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 t="e">
        <f>Parametrikber!F$101/H32*60+VLOOKUP(Parametrikber!F$98,DB_Ofen,14,FALSE)</f>
        <v>#VALUE!</v>
      </c>
      <c r="I34" s="619" t="s">
        <v>285</v>
      </c>
      <c r="J34" s="619"/>
      <c r="K34" s="114" t="e">
        <f>Parametrikber!I$101/K32*60+VLOOKUP(Parametrikber!I$98,DB_Ofen,14,FALSE)</f>
        <v>#VALUE!</v>
      </c>
      <c r="L34" s="78" t="s">
        <v>285</v>
      </c>
      <c r="M34" s="78"/>
      <c r="N34" s="114" t="e">
        <f>Parametrikber!L$101/N32*60+VLOOKUP(Parametrikber!L$98,DB_Ofen,14,FALSE)</f>
        <v>#VALUE!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 t="e">
        <f>Parametrikber!F$108</f>
        <v>#VALUE!</v>
      </c>
      <c r="I35" s="619" t="s">
        <v>285</v>
      </c>
      <c r="J35" s="619"/>
      <c r="K35" s="136" t="e">
        <f>Parametrikber!I$108</f>
        <v>#VALUE!</v>
      </c>
      <c r="L35" s="78" t="s">
        <v>285</v>
      </c>
      <c r="M35" s="78"/>
      <c r="N35" s="136" t="e">
        <f>Parametrikber!L$108</f>
        <v>#VALUE!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 t="e">
        <f>H$34/60*H$33/Parametrikber!F$101*H$35</f>
        <v>#VALUE!</v>
      </c>
      <c r="I36" s="619" t="s">
        <v>285</v>
      </c>
      <c r="J36" s="619"/>
      <c r="K36" s="85" t="e">
        <f>K$34/60*K$33/Parametrikber!I$101*K$35</f>
        <v>#VALUE!</v>
      </c>
      <c r="L36" s="619" t="s">
        <v>285</v>
      </c>
      <c r="M36" s="619"/>
      <c r="N36" s="85" t="e">
        <f>N$34/60*N$33/Parametrikber!L$101*N$35</f>
        <v>#VALUE!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 t="e">
        <f>VLOOKUP(Parametrikber!F$98,DB_Ofen,12,FALSE)</f>
        <v>#VALUE!</v>
      </c>
      <c r="I37" s="619" t="s">
        <v>285</v>
      </c>
      <c r="J37" s="619"/>
      <c r="K37" s="80" t="e">
        <f>VLOOKUP(Parametrikber!I$98,DB_Ofen,12,FALSE)</f>
        <v>#VALUE!</v>
      </c>
      <c r="L37" s="619" t="s">
        <v>285</v>
      </c>
      <c r="M37" s="619"/>
      <c r="N37" s="80" t="e">
        <f>VLOOKUP(Parametrikber!L$98,DB_Ofen,12,FALSE)</f>
        <v>#VALUE!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5.2999999999999999E-2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 t="e">
        <f>H$33*H$37*H$38</f>
        <v>#VALUE!</v>
      </c>
      <c r="I39" s="619" t="s">
        <v>285</v>
      </c>
      <c r="J39" s="619"/>
      <c r="K39" s="85" t="e">
        <f>K$33*K$37*K$38</f>
        <v>#VALUE!</v>
      </c>
      <c r="L39" s="78" t="s">
        <v>285</v>
      </c>
      <c r="M39" s="78"/>
      <c r="N39" s="85" t="e">
        <f>N$33*N$37*N$38</f>
        <v>#VALUE!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29.420724999999997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 t="e">
        <f>H$33*(1+H$16)/Parametrikber!F$101*H$34/60*H$40*H$41</f>
        <v>#VALUE!</v>
      </c>
      <c r="I42" s="619" t="s">
        <v>285</v>
      </c>
      <c r="J42" s="619"/>
      <c r="K42" s="85" t="e">
        <f>K$33*(1+K$16)/Parametrikber!I$101*K$34/60*K$40*K$41</f>
        <v>#VALUE!</v>
      </c>
      <c r="L42" s="78" t="s">
        <v>285</v>
      </c>
      <c r="M42" s="78"/>
      <c r="N42" s="85" t="e">
        <f>N$33*(1+N$16)/Parametrikber!L$101*N$34/60*N$40*N$41</f>
        <v>#VALUE!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23.2</v>
      </c>
      <c r="I43" s="619" t="s">
        <v>285</v>
      </c>
      <c r="J43" s="619"/>
      <c r="K43" s="81">
        <f>Parametrikber!I223</f>
        <v>23.2</v>
      </c>
      <c r="L43" s="78" t="s">
        <v>285</v>
      </c>
      <c r="M43" s="78"/>
      <c r="N43" s="81">
        <f>Parametrikber!L223</f>
        <v>23.2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13.884145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 t="e">
        <f>H$43/60*H$44*H$33/Parametrikber!F$101</f>
        <v>#VALUE!</v>
      </c>
      <c r="I45" s="619" t="s">
        <v>285</v>
      </c>
      <c r="J45" s="619"/>
      <c r="K45" s="85" t="e">
        <f>K$43/60*K$44*K$33/Parametrikber!I$101</f>
        <v>#VALUE!</v>
      </c>
      <c r="L45" s="78" t="s">
        <v>285</v>
      </c>
      <c r="M45" s="78"/>
      <c r="N45" s="85" t="e">
        <f>N$43/60*N$44*N$33/Parametrikber!L$101</f>
        <v>#VALUE!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H$70+H$92</f>
        <v>0</v>
      </c>
      <c r="I46" s="620"/>
      <c r="J46" s="620"/>
      <c r="K46" s="918">
        <f>K$70+K$92</f>
        <v>0</v>
      </c>
      <c r="L46" s="620"/>
      <c r="M46" s="620"/>
      <c r="N46" s="918">
        <f>N$70+N$92</f>
        <v>0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 t="e">
        <f>(H42+H36+H39+H45)*(1+H46)</f>
        <v>#VALUE!</v>
      </c>
      <c r="I47" s="1020" t="s">
        <v>285</v>
      </c>
      <c r="J47" s="1020"/>
      <c r="K47" s="1019" t="e">
        <f>(K42+K36+K39+K45)*(1+K46)</f>
        <v>#VALUE!</v>
      </c>
      <c r="L47" s="1021" t="s">
        <v>285</v>
      </c>
      <c r="M47" s="1021"/>
      <c r="N47" s="1019" t="e">
        <f>(N42+N36+N39+N45)*(1+N46)</f>
        <v>#VALUE!</v>
      </c>
      <c r="O47" s="1192" t="s">
        <v>285</v>
      </c>
    </row>
    <row r="48" spans="2:15" ht="24.75" thickBot="1" x14ac:dyDescent="0.25">
      <c r="D48" s="1237" t="str">
        <f>IF(Deutsch,"Prozess Formen","sand forming process")</f>
        <v>Prozess Formen</v>
      </c>
      <c r="E48" s="1238"/>
      <c r="F48" s="1239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automatisch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automatisch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1</v>
      </c>
      <c r="H49" s="114">
        <f>IFERROR(Parametrikber!F$131,1)</f>
        <v>1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0</v>
      </c>
      <c r="I50" s="620"/>
      <c r="J50" s="620"/>
      <c r="K50" s="121">
        <v>0</v>
      </c>
      <c r="L50" s="355"/>
      <c r="M50" s="355"/>
      <c r="N50" s="121">
        <v>0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1</v>
      </c>
      <c r="H51" s="114">
        <f>Parametrikber!F$70</f>
        <v>1</v>
      </c>
      <c r="I51" s="619" t="s">
        <v>285</v>
      </c>
      <c r="J51" s="619"/>
      <c r="K51" s="114">
        <f>Parametrikber!I$70</f>
        <v>1</v>
      </c>
      <c r="L51" s="619" t="s">
        <v>285</v>
      </c>
      <c r="M51" s="619"/>
      <c r="N51" s="114">
        <f>Parametrikber!L$70</f>
        <v>1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0</v>
      </c>
      <c r="I52" s="621"/>
      <c r="J52" s="621"/>
      <c r="K52" s="121">
        <v>0</v>
      </c>
      <c r="L52" s="479"/>
      <c r="M52" s="479"/>
      <c r="N52" s="121">
        <v>0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0x0x0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0x0x0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0x0x0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0</v>
      </c>
      <c r="I54" s="619" t="s">
        <v>285</v>
      </c>
      <c r="J54" s="619"/>
      <c r="K54" s="74">
        <f>Parametrikber!I$137</f>
        <v>0</v>
      </c>
      <c r="L54" s="78" t="s">
        <v>285</v>
      </c>
      <c r="M54" s="67"/>
      <c r="N54" s="74">
        <f>Parametrikber!L$137</f>
        <v>0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6</v>
      </c>
      <c r="I55" s="619" t="s">
        <v>285</v>
      </c>
      <c r="J55" s="619"/>
      <c r="K55" s="262">
        <f>Parametrikber!I$135</f>
        <v>6</v>
      </c>
      <c r="L55" s="78" t="s">
        <v>285</v>
      </c>
      <c r="M55" s="67"/>
      <c r="N55" s="262">
        <f>Parametrikber!L$135</f>
        <v>6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29.420724999999997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176.52434999999997</v>
      </c>
      <c r="I57" s="619" t="s">
        <v>285</v>
      </c>
      <c r="J57" s="619"/>
      <c r="K57" s="74">
        <f>K$54+K$55*K$56</f>
        <v>176.52434999999997</v>
      </c>
      <c r="L57" s="619" t="s">
        <v>285</v>
      </c>
      <c r="M57" s="607"/>
      <c r="N57" s="74">
        <f t="shared" ref="N57" si="2">N$54+N$55*N$56</f>
        <v>176.52434999999997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0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 t="e">
        <f>ROUND(Parametrikber!F$156,0)</f>
        <v>#VALUE!</v>
      </c>
      <c r="I59" s="683" t="str">
        <f>IFERROR(VLOOKUP(H$58,Auswahlfelder!$D$65:$D$68,1),VLOOKUP(H$58,Auswahlfelder!$C$65:$D$68,2,FALSE))</f>
        <v>ohne</v>
      </c>
      <c r="J59" s="607"/>
      <c r="K59" s="140" t="e">
        <f>ROUND(Parametrikber!I$156,0)</f>
        <v>#VALUE!</v>
      </c>
      <c r="L59" s="683" t="str">
        <f>IFERROR(VLOOKUP(K$58,Auswahlfelder!$D$65:$D$68,1),VLOOKUP(K$58,Auswahlfelder!$C$65:$D$68,2,FALSE))</f>
        <v>ohne</v>
      </c>
      <c r="M59" s="67"/>
      <c r="N59" s="140" t="e">
        <f>ROUND(Parametrikber!L$156,0)</f>
        <v>#VALUE!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0</v>
      </c>
      <c r="H60" s="85" t="e">
        <f>H$57/3600*H$59/H$50</f>
        <v>#VALUE!</v>
      </c>
      <c r="I60" s="619" t="s">
        <v>285</v>
      </c>
      <c r="J60" s="608">
        <f>K$50</f>
        <v>0</v>
      </c>
      <c r="K60" s="85" t="e">
        <f>K$57/3600*K$59/K$50</f>
        <v>#VALUE!</v>
      </c>
      <c r="L60" s="78" t="s">
        <v>285</v>
      </c>
      <c r="M60" s="584">
        <f>N$50</f>
        <v>0</v>
      </c>
      <c r="N60" s="85" t="e">
        <f>N$57/3600*N$59/N$50</f>
        <v>#VALUE!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0</v>
      </c>
      <c r="I61" s="620"/>
      <c r="J61" s="909"/>
      <c r="K61" s="121">
        <v>0</v>
      </c>
      <c r="L61" s="355"/>
      <c r="M61" s="288"/>
      <c r="N61" s="121">
        <v>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0</v>
      </c>
      <c r="J62" s="607"/>
      <c r="K62" s="114">
        <f>Parametrikber!I$109</f>
        <v>0</v>
      </c>
      <c r="M62" s="67"/>
      <c r="N62" s="114">
        <f>Parametrikber!L$109</f>
        <v>0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1</v>
      </c>
      <c r="I63" s="619" t="s">
        <v>285</v>
      </c>
      <c r="J63" s="607"/>
      <c r="K63" s="114">
        <f>Parametrikber!I$136</f>
        <v>1</v>
      </c>
      <c r="L63" s="78" t="s">
        <v>285</v>
      </c>
      <c r="M63" s="67"/>
      <c r="N63" s="114">
        <f>Parametrikber!L$136</f>
        <v>1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33.535694999999997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0</v>
      </c>
      <c r="I65" s="619" t="s">
        <v>285</v>
      </c>
      <c r="J65" s="607"/>
      <c r="K65" s="74">
        <f>K$62/60*(K$57+K$63*K$64)</f>
        <v>0</v>
      </c>
      <c r="L65" s="78" t="s">
        <v>285</v>
      </c>
      <c r="M65" s="67"/>
      <c r="N65" s="74">
        <f>N$62/60*(N$57+N$63*N$64)</f>
        <v>0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 t="e">
        <f>H$65/ROUNDUP(H$61,0)</f>
        <v>#DIV/0!</v>
      </c>
      <c r="I66" s="619" t="s">
        <v>285</v>
      </c>
      <c r="J66" s="607"/>
      <c r="K66" s="85" t="e">
        <f>K$65/ROUNDUP(K$61,0)</f>
        <v>#DIV/0!</v>
      </c>
      <c r="L66" s="619" t="s">
        <v>285</v>
      </c>
      <c r="M66" s="607"/>
      <c r="N66" s="85" t="e">
        <f>N$65/ROUNDUP(N$61,0)</f>
        <v>#DIV/0!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0</v>
      </c>
      <c r="H68" s="74">
        <f>Parametrikber!F$117</f>
        <v>0</v>
      </c>
      <c r="I68" s="609">
        <f>Parametrikber!F$115</f>
        <v>0</v>
      </c>
      <c r="J68" s="609">
        <f>Parametrikber!I$114</f>
        <v>0</v>
      </c>
      <c r="K68" s="74">
        <f>Parametrikber!I$117</f>
        <v>0</v>
      </c>
      <c r="L68" s="470">
        <f>Parametrikber!I115</f>
        <v>0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0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 t="e">
        <f t="shared" ref="H71" si="4">H$70*H$60</f>
        <v>#VALUE!</v>
      </c>
      <c r="I71" s="619" t="s">
        <v>285</v>
      </c>
      <c r="J71" s="619"/>
      <c r="K71" s="74" t="e">
        <f t="shared" ref="K71" si="5">K$70*K$60</f>
        <v>#VALUE!</v>
      </c>
      <c r="L71" s="619" t="s">
        <v>285</v>
      </c>
      <c r="M71" s="619"/>
      <c r="N71" s="74" t="e">
        <f t="shared" ref="N71" si="6">N$70*N$60</f>
        <v>#VALUE!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 t="e">
        <f>H$60+H$66+H$69+H$71</f>
        <v>#VALUE!</v>
      </c>
      <c r="I72" s="625" t="s">
        <v>285</v>
      </c>
      <c r="J72" s="854"/>
      <c r="K72" s="853" t="e">
        <f>K$60+K$66+K$69+K$71</f>
        <v>#VALUE!</v>
      </c>
      <c r="L72" s="625" t="s">
        <v>285</v>
      </c>
      <c r="M72" s="854"/>
      <c r="N72" s="853" t="e">
        <f t="shared" ref="N72" si="7">N$60+N$66+N$69+N$71</f>
        <v>#VALUE!</v>
      </c>
      <c r="O72" s="1192" t="s">
        <v>285</v>
      </c>
    </row>
    <row r="73" spans="2:15" ht="33" customHeight="1" thickBot="1" x14ac:dyDescent="0.25">
      <c r="D73" s="1249" t="str">
        <f>IF(Deutsch,"Nachbehandlung","after care")</f>
        <v>Nachbehandlung</v>
      </c>
      <c r="E73" s="1250"/>
      <c r="F73" s="1251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0</v>
      </c>
      <c r="I75" s="910"/>
      <c r="J75" s="910"/>
      <c r="K75" s="904">
        <v>0</v>
      </c>
      <c r="L75" s="911"/>
      <c r="M75" s="911"/>
      <c r="N75" s="904">
        <v>0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24.820870000000003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0</v>
      </c>
      <c r="I77" s="619" t="s">
        <v>285</v>
      </c>
      <c r="J77" s="619"/>
      <c r="K77" s="85">
        <f>(K74+K75)/60*K76</f>
        <v>0</v>
      </c>
      <c r="L77" s="619" t="s">
        <v>285</v>
      </c>
      <c r="M77" s="619"/>
      <c r="N77" s="85">
        <f t="shared" ref="N77" si="8">(N74+N75)/60*N76</f>
        <v>0</v>
      </c>
      <c r="O77" s="1188" t="s">
        <v>285</v>
      </c>
    </row>
    <row r="78" spans="2:15" ht="15" thickBot="1" x14ac:dyDescent="0.25">
      <c r="C78" s="78"/>
      <c r="D78" s="1206" t="str">
        <f>IF(Deutsch,"Prozesszeit Strahlen (sec)","process time sand blasting (sec)")</f>
        <v>Prozesszeit Strahlen (sec)</v>
      </c>
      <c r="E78" s="1207"/>
      <c r="F78" s="1205"/>
      <c r="G78" s="611"/>
      <c r="H78" s="140">
        <f>Parametrikber!F$235</f>
        <v>21.333333333333332</v>
      </c>
      <c r="I78" s="619" t="s">
        <v>285</v>
      </c>
      <c r="J78" s="619"/>
      <c r="K78" s="140">
        <f>Parametrikber!I$235</f>
        <v>21.333333333333332</v>
      </c>
      <c r="L78" s="619" t="s">
        <v>285</v>
      </c>
      <c r="M78" s="619"/>
      <c r="N78" s="140">
        <f>Parametrikber!L$235</f>
        <v>21.333333333333332</v>
      </c>
      <c r="O78" s="1188" t="s">
        <v>285</v>
      </c>
    </row>
    <row r="79" spans="2:15" ht="15" thickBot="1" x14ac:dyDescent="0.25">
      <c r="C79" s="78"/>
      <c r="D79" s="1206" t="str">
        <f>IF(Deutsch,"Strahlkosten (€/Std.)","blasting costs (€/h)")</f>
        <v>Strahlkosten (€/Std.)</v>
      </c>
      <c r="E79" s="1207"/>
      <c r="F79" s="1205"/>
      <c r="G79" s="611"/>
      <c r="H79" s="74">
        <f>H80/H78*3600</f>
        <v>32.157354375000011</v>
      </c>
      <c r="I79" s="619"/>
      <c r="J79" s="619"/>
      <c r="K79" s="74">
        <f>K80/K78*3600</f>
        <v>32.157354375000011</v>
      </c>
      <c r="L79" s="619"/>
      <c r="M79" s="619"/>
      <c r="N79" s="74">
        <f>N80/N78*3600</f>
        <v>32.157354375000011</v>
      </c>
      <c r="O79" s="1188"/>
    </row>
    <row r="80" spans="2:15" ht="15" thickBot="1" x14ac:dyDescent="0.25">
      <c r="C80" s="78"/>
      <c r="D80" s="1206" t="str">
        <f>IF(Deutsch,"Strahlkosten (€/Stk.)","blasting costs (€/Stk.)")</f>
        <v>Strahlkosten (€/Stk.)</v>
      </c>
      <c r="E80" s="1207"/>
      <c r="F80" s="1205"/>
      <c r="G80" s="611"/>
      <c r="H80" s="85">
        <f>IF('Quick Input'!L25="ja",(H$78/3600*H$76)+'Maschinen-DB'!E72*(1+'Maschinen-DB'!F72)/'Länder-DB'!I27/Parametrikber!F146/3600*H78+'Maschinen-DB'!G72/3600*H78*VLOOKUP('Quick Input'!M$45,DB_Länder,7,FALSE) + 'Maschinen-DB'!H72*VLOOKUP('Quick Input'!M$45,DB_Länder,8,FALSE)*12/Parametrikber!F146/3600*H78,0)</f>
        <v>0.19056210000000004</v>
      </c>
      <c r="I80" s="619"/>
      <c r="J80" s="619"/>
      <c r="K80" s="85">
        <f>IF('Quick Input'!O25="ja",(K$78/3600*K$76)+'Maschinen-DB'!E72*(1+'Maschinen-DB'!F72)/'Länder-DB'!I27/Parametrikber!I146/3600*K78+'Maschinen-DB'!G72/3600*K78*VLOOKUP('Quick Input'!P$45,DB_Länder,7,FALSE) + 'Maschinen-DB'!H72*VLOOKUP('Quick Input'!P$45,DB_Länder,8,FALSE)*12/Parametrikber!I146/3600*K78,0)</f>
        <v>0.19056210000000004</v>
      </c>
      <c r="L80" s="619"/>
      <c r="M80" s="619"/>
      <c r="N80" s="85">
        <f>IF('Quick Input'!R25="ja",(N$78/3600*N$76)+'Maschinen-DB'!E72*(1+'Maschinen-DB'!F72)/'Länder-DB'!I27/Parametrikber!L146/3600*N78+'Maschinen-DB'!G72/3600*N78*VLOOKUP('Quick Input'!S$45,DB_Länder,7,FALSE) + 'Maschinen-DB'!H72*VLOOKUP('Quick Input'!S$45,DB_Länder,8,FALSE)*12/Parametrikber!L146/3600*N78,0)</f>
        <v>0.19056210000000004</v>
      </c>
      <c r="O80" s="1188"/>
    </row>
    <row r="81" spans="2:23" ht="15" thickBot="1" x14ac:dyDescent="0.25">
      <c r="C81" s="78"/>
      <c r="D81" s="1206" t="str">
        <f>IF(Deutsch,"Prozesszeit Gleitschleifen (sec)","process time Slide grinding (sec)")</f>
        <v>Prozesszeit Gleitschleifen (sec)</v>
      </c>
      <c r="E81" s="1207"/>
      <c r="F81" s="1205"/>
      <c r="G81" s="611"/>
      <c r="H81" s="140" t="e">
        <f>Parametrikber!F240/Parametrikber!F242*60</f>
        <v>#VALUE!</v>
      </c>
      <c r="I81" s="619"/>
      <c r="J81" s="619"/>
      <c r="K81" s="140" t="e">
        <f>Parametrikber!I240/Parametrikber!I242*60</f>
        <v>#VALUE!</v>
      </c>
      <c r="L81" s="619"/>
      <c r="M81" s="619"/>
      <c r="N81" s="140" t="e">
        <f>Parametrikber!L240/Parametrikber!L242*60</f>
        <v>#VALUE!</v>
      </c>
      <c r="O81" s="1188"/>
    </row>
    <row r="82" spans="2:23" ht="15" thickBot="1" x14ac:dyDescent="0.25">
      <c r="C82" s="78"/>
      <c r="D82" s="1206" t="str">
        <f>IF(Deutsch,"Kosten Gleitschleifen (€/Std.)","costs Slide grinding (€/h)")</f>
        <v>Kosten Gleitschleifen (€/Std.)</v>
      </c>
      <c r="E82" s="1207"/>
      <c r="F82" s="1205"/>
      <c r="G82" s="611"/>
      <c r="H82" s="74" t="e">
        <f>H83/H81*3600</f>
        <v>#VALUE!</v>
      </c>
      <c r="I82" s="619"/>
      <c r="J82" s="619"/>
      <c r="K82" s="74" t="e">
        <f>K83/K81*3600</f>
        <v>#VALUE!</v>
      </c>
      <c r="L82" s="619"/>
      <c r="M82" s="619"/>
      <c r="N82" s="74" t="e">
        <f>N83/N81*3600</f>
        <v>#VALUE!</v>
      </c>
      <c r="O82" s="1188"/>
    </row>
    <row r="83" spans="2:23" ht="15" thickBot="1" x14ac:dyDescent="0.25">
      <c r="C83" s="78"/>
      <c r="D83" s="1206" t="str">
        <f>IF(Deutsch,"Kosten Gleitschleifen (€/Stk.)","costs Slide grinding (€/Stk.)")</f>
        <v>Kosten Gleitschleifen (€/Stk.)</v>
      </c>
      <c r="E83" s="1207"/>
      <c r="F83" s="1205"/>
      <c r="G83" s="611"/>
      <c r="H83" s="85">
        <f>IF('Quick Input'!L26="ja",(H$81/3600*H$76)+'Maschinen-DB'!E73*(1+'Maschinen-DB'!F73)/'Länder-DB'!I27/Parametrikber!F146/3600*H81+'Maschinen-DB'!G73/3600*H81*VLOOKUP('Quick Input'!M$45,DB_Länder,7,FALSE) + 'Maschinen-DB'!H73*VLOOKUP('Quick Input'!M$45,DB_Länder,8,FALSE)*12/Parametrikber!F146/3600*H81,0)</f>
        <v>0</v>
      </c>
      <c r="I83" s="683"/>
      <c r="J83" s="683"/>
      <c r="K83" s="85">
        <f>IF('Quick Input'!L26="ja",(K$81/3600*K$76)+'Maschinen-DB'!E73*(1+'Maschinen-DB'!F73)/'Länder-DB'!I27/Parametrikber!I146/3600*K81+'Maschinen-DB'!G73/3600*K81*VLOOKUP('Quick Input'!P$45,DB_Länder,7,FALSE) + 'Maschinen-DB'!H73*VLOOKUP('Quick Input'!P$45,DB_Länder,8,FALSE)*12/Parametrikber!F146/3600*K81,0)</f>
        <v>0</v>
      </c>
      <c r="L83" s="683"/>
      <c r="M83" s="683"/>
      <c r="N83" s="85">
        <f>IF('Quick Input'!R26="ja",(N$81/3600*N$76)+'Maschinen-DB'!E73*(1+'Maschinen-DB'!F73)/'Länder-DB'!I27/Parametrikber!F146/3600*N81+'Maschinen-DB'!G73/3600*N81*VLOOKUP('Quick Input'!S$45,DB_Länder,7,FALSE) + 'Maschinen-DB'!H73*VLOOKUP('Quick Input'!S$45,DB_Länder,8,FALSE)*12/Parametrikber!F146/3600*N81,0)</f>
        <v>0</v>
      </c>
      <c r="O83" s="1188"/>
    </row>
    <row r="84" spans="2:23" ht="15" thickBot="1" x14ac:dyDescent="0.25">
      <c r="C84" s="78"/>
      <c r="D84" s="72" t="str">
        <f>IF(Deutsch,"Prozesszeit Feinputzen (sec)","process time fine grinding (sec)")</f>
        <v>Prozesszeit Feinputzen (sec)</v>
      </c>
      <c r="E84" s="73"/>
      <c r="F84" s="75"/>
      <c r="G84" s="611"/>
      <c r="H84" s="140">
        <f>Parametrikber!F$243</f>
        <v>0</v>
      </c>
      <c r="I84" s="619" t="s">
        <v>285</v>
      </c>
      <c r="J84" s="619"/>
      <c r="K84" s="140">
        <v>0</v>
      </c>
      <c r="L84" s="619" t="s">
        <v>285</v>
      </c>
      <c r="M84" s="619"/>
      <c r="N84" s="140">
        <v>0</v>
      </c>
      <c r="O84" s="1188" t="s">
        <v>285</v>
      </c>
    </row>
    <row r="85" spans="2:23" ht="15" thickBot="1" x14ac:dyDescent="0.25">
      <c r="C85" s="78"/>
      <c r="D85" s="1206" t="str">
        <f>IF(Deutsch,"Kosten Feinputzen (€/Std.)"," costs fine grinding (€/h)")</f>
        <v>Kosten Feinputzen (€/Std.)</v>
      </c>
      <c r="E85" s="1207"/>
      <c r="F85" s="1205"/>
      <c r="G85" s="611"/>
      <c r="H85" s="1200">
        <f>IF(H84&gt;0,H86/H84*3600,0)</f>
        <v>0</v>
      </c>
      <c r="I85" s="619"/>
      <c r="J85" s="619"/>
      <c r="K85" s="1200">
        <f>IF(K84&gt;0,K86/K84*3600,0)</f>
        <v>0</v>
      </c>
      <c r="L85" s="619"/>
      <c r="M85" s="619"/>
      <c r="N85" s="1200">
        <f>IF(N84&gt;0,N86/N84*3600,0)</f>
        <v>0</v>
      </c>
      <c r="O85" s="1188"/>
    </row>
    <row r="86" spans="2:23" ht="15" thickBot="1" x14ac:dyDescent="0.25">
      <c r="C86" s="78"/>
      <c r="D86" s="1206" t="str">
        <f>IF(Deutsch,"Kosten Feinputzen (€/Stk.)"," costs fine grinding (€/pc.)")</f>
        <v>Kosten Feinputzen (€/Stk.)</v>
      </c>
      <c r="E86" s="1207"/>
      <c r="F86" s="1205"/>
      <c r="G86" s="611"/>
      <c r="H86" s="1200">
        <f>'Maschinen-DB'!E75*(1+'Maschinen-DB'!F75)/'Länder-DB'!I27/Parametrikber!F146/3600*H84+'Maschinen-DB'!G75/3600*H84*VLOOKUP('Quick Input'!M$45,DB_Länder,7,FALSE)
+'Maschinen-DB'!H75*VLOOKUP('Quick Input'!M$45,DB_Länder,8,FALSE)*12/Parametrikber!F146/3600*H84</f>
        <v>0</v>
      </c>
      <c r="I86" s="619"/>
      <c r="J86" s="619"/>
      <c r="K86" s="1200">
        <v>0</v>
      </c>
      <c r="L86" s="619"/>
      <c r="M86" s="619"/>
      <c r="N86" s="1200">
        <v>0</v>
      </c>
      <c r="O86" s="1188"/>
    </row>
    <row r="87" spans="2:23" ht="15" thickBot="1" x14ac:dyDescent="0.25">
      <c r="C87" s="78"/>
      <c r="D87" s="82" t="str">
        <f>IF(Deutsch,"Oberflächenkosten (€/Stk.)","surfaces cost (€/pc.)")</f>
        <v>Oberflächenkosten (€/Stk.)</v>
      </c>
      <c r="E87" s="73"/>
      <c r="F87" s="75"/>
      <c r="G87" s="611"/>
      <c r="H87" s="85">
        <f>H$80+H$83+H86+(H$84/3600*H$76)</f>
        <v>0.19056210000000004</v>
      </c>
      <c r="I87" s="619" t="s">
        <v>285</v>
      </c>
      <c r="J87" s="619"/>
      <c r="K87" s="85">
        <f>K$80+K$83+(K$84/3600*K$76)</f>
        <v>0.19056210000000004</v>
      </c>
      <c r="L87" s="619" t="s">
        <v>285</v>
      </c>
      <c r="M87" s="619"/>
      <c r="N87" s="85">
        <f>N$80+N$83+(N$84/3600*N$76)</f>
        <v>0.19056210000000004</v>
      </c>
      <c r="O87" s="1188" t="s">
        <v>285</v>
      </c>
      <c r="T87" s="1211"/>
    </row>
    <row r="88" spans="2:23" ht="15" thickBot="1" x14ac:dyDescent="0.25">
      <c r="C88" s="78"/>
      <c r="D88" s="72" t="str">
        <f>IF(Deutsch,"Sandaufbereitung (€/t)","sand regeneration (€/to)")</f>
        <v>Sandaufbereitung (€/t)</v>
      </c>
      <c r="E88" s="73"/>
      <c r="F88" s="75"/>
      <c r="G88" s="611"/>
      <c r="H88" s="74">
        <f>Parametrikber!F$122</f>
        <v>1.4142135623730949</v>
      </c>
      <c r="I88" s="619" t="s">
        <v>285</v>
      </c>
      <c r="J88" s="619"/>
      <c r="K88" s="74">
        <f>Parametrikber!I$122</f>
        <v>1.4142135623730949</v>
      </c>
      <c r="L88" s="78" t="s">
        <v>285</v>
      </c>
      <c r="M88" s="78"/>
      <c r="N88" s="74">
        <f>Parametrikber!L$122</f>
        <v>1.4142135623730949</v>
      </c>
      <c r="O88" s="1188" t="s">
        <v>285</v>
      </c>
      <c r="W88" s="689"/>
    </row>
    <row r="89" spans="2:23" ht="15" thickBot="1" x14ac:dyDescent="0.25">
      <c r="C89" s="78"/>
      <c r="D89" s="82" t="str">
        <f>IF(Deutsch,"Sandaufbereitung (€/Stk.)","sand regeneration (€/pc.)")</f>
        <v>Sandaufbereitung (€/Stk.)</v>
      </c>
      <c r="E89" s="73"/>
      <c r="F89" s="75"/>
      <c r="G89" s="611"/>
      <c r="H89" s="85" t="e">
        <f>H$88*Parametrikber!F$75/1000</f>
        <v>#VALUE!</v>
      </c>
      <c r="I89" s="619" t="s">
        <v>285</v>
      </c>
      <c r="J89" s="619"/>
      <c r="K89" s="85" t="e">
        <v>#VALUE!</v>
      </c>
      <c r="L89" s="78" t="s">
        <v>285</v>
      </c>
      <c r="M89" s="78"/>
      <c r="N89" s="85" t="e">
        <v>#VALUE!</v>
      </c>
      <c r="O89" s="1188" t="s">
        <v>285</v>
      </c>
    </row>
    <row r="90" spans="2:23" ht="15" thickBot="1" x14ac:dyDescent="0.25">
      <c r="C90" s="78"/>
      <c r="D90" s="1206" t="str">
        <f>CONCATENATE(IF(Deutsch,'Quick Input'!C71,'Quick Input'!D71)," (€/kg)")</f>
        <v>Wärmebehandlung (€/kg)</v>
      </c>
      <c r="E90" s="1208"/>
      <c r="F90" s="1209"/>
      <c r="G90" s="611"/>
      <c r="H90" s="74">
        <f>VLOOKUP('Quick Input'!L32,Auswahlfelder!B41:F46,5,FALSE)</f>
        <v>0</v>
      </c>
      <c r="I90" s="620"/>
      <c r="J90" s="620"/>
      <c r="K90" s="74">
        <f>VLOOKUP('Quick Input'!O32,Auswahlfelder!B41:F46,5,FALSE)</f>
        <v>0</v>
      </c>
      <c r="L90" s="355"/>
      <c r="M90" s="355"/>
      <c r="N90" s="74">
        <f>VLOOKUP('Quick Input'!R32,Auswahlfelder!B41:F46,5,FALSE)</f>
        <v>0</v>
      </c>
      <c r="O90" s="1188"/>
    </row>
    <row r="91" spans="2:23" ht="15" thickBot="1" x14ac:dyDescent="0.25">
      <c r="C91" s="78"/>
      <c r="D91" s="82" t="str">
        <f>IF(Deutsch,"Wärmebehandlung (€/Stk.)","heat treatment (€/pc.")</f>
        <v>Wärmebehandlung (€/Stk.)</v>
      </c>
      <c r="E91" s="73"/>
      <c r="F91" s="75"/>
      <c r="G91" s="611"/>
      <c r="H91" s="85" t="e">
        <f>H$90*H$14</f>
        <v>#VALUE!</v>
      </c>
      <c r="I91" s="619"/>
      <c r="J91" s="619"/>
      <c r="K91" s="85" t="e">
        <v>#VALUE!</v>
      </c>
      <c r="L91" s="78"/>
      <c r="M91" s="78"/>
      <c r="N91" s="85" t="e">
        <v>#VALUE!</v>
      </c>
      <c r="O91" s="1188"/>
    </row>
    <row r="92" spans="2:23" ht="15" thickBot="1" x14ac:dyDescent="0.25">
      <c r="B92" s="55" t="s">
        <v>127</v>
      </c>
      <c r="C92" s="78"/>
      <c r="D92" s="236" t="str">
        <f>'Quick Input'!I72</f>
        <v>Fertigungsausschuss 2</v>
      </c>
      <c r="E92" s="73"/>
      <c r="F92" s="75"/>
      <c r="G92" s="611"/>
      <c r="H92" s="119">
        <v>0</v>
      </c>
      <c r="I92" s="620"/>
      <c r="J92" s="620"/>
      <c r="K92" s="119">
        <v>0</v>
      </c>
      <c r="L92" s="355"/>
      <c r="M92" s="355"/>
      <c r="N92" s="119">
        <v>0</v>
      </c>
      <c r="O92" s="1188"/>
    </row>
    <row r="93" spans="2:23" ht="15" thickBot="1" x14ac:dyDescent="0.25">
      <c r="C93" s="78"/>
      <c r="D93" s="116" t="str">
        <f>IF(Deutsch,"Prozesskosten pro Stück","process cost per part")</f>
        <v>Prozesskosten pro Stück</v>
      </c>
      <c r="E93" s="73"/>
      <c r="F93" s="75"/>
      <c r="G93" s="855"/>
      <c r="H93" s="853" t="e">
        <f>(1+H92)*(H77+H87+H$89+H$91)</f>
        <v>#VALUE!</v>
      </c>
      <c r="I93" s="625" t="s">
        <v>285</v>
      </c>
      <c r="J93" s="625"/>
      <c r="K93" s="853" t="e">
        <v>#VALUE!</v>
      </c>
      <c r="L93" s="625" t="s">
        <v>285</v>
      </c>
      <c r="M93" s="625"/>
      <c r="N93" s="853" t="e">
        <v>#VALUE!</v>
      </c>
      <c r="O93" s="1192" t="s">
        <v>285</v>
      </c>
    </row>
    <row r="94" spans="2:23" ht="28.5" customHeight="1" thickBot="1" x14ac:dyDescent="0.25">
      <c r="C94" s="78"/>
      <c r="D94" s="1249" t="str">
        <f>IF(Deutsch,"Prüfen","testing")</f>
        <v>Prüfen</v>
      </c>
      <c r="E94" s="1250"/>
      <c r="F94" s="1251"/>
      <c r="G94" s="611"/>
      <c r="H94" s="912" t="str">
        <f>Parametrikber!F$253</f>
        <v>ohne Prfg.</v>
      </c>
      <c r="I94" s="913" t="s">
        <v>285</v>
      </c>
      <c r="J94" s="913"/>
      <c r="K94" s="912" t="str">
        <f>Parametrikber!I$253</f>
        <v>ohne Prfg.</v>
      </c>
      <c r="L94" s="913" t="s">
        <v>285</v>
      </c>
      <c r="M94" s="913"/>
      <c r="N94" s="912" t="str">
        <f>Parametrikber!L$253</f>
        <v>ohne Prfg.</v>
      </c>
      <c r="O94" s="1189" t="s">
        <v>285</v>
      </c>
      <c r="T94" s="1210"/>
    </row>
    <row r="95" spans="2:23" ht="15" thickBot="1" x14ac:dyDescent="0.25">
      <c r="B95" s="55" t="s">
        <v>127</v>
      </c>
      <c r="C95" s="78"/>
      <c r="D95" s="72" t="str">
        <f>'Quick Input'!I73</f>
        <v>VT Prüfzeit/Teil (sec)</v>
      </c>
      <c r="E95" s="73"/>
      <c r="F95" s="75"/>
      <c r="G95" s="611"/>
      <c r="H95" s="121">
        <v>0</v>
      </c>
      <c r="I95" s="620"/>
      <c r="J95" s="620"/>
      <c r="K95" s="121">
        <v>0</v>
      </c>
      <c r="L95" s="355"/>
      <c r="M95" s="355"/>
      <c r="N95" s="121">
        <v>0</v>
      </c>
      <c r="O95" s="1188"/>
    </row>
    <row r="96" spans="2:23" ht="15" thickBot="1" x14ac:dyDescent="0.25">
      <c r="C96" s="78"/>
      <c r="D96" s="1206" t="str">
        <f>IF(Deutsch,"VT Prüfung (€/Std.)","vt testing (€/h)")</f>
        <v>VT Prüfung (€/Std.)</v>
      </c>
      <c r="E96" s="1205"/>
      <c r="F96" s="1205"/>
      <c r="G96" s="611"/>
      <c r="H96" s="1199" t="e">
        <f>H97/H95*3600</f>
        <v>#DIV/0!</v>
      </c>
      <c r="I96" s="619"/>
      <c r="J96" s="619"/>
      <c r="K96" s="1199" t="e">
        <v>#DIV/0!</v>
      </c>
      <c r="L96" s="619"/>
      <c r="M96" s="619"/>
      <c r="N96" s="1199" t="e">
        <v>#DIV/0!</v>
      </c>
      <c r="O96" s="1188"/>
    </row>
    <row r="97" spans="3:20" ht="15" thickBot="1" x14ac:dyDescent="0.25">
      <c r="C97" s="78"/>
      <c r="D97" s="1206" t="str">
        <f>IF(Deutsch,"VT Prüfung (€/Stk.)","vt testing (€/pc.)")</f>
        <v>VT Prüfung (€/Stk.)</v>
      </c>
      <c r="E97" s="1207"/>
      <c r="F97" s="1205"/>
      <c r="G97" s="611"/>
      <c r="H97" s="1199">
        <f>'Maschinen-DB'!E74*(1+'Maschinen-DB'!F74)/'Länder-DB'!I27/Parametrikber!F146/3600*H95+'Maschinen-DB'!G74/3600*H95*VLOOKUP('Quick Input'!M$45,DB_Länder,7,FALSE) + 'Maschinen-DB'!H74*VLOOKUP('Quick Input'!M$45,DB_Länder,8,FALSE)*12/Parametrikber!F146/3600*H95</f>
        <v>0</v>
      </c>
      <c r="I97" s="620"/>
      <c r="J97" s="620"/>
      <c r="K97" s="1199">
        <f>'Maschinen-DB'!E74*(1+'Maschinen-DB'!F74)/'Länder-DB'!I27/Parametrikber!I146/3600*K95+'Maschinen-DB'!G74/3600*K95*VLOOKUP('Quick Input'!P$45,DB_Länder,7,FALSE) + 'Maschinen-DB'!H74*VLOOKUP('Quick Input'!P$45,DB_Länder,8,FALSE)*12/Parametrikber!I146/3600*K95</f>
        <v>0</v>
      </c>
      <c r="L97" s="355"/>
      <c r="M97" s="355"/>
      <c r="N97" s="1198">
        <f>'Maschinen-DB'!E74*(1+'Maschinen-DB'!F74)/'Länder-DB'!I27/Parametrikber!L146/3600*N95+'Maschinen-DB'!G74/3600*N95*VLOOKUP('Quick Input'!S$45,DB_Länder,7,FALSE)
+ 'Maschinen-DB'!H74*VLOOKUP('Quick Input'!S$45,DB_Länder,8,FALSE)*12/Parametrikber!L146/3600*N95</f>
        <v>0</v>
      </c>
      <c r="O97" s="1188"/>
      <c r="T97" s="1211"/>
    </row>
    <row r="98" spans="3:20" ht="15" thickBot="1" x14ac:dyDescent="0.25">
      <c r="C98" s="78"/>
      <c r="D98" s="72" t="str">
        <f>IF(Deutsch,"Personalkosten Prüfer","personal cost testing")</f>
        <v>Personalkosten Prüfer</v>
      </c>
      <c r="E98" s="73"/>
      <c r="F98" s="75"/>
      <c r="G98" s="611"/>
      <c r="H98" s="74">
        <f>Parametrikber!F$22</f>
        <v>33.535694999999997</v>
      </c>
      <c r="I98" s="619" t="s">
        <v>285</v>
      </c>
      <c r="J98" s="619"/>
      <c r="K98" s="74">
        <f>Parametrikber!I$22</f>
        <v>33.535694999999997</v>
      </c>
      <c r="L98" s="78" t="s">
        <v>285</v>
      </c>
      <c r="M98" s="78"/>
      <c r="N98" s="74">
        <f>Parametrikber!L$22</f>
        <v>33.535694999999997</v>
      </c>
      <c r="O98" s="1188" t="s">
        <v>285</v>
      </c>
    </row>
    <row r="99" spans="3:20" ht="15" thickBot="1" x14ac:dyDescent="0.25">
      <c r="C99" s="78"/>
      <c r="D99" s="1206" t="str">
        <f>IF(Deutsch,"Ultraschall Prüfzeit (sec)","ultrasonic testing time (sec)")</f>
        <v>Ultraschall Prüfzeit (sec)</v>
      </c>
      <c r="E99" s="1205"/>
      <c r="F99" s="1205"/>
      <c r="G99" s="611"/>
      <c r="H99" s="121">
        <v>500</v>
      </c>
      <c r="I99" s="619"/>
      <c r="J99" s="619"/>
      <c r="K99" s="121">
        <v>400</v>
      </c>
      <c r="L99" s="78"/>
      <c r="M99" s="78"/>
      <c r="N99" s="121">
        <v>400</v>
      </c>
      <c r="O99" s="1188"/>
    </row>
    <row r="100" spans="3:20" ht="15" thickBot="1" x14ac:dyDescent="0.25">
      <c r="C100" s="78"/>
      <c r="D100" s="1206" t="str">
        <f>IF(Deutsch,"Ultraschall Prüfung (€/Std.)","ultrasonic testing (€/h)")</f>
        <v>Ultraschall Prüfung (€/Std.)</v>
      </c>
      <c r="E100" s="1205"/>
      <c r="F100" s="1205"/>
      <c r="G100" s="611"/>
      <c r="H100" s="1199">
        <f>H101/H99*3600</f>
        <v>0</v>
      </c>
      <c r="I100" s="619"/>
      <c r="J100" s="619"/>
      <c r="K100" s="1199">
        <f>K101/K99*3600</f>
        <v>0</v>
      </c>
      <c r="L100" s="619"/>
      <c r="M100" s="619"/>
      <c r="N100" s="1199">
        <f>N101/N99*3600</f>
        <v>0</v>
      </c>
      <c r="O100" s="1188"/>
    </row>
    <row r="101" spans="3:20" ht="15" thickBot="1" x14ac:dyDescent="0.25">
      <c r="C101" s="78"/>
      <c r="D101" s="1206" t="str">
        <f>IF(Deutsch,"Ultraschall Prüfung (€/Stk.)","ultrasonic testing (€/pc.)")</f>
        <v>Ultraschall Prüfung (€/Stk.)</v>
      </c>
      <c r="E101" s="1205"/>
      <c r="F101" s="1205"/>
      <c r="G101" s="611"/>
      <c r="H101" s="1199">
        <f>IF('Quick Input'!L28="ja",'Maschinen-DB'!E66*(1+'Maschinen-DB'!F66)/'Länder-DB'!I27/Parametrikber!F146/3600*H99+'Maschinen-DB'!G66/3600*H99*VLOOKUP('Quick Input'!M$45,DB_Länder,7,FALSE) + 'Maschinen-DB'!H66*VLOOKUP('Quick Input'!M$45,DB_Länder,8,FALSE)*12/Parametrikber!F146/3600*H99,0)</f>
        <v>0</v>
      </c>
      <c r="I101" s="620"/>
      <c r="J101" s="620"/>
      <c r="K101" s="1199">
        <f>IF('Quick Input'!O28="ja",'Maschinen-DB'!E66*(1+'Maschinen-DB'!F66)/'Länder-DB'!I27/Parametrikber!I146/3600*K99+'Maschinen-DB'!G66/3600*K99*VLOOKUP('Quick Input'!P$45,DB_Länder,7,FALSE) + 'Maschinen-DB'!H66*VLOOKUP('Quick Input'!P$45,DB_Länder,8,FALSE)*12/Parametrikber!I146/3600*K99,0)</f>
        <v>0</v>
      </c>
      <c r="L101" s="355"/>
      <c r="M101" s="355"/>
      <c r="N101" s="1199">
        <f>IF('Quick Input'!R28="ja",'Maschinen-DB'!E66*(1+'Maschinen-DB'!F66)/'Länder-DB'!I27/Parametrikber!L146/3600*N99+'Maschinen-DB'!G66/3600*N99*VLOOKUP('Quick Input'!S$45,DB_Länder,7,FALSE) + 'Maschinen-DB'!H66*VLOOKUP('Quick Input'!S$45,DB_Länder,8,FALSE)*12/Parametrikber!L146/3600*N99,0)</f>
        <v>0</v>
      </c>
      <c r="O101" s="1188"/>
    </row>
    <row r="102" spans="3:20" ht="15" thickBot="1" x14ac:dyDescent="0.25">
      <c r="C102" s="78"/>
      <c r="D102" s="1206" t="str">
        <f>IF(Deutsch,"Farbeindring (Anlage)","PT (system)")</f>
        <v>Farbeindring (Anlage)</v>
      </c>
      <c r="E102" s="1205"/>
      <c r="F102" s="1205"/>
      <c r="G102" s="611"/>
      <c r="H102" s="342" t="s">
        <v>992</v>
      </c>
      <c r="I102" s="620"/>
      <c r="J102" s="620"/>
      <c r="K102" s="342" t="s">
        <v>992</v>
      </c>
      <c r="L102" s="355"/>
      <c r="M102" s="355"/>
      <c r="N102" s="342" t="s">
        <v>992</v>
      </c>
      <c r="O102" s="1188"/>
    </row>
    <row r="103" spans="3:20" ht="15" thickBot="1" x14ac:dyDescent="0.25">
      <c r="C103" s="78"/>
      <c r="D103" s="1206" t="str">
        <f>IF(Deutsch,"Farbeindring Prüfzeit (sec)","PT testing time (sec)")</f>
        <v>Farbeindring Prüfzeit (sec)</v>
      </c>
      <c r="E103" s="1205"/>
      <c r="F103" s="1205"/>
      <c r="G103" s="611"/>
      <c r="H103" s="121">
        <v>600</v>
      </c>
      <c r="I103" s="620"/>
      <c r="J103" s="620"/>
      <c r="K103" s="121">
        <v>600</v>
      </c>
      <c r="L103" s="355"/>
      <c r="M103" s="355"/>
      <c r="N103" s="121">
        <v>400</v>
      </c>
      <c r="O103" s="1188"/>
    </row>
    <row r="104" spans="3:20" ht="15" thickBot="1" x14ac:dyDescent="0.25">
      <c r="C104" s="78"/>
      <c r="D104" s="1206" t="str">
        <f>IF(Deutsch,"Farbeindring Prüfung (€/Std.)","PT testing (€/h)")</f>
        <v>Farbeindring Prüfung (€/Std.)</v>
      </c>
      <c r="E104" s="1205"/>
      <c r="F104" s="1205"/>
      <c r="G104" s="611"/>
      <c r="H104" s="1199">
        <f>H105/H103*3600</f>
        <v>0</v>
      </c>
      <c r="I104" s="620"/>
      <c r="J104" s="620"/>
      <c r="K104" s="1199">
        <f>K105/K103*3600</f>
        <v>0</v>
      </c>
      <c r="L104" s="355"/>
      <c r="M104" s="355"/>
      <c r="N104" s="1199">
        <f>N105/N103*3600</f>
        <v>0</v>
      </c>
      <c r="O104" s="1188"/>
    </row>
    <row r="105" spans="3:20" ht="15" thickBot="1" x14ac:dyDescent="0.25">
      <c r="C105" s="78"/>
      <c r="D105" s="1206" t="str">
        <f>IF(Deutsch,"Farbeindring Prüfung (€/Stk.)","PT testing (€/pc.)")</f>
        <v>Farbeindring Prüfung (€/Stk.)</v>
      </c>
      <c r="E105" s="1205"/>
      <c r="F105" s="1205"/>
      <c r="G105" s="611"/>
      <c r="H105" s="1199">
        <f>IF('Quick Input'!L29="ja",VLOOKUP(Refkalkulation!H102,'Maschinen-DB'!B67:H69,4,FALSE)*(1+VLOOKUP(Refkalkulation!H102,'Maschinen-DB'!B67:H69,5,FALSE))/'Länder-DB'!I27/Parametrikber!F146/3600*H103+VLOOKUP(Refkalkulation!H102,'Maschinen-DB'!B67:H69,6,FALSE)/3600*H103*VLOOKUP('Quick Input'!M$45,DB_Länder,7,FALSE) + VLOOKUP(Refkalkulation!H102,'Maschinen-DB'!B67:H69,7,FALSE)*VLOOKUP('Quick Input'!M$45,DB_Länder,8,FALSE)*12/Parametrikber!F146/3600*H103,0)</f>
        <v>0</v>
      </c>
      <c r="I105" s="620"/>
      <c r="J105" s="620"/>
      <c r="K105" s="1199">
        <f>IF('Quick Input'!O29="ja",VLOOKUP(Refkalkulation!K102,'Maschinen-DB'!B67:K69,4,FALSE)*(1+VLOOKUP(Refkalkulation!K102,'Maschinen-DB'!B67:K69,5,FALSE))/'Länder-DB'!I27/Parametrikber!I146/3600*K103+VLOOKUP(Refkalkulation!K102,'Maschinen-DB'!B67:K69,6,FALSE)/3600*K103*VLOOKUP('Quick Input'!P$45,DB_Länder,7,FALSE) + VLOOKUP(Refkalkulation!K102,'Maschinen-DB'!B67:K69,7,FALSE)*VLOOKUP('Quick Input'!P$45,DB_Länder,8,FALSE)*12/Parametrikber!I146/3600*K103,0)</f>
        <v>0</v>
      </c>
      <c r="L105" s="355"/>
      <c r="M105" s="355"/>
      <c r="N105" s="1199">
        <f>IF('Quick Input'!R29="ja",VLOOKUP(Refkalkulation!N102,'Maschinen-DB'!B67:N69,4,FALSE)*(1+VLOOKUP(Refkalkulation!N102,'Maschinen-DB'!B67:N69,5,FALSE))/'Länder-DB'!I27/Parametrikber!L146/3600*N103+VLOOKUP(Refkalkulation!N102,'Maschinen-DB'!B67:N69,6,FALSE)/3600*N103*VLOOKUP('Quick Input'!S$45,DB_Länder,7,FALSE) + VLOOKUP(Refkalkulation!N102,'Maschinen-DB'!B67:N69,7,FALSE)*VLOOKUP('Quick Input'!S$45,DB_Länder,8,FALSE)*12/Parametrikber!L146/3600*N103,0)</f>
        <v>0</v>
      </c>
      <c r="O105" s="1188"/>
    </row>
    <row r="106" spans="3:20" ht="15" thickBot="1" x14ac:dyDescent="0.25">
      <c r="C106" s="78"/>
      <c r="D106" s="1206" t="str">
        <f>IF(Deutsch,"Röntgen Prüfzeit (sec)","X-ray testing time (sec)")</f>
        <v>Röntgen Prüfzeit (sec)</v>
      </c>
      <c r="E106" s="1205"/>
      <c r="F106" s="1205"/>
      <c r="G106" s="611"/>
      <c r="H106" s="121">
        <v>1000</v>
      </c>
      <c r="I106" s="620"/>
      <c r="J106" s="620"/>
      <c r="K106" s="121">
        <v>1000</v>
      </c>
      <c r="L106" s="355"/>
      <c r="M106" s="355"/>
      <c r="N106" s="121">
        <v>600</v>
      </c>
      <c r="O106" s="1188"/>
    </row>
    <row r="107" spans="3:20" ht="15" thickBot="1" x14ac:dyDescent="0.25">
      <c r="C107" s="78"/>
      <c r="D107" s="1206" t="str">
        <f>IF(Deutsch,"Röntgen Prüfung (€/Std.)","X-ray testing (€/h)")</f>
        <v>Röntgen Prüfung (€/Std.)</v>
      </c>
      <c r="E107" s="1205"/>
      <c r="F107" s="1205"/>
      <c r="G107" s="611"/>
      <c r="H107" s="1199">
        <f>H108/H106*3600</f>
        <v>0</v>
      </c>
      <c r="I107" s="620"/>
      <c r="J107" s="620"/>
      <c r="K107" s="1199">
        <f>K108/K106*3600</f>
        <v>0</v>
      </c>
      <c r="L107" s="355"/>
      <c r="M107" s="355"/>
      <c r="N107" s="1199">
        <f>N108/N106*3600</f>
        <v>0</v>
      </c>
      <c r="O107" s="1188"/>
    </row>
    <row r="108" spans="3:20" ht="15" thickBot="1" x14ac:dyDescent="0.25">
      <c r="C108" s="78"/>
      <c r="D108" s="1206" t="str">
        <f>IF(Deutsch,"Röntgen Prüfung (€/Stk.)","X-ray testing (€/pc.)")</f>
        <v>Röntgen Prüfung (€/Stk.)</v>
      </c>
      <c r="E108" s="1205"/>
      <c r="F108" s="1205"/>
      <c r="G108" s="611"/>
      <c r="H108" s="1199">
        <f>IF('Quick Input'!L30="ja",'Maschinen-DB'!E63*(1+'Maschinen-DB'!F63)/'Länder-DB'!I27/Parametrikber!F146/3600*H106+'Maschinen-DB'!G63/3600*H106*VLOOKUP('Quick Input'!M$45,DB_Länder,7,FALSE) + 'Maschinen-DB'!H63*VLOOKUP('Quick Input'!M$45,DB_Länder,8,FALSE)*12/Parametrikber!F146/3600*H106,0)</f>
        <v>0</v>
      </c>
      <c r="I108" s="620"/>
      <c r="J108" s="620"/>
      <c r="K108" s="1199">
        <v>0</v>
      </c>
      <c r="L108" s="355"/>
      <c r="M108" s="355"/>
      <c r="N108" s="1199">
        <v>0</v>
      </c>
      <c r="O108" s="1188"/>
    </row>
    <row r="109" spans="3:20" ht="15" thickBot="1" x14ac:dyDescent="0.25">
      <c r="C109" s="78"/>
      <c r="D109" s="72" t="str">
        <f>IF(Deutsch,Auswahlfelder!$B$59,Auswahlfelder!$D$59)</f>
        <v>Reparaturschweißen</v>
      </c>
      <c r="E109" s="73"/>
      <c r="F109" s="75"/>
      <c r="G109" s="611"/>
      <c r="H109" s="80" t="str">
        <f>'Quick Input'!L$33</f>
        <v>ohne</v>
      </c>
      <c r="I109" s="619"/>
      <c r="J109" s="619"/>
      <c r="K109" s="80" t="str">
        <f>'Quick Input'!O$33</f>
        <v>ohne</v>
      </c>
      <c r="L109" s="78"/>
      <c r="M109" s="78"/>
      <c r="N109" s="80" t="str">
        <f>'Quick Input'!R$33</f>
        <v>ohne</v>
      </c>
      <c r="O109" s="1188"/>
    </row>
    <row r="110" spans="3:20" ht="15" thickBot="1" x14ac:dyDescent="0.25">
      <c r="C110" s="78"/>
      <c r="D110" s="72" t="str">
        <f>IF(Deutsch,"Reparaturanteil (%)","repair proportion (%)")</f>
        <v>Reparaturanteil (%)</v>
      </c>
      <c r="E110" s="73"/>
      <c r="F110" s="75"/>
      <c r="G110" s="611"/>
      <c r="H110" s="534">
        <v>0</v>
      </c>
      <c r="I110" s="620"/>
      <c r="J110" s="620"/>
      <c r="K110" s="534">
        <v>0</v>
      </c>
      <c r="L110" s="355"/>
      <c r="M110" s="355"/>
      <c r="N110" s="534">
        <v>0</v>
      </c>
      <c r="O110" s="1188"/>
    </row>
    <row r="111" spans="3:20" ht="15" thickBot="1" x14ac:dyDescent="0.25">
      <c r="C111" s="78"/>
      <c r="D111" s="72" t="str">
        <f>'Quick Input'!$I$77</f>
        <v>Anteil Nachprüfung</v>
      </c>
      <c r="E111" s="73"/>
      <c r="F111" s="75"/>
      <c r="G111" s="611"/>
      <c r="H111" s="688">
        <v>0.5</v>
      </c>
      <c r="I111" s="620"/>
      <c r="J111" s="620"/>
      <c r="K111" s="688">
        <v>0.5</v>
      </c>
      <c r="L111" s="355"/>
      <c r="M111" s="355"/>
      <c r="N111" s="688">
        <v>0.5</v>
      </c>
      <c r="O111" s="1188"/>
    </row>
    <row r="112" spans="3:20" ht="15" thickBot="1" x14ac:dyDescent="0.25">
      <c r="C112" s="78"/>
      <c r="D112" s="72" t="str">
        <f>IF(Deutsch,"Kosten je Reparatur (€)","cost per repair (€)")</f>
        <v>Kosten je Reparatur (€)</v>
      </c>
      <c r="E112" s="73"/>
      <c r="F112" s="75"/>
      <c r="G112" s="611"/>
      <c r="H112" s="85">
        <f>IF('Quick Input'!M$33=Auswahlfelder!$D$60,0,Parametrikber!F$187)</f>
        <v>0</v>
      </c>
      <c r="I112" s="619"/>
      <c r="J112" s="619"/>
      <c r="K112" s="85">
        <v>0</v>
      </c>
      <c r="L112" s="78"/>
      <c r="M112" s="78"/>
      <c r="N112" s="85">
        <v>0</v>
      </c>
      <c r="O112" s="1188"/>
    </row>
    <row r="113" spans="2:15" ht="15" thickBot="1" x14ac:dyDescent="0.25">
      <c r="C113" s="78"/>
      <c r="D113" s="116" t="str">
        <f>IF(Deutsch,"Prüfkosten pro Stück","testing cost per part")</f>
        <v>Prüfkosten pro Stück</v>
      </c>
      <c r="E113" s="73"/>
      <c r="F113" s="75"/>
      <c r="G113" s="855"/>
      <c r="H113" s="853">
        <f>H$95/3600*H$98+(H$101+H$105+H$108)*(1+H$111*H$110)+H$110*H$112</f>
        <v>0</v>
      </c>
      <c r="I113" s="625" t="s">
        <v>285</v>
      </c>
      <c r="J113" s="625"/>
      <c r="K113" s="853">
        <v>0</v>
      </c>
      <c r="L113" s="625" t="s">
        <v>285</v>
      </c>
      <c r="M113" s="625"/>
      <c r="N113" s="853">
        <v>0</v>
      </c>
      <c r="O113" s="1192" t="s">
        <v>285</v>
      </c>
    </row>
    <row r="114" spans="2:15" ht="11.25" customHeight="1" thickBot="1" x14ac:dyDescent="0.25">
      <c r="C114" s="78"/>
      <c r="D114" s="1229" t="str">
        <f>IF(Deutsch,"Fertigungsnebenkosten","production cost")</f>
        <v>Fertigungsnebenkosten</v>
      </c>
      <c r="E114" s="1230"/>
      <c r="F114" s="1231"/>
      <c r="G114" s="611"/>
      <c r="H114" s="79"/>
      <c r="I114" s="619" t="s">
        <v>285</v>
      </c>
      <c r="J114" s="619"/>
      <c r="K114" s="79"/>
      <c r="L114" s="78" t="s">
        <v>285</v>
      </c>
      <c r="M114" s="78"/>
      <c r="N114" s="79"/>
      <c r="O114" s="1189" t="s">
        <v>285</v>
      </c>
    </row>
    <row r="115" spans="2:15" ht="14.25" customHeight="1" thickBot="1" x14ac:dyDescent="0.25">
      <c r="C115" s="78"/>
      <c r="D115" s="1232"/>
      <c r="E115" s="1233"/>
      <c r="F115" s="1234"/>
      <c r="G115" s="611"/>
      <c r="H115" s="928" t="e">
        <f>H$47+H$72+H93+H$113</f>
        <v>#VALUE!</v>
      </c>
      <c r="I115" s="619" t="s">
        <v>285</v>
      </c>
      <c r="J115" s="619"/>
      <c r="K115" s="928" t="e">
        <f>K$47+K$72+K93+K$113</f>
        <v>#VALUE!</v>
      </c>
      <c r="L115" s="619" t="s">
        <v>285</v>
      </c>
      <c r="M115" s="619"/>
      <c r="N115" s="928" t="e">
        <f>N$47+N$72+N93+N$113</f>
        <v>#VALUE!</v>
      </c>
      <c r="O115" s="1188" t="s">
        <v>285</v>
      </c>
    </row>
    <row r="116" spans="2:15" ht="15" thickBot="1" x14ac:dyDescent="0.25">
      <c r="C116" s="78"/>
      <c r="D116" s="72" t="str">
        <f>CONCATENATE(IF(Deutsch,'Quick Input'!C31,'Quick Input'!D31)," (per lot)")</f>
        <v>Materialprüfzertifikat (per lot)</v>
      </c>
      <c r="E116" s="73"/>
      <c r="F116" s="75"/>
      <c r="G116" s="611"/>
      <c r="H116" s="74">
        <f>Parametrikber!F$192</f>
        <v>0</v>
      </c>
      <c r="I116" s="619" t="s">
        <v>285</v>
      </c>
      <c r="J116" s="619"/>
      <c r="K116" s="74">
        <f>Parametrikber!I$192</f>
        <v>0</v>
      </c>
      <c r="L116" s="619" t="s">
        <v>285</v>
      </c>
      <c r="M116" s="619"/>
      <c r="N116" s="74">
        <f>Parametrikber!L$192</f>
        <v>0</v>
      </c>
      <c r="O116" s="1188" t="s">
        <v>285</v>
      </c>
    </row>
    <row r="117" spans="2:15" ht="14.25" customHeight="1" thickBot="1" x14ac:dyDescent="0.25">
      <c r="B117" s="55" t="s">
        <v>127</v>
      </c>
      <c r="C117" s="78"/>
      <c r="D117" s="236" t="str">
        <f>'Quick Input'!I79</f>
        <v>Fertigungsgemeinkosten</v>
      </c>
      <c r="E117" s="73"/>
      <c r="F117" s="75"/>
      <c r="G117" s="611"/>
      <c r="H117" s="119">
        <v>0</v>
      </c>
      <c r="I117" s="620"/>
      <c r="J117" s="620"/>
      <c r="K117" s="119">
        <v>0.1</v>
      </c>
      <c r="L117" s="355"/>
      <c r="M117" s="355"/>
      <c r="N117" s="119">
        <v>0.1</v>
      </c>
      <c r="O117" s="1188"/>
    </row>
    <row r="118" spans="2:15" ht="15" thickBot="1" x14ac:dyDescent="0.25">
      <c r="C118" s="78"/>
      <c r="D118" s="236" t="str">
        <f>IF(Deutsch,'Quick Input'!C79,'Quick Input'!D79)</f>
        <v>Fertigungsgemeinkosten</v>
      </c>
      <c r="E118" s="73"/>
      <c r="F118" s="75"/>
      <c r="G118" s="611"/>
      <c r="H118" s="74" t="e">
        <f>H$117*H$115</f>
        <v>#VALUE!</v>
      </c>
      <c r="I118" s="619" t="s">
        <v>285</v>
      </c>
      <c r="J118" s="619"/>
      <c r="K118" s="74" t="e">
        <f>K$117*K$115</f>
        <v>#VALUE!</v>
      </c>
      <c r="L118" s="78" t="s">
        <v>285</v>
      </c>
      <c r="M118" s="78"/>
      <c r="N118" s="74" t="e">
        <f>N$117*N$115</f>
        <v>#VALUE!</v>
      </c>
      <c r="O118" s="1188" t="s">
        <v>285</v>
      </c>
    </row>
    <row r="119" spans="2:15" ht="15" customHeight="1" thickBot="1" x14ac:dyDescent="0.25">
      <c r="C119" s="78"/>
      <c r="D119" s="116" t="str">
        <f>IF(Deutsch,"Fertigungskosten gesamt","manufacturing cost total")</f>
        <v>Fertigungskosten gesamt</v>
      </c>
      <c r="E119" s="73"/>
      <c r="F119" s="75"/>
      <c r="G119" s="611"/>
      <c r="H119" s="113" t="e">
        <f>H$115+H$116/H$61+H$118</f>
        <v>#VALUE!</v>
      </c>
      <c r="I119" s="619" t="s">
        <v>285</v>
      </c>
      <c r="J119" s="619"/>
      <c r="K119" s="113" t="e">
        <f>K$115+K$116/K$61+K$118</f>
        <v>#VALUE!</v>
      </c>
      <c r="L119" s="619" t="s">
        <v>285</v>
      </c>
      <c r="M119" s="619"/>
      <c r="N119" s="113" t="e">
        <f>N$115+N$116/N$61+N$118</f>
        <v>#VALUE!</v>
      </c>
      <c r="O119" s="1188" t="s">
        <v>285</v>
      </c>
    </row>
    <row r="120" spans="2:15" ht="4.5" customHeight="1" thickBot="1" x14ac:dyDescent="0.25">
      <c r="C120" s="87"/>
      <c r="D120" s="88"/>
      <c r="E120" s="87"/>
      <c r="F120" s="89"/>
      <c r="G120" s="611"/>
      <c r="H120" s="91"/>
      <c r="I120" s="619" t="s">
        <v>285</v>
      </c>
      <c r="J120" s="619"/>
      <c r="K120" s="91"/>
      <c r="L120" s="78" t="s">
        <v>285</v>
      </c>
      <c r="M120" s="78"/>
      <c r="N120" s="91"/>
      <c r="O120" s="1192" t="s">
        <v>285</v>
      </c>
    </row>
    <row r="121" spans="2:15" ht="7.5" customHeight="1" thickBot="1" x14ac:dyDescent="0.25">
      <c r="D121" s="1229" t="str">
        <f>IF(Deutsch,"Gemeinkosten &amp; Gewinn","common cost &amp; profit")</f>
        <v>Gemeinkosten &amp; Gewinn</v>
      </c>
      <c r="E121" s="1230"/>
      <c r="F121" s="1231"/>
      <c r="G121" s="611"/>
      <c r="H121" s="79"/>
      <c r="I121" s="619" t="s">
        <v>285</v>
      </c>
      <c r="J121" s="619"/>
      <c r="K121" s="79"/>
      <c r="L121" s="78" t="s">
        <v>285</v>
      </c>
      <c r="M121" s="78"/>
      <c r="N121" s="79"/>
      <c r="O121" s="1189" t="s">
        <v>285</v>
      </c>
    </row>
    <row r="122" spans="2:15" ht="15" thickBot="1" x14ac:dyDescent="0.25">
      <c r="D122" s="1232"/>
      <c r="E122" s="1233"/>
      <c r="F122" s="1234"/>
      <c r="G122" s="611"/>
      <c r="H122" s="74" t="e">
        <f>H$26+H$119</f>
        <v>#VALUE!</v>
      </c>
      <c r="I122" s="619" t="s">
        <v>285</v>
      </c>
      <c r="J122" s="619"/>
      <c r="K122" s="85" t="e">
        <f>K$26+K$119</f>
        <v>#VALUE!</v>
      </c>
      <c r="L122" s="619" t="s">
        <v>285</v>
      </c>
      <c r="M122" s="619"/>
      <c r="N122" s="85" t="e">
        <f>N$26+N$119</f>
        <v>#VALUE!</v>
      </c>
      <c r="O122" s="1188" t="s">
        <v>285</v>
      </c>
    </row>
    <row r="123" spans="2:15" ht="15" thickBot="1" x14ac:dyDescent="0.25">
      <c r="B123" s="55" t="s">
        <v>127</v>
      </c>
      <c r="D123" s="72" t="str">
        <f>IF(Deutsch,"Vertriebs- und Verw.-gemeinkostensatz","administration cost rate")</f>
        <v>Vertriebs- und Verw.-gemeinkostensatz</v>
      </c>
      <c r="E123" s="67"/>
      <c r="F123" s="75"/>
      <c r="G123" s="611"/>
      <c r="H123" s="119">
        <v>0.12</v>
      </c>
      <c r="I123" s="620"/>
      <c r="J123" s="620"/>
      <c r="K123" s="119">
        <v>0.12</v>
      </c>
      <c r="L123" s="355"/>
      <c r="M123" s="355"/>
      <c r="N123" s="119">
        <v>0.12</v>
      </c>
      <c r="O123" s="1188"/>
    </row>
    <row r="124" spans="2:15" ht="15" thickBot="1" x14ac:dyDescent="0.25">
      <c r="D124" s="72" t="str">
        <f>IF(Deutsch,"Vertriebs- und Verw.-gemeinkosten","administration costs")</f>
        <v>Vertriebs- und Verw.-gemeinkosten</v>
      </c>
      <c r="E124" s="67"/>
      <c r="F124" s="75"/>
      <c r="G124" s="611"/>
      <c r="H124" s="74" t="e">
        <f>H$122*H123</f>
        <v>#VALUE!</v>
      </c>
      <c r="I124" s="619" t="s">
        <v>285</v>
      </c>
      <c r="J124" s="619"/>
      <c r="K124" s="74" t="e">
        <f>K$122*K123</f>
        <v>#VALUE!</v>
      </c>
      <c r="L124" s="619" t="s">
        <v>285</v>
      </c>
      <c r="M124" s="619"/>
      <c r="N124" s="74" t="e">
        <f t="shared" ref="N124" si="9">N$122*N123</f>
        <v>#VALUE!</v>
      </c>
      <c r="O124" s="1188" t="s">
        <v>285</v>
      </c>
    </row>
    <row r="125" spans="2:15" ht="15" thickBot="1" x14ac:dyDescent="0.25">
      <c r="D125" s="72" t="str">
        <f>CONCATENATE(IF(Deutsch,"F&amp;E- Kosten (","design and development cost ("),'Länder-DB'!I35*100,"%)")</f>
        <v>F&amp;E- Kosten (8%)</v>
      </c>
      <c r="E125" s="67"/>
      <c r="F125" s="75"/>
      <c r="G125" s="611"/>
      <c r="H125" s="74" t="e">
        <f>H$119*'Länder-DB'!$I$35</f>
        <v>#VALUE!</v>
      </c>
      <c r="I125" s="619" t="s">
        <v>285</v>
      </c>
      <c r="J125" s="619"/>
      <c r="K125" s="74" t="e">
        <f>K$119*'Länder-DB'!$I$35</f>
        <v>#VALUE!</v>
      </c>
      <c r="L125" s="78" t="s">
        <v>285</v>
      </c>
      <c r="M125" s="78"/>
      <c r="N125" s="74" t="e">
        <f>N$119*'Länder-DB'!$I$35</f>
        <v>#VALUE!</v>
      </c>
      <c r="O125" s="1188" t="s">
        <v>285</v>
      </c>
    </row>
    <row r="126" spans="2:15" ht="15" thickBot="1" x14ac:dyDescent="0.25">
      <c r="D126" s="82" t="str">
        <f>IF(Deutsch,"Gesamtgemeinkosten","administration cost total")</f>
        <v>Gesamtgemeinkosten</v>
      </c>
      <c r="E126" s="67"/>
      <c r="F126" s="75"/>
      <c r="G126" s="611"/>
      <c r="H126" s="1031" t="e">
        <f>H$124+H$125</f>
        <v>#VALUE!</v>
      </c>
      <c r="I126" s="619" t="s">
        <v>285</v>
      </c>
      <c r="J126" s="619"/>
      <c r="K126" s="1031" t="e">
        <f>K$124+K$125</f>
        <v>#VALUE!</v>
      </c>
      <c r="L126" s="619" t="s">
        <v>285</v>
      </c>
      <c r="M126" s="619"/>
      <c r="N126" s="1031" t="e">
        <f t="shared" ref="N126" si="10">N$124+N$125</f>
        <v>#VALUE!</v>
      </c>
      <c r="O126" s="1188" t="s">
        <v>285</v>
      </c>
    </row>
    <row r="127" spans="2:15" ht="15" thickBot="1" x14ac:dyDescent="0.25">
      <c r="B127" s="55" t="s">
        <v>127</v>
      </c>
      <c r="D127" s="72" t="str">
        <f>'Quick Input'!I81</f>
        <v>Gewinn auf Material</v>
      </c>
      <c r="E127" s="67"/>
      <c r="F127" s="75"/>
      <c r="G127" s="611"/>
      <c r="H127" s="119">
        <v>0</v>
      </c>
      <c r="I127" s="620"/>
      <c r="J127" s="620"/>
      <c r="K127" s="119">
        <v>0</v>
      </c>
      <c r="L127" s="620"/>
      <c r="M127" s="620"/>
      <c r="N127" s="119">
        <v>0</v>
      </c>
      <c r="O127" s="1188"/>
    </row>
    <row r="128" spans="2:15" ht="15" thickBot="1" x14ac:dyDescent="0.25">
      <c r="B128" s="55" t="s">
        <v>127</v>
      </c>
      <c r="D128" s="72" t="str">
        <f>'Quick Input'!I82</f>
        <v>Gewinn auf Wertschöpfung</v>
      </c>
      <c r="E128" s="67"/>
      <c r="F128" s="75"/>
      <c r="G128" s="611"/>
      <c r="H128" s="119">
        <v>0</v>
      </c>
      <c r="I128" s="620"/>
      <c r="J128" s="620"/>
      <c r="K128" s="119">
        <v>0</v>
      </c>
      <c r="L128" s="620"/>
      <c r="M128" s="620"/>
      <c r="N128" s="119">
        <v>0</v>
      </c>
      <c r="O128" s="1188"/>
    </row>
    <row r="129" spans="2:15" ht="15" thickBot="1" x14ac:dyDescent="0.25">
      <c r="D129" s="82" t="str">
        <f>IF(Deutsch,"Gesamtgewinn","profit total")</f>
        <v>Gesamtgewinn</v>
      </c>
      <c r="E129" s="67"/>
      <c r="F129" s="75"/>
      <c r="G129" s="611"/>
      <c r="H129" s="1030" t="e">
        <f>H$127*H$26+H$128*H$115</f>
        <v>#VALUE!</v>
      </c>
      <c r="I129" s="619" t="s">
        <v>285</v>
      </c>
      <c r="J129" s="619"/>
      <c r="K129" s="1030" t="e">
        <f>K$127*K$26+K$128*K$115</f>
        <v>#VALUE!</v>
      </c>
      <c r="L129" s="619" t="s">
        <v>285</v>
      </c>
      <c r="M129" s="619"/>
      <c r="N129" s="1030" t="e">
        <f>N$127*N$26+N$128*N$115</f>
        <v>#VALUE!</v>
      </c>
      <c r="O129" s="1188" t="s">
        <v>285</v>
      </c>
    </row>
    <row r="130" spans="2:15" ht="6" customHeight="1" thickBot="1" x14ac:dyDescent="0.25">
      <c r="D130" s="72"/>
      <c r="E130" s="67"/>
      <c r="F130" s="75"/>
      <c r="G130" s="611"/>
      <c r="H130" s="86"/>
      <c r="I130" s="619" t="s">
        <v>285</v>
      </c>
      <c r="J130" s="619"/>
      <c r="K130" s="86"/>
      <c r="L130" s="78" t="s">
        <v>285</v>
      </c>
      <c r="M130" s="78"/>
      <c r="N130" s="86"/>
      <c r="O130" s="1188" t="s">
        <v>285</v>
      </c>
    </row>
    <row r="131" spans="2:15" ht="15" thickBot="1" x14ac:dyDescent="0.25">
      <c r="D131" s="776" t="str">
        <f>IF(Deutsch,"Bauteilpreis gesamt","part cost total")</f>
        <v>Bauteilpreis gesamt</v>
      </c>
      <c r="E131" s="67"/>
      <c r="F131" s="75"/>
      <c r="G131" s="611"/>
      <c r="H131" s="1032" t="e">
        <f>H$122+H$126+H$129</f>
        <v>#VALUE!</v>
      </c>
      <c r="I131" s="619" t="s">
        <v>285</v>
      </c>
      <c r="J131" s="619"/>
      <c r="K131" s="1032" t="e">
        <f>K$122+K$126+K$129</f>
        <v>#VALUE!</v>
      </c>
      <c r="L131" s="619" t="s">
        <v>285</v>
      </c>
      <c r="M131" s="619"/>
      <c r="N131" s="1032" t="e">
        <f>N$122+N$126+N$129</f>
        <v>#VALUE!</v>
      </c>
      <c r="O131" s="1188" t="s">
        <v>285</v>
      </c>
    </row>
    <row r="132" spans="2:15" ht="6" customHeight="1" thickBot="1" x14ac:dyDescent="0.25">
      <c r="D132" s="82"/>
      <c r="E132" s="67"/>
      <c r="F132" s="75"/>
      <c r="G132" s="611"/>
      <c r="H132" s="92"/>
      <c r="I132" s="619" t="s">
        <v>285</v>
      </c>
      <c r="J132" s="619"/>
      <c r="K132" s="92"/>
      <c r="L132" s="78" t="s">
        <v>285</v>
      </c>
      <c r="M132" s="78"/>
      <c r="N132" s="92"/>
      <c r="O132" s="1192" t="s">
        <v>285</v>
      </c>
    </row>
    <row r="133" spans="2:15" ht="14.25" customHeight="1" thickBot="1" x14ac:dyDescent="0.25">
      <c r="D133" s="1229" t="str">
        <f>IF(Deutsch,"Potenziabschätzung","estimation potential")</f>
        <v>Potenziabschätzung</v>
      </c>
      <c r="E133" s="1230"/>
      <c r="F133" s="1231"/>
      <c r="G133" s="611"/>
      <c r="H133" s="280" t="b">
        <f>IF(H50=Parametrikber!F126,IF(H51=#REF!,TRUE,FALSE),FALSE)</f>
        <v>0</v>
      </c>
      <c r="I133" s="619" t="s">
        <v>285</v>
      </c>
      <c r="J133" s="619"/>
      <c r="K133" s="280" t="b">
        <f>IF(K50=Parametrikber!I126,IF(K51=#REF!,TRUE,FALSE),FALSE)</f>
        <v>0</v>
      </c>
      <c r="L133" s="78" t="s">
        <v>285</v>
      </c>
      <c r="M133" s="357"/>
      <c r="N133" s="280" t="b">
        <f>IF(N50=Parametrikber!L126,IF(N51=#REF!,TRUE,FALSE),FALSE)</f>
        <v>0</v>
      </c>
      <c r="O133" s="1189" t="s">
        <v>285</v>
      </c>
    </row>
    <row r="134" spans="2:15" ht="15" thickBot="1" x14ac:dyDescent="0.25">
      <c r="D134" s="1232"/>
      <c r="E134" s="1233"/>
      <c r="F134" s="1234"/>
      <c r="G134" s="611"/>
      <c r="H134" s="143"/>
      <c r="I134" s="619" t="s">
        <v>285</v>
      </c>
      <c r="J134" s="623"/>
      <c r="K134" s="143"/>
      <c r="L134" s="78" t="s">
        <v>285</v>
      </c>
      <c r="M134" s="144"/>
      <c r="N134" s="143"/>
      <c r="O134" s="1188" t="s">
        <v>285</v>
      </c>
    </row>
    <row r="135" spans="2:15" ht="15" thickBot="1" x14ac:dyDescent="0.25">
      <c r="B135" s="55" t="s">
        <v>127</v>
      </c>
      <c r="D135" s="72" t="str">
        <f>'Quick Input'!I51</f>
        <v>Zielpreis Bauteil</v>
      </c>
      <c r="E135" s="73"/>
      <c r="F135" s="75"/>
      <c r="G135" s="611"/>
      <c r="H135" s="85" t="e">
        <f>AVERAGE('Quick Input'!M$52:M$56)</f>
        <v>#DIV/0!</v>
      </c>
      <c r="I135" s="619" t="s">
        <v>285</v>
      </c>
      <c r="J135" s="623"/>
      <c r="K135" s="85" t="e">
        <f>AVERAGE('Quick Input'!P52:P56)</f>
        <v>#DIV/0!</v>
      </c>
      <c r="L135" s="78" t="s">
        <v>285</v>
      </c>
      <c r="M135" s="358"/>
      <c r="N135" s="85" t="e">
        <f>AVERAGE('Quick Input'!S52:S56)</f>
        <v>#DIV/0!</v>
      </c>
      <c r="O135" s="1188" t="s">
        <v>285</v>
      </c>
    </row>
    <row r="136" spans="2:15" ht="15" thickBot="1" x14ac:dyDescent="0.25">
      <c r="D136" s="72" t="str">
        <f>IF(Deutsch,"Potenzial pro Bauteil","earning per part")</f>
        <v>Potenzial pro Bauteil</v>
      </c>
      <c r="E136" s="73"/>
      <c r="F136" s="75"/>
      <c r="G136" s="611"/>
      <c r="H136" s="85" t="e">
        <f>H$135-H$131</f>
        <v>#DIV/0!</v>
      </c>
      <c r="I136" s="619" t="s">
        <v>285</v>
      </c>
      <c r="J136" s="619"/>
      <c r="K136" s="85" t="e">
        <f>K135-K131</f>
        <v>#DIV/0!</v>
      </c>
      <c r="L136" s="78" t="s">
        <v>285</v>
      </c>
      <c r="M136" s="78"/>
      <c r="N136" s="85" t="e">
        <f>N135-N131</f>
        <v>#DIV/0!</v>
      </c>
      <c r="O136" s="1188" t="s">
        <v>285</v>
      </c>
    </row>
    <row r="137" spans="2:15" ht="15" thickBot="1" x14ac:dyDescent="0.25">
      <c r="D137" s="72" t="str">
        <f>IF(Deutsch,"Potenzial über Lebenszyklus","earnig per live time")</f>
        <v>Potenzial über Lebenszyklus</v>
      </c>
      <c r="E137" s="73"/>
      <c r="F137" s="75"/>
      <c r="G137" s="611"/>
      <c r="H137" s="93" t="e">
        <f>IF(H$136&gt;0,H$136*'Quick Input'!M$44,0)</f>
        <v>#DIV/0!</v>
      </c>
      <c r="I137" s="619" t="s">
        <v>285</v>
      </c>
      <c r="J137" s="619"/>
      <c r="K137" s="93" t="e">
        <f>IF(K136&gt;0,K136*'Quick Input'!P44,0)</f>
        <v>#DIV/0!</v>
      </c>
      <c r="L137" s="78" t="s">
        <v>285</v>
      </c>
      <c r="M137" s="78"/>
      <c r="N137" s="93" t="e">
        <f>IF(N136&gt;0,N136*'Quick Input'!S44,0)</f>
        <v>#DIV/0!</v>
      </c>
      <c r="O137" s="1188" t="s">
        <v>285</v>
      </c>
    </row>
    <row r="138" spans="2:15" ht="15" thickBot="1" x14ac:dyDescent="0.25">
      <c r="D138" s="72" t="str">
        <f>IF(Deutsch,"Anzahl notwendiger Gieß-WKZ","tool sets")</f>
        <v>Anzahl notwendiger Gieß-WKZ</v>
      </c>
      <c r="E138" s="73"/>
      <c r="F138" s="75"/>
      <c r="G138" s="611"/>
      <c r="H138" s="140" t="e">
        <f>CONCATENATE(Parametrikber!F$260," x ",Parametrikber!F$259)</f>
        <v>#VALUE!</v>
      </c>
      <c r="I138" s="619" t="s">
        <v>285</v>
      </c>
      <c r="J138" s="619"/>
      <c r="K138" s="140" t="e">
        <f>CONCATENATE(Parametrikber!I$260," x ",Parametrikber!I$259)</f>
        <v>#VALUE!</v>
      </c>
      <c r="L138" s="78" t="s">
        <v>285</v>
      </c>
      <c r="M138" s="78"/>
      <c r="N138" s="140" t="e">
        <f>CONCATENATE(Parametrikber!L$260," x ",Parametrikber!L$259)</f>
        <v>#VALUE!</v>
      </c>
      <c r="O138" s="1188" t="s">
        <v>285</v>
      </c>
    </row>
    <row r="139" spans="2:15" ht="15" thickBot="1" x14ac:dyDescent="0.25">
      <c r="D139" s="72" t="str">
        <f>IF(Deutsch,"Werkzeuginvest geschätzt","tool invest - calculated")</f>
        <v>Werkzeuginvest geschätzt</v>
      </c>
      <c r="E139" s="73"/>
      <c r="F139" s="75"/>
      <c r="G139" s="611"/>
      <c r="H139" s="93" t="e">
        <f>Parametrikber!F$264</f>
        <v>#VALUE!</v>
      </c>
      <c r="I139" s="619" t="s">
        <v>285</v>
      </c>
      <c r="J139" s="619"/>
      <c r="K139" s="93" t="e">
        <f>Parametrikber!I$264</f>
        <v>#VALUE!</v>
      </c>
      <c r="L139" s="619" t="s">
        <v>285</v>
      </c>
      <c r="M139" s="619"/>
      <c r="N139" s="93" t="e">
        <f>Parametrikber!L$264</f>
        <v>#VALUE!</v>
      </c>
      <c r="O139" s="1188" t="s">
        <v>285</v>
      </c>
    </row>
    <row r="140" spans="2:15" ht="15" thickBot="1" x14ac:dyDescent="0.25">
      <c r="D140" s="72" t="str">
        <f>IF(Deutsch,"Kernkasteninvest geschätzt","tool invest - calculated")</f>
        <v>Kernkasteninvest geschätzt</v>
      </c>
      <c r="E140" s="73"/>
      <c r="F140" s="75"/>
      <c r="G140" s="611"/>
      <c r="H140" s="93">
        <f>Parametrikber!F$269</f>
        <v>0</v>
      </c>
      <c r="I140" s="619" t="s">
        <v>285</v>
      </c>
      <c r="J140" s="619"/>
      <c r="K140" s="93">
        <f>Parametrikber!I$269</f>
        <v>0</v>
      </c>
      <c r="L140" s="619" t="s">
        <v>285</v>
      </c>
      <c r="M140" s="619"/>
      <c r="N140" s="93">
        <f>Parametrikber!L$269</f>
        <v>0</v>
      </c>
      <c r="O140" s="1188" t="s">
        <v>285</v>
      </c>
    </row>
    <row r="141" spans="2:15" ht="15" thickBot="1" x14ac:dyDescent="0.25">
      <c r="D141" s="775" t="str">
        <f>IF(Deutsch,"Modellkosten Angebot","tool invest - supplier")</f>
        <v>Modellkosten Angebot</v>
      </c>
      <c r="E141" s="94"/>
      <c r="F141" s="89"/>
      <c r="G141" s="615"/>
      <c r="H141" s="359" t="e">
        <f>'Quick Input'!M57+'Quick Input'!M58</f>
        <v>#VALUE!</v>
      </c>
      <c r="I141" s="624" t="s">
        <v>285</v>
      </c>
      <c r="J141" s="625"/>
      <c r="K141" s="359" t="e">
        <f>'Quick Input'!P57+'Quick Input'!P58</f>
        <v>#VALUE!</v>
      </c>
      <c r="L141" s="624" t="s">
        <v>285</v>
      </c>
      <c r="M141" s="625"/>
      <c r="N141" s="359" t="e">
        <f>'Quick Input'!S57+'Quick Input'!S58</f>
        <v>#VALUE!</v>
      </c>
      <c r="O141" s="1192" t="s">
        <v>285</v>
      </c>
    </row>
    <row r="142" spans="2:15" ht="9" customHeight="1" thickBot="1" x14ac:dyDescent="0.25">
      <c r="G142" s="271"/>
    </row>
    <row r="143" spans="2:15" ht="11.25" customHeight="1" x14ac:dyDescent="0.2">
      <c r="D143" s="1217" t="str">
        <f>IF(Deutsch,"Empfehlungen / Info"," suggestion, infos")</f>
        <v>Empfehlungen / Info</v>
      </c>
      <c r="E143" s="1218"/>
      <c r="F143" s="1219"/>
      <c r="G143" s="190"/>
    </row>
    <row r="144" spans="2:15" ht="9.75" customHeight="1" thickBot="1" x14ac:dyDescent="0.25">
      <c r="D144" s="1220"/>
      <c r="E144" s="1221"/>
      <c r="F144" s="1222"/>
      <c r="G144" s="190"/>
      <c r="O144" s="87"/>
    </row>
    <row r="145" spans="2:15" ht="26.25" customHeight="1" thickBot="1" x14ac:dyDescent="0.25">
      <c r="B145" s="55" t="s">
        <v>127</v>
      </c>
      <c r="D145" s="588" t="str">
        <f>IF(Deutsch,"Parameter","parameter")</f>
        <v>Parameter</v>
      </c>
      <c r="E145" s="585"/>
      <c r="F145" s="586"/>
      <c r="G145" s="616"/>
      <c r="H145" s="675" t="str">
        <f>VLOOKUP(1,Parametrikber!E$276:$X$292,IF(Deutsch,19,20),FALSE)</f>
        <v xml:space="preserve"> </v>
      </c>
      <c r="I145" s="266" t="s">
        <v>285</v>
      </c>
      <c r="J145" s="587"/>
      <c r="K145" s="675" t="str">
        <f>VLOOKUP(1,Parametrikber!H$276:$X$292,IF(Deutsch,16,17),FALSE)</f>
        <v xml:space="preserve"> </v>
      </c>
      <c r="L145" s="266" t="s">
        <v>285</v>
      </c>
      <c r="M145" s="587"/>
      <c r="N145" s="675" t="str">
        <f>VLOOKUP(1,Parametrikber!K$276:$X$292,IF(Deutsch,13,14),FALSE)</f>
        <v xml:space="preserve"> </v>
      </c>
      <c r="O145" s="1189" t="s">
        <v>285</v>
      </c>
    </row>
    <row r="146" spans="2:15" ht="15" thickBot="1" x14ac:dyDescent="0.25">
      <c r="D146" s="142"/>
      <c r="E146" s="94"/>
      <c r="F146" s="89"/>
      <c r="G146" s="617"/>
      <c r="H146" s="692" t="str">
        <f>VLOOKUP(2,Parametrikber!E$276:$X$293,2,FALSE)</f>
        <v xml:space="preserve"> </v>
      </c>
      <c r="I146" s="87" t="s">
        <v>285</v>
      </c>
      <c r="J146" s="87"/>
      <c r="K146" s="676" t="str">
        <f>VLOOKUP(2,Parametrikber!H$276:$X$293,2,FALSE)</f>
        <v xml:space="preserve"> </v>
      </c>
      <c r="L146" s="87" t="s">
        <v>285</v>
      </c>
      <c r="M146" s="87"/>
      <c r="N146" s="676" t="str">
        <f>VLOOKUP(2,Parametrikber!K$276:$X$293,2,FALSE)</f>
        <v xml:space="preserve"> </v>
      </c>
      <c r="O146" s="1192" t="s">
        <v>285</v>
      </c>
    </row>
    <row r="147" spans="2:15" ht="25.5" customHeight="1" thickBot="1" x14ac:dyDescent="0.25">
      <c r="D147" s="588" t="str">
        <f>IF(Deutsch,"Parameter","parameter")</f>
        <v>Parameter</v>
      </c>
      <c r="E147" s="585"/>
      <c r="F147" s="586"/>
      <c r="G147" s="616"/>
      <c r="H147" s="675" t="str">
        <f>VLOOKUP(3,Parametrikber!E$276:$X$292,IF(Deutsch,19,20),FALSE)</f>
        <v xml:space="preserve"> </v>
      </c>
      <c r="I147" s="266" t="s">
        <v>285</v>
      </c>
      <c r="J147" s="587"/>
      <c r="K147" s="675" t="str">
        <f>VLOOKUP(3,Parametrikber!H$276:$X$292,IF(Deutsch,16,17),FALSE)</f>
        <v xml:space="preserve"> </v>
      </c>
      <c r="L147" s="266" t="s">
        <v>285</v>
      </c>
      <c r="M147" s="587"/>
      <c r="N147" s="675" t="str">
        <f>VLOOKUP(3,Parametrikber!K$276:$X$292,IF(Deutsch,13,14),FALSE)</f>
        <v xml:space="preserve"> </v>
      </c>
      <c r="O147" s="1189" t="s">
        <v>285</v>
      </c>
    </row>
    <row r="148" spans="2:15" ht="15" thickBot="1" x14ac:dyDescent="0.25">
      <c r="D148" s="142"/>
      <c r="E148" s="94"/>
      <c r="F148" s="89"/>
      <c r="G148" s="617"/>
      <c r="H148" s="691" t="str">
        <f>VLOOKUP(4,Parametrikber!E$276:$X$293,2,FALSE)</f>
        <v xml:space="preserve"> </v>
      </c>
      <c r="I148" s="87" t="s">
        <v>285</v>
      </c>
      <c r="J148" s="87"/>
      <c r="K148" s="691" t="str">
        <f>VLOOKUP(4,Parametrikber!H$276:$X$293,2,FALSE)</f>
        <v xml:space="preserve"> </v>
      </c>
      <c r="L148" s="87" t="s">
        <v>285</v>
      </c>
      <c r="M148" s="87"/>
      <c r="N148" s="691" t="str">
        <f>VLOOKUP(4,Parametrikber!K$276:$X$293,2,FALSE)</f>
        <v xml:space="preserve"> </v>
      </c>
      <c r="O148" s="1192" t="s">
        <v>285</v>
      </c>
    </row>
    <row r="149" spans="2:15" ht="26.25" customHeight="1" thickBot="1" x14ac:dyDescent="0.25">
      <c r="D149" s="588" t="str">
        <f>IF(Deutsch,"Parameter","parameter")</f>
        <v>Parameter</v>
      </c>
      <c r="E149" s="585"/>
      <c r="F149" s="586"/>
      <c r="G149" s="616"/>
      <c r="H149" s="675" t="str">
        <f>VLOOKUP(5,Parametrikber!E$276:$X$292,IF(Deutsch,19,20),FALSE)</f>
        <v xml:space="preserve"> </v>
      </c>
      <c r="I149" s="266" t="s">
        <v>285</v>
      </c>
      <c r="J149" s="587"/>
      <c r="K149" s="675" t="str">
        <f>VLOOKUP(5,Parametrikber!H$276:$X$292,IF(Deutsch,16,17),FALSE)</f>
        <v xml:space="preserve"> </v>
      </c>
      <c r="L149" s="266" t="s">
        <v>285</v>
      </c>
      <c r="M149" s="587"/>
      <c r="N149" s="675" t="str">
        <f>VLOOKUP(5,Parametrikber!K$276:$X$292,IF(Deutsch,13,14),FALSE)</f>
        <v xml:space="preserve"> </v>
      </c>
      <c r="O149" s="1189" t="s">
        <v>285</v>
      </c>
    </row>
    <row r="150" spans="2:15" ht="15" thickBot="1" x14ac:dyDescent="0.25">
      <c r="D150" s="142"/>
      <c r="E150" s="94"/>
      <c r="F150" s="89"/>
      <c r="G150" s="617"/>
      <c r="H150" s="676" t="str">
        <f>VLOOKUP(6,Parametrikber!E$276:$X$293,2,FALSE)</f>
        <v xml:space="preserve"> </v>
      </c>
      <c r="I150" s="87" t="s">
        <v>285</v>
      </c>
      <c r="J150" s="87"/>
      <c r="K150" s="676" t="str">
        <f>VLOOKUP(6,Parametrikber!H$276:$X$293,2,FALSE)</f>
        <v xml:space="preserve"> </v>
      </c>
      <c r="L150" s="87" t="s">
        <v>285</v>
      </c>
      <c r="M150" s="87"/>
      <c r="N150" s="676" t="str">
        <f>VLOOKUP(6,Parametrikber!K$276:$X$293,2,FALSE)</f>
        <v xml:space="preserve"> </v>
      </c>
      <c r="O150" s="1192" t="s">
        <v>285</v>
      </c>
    </row>
    <row r="151" spans="2:15" x14ac:dyDescent="0.2">
      <c r="G151" s="67"/>
    </row>
    <row r="152" spans="2:15" x14ac:dyDescent="0.2">
      <c r="G152" s="67"/>
    </row>
    <row r="153" spans="2:15" x14ac:dyDescent="0.2">
      <c r="G153" s="67"/>
    </row>
    <row r="154" spans="2:15" x14ac:dyDescent="0.2">
      <c r="G154" s="67"/>
    </row>
    <row r="155" spans="2:15" x14ac:dyDescent="0.2">
      <c r="G155" s="67"/>
    </row>
    <row r="156" spans="2:15" x14ac:dyDescent="0.2">
      <c r="G156" s="67"/>
    </row>
    <row r="157" spans="2:15" x14ac:dyDescent="0.2">
      <c r="G157" s="67"/>
    </row>
    <row r="158" spans="2:15" x14ac:dyDescent="0.2">
      <c r="G158" s="67"/>
    </row>
    <row r="159" spans="2:15" x14ac:dyDescent="0.2">
      <c r="G159" s="67"/>
    </row>
    <row r="160" spans="2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  <row r="251" spans="7:7" x14ac:dyDescent="0.2">
      <c r="G251" s="67"/>
    </row>
    <row r="252" spans="7:7" x14ac:dyDescent="0.2">
      <c r="G252" s="67"/>
    </row>
    <row r="253" spans="7:7" x14ac:dyDescent="0.2">
      <c r="G253" s="67"/>
    </row>
    <row r="254" spans="7:7" x14ac:dyDescent="0.2">
      <c r="G254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43:F144"/>
    <mergeCell ref="D5:F6"/>
    <mergeCell ref="D133:F134"/>
    <mergeCell ref="D28:F29"/>
    <mergeCell ref="D121:F122"/>
    <mergeCell ref="D9:F11"/>
    <mergeCell ref="D7:F7"/>
    <mergeCell ref="D8:F8"/>
    <mergeCell ref="D48:F48"/>
    <mergeCell ref="D114:F115"/>
    <mergeCell ref="D73:F73"/>
    <mergeCell ref="D94:F94"/>
  </mergeCells>
  <phoneticPr fontId="4" type="noConversion"/>
  <conditionalFormatting sqref="N132 K132 H15 H65 H132 K15 N15 H124 K124 N124 H47">
    <cfRule type="expression" dxfId="157" priority="485" stopIfTrue="1">
      <formula>VALUE(H16="Materialdatenbank")</formula>
    </cfRule>
  </conditionalFormatting>
  <conditionalFormatting sqref="H130 K130 N130 K54 N54 H54">
    <cfRule type="expression" dxfId="156" priority="486" stopIfTrue="1">
      <formula>VALUE(H56="Materialdatenbank")</formula>
    </cfRule>
  </conditionalFormatting>
  <conditionalFormatting sqref="N60 K60">
    <cfRule type="expression" dxfId="155" priority="488" stopIfTrue="1">
      <formula>VALUE(K128="Materialdatenbank")</formula>
    </cfRule>
  </conditionalFormatting>
  <conditionalFormatting sqref="H34">
    <cfRule type="expression" dxfId="154" priority="490" stopIfTrue="1">
      <formula>VALUE(H33="Materialdatenbank")</formula>
    </cfRule>
  </conditionalFormatting>
  <conditionalFormatting sqref="H56 K56 N56">
    <cfRule type="expression" dxfId="153" priority="491" stopIfTrue="1">
      <formula>VALUE(#REF!="Materialdatenbank")</formula>
    </cfRule>
  </conditionalFormatting>
  <conditionalFormatting sqref="H60">
    <cfRule type="expression" dxfId="152" priority="492" stopIfTrue="1">
      <formula>VALUE(H128="Materialdatenbank")</formula>
    </cfRule>
  </conditionalFormatting>
  <conditionalFormatting sqref="K76 N76 H76">
    <cfRule type="expression" dxfId="151" priority="493" stopIfTrue="1">
      <formula>VALUE(H66="Materialdatenbank")</formula>
    </cfRule>
  </conditionalFormatting>
  <conditionalFormatting sqref="H131 H98 H33 N98 K131 N131 H91 H116 K91 K116 N90:N91 N116 K98 H101:H102 K101:K102 N101:N102">
    <cfRule type="expression" dxfId="150" priority="494" stopIfTrue="1">
      <formula>VALUE(#REF!="Materialdatenbank")</formula>
    </cfRule>
  </conditionalFormatting>
  <conditionalFormatting sqref="H134:H137 K134:K137 N134:N137 H139 H57 H25 H68 K14 N14 K68 N68 H9:H12 K9:K12 N9:N12 K25 N25 K57 N57 K141 H141 K139 N139 N141 H14">
    <cfRule type="expression" dxfId="149" priority="495" stopIfTrue="1">
      <formula>VALUE(#REF!="Materialdatenbank")</formula>
    </cfRule>
  </conditionalFormatting>
  <conditionalFormatting sqref="H122 K122 N122">
    <cfRule type="expression" dxfId="148" priority="497" stopIfTrue="1">
      <formula>VALUE(#REF!="Materialdatenbank")</formula>
    </cfRule>
  </conditionalFormatting>
  <conditionalFormatting sqref="H42">
    <cfRule type="expression" dxfId="147" priority="498" stopIfTrue="1">
      <formula>VALUE(#REF!="Materialdatenbank")</formula>
    </cfRule>
  </conditionalFormatting>
  <conditionalFormatting sqref="H37">
    <cfRule type="expression" dxfId="146" priority="499" stopIfTrue="1">
      <formula>VALUE(#REF!="Materialdatenbank")</formula>
    </cfRule>
  </conditionalFormatting>
  <conditionalFormatting sqref="K2:K4 N2:N4 W4 H2:H4">
    <cfRule type="cellIs" dxfId="145" priority="500" operator="equal">
      <formula>FALSE</formula>
    </cfRule>
  </conditionalFormatting>
  <conditionalFormatting sqref="H17">
    <cfRule type="expression" dxfId="144" priority="501" stopIfTrue="1">
      <formula>VALUE(H24="Materialdatenbank")</formula>
    </cfRule>
  </conditionalFormatting>
  <conditionalFormatting sqref="H20">
    <cfRule type="expression" dxfId="143" priority="481" stopIfTrue="1">
      <formula>VALUE(H26="Materialdatenbank")</formula>
    </cfRule>
  </conditionalFormatting>
  <conditionalFormatting sqref="H21">
    <cfRule type="expression" dxfId="142" priority="480" stopIfTrue="1">
      <formula>VALUE(H25="Materialdatenbank")</formula>
    </cfRule>
  </conditionalFormatting>
  <conditionalFormatting sqref="K17">
    <cfRule type="expression" dxfId="141" priority="453" stopIfTrue="1">
      <formula>VALUE(K24="Materialdatenbank")</formula>
    </cfRule>
  </conditionalFormatting>
  <conditionalFormatting sqref="H112 H110 K112 K110 N112 N110">
    <cfRule type="expression" dxfId="140" priority="464" stopIfTrue="1">
      <formula>VALUE(#REF!="Materialdatenbank")</formula>
    </cfRule>
  </conditionalFormatting>
  <conditionalFormatting sqref="H36">
    <cfRule type="expression" dxfId="139" priority="502" stopIfTrue="1">
      <formula>VALUE(#REF!="Materialdatenbank")</formula>
    </cfRule>
  </conditionalFormatting>
  <conditionalFormatting sqref="H40">
    <cfRule type="expression" dxfId="138" priority="508" stopIfTrue="1">
      <formula>VALUE(H34="Materialdatenbank")</formula>
    </cfRule>
  </conditionalFormatting>
  <conditionalFormatting sqref="N17">
    <cfRule type="expression" dxfId="137" priority="452" stopIfTrue="1">
      <formula>VALUE(N24="Materialdatenbank")</formula>
    </cfRule>
  </conditionalFormatting>
  <conditionalFormatting sqref="H39 K39">
    <cfRule type="expression" dxfId="136" priority="437" stopIfTrue="1">
      <formula>VALUE(H47="Materialdatenbank")</formula>
    </cfRule>
  </conditionalFormatting>
  <conditionalFormatting sqref="K40">
    <cfRule type="expression" dxfId="135" priority="443" stopIfTrue="1">
      <formula>VALUE(K34="Materialdatenbank")</formula>
    </cfRule>
  </conditionalFormatting>
  <conditionalFormatting sqref="N40">
    <cfRule type="expression" dxfId="134" priority="435" stopIfTrue="1">
      <formula>VALUE(N34="Materialdatenbank")</formula>
    </cfRule>
  </conditionalFormatting>
  <conditionalFormatting sqref="K42">
    <cfRule type="expression" dxfId="133" priority="393" stopIfTrue="1">
      <formula>VALUE(#REF!="Materialdatenbank")</formula>
    </cfRule>
  </conditionalFormatting>
  <conditionalFormatting sqref="N42">
    <cfRule type="expression" dxfId="132" priority="392" stopIfTrue="1">
      <formula>VALUE(#REF!="Materialdatenbank")</formula>
    </cfRule>
  </conditionalFormatting>
  <conditionalFormatting sqref="K65">
    <cfRule type="expression" dxfId="131" priority="385" stopIfTrue="1">
      <formula>VALUE(K66="Materialdatenbank")</formula>
    </cfRule>
  </conditionalFormatting>
  <conditionalFormatting sqref="N65">
    <cfRule type="expression" dxfId="130" priority="383" stopIfTrue="1">
      <formula>VALUE(N66="Materialdatenbank")</formula>
    </cfRule>
  </conditionalFormatting>
  <conditionalFormatting sqref="K146">
    <cfRule type="expression" dxfId="129" priority="267" stopIfTrue="1">
      <formula>K146=" "</formula>
    </cfRule>
  </conditionalFormatting>
  <conditionalFormatting sqref="K145">
    <cfRule type="expression" dxfId="128" priority="266" stopIfTrue="1">
      <formula>K145=" "</formula>
    </cfRule>
  </conditionalFormatting>
  <conditionalFormatting sqref="N145">
    <cfRule type="expression" dxfId="127" priority="253" stopIfTrue="1">
      <formula>N145=" "</formula>
    </cfRule>
  </conditionalFormatting>
  <conditionalFormatting sqref="K150">
    <cfRule type="expression" dxfId="126" priority="262" stopIfTrue="1">
      <formula>K150=" "</formula>
    </cfRule>
  </conditionalFormatting>
  <conditionalFormatting sqref="N148">
    <cfRule type="expression" dxfId="125" priority="252" stopIfTrue="1">
      <formula>N148=" "</formula>
    </cfRule>
  </conditionalFormatting>
  <conditionalFormatting sqref="H146">
    <cfRule type="expression" dxfId="124" priority="260" stopIfTrue="1">
      <formula>H146=" "</formula>
    </cfRule>
  </conditionalFormatting>
  <conditionalFormatting sqref="H145">
    <cfRule type="expression" dxfId="123" priority="259" stopIfTrue="1">
      <formula>H145=" "</formula>
    </cfRule>
  </conditionalFormatting>
  <conditionalFormatting sqref="H150">
    <cfRule type="expression" dxfId="122" priority="256" stopIfTrue="1">
      <formula>H150=" "</formula>
    </cfRule>
  </conditionalFormatting>
  <conditionalFormatting sqref="N146">
    <cfRule type="expression" dxfId="121" priority="254" stopIfTrue="1">
      <formula>N146=" "</formula>
    </cfRule>
  </conditionalFormatting>
  <conditionalFormatting sqref="N150">
    <cfRule type="expression" dxfId="120" priority="250" stopIfTrue="1">
      <formula>N150=" "</formula>
    </cfRule>
  </conditionalFormatting>
  <conditionalFormatting sqref="H22">
    <cfRule type="expression" dxfId="119" priority="230" stopIfTrue="1">
      <formula>VALUE(H131="Materialdatenbank")</formula>
    </cfRule>
  </conditionalFormatting>
  <conditionalFormatting sqref="K22">
    <cfRule type="expression" dxfId="118" priority="219" stopIfTrue="1">
      <formula>VALUE(K131="Materialdatenbank")</formula>
    </cfRule>
  </conditionalFormatting>
  <conditionalFormatting sqref="N22">
    <cfRule type="expression" dxfId="117" priority="218" stopIfTrue="1">
      <formula>VALUE(N131="Materialdatenbank")</formula>
    </cfRule>
  </conditionalFormatting>
  <conditionalFormatting sqref="H147">
    <cfRule type="expression" dxfId="116" priority="213" stopIfTrue="1">
      <formula>H147=" "</formula>
    </cfRule>
  </conditionalFormatting>
  <conditionalFormatting sqref="H149">
    <cfRule type="expression" dxfId="115" priority="212" stopIfTrue="1">
      <formula>H149=" "</formula>
    </cfRule>
  </conditionalFormatting>
  <conditionalFormatting sqref="K147">
    <cfRule type="expression" dxfId="114" priority="211" stopIfTrue="1">
      <formula>K147=" "</formula>
    </cfRule>
  </conditionalFormatting>
  <conditionalFormatting sqref="K149">
    <cfRule type="expression" dxfId="113" priority="210" stopIfTrue="1">
      <formula>K149=" "</formula>
    </cfRule>
  </conditionalFormatting>
  <conditionalFormatting sqref="N147">
    <cfRule type="expression" dxfId="112" priority="209" stopIfTrue="1">
      <formula>N147=" "</formula>
    </cfRule>
  </conditionalFormatting>
  <conditionalFormatting sqref="N149">
    <cfRule type="expression" dxfId="111" priority="208" stopIfTrue="1">
      <formula>N149=" "</formula>
    </cfRule>
  </conditionalFormatting>
  <conditionalFormatting sqref="H111 K111 N111">
    <cfRule type="expression" dxfId="110" priority="201" stopIfTrue="1">
      <formula>VALUE(#REF!="Materialdatenbank")</formula>
    </cfRule>
  </conditionalFormatting>
  <conditionalFormatting sqref="H148">
    <cfRule type="expression" dxfId="109" priority="193" stopIfTrue="1">
      <formula>H148=" "</formula>
    </cfRule>
  </conditionalFormatting>
  <conditionalFormatting sqref="K148">
    <cfRule type="expression" dxfId="108" priority="191" stopIfTrue="1">
      <formula>K148=" "</formula>
    </cfRule>
  </conditionalFormatting>
  <conditionalFormatting sqref="H105 K105">
    <cfRule type="expression" dxfId="107" priority="185" stopIfTrue="1">
      <formula>VALUE(#REF!="Materialdatenbank")</formula>
    </cfRule>
  </conditionalFormatting>
  <conditionalFormatting sqref="H108 K108 N108">
    <cfRule type="expression" dxfId="106" priority="184" stopIfTrue="1">
      <formula>VALUE(#REF!="Materialdatenbank")</formula>
    </cfRule>
  </conditionalFormatting>
  <conditionalFormatting sqref="K33">
    <cfRule type="expression" dxfId="105" priority="179" stopIfTrue="1">
      <formula>VALUE(#REF!="Materialdatenbank")</formula>
    </cfRule>
  </conditionalFormatting>
  <conditionalFormatting sqref="N33">
    <cfRule type="expression" dxfId="104" priority="177" stopIfTrue="1">
      <formula>VALUE(#REF!="Materialdatenbank")</formula>
    </cfRule>
  </conditionalFormatting>
  <conditionalFormatting sqref="K37 N37">
    <cfRule type="expression" dxfId="103" priority="169" stopIfTrue="1">
      <formula>VALUE(#REF!="Materialdatenbank")</formula>
    </cfRule>
  </conditionalFormatting>
  <conditionalFormatting sqref="K34">
    <cfRule type="expression" dxfId="102" priority="166" stopIfTrue="1">
      <formula>VALUE(K33="Materialdatenbank")</formula>
    </cfRule>
  </conditionalFormatting>
  <conditionalFormatting sqref="N34">
    <cfRule type="expression" dxfId="101" priority="165" stopIfTrue="1">
      <formula>VALUE(N33="Materialdatenbank")</formula>
    </cfRule>
  </conditionalFormatting>
  <conditionalFormatting sqref="H45">
    <cfRule type="expression" dxfId="100" priority="160" stopIfTrue="1">
      <formula>VALUE(#REF!="Materialdatenbank")</formula>
    </cfRule>
  </conditionalFormatting>
  <conditionalFormatting sqref="H43">
    <cfRule type="expression" dxfId="99" priority="161" stopIfTrue="1">
      <formula>VALUE(H37="Materialdatenbank")</formula>
    </cfRule>
  </conditionalFormatting>
  <conditionalFormatting sqref="K43">
    <cfRule type="expression" dxfId="98" priority="139" stopIfTrue="1">
      <formula>VALUE(K37="Materialdatenbank")</formula>
    </cfRule>
  </conditionalFormatting>
  <conditionalFormatting sqref="N43">
    <cfRule type="expression" dxfId="97" priority="138" stopIfTrue="1">
      <formula>VALUE(N37="Materialdatenbank")</formula>
    </cfRule>
  </conditionalFormatting>
  <conditionalFormatting sqref="K21">
    <cfRule type="expression" dxfId="96" priority="124" stopIfTrue="1">
      <formula>VALUE(K25="Materialdatenbank")</formula>
    </cfRule>
  </conditionalFormatting>
  <conditionalFormatting sqref="N21">
    <cfRule type="expression" dxfId="95" priority="123" stopIfTrue="1">
      <formula>VALUE(N25="Materialdatenbank")</formula>
    </cfRule>
  </conditionalFormatting>
  <conditionalFormatting sqref="K115 H115 N115">
    <cfRule type="expression" dxfId="94" priority="111" stopIfTrue="1">
      <formula>VALUE(H118="Materialdatenbank")</formula>
    </cfRule>
  </conditionalFormatting>
  <conditionalFormatting sqref="H26 K26 N26">
    <cfRule type="expression" dxfId="93" priority="510" stopIfTrue="1">
      <formula>VALUE(#REF!="Materialdatenbank")</formula>
    </cfRule>
  </conditionalFormatting>
  <conditionalFormatting sqref="H18 N18 K18">
    <cfRule type="expression" dxfId="92" priority="108" stopIfTrue="1">
      <formula>VALUE(H21="Materialdatenbank")</formula>
    </cfRule>
  </conditionalFormatting>
  <conditionalFormatting sqref="H23">
    <cfRule type="expression" dxfId="91" priority="107" stopIfTrue="1">
      <formula>VALUE(H27="Materialdatenbank")</formula>
    </cfRule>
  </conditionalFormatting>
  <conditionalFormatting sqref="H19">
    <cfRule type="expression" dxfId="90" priority="94" stopIfTrue="1">
      <formula>VALUE(#REF!="Materialdatenbank")</formula>
    </cfRule>
  </conditionalFormatting>
  <conditionalFormatting sqref="K19 N19">
    <cfRule type="expression" dxfId="89" priority="93" stopIfTrue="1">
      <formula>VALUE(#REF!="Materialdatenbank")</formula>
    </cfRule>
  </conditionalFormatting>
  <conditionalFormatting sqref="K20 N20">
    <cfRule type="expression" dxfId="88" priority="92" stopIfTrue="1">
      <formula>VALUE(K26="Materialdatenbank")</formula>
    </cfRule>
  </conditionalFormatting>
  <conditionalFormatting sqref="K23 N23">
    <cfRule type="expression" dxfId="87" priority="91" stopIfTrue="1">
      <formula>VALUE(K27="Materialdatenbank")</formula>
    </cfRule>
  </conditionalFormatting>
  <conditionalFormatting sqref="K45">
    <cfRule type="expression" dxfId="86" priority="90" stopIfTrue="1">
      <formula>VALUE(#REF!="Materialdatenbank")</formula>
    </cfRule>
  </conditionalFormatting>
  <conditionalFormatting sqref="N45">
    <cfRule type="expression" dxfId="85" priority="89" stopIfTrue="1">
      <formula>VALUE(#REF!="Materialdatenbank")</formula>
    </cfRule>
  </conditionalFormatting>
  <conditionalFormatting sqref="K36 N36">
    <cfRule type="expression" dxfId="84" priority="86" stopIfTrue="1">
      <formula>VALUE(#REF!="Materialdatenbank")</formula>
    </cfRule>
  </conditionalFormatting>
  <conditionalFormatting sqref="N39">
    <cfRule type="expression" dxfId="83" priority="85" stopIfTrue="1">
      <formula>VALUE(N47="Materialdatenbank")</formula>
    </cfRule>
  </conditionalFormatting>
  <conditionalFormatting sqref="K93 N93 H93">
    <cfRule type="expression" dxfId="82" priority="517" stopIfTrue="1">
      <formula>VALUE(H65="Materialdatenbank")</formula>
    </cfRule>
  </conditionalFormatting>
  <conditionalFormatting sqref="H64 K64 N64">
    <cfRule type="expression" dxfId="81" priority="529" stopIfTrue="1">
      <formula>VALUE(H53="Materialdatenbank")</formula>
    </cfRule>
  </conditionalFormatting>
  <conditionalFormatting sqref="H89 K89 N89">
    <cfRule type="expression" dxfId="80" priority="531" stopIfTrue="1">
      <formula>VALUE(H63="Materialdatenbank")</formula>
    </cfRule>
  </conditionalFormatting>
  <conditionalFormatting sqref="K66 N66 H66 N69">
    <cfRule type="expression" dxfId="79" priority="79" stopIfTrue="1">
      <formula>VALUE(H132="Materialdatenbank")</formula>
    </cfRule>
  </conditionalFormatting>
  <conditionalFormatting sqref="H125 K125 N125">
    <cfRule type="expression" dxfId="78" priority="533" stopIfTrue="1">
      <formula>VALUE(#REF!="Materialdatenbank")</formula>
    </cfRule>
  </conditionalFormatting>
  <conditionalFormatting sqref="N126">
    <cfRule type="expression" dxfId="77" priority="556" stopIfTrue="1">
      <formula>VALUE(N113="Materialdatenbank")</formula>
    </cfRule>
  </conditionalFormatting>
  <conditionalFormatting sqref="K118 N118 H118">
    <cfRule type="expression" dxfId="76" priority="557" stopIfTrue="1">
      <formula>VALUE(H70="Materialdatenbank")</formula>
    </cfRule>
  </conditionalFormatting>
  <conditionalFormatting sqref="K47">
    <cfRule type="expression" dxfId="75" priority="71" stopIfTrue="1">
      <formula>VALUE(K48="Materialdatenbank")</formula>
    </cfRule>
  </conditionalFormatting>
  <conditionalFormatting sqref="N47">
    <cfRule type="expression" dxfId="74" priority="70" stopIfTrue="1">
      <formula>VALUE(N48="Materialdatenbank")</formula>
    </cfRule>
  </conditionalFormatting>
  <conditionalFormatting sqref="H72">
    <cfRule type="expression" dxfId="73" priority="62" stopIfTrue="1">
      <formula>VALUE(H68="Materialdatenbank")</formula>
    </cfRule>
  </conditionalFormatting>
  <conditionalFormatting sqref="H126">
    <cfRule type="expression" dxfId="72" priority="59" stopIfTrue="1">
      <formula>VALUE(H113="Materialdatenbank")</formula>
    </cfRule>
  </conditionalFormatting>
  <conditionalFormatting sqref="H129">
    <cfRule type="expression" dxfId="71" priority="58" stopIfTrue="1">
      <formula>VALUE(H116="Materialdatenbank")</formula>
    </cfRule>
  </conditionalFormatting>
  <conditionalFormatting sqref="K126">
    <cfRule type="expression" dxfId="70" priority="56" stopIfTrue="1">
      <formula>VALUE(K113="Materialdatenbank")</formula>
    </cfRule>
  </conditionalFormatting>
  <conditionalFormatting sqref="N71 K71 H71">
    <cfRule type="expression" dxfId="69" priority="562" stopIfTrue="1">
      <formula>VALUE(#REF!="Materialdatenbank")</formula>
    </cfRule>
  </conditionalFormatting>
  <conditionalFormatting sqref="H119">
    <cfRule type="expression" dxfId="68" priority="54" stopIfTrue="1">
      <formula>VALUE(H122="Materialdatenbank")</formula>
    </cfRule>
  </conditionalFormatting>
  <conditionalFormatting sqref="K119 N119">
    <cfRule type="expression" dxfId="67" priority="53" stopIfTrue="1">
      <formula>VALUE(K122="Materialdatenbank")</formula>
    </cfRule>
  </conditionalFormatting>
  <conditionalFormatting sqref="H88 K88 N88">
    <cfRule type="expression" dxfId="66" priority="586" stopIfTrue="1">
      <formula>VALUE(H64="Materialdatenbank")</formula>
    </cfRule>
  </conditionalFormatting>
  <conditionalFormatting sqref="H113 K113 N113">
    <cfRule type="expression" dxfId="65" priority="591" stopIfTrue="1">
      <formula>VALUE(H76="Materialdatenbank")</formula>
    </cfRule>
  </conditionalFormatting>
  <conditionalFormatting sqref="H77 N77">
    <cfRule type="expression" dxfId="64" priority="52" stopIfTrue="1">
      <formula>VALUE(H60="Materialdatenbank")</formula>
    </cfRule>
  </conditionalFormatting>
  <conditionalFormatting sqref="K77">
    <cfRule type="expression" dxfId="63" priority="51" stopIfTrue="1">
      <formula>VALUE(K60="Materialdatenbank")</formula>
    </cfRule>
  </conditionalFormatting>
  <conditionalFormatting sqref="H87 N87">
    <cfRule type="expression" dxfId="62" priority="48" stopIfTrue="1">
      <formula>VALUE(H64="Materialdatenbank")</formula>
    </cfRule>
  </conditionalFormatting>
  <conditionalFormatting sqref="K87">
    <cfRule type="expression" dxfId="61" priority="40" stopIfTrue="1">
      <formula>VALUE(K64="Materialdatenbank")</formula>
    </cfRule>
  </conditionalFormatting>
  <conditionalFormatting sqref="H69">
    <cfRule type="expression" dxfId="60" priority="38" stopIfTrue="1">
      <formula>VALUE(H135="Materialdatenbank")</formula>
    </cfRule>
  </conditionalFormatting>
  <conditionalFormatting sqref="K69">
    <cfRule type="expression" dxfId="59" priority="37" stopIfTrue="1">
      <formula>VALUE(K135="Materialdatenbank")</formula>
    </cfRule>
  </conditionalFormatting>
  <conditionalFormatting sqref="K72 N72">
    <cfRule type="expression" dxfId="58" priority="36" stopIfTrue="1">
      <formula>VALUE(K68="Materialdatenbank")</formula>
    </cfRule>
  </conditionalFormatting>
  <conditionalFormatting sqref="K129 N129">
    <cfRule type="expression" dxfId="57" priority="35" stopIfTrue="1">
      <formula>VALUE(K116="Materialdatenbank")</formula>
    </cfRule>
  </conditionalFormatting>
  <conditionalFormatting sqref="H140 K140 N140">
    <cfRule type="expression" dxfId="56" priority="34" stopIfTrue="1">
      <formula>VALUE(#REF!="Materialdatenbank")</formula>
    </cfRule>
  </conditionalFormatting>
  <conditionalFormatting sqref="H80">
    <cfRule type="expression" dxfId="55" priority="33" stopIfTrue="1">
      <formula>VALUE(H62="Materialdatenbank")</formula>
    </cfRule>
  </conditionalFormatting>
  <conditionalFormatting sqref="K80">
    <cfRule type="expression" dxfId="54" priority="32" stopIfTrue="1">
      <formula>VALUE(K62="Materialdatenbank")</formula>
    </cfRule>
  </conditionalFormatting>
  <conditionalFormatting sqref="N80">
    <cfRule type="expression" dxfId="53" priority="31" stopIfTrue="1">
      <formula>VALUE(N62="Materialdatenbank")</formula>
    </cfRule>
  </conditionalFormatting>
  <conditionalFormatting sqref="H83">
    <cfRule type="expression" dxfId="52" priority="30" stopIfTrue="1">
      <formula>VALUE(H64="Materialdatenbank")</formula>
    </cfRule>
  </conditionalFormatting>
  <conditionalFormatting sqref="K83">
    <cfRule type="expression" dxfId="51" priority="29" stopIfTrue="1">
      <formula>VALUE(K64="Materialdatenbank")</formula>
    </cfRule>
  </conditionalFormatting>
  <conditionalFormatting sqref="N83">
    <cfRule type="expression" dxfId="50" priority="28" stopIfTrue="1">
      <formula>VALUE(N64="Materialdatenbank")</formula>
    </cfRule>
  </conditionalFormatting>
  <conditionalFormatting sqref="H97">
    <cfRule type="expression" dxfId="49" priority="27" stopIfTrue="1">
      <formula>VALUE(#REF!="Materialdatenbank")</formula>
    </cfRule>
  </conditionalFormatting>
  <conditionalFormatting sqref="K97">
    <cfRule type="expression" dxfId="48" priority="26" stopIfTrue="1">
      <formula>VALUE(#REF!="Materialdatenbank")</formula>
    </cfRule>
  </conditionalFormatting>
  <conditionalFormatting sqref="H90">
    <cfRule type="expression" dxfId="47" priority="24" stopIfTrue="1">
      <formula>VALUE(H64="Materialdatenbank")</formula>
    </cfRule>
  </conditionalFormatting>
  <conditionalFormatting sqref="K90">
    <cfRule type="expression" dxfId="46" priority="23" stopIfTrue="1">
      <formula>VALUE(K64="Materialdatenbank")</formula>
    </cfRule>
  </conditionalFormatting>
  <conditionalFormatting sqref="H100 K100 N100">
    <cfRule type="expression" dxfId="45" priority="22" stopIfTrue="1">
      <formula>VALUE(#REF!="Materialdatenbank")</formula>
    </cfRule>
  </conditionalFormatting>
  <conditionalFormatting sqref="N105">
    <cfRule type="expression" dxfId="44" priority="21" stopIfTrue="1">
      <formula>VALUE(#REF!="Materialdatenbank")</formula>
    </cfRule>
  </conditionalFormatting>
  <conditionalFormatting sqref="H104">
    <cfRule type="expression" dxfId="43" priority="20" stopIfTrue="1">
      <formula>VALUE(#REF!="Materialdatenbank")</formula>
    </cfRule>
  </conditionalFormatting>
  <conditionalFormatting sqref="K104">
    <cfRule type="expression" dxfId="42" priority="17" stopIfTrue="1">
      <formula>VALUE(#REF!="Materialdatenbank")</formula>
    </cfRule>
  </conditionalFormatting>
  <conditionalFormatting sqref="N104">
    <cfRule type="expression" dxfId="41" priority="16" stopIfTrue="1">
      <formula>VALUE(#REF!="Materialdatenbank")</formula>
    </cfRule>
  </conditionalFormatting>
  <conditionalFormatting sqref="H107">
    <cfRule type="expression" dxfId="40" priority="15" stopIfTrue="1">
      <formula>VALUE(#REF!="Materialdatenbank")</formula>
    </cfRule>
  </conditionalFormatting>
  <conditionalFormatting sqref="K107">
    <cfRule type="expression" dxfId="39" priority="12" stopIfTrue="1">
      <formula>VALUE(#REF!="Materialdatenbank")</formula>
    </cfRule>
  </conditionalFormatting>
  <conditionalFormatting sqref="N107">
    <cfRule type="expression" dxfId="38" priority="11" stopIfTrue="1">
      <formula>VALUE(#REF!="Materialdatenbank")</formula>
    </cfRule>
  </conditionalFormatting>
  <conditionalFormatting sqref="H79">
    <cfRule type="expression" dxfId="37" priority="10" stopIfTrue="1">
      <formula>VALUE(H61="Materialdatenbank")</formula>
    </cfRule>
  </conditionalFormatting>
  <conditionalFormatting sqref="K79">
    <cfRule type="expression" dxfId="36" priority="9" stopIfTrue="1">
      <formula>VALUE(K61="Materialdatenbank")</formula>
    </cfRule>
  </conditionalFormatting>
  <conditionalFormatting sqref="N79">
    <cfRule type="expression" dxfId="35" priority="8" stopIfTrue="1">
      <formula>VALUE(N61="Materialdatenbank")</formula>
    </cfRule>
  </conditionalFormatting>
  <conditionalFormatting sqref="H82">
    <cfRule type="expression" dxfId="34" priority="7" stopIfTrue="1">
      <formula>VALUE(H63="Materialdatenbank")</formula>
    </cfRule>
  </conditionalFormatting>
  <conditionalFormatting sqref="K82">
    <cfRule type="expression" dxfId="33" priority="6" stopIfTrue="1">
      <formula>VALUE(K63="Materialdatenbank")</formula>
    </cfRule>
  </conditionalFormatting>
  <conditionalFormatting sqref="N82">
    <cfRule type="expression" dxfId="32" priority="5" stopIfTrue="1">
      <formula>VALUE(N63="Materialdatenbank")</formula>
    </cfRule>
  </conditionalFormatting>
  <conditionalFormatting sqref="H96 K96 N96">
    <cfRule type="expression" dxfId="31" priority="1" stopIfTrue="1">
      <formula>VALUE(#REF!="Materialdatenbank")</formula>
    </cfRule>
  </conditionalFormatting>
  <dataValidations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10 N110 H110" xr:uid="{00000000-0002-0000-0300-000005000000}">
      <formula1>0</formula1>
      <formula2>1</formula2>
    </dataValidation>
    <dataValidation type="decimal" allowBlank="1" showInputMessage="1" showErrorMessage="1" sqref="H111 K111 N111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6:N106 I101:J101 H109:N109 I108:J108 H114:N114 H112:J113 H132:N132 H115:M116 I97:J97 I105:J105 H103:J103 I102:J102 L97:M97 L105:M105 H98:M99 L102:M103 L101:M101 L108:M108 I111:N111 I110:N110 H118:M122 I117:M117 H124:M126 I123:M123 H129:M131 I127:M127 I128:M128 L112:M113" unlockedFormula="1"/>
    <ignoredError sqref="N94 H135:N141 N145:N150 N8:N15 N87:N88 N20:N23 N81 N25:N29 N32:N49 N51 N53:N57 N59:N60 N62:N66 N68:N69 N71:N73 N76:N78" evalError="1"/>
    <ignoredError sqref="N115:N131 H133:N134 N103 N98:N99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N102 H102 K102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1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1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44532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?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 t="str">
        <f>Refkalkulation!H5</f>
        <v>?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L239 (b)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 t="str">
        <f>'Quick Input'!M36</f>
        <v>?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0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5" t="s">
        <v>1000</v>
      </c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F41" s="1216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16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16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16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16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16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9" priority="3">
      <formula>#REF!</formula>
    </cfRule>
  </conditionalFormatting>
  <conditionalFormatting sqref="E2:H14">
    <cfRule type="expression" dxfId="28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27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975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3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975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3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975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3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976</v>
      </c>
      <c r="C62" s="1167" t="s">
        <v>977</v>
      </c>
      <c r="D62" s="1168" t="s">
        <v>25</v>
      </c>
      <c r="E62" s="1169" t="s">
        <v>978</v>
      </c>
      <c r="F62" s="1170" t="s">
        <v>979</v>
      </c>
      <c r="G62" s="1171" t="s">
        <v>103</v>
      </c>
      <c r="H62" s="1172" t="s">
        <v>980</v>
      </c>
      <c r="I62" s="1172" t="s">
        <v>997</v>
      </c>
      <c r="J62" s="1172" t="s">
        <v>998</v>
      </c>
      <c r="K62" s="511"/>
    </row>
    <row r="63" spans="2:15" x14ac:dyDescent="0.2">
      <c r="B63" s="1173" t="s">
        <v>981</v>
      </c>
      <c r="C63" s="1174" t="s">
        <v>982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983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984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992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993</v>
      </c>
      <c r="C68" s="1174" t="s">
        <v>982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985</v>
      </c>
      <c r="C69" s="1174" t="s">
        <v>986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987</v>
      </c>
      <c r="C70" s="1174" t="s">
        <v>986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988</v>
      </c>
      <c r="C71" s="1174" t="s">
        <v>982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989</v>
      </c>
      <c r="C72" s="1174" t="s">
        <v>982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986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994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996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31" sqref="F2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 t="str">
        <f>'Quick Input'!M$8</f>
        <v>?</v>
      </c>
      <c r="G3" s="10"/>
      <c r="H3" s="10"/>
      <c r="I3" s="147" t="str">
        <f>'Quick Input'!P$8</f>
        <v>?</v>
      </c>
      <c r="J3" s="10"/>
      <c r="K3" s="10"/>
      <c r="L3" s="147" t="str">
        <f>'Quick Input'!R$8</f>
        <v>?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0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IFERROR(IF(Refkalkulation!H$117=0,SUM(F$9:F$12),Refkalkulation!H$117),0)</f>
        <v>0.16639999999999999</v>
      </c>
      <c r="G8" s="7"/>
      <c r="H8" s="7"/>
      <c r="I8" s="657">
        <f>IFERROR(IF(Refkalkulation!K$117=0,SUM(I$9:I$12),Refkalkulation!K$117),0)</f>
        <v>0.1</v>
      </c>
      <c r="J8" s="7"/>
      <c r="K8" s="7"/>
      <c r="L8" s="657">
        <f>IFERROR(IF(Refkalkulation!N$117=0,SUM(L$9:L$12),Refkalkulation!N$117),0)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0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6.3999999999999951E-3</v>
      </c>
      <c r="J12" s="13"/>
      <c r="K12" s="13"/>
      <c r="L12" s="151">
        <f>MIN(3%,MAX(-1%,-0.1*(L$27-80%)))</f>
        <v>6.3999999999999951E-3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IFERROR(IF(Refkalkulation!H$127=0,'Länder-DB'!$I$25*F$14,Refkalkulation!H$127),0)</f>
        <v>0</v>
      </c>
      <c r="G13" s="7"/>
      <c r="H13" s="7"/>
      <c r="I13" s="657">
        <f>IFERROR(IF(Refkalkulation!K$127=0,'Länder-DB'!$I$25*I$14,Refkalkulation!K$127),0)</f>
        <v>0</v>
      </c>
      <c r="J13" s="7"/>
      <c r="K13" s="7"/>
      <c r="L13" s="657">
        <f>IFERROR(IF(Refkalkulation!N$127=0,'Länder-DB'!$I$25*L$14,Refkalkulation!N$127),0)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IFERROR(IF(Refkalkulation!H$128=0,SUM(F$16:F$18),Refkalkulation!H$128),0)</f>
        <v>0.08</v>
      </c>
      <c r="G15" s="7"/>
      <c r="H15" s="7"/>
      <c r="I15" s="657">
        <f>IFERROR(IF(Refkalkulation!K$128=0,SUM(I$16:I$18),Refkalkulation!K$128),0)</f>
        <v>0.08</v>
      </c>
      <c r="J15" s="7"/>
      <c r="K15" s="7"/>
      <c r="L15" s="657">
        <f>IFERROR(IF(Refkalkulation!N$128=0,SUM(L$16:L$18),Refkalkulation!N$128),0)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Deutschland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24.820870000000003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29.420724999999997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33.535694999999997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0</v>
      </c>
      <c r="G23" s="7"/>
      <c r="H23" s="7"/>
      <c r="I23" s="657">
        <f>IFERROR(IF(Refkalkulation!K$16=0,'Länder-DB'!$M$21-2%+SUM(I$24:I$26),Refkalkulation!K$16),0)</f>
        <v>0</v>
      </c>
      <c r="J23" s="7"/>
      <c r="K23" s="7"/>
      <c r="L23" s="657">
        <f>IFERROR(IF(Refkalkulation!N$16=0,'Länder-DB'!$M$21-2%+SUM(L$24:L$26),Refkalkulation!N$16),0)</f>
        <v>0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 t="e">
        <f>VLOOKUP(F$98,DB_Ofen,15,FALSE)</f>
        <v>#VALUE!</v>
      </c>
      <c r="G24" s="10"/>
      <c r="H24" s="10"/>
      <c r="I24" s="153" t="e">
        <f>VLOOKUP(I$98,DB_Ofen,15,FALSE)</f>
        <v>#VALUE!</v>
      </c>
      <c r="J24" s="10"/>
      <c r="K24" s="10"/>
      <c r="L24" s="153" t="e">
        <f>VLOOKUP(L$98,DB_Ofen,15,FALSE)</f>
        <v>#VALUE!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0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0.7360000000000001</v>
      </c>
      <c r="J27" s="7"/>
      <c r="K27" s="7"/>
      <c r="L27" s="148">
        <f>MIN(100%,('Quick Input'!S$50+L$28+L$29)*L$30)</f>
        <v>0.7360000000000001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0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 t="e">
        <f>F$32*F$33*F$34</f>
        <v>#VALUE!</v>
      </c>
      <c r="G31" s="7"/>
      <c r="H31" s="7"/>
      <c r="I31" s="156" t="e">
        <f>I$32*I$33*I$34</f>
        <v>#VALUE!</v>
      </c>
      <c r="J31" s="7"/>
      <c r="K31" s="7"/>
      <c r="L31" s="156" t="e">
        <f>L$32*L$33*L$34</f>
        <v>#VALUE!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0</v>
      </c>
      <c r="G32" s="10"/>
      <c r="H32" s="10"/>
      <c r="I32" s="157">
        <f>MAX('Quick Input'!P$14,'Quick Input'!P$15)/10</f>
        <v>0</v>
      </c>
      <c r="J32" s="10"/>
      <c r="K32" s="10"/>
      <c r="L32" s="157">
        <f>MAX('Quick Input'!S$14,'Quick Input'!S$15)/10</f>
        <v>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0</v>
      </c>
      <c r="G33" s="10"/>
      <c r="H33" s="10"/>
      <c r="I33" s="158">
        <f>MIN('Quick Input'!P$14,'Quick Input'!P$15)/10</f>
        <v>0</v>
      </c>
      <c r="J33" s="10"/>
      <c r="K33" s="10"/>
      <c r="L33" s="158">
        <f>MIN('Quick Input'!S$14,'Quick Input'!S$15)/10</f>
        <v>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 t="e">
        <f>MAX(0.9,SQRT(MIN(1,F$39+65%)))</f>
        <v>#VALUE!</v>
      </c>
      <c r="G34" s="10"/>
      <c r="H34" s="10"/>
      <c r="I34" s="159" t="e">
        <f>MAX(0.9,SQRT(MIN(1,I$39+65%)))</f>
        <v>#VALUE!</v>
      </c>
      <c r="J34" s="10"/>
      <c r="K34" s="10"/>
      <c r="L34" s="159" t="e">
        <f>MAX(0.9,SQRT(MIN(1,L$39+65%)))</f>
        <v>#VALUE!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 t="e">
        <f>F$31*(1+F$36)*Refkalkulation!H$50</f>
        <v>#VALUE!</v>
      </c>
      <c r="G35" s="7"/>
      <c r="H35" s="7"/>
      <c r="I35" s="156" t="e">
        <f>I$31*(1+I$36)*I$46</f>
        <v>#VALUE!</v>
      </c>
      <c r="J35" s="7"/>
      <c r="K35" s="7"/>
      <c r="L35" s="156" t="e">
        <f>L$31*(1+L$36)*L$46</f>
        <v>#VALUE!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 t="e">
        <f>IF(OR(F$39&lt;23%,VLOOKUP(Refkalkulation!H$52,DB_Maschinen,2,FALSE)='Maschinen-DB'!$D$22),0,5.25%+F$46*0.75%)</f>
        <v>#VALUE!</v>
      </c>
      <c r="G36" s="10"/>
      <c r="H36" s="10"/>
      <c r="I36" s="149" t="e">
        <f>IF(OR(I$39&lt;23%,VLOOKUP(Refkalkulation!K$52,DB_Maschinen,2,FALSE)='Maschinen-DB'!$D$22),0,5.25%+I$46*0.75%)</f>
        <v>#VALUE!</v>
      </c>
      <c r="J36" s="10"/>
      <c r="K36" s="10"/>
      <c r="L36" s="149" t="e">
        <f>IF(OR(L$39&lt;23%,VLOOKUP(Refkalkulation!N$52,DB_Maschinen,2,FALSE)='Maschinen-DB'!$D$22),0,5.25%+L$46*0.75%)</f>
        <v>#VALUE!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 t="e">
        <f>F$31*'Quick Input'!M$16/10000</f>
        <v>#VALUE!</v>
      </c>
      <c r="G37" s="7"/>
      <c r="H37" s="7"/>
      <c r="I37" s="345" t="e">
        <f>I$31*'Quick Input'!P$16/10000</f>
        <v>#VALUE!</v>
      </c>
      <c r="J37" s="7"/>
      <c r="K37" s="7"/>
      <c r="L37" s="345" t="e">
        <f>L$31*'Quick Input'!S$16/10000</f>
        <v>#VALUE!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 t="e">
        <f>F$37*VLOOKUP('Quick Input'!M$10,DB_Material,5,FALSE)</f>
        <v>#VALUE!</v>
      </c>
      <c r="G38" s="10"/>
      <c r="H38" s="10"/>
      <c r="I38" s="159" t="e">
        <f>I$37*VLOOKUP('Quick Input'!P$10,DB_Material,5,FALSE)</f>
        <v>#VALUE!</v>
      </c>
      <c r="J38" s="10"/>
      <c r="K38" s="10"/>
      <c r="L38" s="159" t="e">
        <f>L$37*VLOOKUP('Quick Input'!S$10,DB_Material,5,FALSE)</f>
        <v>#VALUE!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 t="e">
        <f>'Quick Input'!M$20/(F$32*F$33*'Quick Input'!M$16/10)</f>
        <v>#VALUE!</v>
      </c>
      <c r="G39" s="10"/>
      <c r="H39" s="10"/>
      <c r="I39" s="160" t="e">
        <f>'Quick Input'!P$20/(I$32*I$33*'Quick Input'!P$16/10)</f>
        <v>#VALUE!</v>
      </c>
      <c r="J39" s="10"/>
      <c r="K39" s="10"/>
      <c r="L39" s="160" t="e">
        <f>'Quick Input'!S$20/(L$32*L$33*'Quick Input'!S$16/10)</f>
        <v>#VALUE!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 t="e">
        <f>(F$41+F$43)*F$46</f>
        <v>#VALUE!</v>
      </c>
      <c r="G40" s="7"/>
      <c r="H40" s="7"/>
      <c r="I40" s="345" t="e">
        <f>(I$41+I$43)*I$46</f>
        <v>#VALUE!</v>
      </c>
      <c r="J40" s="7"/>
      <c r="K40" s="7"/>
      <c r="L40" s="345" t="e">
        <f>(L$41+L$43)*L$46</f>
        <v>#VALUE!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 t="str">
        <f>'Quick Input'!M$19</f>
        <v>?</v>
      </c>
      <c r="G41" s="10"/>
      <c r="H41" s="10"/>
      <c r="I41" s="159" t="str">
        <f>'Quick Input'!P$19</f>
        <v>?</v>
      </c>
      <c r="J41" s="10"/>
      <c r="K41" s="10"/>
      <c r="L41" s="159" t="str">
        <f>'Quick Input'!S$19</f>
        <v>?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 t="e">
        <f>'Länder-DB'!$M$19+F$44+F$45+F$47</f>
        <v>#VALUE!</v>
      </c>
      <c r="G42" s="10"/>
      <c r="H42" s="10"/>
      <c r="I42" s="201" t="e">
        <f>'Länder-DB'!$M$19+I$44+I$45+I$47</f>
        <v>#VALUE!</v>
      </c>
      <c r="J42" s="10"/>
      <c r="K42" s="10"/>
      <c r="L42" s="201" t="e">
        <f>'Länder-DB'!$M$19+L$44+L$45+L$47</f>
        <v>#VALUE!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 t="e">
        <f>F$41*F$42</f>
        <v>#VALUE!</v>
      </c>
      <c r="G43" s="10"/>
      <c r="H43" s="10"/>
      <c r="I43" s="159" t="e">
        <f>I$41*I$42</f>
        <v>#VALUE!</v>
      </c>
      <c r="J43" s="10"/>
      <c r="K43" s="10"/>
      <c r="L43" s="159" t="e">
        <f>L$41*L$42</f>
        <v>#VALUE!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 t="e">
        <f>2.5%*MAX(0,('Quick Input'!M$17-8)/4)</f>
        <v>#VALUE!</v>
      </c>
      <c r="G44" s="10"/>
      <c r="H44" s="10"/>
      <c r="I44" s="201" t="e">
        <f>2.5%*MAX(0,('Quick Input'!P$17-8)/4)</f>
        <v>#VALUE!</v>
      </c>
      <c r="J44" s="10"/>
      <c r="K44" s="10"/>
      <c r="L44" s="201" t="e">
        <f>2.5%*MAX(0,('Quick Input'!S$17-8)/4)</f>
        <v>#VALUE!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 t="e">
        <f>MAX(0%,20%*(40%-F$58))</f>
        <v>#VALUE!</v>
      </c>
      <c r="G45" s="10"/>
      <c r="H45" s="10"/>
      <c r="I45" s="201" t="e">
        <f>MAX(0%,20%*(40%-I$58))</f>
        <v>#VALUE!</v>
      </c>
      <c r="J45" s="10"/>
      <c r="K45" s="10"/>
      <c r="L45" s="201" t="e">
        <f>20%*(40%-L$58)</f>
        <v>#VALUE!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0</v>
      </c>
      <c r="G46" s="10"/>
      <c r="H46" s="10"/>
      <c r="I46" s="162">
        <f>Refkalkulation!K$50</f>
        <v>0</v>
      </c>
      <c r="J46" s="10"/>
      <c r="K46" s="10"/>
      <c r="L46" s="162">
        <f>Refkalkulation!N$50</f>
        <v>0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0.12</v>
      </c>
      <c r="G47" s="13"/>
      <c r="H47" s="13"/>
      <c r="I47" s="343">
        <f>-4%*I$46+12%*ABS(I$46/2-1)</f>
        <v>0.12</v>
      </c>
      <c r="J47" s="13"/>
      <c r="K47" s="13"/>
      <c r="L47" s="343">
        <f>-4%*L$46+12%*ABS(L$46/2-1)</f>
        <v>0.12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0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0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0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9</v>
      </c>
      <c r="G49" s="7"/>
      <c r="H49" s="7"/>
      <c r="I49" s="202">
        <f>I$56*IF(I$52,I$33,I$32)+2*I$53+(I$56-1)*(I$53+2.5)</f>
        <v>9</v>
      </c>
      <c r="J49" s="7"/>
      <c r="K49" s="7"/>
      <c r="L49" s="202">
        <f>L$56*IF(L$52,L$33,L$32)+2*L$53+(L$56-1)*(L$53+2.5)</f>
        <v>9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2</v>
      </c>
      <c r="G50" s="10"/>
      <c r="H50" s="10"/>
      <c r="I50" s="203">
        <f>I$57*IF(I$52,I$32,I$33)+2*I$53+(I$57-1)*(2.5+I$53)</f>
        <v>2</v>
      </c>
      <c r="J50" s="10"/>
      <c r="K50" s="10"/>
      <c r="L50" s="203">
        <f>L$57*IF(L$52,L$32,L$33)+2*L$53+(L$57-1)*(2.5+L$53)</f>
        <v>2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 t="e">
        <f>'Quick Input'!M16/10+2.5*F$53</f>
        <v>#VALUE!</v>
      </c>
      <c r="G51" s="10"/>
      <c r="H51" s="10"/>
      <c r="I51" s="203" t="e">
        <f>'Quick Input'!P16/10+2.5*I$53</f>
        <v>#VALUE!</v>
      </c>
      <c r="J51" s="10"/>
      <c r="K51" s="10"/>
      <c r="L51" s="203" t="e">
        <f>'Quick Input'!S16/10+2.5*L$53</f>
        <v>#VALUE!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4.5</v>
      </c>
      <c r="G53" s="10"/>
      <c r="H53" s="10"/>
      <c r="I53" s="157">
        <f>3+0.3*SQRT(I$33)+1.5*(4-VLOOKUP('Quick Input'!P$22,Auswahlfelder!$D$36:$E$38,2,FALSE))</f>
        <v>4.5</v>
      </c>
      <c r="J53" s="10"/>
      <c r="K53" s="10"/>
      <c r="L53" s="157">
        <f>3+0.3*SQRT(L$33)+1.5*(4-VLOOKUP('Quick Input'!S$22,Auswahlfelder!$D$36:$E$38,2,FALSE))</f>
        <v>4.5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7.875</v>
      </c>
      <c r="G54" s="10"/>
      <c r="H54" s="10"/>
      <c r="I54" s="157">
        <f>I32+I53*1.75</f>
        <v>7.875</v>
      </c>
      <c r="J54" s="10"/>
      <c r="K54" s="10"/>
      <c r="L54" s="157">
        <f>L32+L53*1.75</f>
        <v>7.875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7.875</v>
      </c>
      <c r="G55" s="10"/>
      <c r="H55" s="10"/>
      <c r="I55" s="157">
        <f>I33+I53*1.75</f>
        <v>7.875</v>
      </c>
      <c r="J55" s="10"/>
      <c r="K55" s="10"/>
      <c r="L55" s="157">
        <f>L33+L53*1.75</f>
        <v>7.875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0</v>
      </c>
      <c r="G57" s="10"/>
      <c r="H57" s="10"/>
      <c r="I57" s="158">
        <f>ROUNDUP(I$46/I$56,0)</f>
        <v>0</v>
      </c>
      <c r="J57" s="10"/>
      <c r="K57" s="10"/>
      <c r="L57" s="158">
        <f>ROUNDUP(L$46/L$56,0)</f>
        <v>0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 t="e">
        <f>(F$41*F$46)/2.7/(F$49*F$50*F$51/1000)</f>
        <v>#VALUE!</v>
      </c>
      <c r="G58" s="10"/>
      <c r="H58" s="10"/>
      <c r="I58" s="284" t="e">
        <f>(I$41*I$46)/2.7/(I$49*I$50*I$51/1000)</f>
        <v>#VALUE!</v>
      </c>
      <c r="J58" s="10"/>
      <c r="K58" s="10"/>
      <c r="L58" s="284" t="e">
        <f>(L$41*L$46)/2.7/(L$49*L$50*L$51/1000)</f>
        <v>#VALUE!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1</v>
      </c>
      <c r="G59" s="419"/>
      <c r="H59" s="420"/>
      <c r="I59" s="161">
        <f>IFERROR(MAX(I$61,MIN(I$62,IF(I$73,I$72,I$72+1))),I$61)</f>
        <v>1</v>
      </c>
      <c r="J59" s="419"/>
      <c r="K59" s="420"/>
      <c r="L59" s="161">
        <f>IFERROR(MAX(L$61,MIN(L$62,IF(L$73,L$72,L$72+1))),L$61)</f>
        <v>1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automatisch</v>
      </c>
      <c r="G60" s="421"/>
      <c r="H60" s="422"/>
      <c r="I60" s="543" t="str">
        <f>'Quick Input'!P$22</f>
        <v>automatisch</v>
      </c>
      <c r="J60" s="421"/>
      <c r="K60" s="422"/>
      <c r="L60" s="543" t="str">
        <f>'Quick Input'!S$22</f>
        <v>automatisch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1</v>
      </c>
      <c r="G61" s="421"/>
      <c r="H61" s="422"/>
      <c r="I61" s="677">
        <f>VLOOKUP(I$60,'Maschinen-DB'!$B$22:$C$37,2,FALSE)</f>
        <v>1</v>
      </c>
      <c r="J61" s="421"/>
      <c r="K61" s="422"/>
      <c r="L61" s="677">
        <f>VLOOKUP(L$60,'Maschinen-DB'!$B$22:$C$37,2,FALSE)</f>
        <v>1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8</v>
      </c>
      <c r="G62" s="421"/>
      <c r="H62" s="422"/>
      <c r="I62" s="158">
        <f>VLOOKUP(I$60,'Maschinen-DB'!$B$22:$C$37,2,TRUE)</f>
        <v>8</v>
      </c>
      <c r="J62" s="421"/>
      <c r="K62" s="422"/>
      <c r="L62" s="158">
        <f>VLOOKUP(L$60,'Maschinen-DB'!$B$22:$C$37,2,TRUE)</f>
        <v>8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60</v>
      </c>
      <c r="G63" s="421"/>
      <c r="H63" s="422"/>
      <c r="I63" s="158">
        <f>VLOOKUP(I$61,DB_Maschinen,5,FALSE)/10</f>
        <v>60</v>
      </c>
      <c r="J63" s="421"/>
      <c r="K63" s="422"/>
      <c r="L63" s="158">
        <f>VLOOKUP(L$61,DB_Maschinen,5,FALSE)/10</f>
        <v>60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110</v>
      </c>
      <c r="G64" s="421"/>
      <c r="H64" s="422"/>
      <c r="I64" s="158">
        <f>VLOOKUP(I$62,DB_Maschinen,5,FALSE)/10</f>
        <v>110</v>
      </c>
      <c r="J64" s="421"/>
      <c r="K64" s="422"/>
      <c r="L64" s="158">
        <f>VLOOKUP(L$62,DB_Maschinen,5,FALSE)/10</f>
        <v>110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0</v>
      </c>
      <c r="G65" s="421"/>
      <c r="H65" s="422"/>
      <c r="I65" s="640">
        <f>IFERROR(Refkalkulation!K$52,I$61)</f>
        <v>0</v>
      </c>
      <c r="J65" s="421"/>
      <c r="K65" s="422"/>
      <c r="L65" s="640">
        <f>IFERROR(Refkalkulation!N$52,L$61)</f>
        <v>0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0</v>
      </c>
      <c r="G66" s="421"/>
      <c r="H66" s="422"/>
      <c r="I66" s="641">
        <f>VLOOKUP(I$65,DB_Maschinen,5,FALSE)/10</f>
        <v>0</v>
      </c>
      <c r="J66" s="421"/>
      <c r="K66" s="422"/>
      <c r="L66" s="641">
        <f>VLOOKUP(L$65,DB_Maschinen,5,FALSE)/10</f>
        <v>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0</v>
      </c>
      <c r="G67" s="421"/>
      <c r="H67" s="422"/>
      <c r="I67" s="641">
        <f>VLOOKUP(I$65,DB_Maschinen,6,FALSE)/10</f>
        <v>0</v>
      </c>
      <c r="J67" s="421"/>
      <c r="K67" s="422"/>
      <c r="L67" s="641">
        <f>VLOOKUP(L$65,DB_Maschinen,6,FALSE)/10</f>
        <v>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0</v>
      </c>
      <c r="G68" s="421"/>
      <c r="H68" s="422"/>
      <c r="I68" s="641">
        <f>VLOOKUP(I$65,DB_Maschinen,7,FALSE)/10</f>
        <v>0</v>
      </c>
      <c r="J68" s="421"/>
      <c r="K68" s="422"/>
      <c r="L68" s="641">
        <f>VLOOKUP(L$65,DB_Maschinen,7,FALSE)/10</f>
        <v>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 t="e">
        <f>F$68/VLOOKUP(F$65,DB_Maschinen,10,FALSE)*VLOOKUP(F$65,DB_Maschinen,11,FALSE)</f>
        <v>#DIV/0!</v>
      </c>
      <c r="G69" s="423"/>
      <c r="H69" s="424"/>
      <c r="I69" s="642" t="e">
        <f>I$68/VLOOKUP(I$65,DB_Maschinen,10,FALSE)*VLOOKUP(I$65,DB_Maschinen,11,FALSE)</f>
        <v>#DIV/0!</v>
      </c>
      <c r="J69" s="423"/>
      <c r="K69" s="424"/>
      <c r="L69" s="642" t="e">
        <f>L$68/VLOOKUP(L$65,DB_Maschinen,10,FALSE)*VLOOKUP(L$65,DB_Maschinen,11,FALSE)</f>
        <v>#DIV/0!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1</v>
      </c>
      <c r="G70" s="421"/>
      <c r="H70" s="422"/>
      <c r="I70" s="627">
        <f>IF(I$65&lt;I$72,I$72,MAX(I$61,MIN(I$62,IF(I$73,I$72,I$72+1))))</f>
        <v>1</v>
      </c>
      <c r="J70" s="421"/>
      <c r="K70" s="422"/>
      <c r="L70" s="627">
        <f>IF(L$65&lt;L$72,L$72,MAX(L$61,MIN(L$62,IF(L$73,L$72,L$72+1))))</f>
        <v>1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1</v>
      </c>
      <c r="G72" s="421"/>
      <c r="H72" s="422"/>
      <c r="I72" s="158">
        <f>VLOOKUP(I$49*10,'Maschinen-DB'!$G$21:$R$37,12,TRUE)+1</f>
        <v>1</v>
      </c>
      <c r="J72" s="421"/>
      <c r="K72" s="422"/>
      <c r="L72" s="158">
        <f>VLOOKUP(L$49*10,'Maschinen-DB'!$G$21:$R$37,12,TRUE)+1</f>
        <v>1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e">
        <f>AND(VLOOKUP(F$72,DB_Maschinen,6,FALSE)&gt;F$50*10,VLOOKUP(F$72,DB_Maschinen,7,FALSE)&gt;F$51)</f>
        <v>#VALUE!</v>
      </c>
      <c r="G73" s="421"/>
      <c r="H73" s="422"/>
      <c r="I73" s="158" t="e">
        <f>AND(VLOOKUP(I$72,DB_Maschinen,6,FALSE)&gt;I$50*10,VLOOKUP(I$72,DB_Maschinen,7,FALSE)&gt;I$51)</f>
        <v>#VALUE!</v>
      </c>
      <c r="J73" s="421"/>
      <c r="K73" s="422"/>
      <c r="L73" s="158" t="e">
        <f>AND(VLOOKUP(L$72,DB_Maschinen,6,FALSE)&gt;L$50*10,VLOOKUP(L$72,DB_Maschinen,7,FALSE)&gt;L$51)</f>
        <v>#VALUE!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 t="e">
        <f>(F$77-F$78)/1000/1.64/F$46</f>
        <v>#VALUE!</v>
      </c>
      <c r="G75" s="7"/>
      <c r="H75" s="7"/>
      <c r="I75" s="156" t="e">
        <f>(I$77-I$78)/1000/1.64/I$46</f>
        <v>#VALUE!</v>
      </c>
      <c r="J75" s="7"/>
      <c r="K75" s="7"/>
      <c r="L75" s="156" t="e">
        <f>(L$77-L$78)/1000/1.64/L$46</f>
        <v>#VALUE!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 t="e">
        <f>F$78/F$77</f>
        <v>#VALUE!</v>
      </c>
      <c r="G76" s="597" t="e">
        <f>TEXT(F$76,"0,0 %")</f>
        <v>#VALUE!</v>
      </c>
      <c r="H76" s="10"/>
      <c r="I76" s="504" t="e">
        <f>I$78/I$77</f>
        <v>#VALUE!</v>
      </c>
      <c r="J76" s="597" t="e">
        <f>TEXT(I$76,"0,0 %")</f>
        <v>#VALUE!</v>
      </c>
      <c r="K76" s="10"/>
      <c r="L76" s="504" t="e">
        <f>L$78/L$77</f>
        <v>#VALUE!</v>
      </c>
      <c r="M76" s="597" t="e">
        <f>TEXT(L$76,"0,0 %")</f>
        <v>#VALUE!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 t="e">
        <f>F$66*F$67*IF(VLOOKUP(F$70,DB_Maschinen,2,FALSE)='Maschinen-DB'!$D$21,MAX(F$51,F$69),IF(F$69&gt;F$51,F$69,F$68))</f>
        <v>#VALUE!</v>
      </c>
      <c r="G77" s="10"/>
      <c r="H77" s="10"/>
      <c r="I77" s="276" t="e">
        <f>I$66*I$67*IF(VLOOKUP(I$70,DB_Maschinen,2,FALSE)='Maschinen-DB'!$D$21,MAX(I$51,I$69),IF(I$69&gt;I$51,I$69,I$68))</f>
        <v>#VALUE!</v>
      </c>
      <c r="J77" s="10"/>
      <c r="K77" s="10"/>
      <c r="L77" s="276" t="e">
        <f>L$66*L$67*IF(VLOOKUP(L$70,DB_Maschinen,2,FALSE)='Maschinen-DB'!$D$21,MAX(L$51,L$69),IF(L$69&gt;L$51,L$69,L$68))</f>
        <v>#VALUE!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 t="e">
        <f>F$40*1000/VLOOKUP('Quick Input'!M$10,DB_Material,5,FALSE)</f>
        <v>#VALUE!</v>
      </c>
      <c r="G78" s="13"/>
      <c r="H78" s="13"/>
      <c r="I78" s="598" t="e">
        <f>I$40*1000/VLOOKUP('Quick Input'!P$10,DB_Material,5,FALSE)</f>
        <v>#VALUE!</v>
      </c>
      <c r="J78" s="13"/>
      <c r="K78" s="13"/>
      <c r="L78" s="598" t="e">
        <f>L$40*1000/VLOOKUP('Quick Input'!S$10,DB_Material,5,FALSE)</f>
        <v>#VALUE!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2.2750000000000001E-3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 t="e">
        <f>MIN(F$92*F$91,F$88)</f>
        <v>#VALUE!</v>
      </c>
      <c r="G85" s="7"/>
      <c r="H85" s="7"/>
      <c r="I85" s="204" t="e">
        <f>MIN(I$92*I$91,I$88)</f>
        <v>#VALUE!</v>
      </c>
      <c r="J85" s="7"/>
      <c r="K85" s="7"/>
      <c r="L85" s="204" t="e">
        <f>MIN(L$92*L$91,L$88)</f>
        <v>#VALUE!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 t="e">
        <f>52/'Quick Input'!M$36*F$85</f>
        <v>#VALUE!</v>
      </c>
      <c r="G86" s="10"/>
      <c r="H86" s="10"/>
      <c r="I86" s="206" t="e">
        <f>52/'Quick Input'!P$36*I$85</f>
        <v>#VALUE!</v>
      </c>
      <c r="J86" s="10"/>
      <c r="K86" s="10"/>
      <c r="L86" s="206" t="e">
        <f>52/'Quick Input'!S$36*L$85</f>
        <v>#VALUE!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 t="e">
        <f>'Quick Input'!M$36/F$145</f>
        <v>#VALUE!</v>
      </c>
      <c r="G87" s="10"/>
      <c r="H87" s="10"/>
      <c r="I87" s="206" t="e">
        <f>'Quick Input'!P$36/I145</f>
        <v>#VALUE!</v>
      </c>
      <c r="J87" s="10"/>
      <c r="K87" s="10"/>
      <c r="L87" s="206" t="e">
        <f>'Quick Input'!S$36/L145</f>
        <v>#VALUE!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 t="e">
        <f>'Quick Input'!M$36/4</f>
        <v>#VALUE!</v>
      </c>
      <c r="G88" s="10"/>
      <c r="H88" s="10"/>
      <c r="I88" s="205" t="e">
        <f>'Quick Input'!P$36/4</f>
        <v>#VALUE!</v>
      </c>
      <c r="J88" s="10"/>
      <c r="K88" s="10"/>
      <c r="L88" s="205" t="e">
        <f>'Quick Input'!S$36/4</f>
        <v>#VALUE!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 t="e">
        <f>F$87*F$41/1000</f>
        <v>#VALUE!</v>
      </c>
      <c r="G89" s="10"/>
      <c r="H89" s="10"/>
      <c r="I89" s="206" t="e">
        <f>I$87*I$41/1000</f>
        <v>#VALUE!</v>
      </c>
      <c r="J89" s="10"/>
      <c r="K89" s="10"/>
      <c r="L89" s="206" t="e">
        <f>L$87*L$41/1000</f>
        <v>#VALUE!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 t="e">
        <f>F$87*'Quick Input'!M$14*'Quick Input'!M$15*'Quick Input'!M$16/1000000</f>
        <v>#VALUE!</v>
      </c>
      <c r="G90" s="10"/>
      <c r="H90" s="10"/>
      <c r="I90" s="205" t="e">
        <f>I$87*'Quick Input'!P$14*'Quick Input'!P$15*'Quick Input'!P$16/1000000</f>
        <v>#VALUE!</v>
      </c>
      <c r="J90" s="10"/>
      <c r="K90" s="10"/>
      <c r="L90" s="205" t="e">
        <f>L$87*'Quick Input'!S$14*'Quick Input'!S$15*'Quick Input'!S$16/1000000</f>
        <v>#VALUE!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 t="e">
        <f>ROUNDUP(MIN(520/F$90*F$87,1200/F$89*F$87),0)</f>
        <v>#VALUE!</v>
      </c>
      <c r="G91" s="10"/>
      <c r="H91" s="10"/>
      <c r="I91" s="205" t="e">
        <f>ROUNDUP(MIN(520/I$90*I$87,1200/I$89*I$87),0)</f>
        <v>#VALUE!</v>
      </c>
      <c r="J91" s="10"/>
      <c r="K91" s="10"/>
      <c r="L91" s="205" t="e">
        <f>ROUNDUP(MIN(520/L$90*L$87,1200/L$89*L$87),0)</f>
        <v>#VALUE!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 t="e">
        <f>IF(F$91&gt;F$87,1,ROUNDUP(F$87/F$91,0))</f>
        <v>#VALUE!</v>
      </c>
      <c r="G92" s="10"/>
      <c r="H92" s="10"/>
      <c r="I92" s="205" t="e">
        <f>IF(I$91&gt;I$87,1,ROUNDUP(I$87/I$91,0))</f>
        <v>#VALUE!</v>
      </c>
      <c r="J92" s="10"/>
      <c r="K92" s="10"/>
      <c r="L92" s="205" t="e">
        <f>IF(L$91&gt;L$87,1,ROUNDUP(L$87/L$91,0))</f>
        <v>#VALUE!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 t="e">
        <f>IF(F$92&gt;3,IF(F$86&gt;3,F$92-1,1),IF(F$92&gt;1,IF(F$86&gt;2,2,1),0))</f>
        <v>#VALUE!</v>
      </c>
      <c r="G93" s="10"/>
      <c r="H93" s="10"/>
      <c r="I93" s="205" t="e">
        <f>IF(I$92&gt;3,IF(I$86&gt;3,I$92-1,1),IF(I$92&gt;1,IF(I$86&gt;2,2,1),0))</f>
        <v>#VALUE!</v>
      </c>
      <c r="J93" s="10"/>
      <c r="K93" s="10"/>
      <c r="L93" s="205" t="e">
        <f>IF(L$92&gt;3,IF(L$86&gt;3,L$92-1,1),IF(L$92&gt;1,IF(L$86&gt;2,2,1),0))</f>
        <v>#VALUE!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0</v>
      </c>
      <c r="G94" s="436"/>
      <c r="H94" s="462"/>
      <c r="I94" s="656">
        <f>IFERROR(IF(Refkalkulation!K61=0,Refkalkulation!K$50*ROUNDUP(I$95*I$97/Refkalkulation!K$50,0),Refkalkulation!K61),0)</f>
        <v>0</v>
      </c>
      <c r="J94" s="436"/>
      <c r="K94" s="462"/>
      <c r="L94" s="656">
        <f>IFERROR(IF(Refkalkulation!N61=0,Refkalkulation!N$50*ROUNDUP(L$95*L$97/Refkalkulation!N$50,0),Refkalkulation!N61),0)</f>
        <v>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 t="e">
        <f>MAX(Refkalkulation!H$50,MAX(F$85,F$87*2)-F$93*F$91)</f>
        <v>#VALUE!</v>
      </c>
      <c r="G95" s="10"/>
      <c r="H95" s="10"/>
      <c r="I95" s="205" t="e">
        <f>MAX(Refkalkulation!K$50,MAX(I$85,I$87*2)-I$93*I$91)</f>
        <v>#VALUE!</v>
      </c>
      <c r="J95" s="10"/>
      <c r="K95" s="10"/>
      <c r="L95" s="205" t="e">
        <f>MAX(Refkalkulation!N$50,MAX(L$85,L$87*2)-L$93*L$91)</f>
        <v>#VALUE!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 t="e">
        <f>F$95/F$87</f>
        <v>#VALUE!</v>
      </c>
      <c r="G96" s="282"/>
      <c r="H96" s="282"/>
      <c r="I96" s="206" t="e">
        <f>I$95/I$87</f>
        <v>#VALUE!</v>
      </c>
      <c r="J96" s="282"/>
      <c r="K96" s="282"/>
      <c r="L96" s="206" t="e">
        <f>L$95/L$87</f>
        <v>#VALUE!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 t="e">
        <f>IF(F$96&lt;2.2,2,IF(F$96&gt;6,1,2))</f>
        <v>#VALUE!</v>
      </c>
      <c r="G97" s="10"/>
      <c r="H97" s="10"/>
      <c r="I97" s="205" t="e">
        <f>IF(I$96&lt;2.2,2,IF(I$96&gt;6,1,2))</f>
        <v>#VALUE!</v>
      </c>
      <c r="J97" s="10"/>
      <c r="K97" s="10"/>
      <c r="L97" s="205" t="e">
        <f>IF(L$96&lt;2.2,2,IF(L$96&gt;6,1,2))</f>
        <v>#VALUE!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 t="e">
        <f>IF(F48=0,MAX(MIN(11,F$105+3,F$105+ROUNDDOWN(IF(ISERROR(F$100),F$99,F$99+F$100),0)),F$106),F48)</f>
        <v>#VALUE!</v>
      </c>
      <c r="G98" s="419"/>
      <c r="H98" s="420"/>
      <c r="I98" s="161" t="e">
        <f>IF(I48=0,MAX(MIN(11,I$105+3,I$105+ROUNDDOWN(IF(ISERROR(I$100),I$99,I$99+I$100),0)),I$106),I48)</f>
        <v>#VALUE!</v>
      </c>
      <c r="J98" s="419"/>
      <c r="K98" s="420"/>
      <c r="L98" s="161" t="e">
        <f t="shared" ref="L98" si="0">IF(L48=0,MAX(MIN(11,L$105+3,L$105+ROUNDDOWN(IF(ISERROR(L$100),L$99,L$99+L$100),0)),L$106),L48)</f>
        <v>#VALUE!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 t="e">
        <f>97%*VLOOKUP(F$98,DB_Ofen,5,FALSE)-10</f>
        <v>#VALUE!</v>
      </c>
      <c r="G101" s="425"/>
      <c r="H101" s="426"/>
      <c r="I101" s="276" t="e">
        <f>97%*VLOOKUP(I$98,DB_Ofen,5,FALSE)-10</f>
        <v>#VALUE!</v>
      </c>
      <c r="J101" s="425"/>
      <c r="K101" s="426"/>
      <c r="L101" s="276" t="e">
        <f>97%*VLOOKUP(L$98,DB_Ofen,5,FALSE)-10</f>
        <v>#VALUE!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 t="e">
        <f>VLOOKUP(Parametrikber!F$98,DB_Ofen,7,FALSE)</f>
        <v>#VALUE!</v>
      </c>
      <c r="G102" s="425"/>
      <c r="H102" s="426"/>
      <c r="I102" s="276" t="e">
        <f>VLOOKUP(Parametrikber!I$98,DB_Ofen,7,FALSE)</f>
        <v>#VALUE!</v>
      </c>
      <c r="J102" s="425"/>
      <c r="K102" s="426"/>
      <c r="L102" s="276" t="e">
        <f>VLOOKUP(Parametrikber!L$98,DB_Ofen,7,FALSE)</f>
        <v>#VALUE!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0.6160000000000001</v>
      </c>
      <c r="J103" s="425"/>
      <c r="K103" s="426"/>
      <c r="L103" s="277">
        <f>Parametrikber!L$27-12%</f>
        <v>0.6160000000000001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 t="e">
        <f>F$40/(Refkalkulation!H$59/3600)*1.2</f>
        <v>#VALUE!</v>
      </c>
      <c r="G104" s="425"/>
      <c r="H104" s="426"/>
      <c r="I104" s="276" t="e">
        <f>I$40/(Refkalkulation!K$59/3600)*1.2</f>
        <v>#VALUE!</v>
      </c>
      <c r="J104" s="425"/>
      <c r="K104" s="426"/>
      <c r="L104" s="276" t="e">
        <f>L$40/(Refkalkulation!N$59/3600)*1.2</f>
        <v>#VALUE!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 t="e">
        <f>IF(VLOOKUP(F$105,DB_Ofen,7,FALSE)&gt;F$104,F$105,IF(VLOOKUP(F$105+1,DB_Ofen,7,FALSE)&gt;F$104,F$105+1,IF(VLOOKUP(F$105+2,DB_Ofen,7,FALSE)&gt;F$104,F$105+2,MIN(11,F$105+3))))</f>
        <v>#VALUE!</v>
      </c>
      <c r="G106" s="425"/>
      <c r="H106" s="426"/>
      <c r="I106" s="276" t="e">
        <f>IF(VLOOKUP(I$105,DB_Ofen,7,FALSE)&gt;I$104,I$105,IF(VLOOKUP(I$105+1,DB_Ofen,7,FALSE)&gt;I$104,I$105+1,IF(VLOOKUP(I$105+2,DB_Ofen,7,FALSE)&gt;I$104,I$105+2,MIN(11,I$105+3))))</f>
        <v>#VALUE!</v>
      </c>
      <c r="J106" s="425"/>
      <c r="K106" s="426"/>
      <c r="L106" s="276" t="e">
        <f>IF(VLOOKUP(L$105,DB_Ofen,7,FALSE)&gt;L$104,L$105,IF(VLOOKUP(L$105+1,DB_Ofen,7,FALSE)&gt;L$104,L$105+1,IF(VLOOKUP(L$105+2,DB_Ofen,7,FALSE)&gt;L$104,L$105+2,MIN(11,L$105+3))))</f>
        <v>#VALUE!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 t="e">
        <f>VLOOKUP(F$98,DB_Ofen,8,FALSE)</f>
        <v>#VALUE!</v>
      </c>
      <c r="G107" s="425"/>
      <c r="H107" s="426"/>
      <c r="I107" s="276" t="e">
        <f>VLOOKUP(I$98,DB_Ofen,8,FALSE)</f>
        <v>#VALUE!</v>
      </c>
      <c r="J107" s="425"/>
      <c r="K107" s="426"/>
      <c r="L107" s="276" t="e">
        <f>VLOOKUP(L$98,DB_Ofen,8,FALSE)</f>
        <v>#VALUE!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 t="e">
        <f>(F$107/'Länder-DB'!$I$27+F$107*'Länder-DB'!$I$29)/(F$103*F$146)</f>
        <v>#VALUE!</v>
      </c>
      <c r="G108" s="425"/>
      <c r="H108" s="422"/>
      <c r="I108" s="278" t="e">
        <f>(I$107/'Länder-DB'!$I$27+I$107*'Länder-DB'!$I$29)/(I$103*I$146)</f>
        <v>#VALUE!</v>
      </c>
      <c r="J108" s="425"/>
      <c r="K108" s="422"/>
      <c r="L108" s="278" t="e">
        <f>(L$107/'Länder-DB'!$I$27+L$107*'Länder-DB'!$I$29)/(L$103*L$146)</f>
        <v>#VALUE!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0</v>
      </c>
      <c r="G109" s="419"/>
      <c r="H109" s="420"/>
      <c r="I109" s="204">
        <f>I$110+I$111+I$112</f>
        <v>0</v>
      </c>
      <c r="J109" s="419"/>
      <c r="K109" s="420"/>
      <c r="L109" s="204">
        <f>L$110+L$111+L$112</f>
        <v>0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0</v>
      </c>
      <c r="G110" s="421"/>
      <c r="H110" s="422"/>
      <c r="I110" s="205">
        <f>VLOOKUP(Refkalkulation!K$52,DB_Maschinen,13,FALSE)</f>
        <v>0</v>
      </c>
      <c r="J110" s="421"/>
      <c r="K110" s="422"/>
      <c r="L110" s="205">
        <f>VLOOKUP(Refkalkulation!N$52,DB_Maschinen,13,FALSE)</f>
        <v>0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0</v>
      </c>
      <c r="J111" s="431"/>
      <c r="K111" s="422"/>
      <c r="L111" s="205">
        <f>IF('Quick Input'!S$22=Auswahlfelder!$D$36,VLOOKUP('Quick Input'!S$21,Auswahlfelder!$D$16:$E$19,2,FALSE)*SQRT(L$40),0)</f>
        <v>0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0</v>
      </c>
      <c r="G112" s="421"/>
      <c r="H112" s="422"/>
      <c r="I112" s="205">
        <f>SQRT(VLOOKUP('Quick Input'!P$23,Auswahlfelder!$D$49:$E$51,2,FALSE)-1)*6</f>
        <v>0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0</v>
      </c>
      <c r="G113" s="436"/>
      <c r="H113" s="462"/>
      <c r="I113" s="650">
        <f>IF(Refkalkulation!K$67=0,ROUND(IF('Quick Input'!P$23=Auswahlfelder!$D$49,0,(I$114*2+I$115+60%*I$37)/5),1),Refkalkulation!K$67)</f>
        <v>0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0</v>
      </c>
      <c r="G114" s="446"/>
      <c r="H114" s="447"/>
      <c r="I114" s="344">
        <f>IF('Quick Input'!P$23=Auswahlfelder!$D$49,0,12%*'Quick Input'!P$20/1000)</f>
        <v>0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0</v>
      </c>
      <c r="G115" s="446"/>
      <c r="H115" s="447"/>
      <c r="I115" s="344">
        <f>IF(I114=0,0,MAX(0,0.9*I$37-'Quick Input'!P$20/1000))</f>
        <v>0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 t="e">
        <f>('Quick Input'!M$20/1000+Refkalkulation!H$67)/('Quick Input'!M$14*'Quick Input'!M$15*'Quick Input'!M$16/1000000)</f>
        <v>#VALUE!</v>
      </c>
      <c r="G116" s="423"/>
      <c r="H116" s="424"/>
      <c r="I116" s="343" t="e">
        <f>('Quick Input'!P$20/1000+Refkalkulation!K$67)/('Quick Input'!P$14*'Quick Input'!P$15*'Quick Input'!P$16/1000000)</f>
        <v>#VALUE!</v>
      </c>
      <c r="J116" s="423"/>
      <c r="K116" s="424"/>
      <c r="L116" s="343" t="e">
        <f>('Quick Input'!S$20/1000+Refkalkulation!N$67)/('Quick Input'!S$14*'Quick Input'!S$15*'Quick Input'!S$16/1000000)</f>
        <v>#VALUE!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0.25</v>
      </c>
      <c r="G118" s="464"/>
      <c r="H118" s="465"/>
      <c r="I118" s="937">
        <f>IF('Quick Input'!P$23=Auswahlfelder!$D50,I$225,('Länder-DB'!$M$47+I120)/I$121)</f>
        <v>0.25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 t="e">
        <f>MAX(1,SQRT(14/F$94+0.6))</f>
        <v>#DIV/0!</v>
      </c>
      <c r="G119" s="421"/>
      <c r="H119" s="422"/>
      <c r="I119" s="344" t="e">
        <f>MAX(1,SQRT(14/I$94+0.6))</f>
        <v>#DIV/0!</v>
      </c>
      <c r="J119" s="421"/>
      <c r="K119" s="422"/>
      <c r="L119" s="344" t="e">
        <f>MAX(1,SQRT(14/L$94+0.6))</f>
        <v>#DIV/0!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0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1.4142135623730949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 t="e">
        <f>'Quick Input'!M$44</f>
        <v>#VALUE!</v>
      </c>
      <c r="G127" s="10"/>
      <c r="H127" s="10"/>
      <c r="I127" s="205" t="e">
        <f>'Quick Input'!P$44</f>
        <v>#VALUE!</v>
      </c>
      <c r="J127" s="10"/>
      <c r="K127" s="10"/>
      <c r="L127" s="205" t="e">
        <f>'Quick Input'!S$44</f>
        <v>#VALUE!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 t="e">
        <f>ROUNDUP(F$127/F$254,0)</f>
        <v>#VALUE!</v>
      </c>
      <c r="G128" s="10"/>
      <c r="H128" s="10"/>
      <c r="I128" s="205" t="e">
        <f>ROUNDUP(I$127/I254,0)</f>
        <v>#VALUE!</v>
      </c>
      <c r="J128" s="10"/>
      <c r="K128" s="10"/>
      <c r="L128" s="205" t="e">
        <f>ROUNDUP(L$127/L254,0)</f>
        <v>#VALUE!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 t="e">
        <f>(F$254*F$128-F$127)/F$127</f>
        <v>#VALUE!</v>
      </c>
      <c r="G129" s="10"/>
      <c r="H129" s="10"/>
      <c r="I129" s="201" t="e">
        <f>(I$254*I$128-I$127)/I$127</f>
        <v>#VALUE!</v>
      </c>
      <c r="J129" s="10"/>
      <c r="K129" s="10"/>
      <c r="L129" s="201" t="e">
        <f>(L$254*L$128-L$127)/L$127</f>
        <v>#VALUE!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 t="e">
        <f>IF(F$129&lt;10%,1,0)</f>
        <v>#VALUE!</v>
      </c>
      <c r="G130" s="10"/>
      <c r="H130" s="10"/>
      <c r="I130" s="205" t="e">
        <f>IF(I$129&lt;10%,1,0)</f>
        <v>#VALUE!</v>
      </c>
      <c r="J130" s="10"/>
      <c r="K130" s="10"/>
      <c r="L130" s="205" t="e">
        <f>IF(L$129&lt;10%,1,0)</f>
        <v>#VALUE!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 t="e">
        <f>MAX(IF(VLOOKUP('Quick Input'!M$22,Auswahlfelder!$D$36:$E$38,2,FALSE)=1,1,F$128+F$130),MIN(8,ROUNDDOWN(0.38*F66*F67/F31,0)))</f>
        <v>#VALUE!</v>
      </c>
      <c r="G131" s="13"/>
      <c r="H131" s="10"/>
      <c r="I131" s="205" t="e">
        <f>MAX(IF(VLOOKUP('Quick Input'!P$22,Auswahlfelder!$D$36:$E$38,2,FALSE)=1,1,I$128+I$130),MIN(8,ROUNDDOWN(0.35*I66*I67/I31,0)))</f>
        <v>#VALUE!</v>
      </c>
      <c r="J131" s="13"/>
      <c r="K131" s="10"/>
      <c r="L131" s="205" t="e">
        <f>MAX(IF(VLOOKUP('Quick Input'!S$22,Auswahlfelder!$D$36:$E$38,2,FALSE)=1,1,L$128+L$130),MIN(8,ROUNDDOWN(0.35*L66*L67/L31,0)))</f>
        <v>#VALUE!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3</v>
      </c>
      <c r="G132" s="419"/>
      <c r="H132" s="420"/>
      <c r="I132" s="161">
        <f>VLOOKUP('Quick Input'!P$22,Auswahlfelder!$D$36:$E$38,2,FALSE)</f>
        <v>3</v>
      </c>
      <c r="J132" s="419"/>
      <c r="K132" s="420"/>
      <c r="L132" s="161">
        <f>VLOOKUP('Quick Input'!S$22,Auswahlfelder!$D$36:$E$38,2,FALSE)</f>
        <v>3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2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6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6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6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1</v>
      </c>
      <c r="G136" s="421"/>
      <c r="H136" s="422"/>
      <c r="I136" s="205">
        <f>IF(I$132=3,1,0)</f>
        <v>1</v>
      </c>
      <c r="J136" s="421"/>
      <c r="K136" s="422"/>
      <c r="L136" s="205">
        <f>IF(L$132=3,1,0)</f>
        <v>1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0</v>
      </c>
      <c r="G137" s="419"/>
      <c r="H137" s="420"/>
      <c r="I137" s="208">
        <f>I$142/I$149+I$152+I$155</f>
        <v>0</v>
      </c>
      <c r="J137" s="419"/>
      <c r="K137" s="420"/>
      <c r="L137" s="208">
        <f>L$142/L$149+L$152+L$155</f>
        <v>0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0</v>
      </c>
      <c r="G138" s="421"/>
      <c r="H138" s="422"/>
      <c r="I138" s="205">
        <f>VLOOKUP(Refkalkulation!K$52,DB_Maschinen,15,FALSE)</f>
        <v>0</v>
      </c>
      <c r="J138" s="421"/>
      <c r="K138" s="422"/>
      <c r="L138" s="205">
        <f>VLOOKUP(Refkalkulation!N$52,DB_Maschinen,15,FALSE)</f>
        <v>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10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0</v>
      </c>
      <c r="G141" s="421"/>
      <c r="H141" s="422"/>
      <c r="I141" s="205">
        <f>'Länder-DB'!$I$29*(I$138+I$139)</f>
        <v>0</v>
      </c>
      <c r="J141" s="421"/>
      <c r="K141" s="422"/>
      <c r="L141" s="205">
        <f>'Länder-DB'!$I$29*(L$138+L$139)</f>
        <v>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0</v>
      </c>
      <c r="G142" s="421"/>
      <c r="H142" s="422"/>
      <c r="I142" s="286">
        <f>(I$138+I$139)/I$140+I$141</f>
        <v>0</v>
      </c>
      <c r="J142" s="421"/>
      <c r="K142" s="422"/>
      <c r="L142" s="286">
        <f>(L$138+L$139)/L$140+L$141</f>
        <v>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0.7360000000000001</v>
      </c>
      <c r="J147" s="421"/>
      <c r="K147" s="422"/>
      <c r="L147" s="201">
        <f>L$27</f>
        <v>0.7360000000000001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0.6624000000000001</v>
      </c>
      <c r="J148" s="421"/>
      <c r="K148" s="422"/>
      <c r="L148" s="201">
        <f>0.9*L$27</f>
        <v>0.6624000000000001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2543.6160000000004</v>
      </c>
      <c r="J149" s="421"/>
      <c r="K149" s="422"/>
      <c r="L149" s="286">
        <f>L146*L148</f>
        <v>2543.6160000000004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0</v>
      </c>
      <c r="G150" s="421"/>
      <c r="H150" s="422"/>
      <c r="I150" s="162">
        <f>0.75*VLOOKUP(Refkalkulation!K$52,DB_Maschinen,12,FALSE)</f>
        <v>0</v>
      </c>
      <c r="J150" s="421"/>
      <c r="K150" s="422"/>
      <c r="L150" s="162">
        <f>0.75*VLOOKUP(Refkalkulation!N$52,DB_Maschinen,12,FALSE)</f>
        <v>0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7.0000000000000007E-2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0</v>
      </c>
      <c r="G152" s="429"/>
      <c r="H152" s="422"/>
      <c r="I152" s="287">
        <f>I$150*I$151</f>
        <v>0</v>
      </c>
      <c r="J152" s="429"/>
      <c r="K152" s="422"/>
      <c r="L152" s="287">
        <f>L$150*L$151</f>
        <v>0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0</v>
      </c>
      <c r="G153" s="427"/>
      <c r="H153" s="422"/>
      <c r="I153" s="162">
        <f>VLOOKUP(Refkalkulation!K$52,DB_Maschinen,14,FALSE)</f>
        <v>0</v>
      </c>
      <c r="J153" s="427"/>
      <c r="K153" s="422"/>
      <c r="L153" s="162">
        <f>VLOOKUP(Refkalkulation!N$52,DB_Maschinen,14,FALSE)</f>
        <v>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6.5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0</v>
      </c>
      <c r="G155" s="423"/>
      <c r="H155" s="424"/>
      <c r="I155" s="287">
        <f>I153*I154*12/I149</f>
        <v>0</v>
      </c>
      <c r="J155" s="423"/>
      <c r="K155" s="424"/>
      <c r="L155" s="287">
        <f>L153*L154*12/L149</f>
        <v>0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 t="e">
        <f>F$157+F$158+F$161+F$208</f>
        <v>#VALUE!</v>
      </c>
      <c r="G156" s="430"/>
      <c r="H156" s="420"/>
      <c r="I156" s="204" t="e">
        <f>I$157+I$158+I$161+I$208</f>
        <v>#VALUE!</v>
      </c>
      <c r="J156" s="430"/>
      <c r="K156" s="420"/>
      <c r="L156" s="204" t="e">
        <f>L$157+L$158+L$161+L$208</f>
        <v>#VALUE!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0</v>
      </c>
      <c r="G157" s="421"/>
      <c r="H157" s="422"/>
      <c r="I157" s="205">
        <f>60*VLOOKUP(Refkalkulation!K$52,DB_Maschinen,9,FALSE)</f>
        <v>0</v>
      </c>
      <c r="J157" s="421"/>
      <c r="K157" s="422"/>
      <c r="L157" s="205">
        <f>60*VLOOKUP(Refkalkulation!N$52,DB_Maschinen,9,FALSE)</f>
        <v>0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 t="e">
        <f>60*IF(F157=0,VLOOKUP(F$70,DB_Maschinen,13,FALSE)*(1+F$159+F$160),0)</f>
        <v>#VALUE!</v>
      </c>
      <c r="G158" s="421"/>
      <c r="H158" s="422"/>
      <c r="I158" s="205" t="e">
        <f>60*IF(I157=0,VLOOKUP(I$70,DB_Maschinen,13,FALSE)*(1+I$159+I$160),0)</f>
        <v>#VALUE!</v>
      </c>
      <c r="J158" s="421"/>
      <c r="K158" s="422"/>
      <c r="L158" s="205" t="e">
        <f>60*IF(L157=0,VLOOKUP(L$70,DB_Maschinen,13,FALSE)*(1+L$159+L$160),0)</f>
        <v>#VALUE!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 t="e">
        <f>MAX(0,(F$40-8))/300</f>
        <v>#VALUE!</v>
      </c>
      <c r="G160" s="421"/>
      <c r="H160" s="422"/>
      <c r="I160" s="155" t="e">
        <f>MAX(0,(I$40-8))/300</f>
        <v>#VALUE!</v>
      </c>
      <c r="J160" s="421"/>
      <c r="K160" s="422"/>
      <c r="L160" s="155" t="e">
        <f>MAX(0,(L$40-8))/300</f>
        <v>#VALUE!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0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0</v>
      </c>
      <c r="G162" s="906"/>
      <c r="H162" s="907"/>
      <c r="I162" s="905">
        <f>IFERROR(IF(Refkalkulation!K$75=0,ROUND(I$163*(1+I$164+I$165)/60,1),Refkalkulation!K$75),0)</f>
        <v>0</v>
      </c>
      <c r="J162" s="906"/>
      <c r="K162" s="907"/>
      <c r="L162" s="905">
        <f>IFERROR(IF(Refkalkulation!N$75=0,ROUND(L$163*(1+L$164+L$165)/60,1),Refkalkulation!N$75),0)</f>
        <v>0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 t="e">
        <f>ROUND(IF(F$40&lt;$D$167,$D$163,SQRT(10*F$40)),0)</f>
        <v>#VALUE!</v>
      </c>
      <c r="G163" s="421"/>
      <c r="H163" s="422"/>
      <c r="I163" s="30" t="e">
        <f>ROUND(IF(I$40&lt;$D$167,$D$163,SQRT(10*I$40)),0)</f>
        <v>#VALUE!</v>
      </c>
      <c r="J163" s="421"/>
      <c r="K163" s="422"/>
      <c r="L163" s="30" t="e">
        <f>ROUND(IF(L$40&lt;$D$167,$D$163,SQRT(10*L$40)),0)</f>
        <v>#VALUE!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0</v>
      </c>
      <c r="G165" s="421"/>
      <c r="H165" s="422"/>
      <c r="I165" s="201">
        <f>SQRT('Quick Input'!P$20/100)*15%</f>
        <v>0</v>
      </c>
      <c r="J165" s="421"/>
      <c r="K165" s="422"/>
      <c r="L165" s="201">
        <f>SQRT('Quick Input'!S$20/100)*15%</f>
        <v>0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</v>
      </c>
      <c r="G166" s="906"/>
      <c r="H166" s="907"/>
      <c r="I166" s="905">
        <f>IFERROR(IF(Refkalkulation!K$74=0,ROUND(I$167*(1+I$168+I$169)/60,1),Refkalkulation!K$74),0)</f>
        <v>0</v>
      </c>
      <c r="J166" s="906"/>
      <c r="K166" s="907"/>
      <c r="L166" s="905">
        <f>IFERROR(IF(Refkalkulation!N$74=0,ROUND(L$167*(1+L$168+L$169)/60,1),Refkalkulation!N$74),0)</f>
        <v>0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0</v>
      </c>
      <c r="G167" s="421"/>
      <c r="H167" s="422"/>
      <c r="I167" s="30">
        <f>IF(I60=Auswahlfelder!$D$38,0,ROUND(IF(I$40&lt;$D$167,$D$168,SQRT(7*I$40)/I$46),0))</f>
        <v>0</v>
      </c>
      <c r="J167" s="421"/>
      <c r="K167" s="422"/>
      <c r="L167" s="30">
        <f>IF(L60=Auswahlfelder!$D$38,0,ROUND(IF(L$40&lt;$D$167,$D$168,SQRT(7*L$40)/L$46),0))</f>
        <v>0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</v>
      </c>
      <c r="G169" s="421"/>
      <c r="H169" s="422"/>
      <c r="I169" s="201">
        <f>SQRT('Quick Input'!P$20/100)*$D$169</f>
        <v>0</v>
      </c>
      <c r="J169" s="421"/>
      <c r="K169" s="422"/>
      <c r="L169" s="201">
        <f>SQRT('Quick Input'!S$20/100)*$D$169</f>
        <v>0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IFERROR(IF(Refkalkulation!H$95=0,ROUND(F$171*(1+F$172+F$173+F$174),1),Refkalkulation!H$95),0)</f>
        <v>20</v>
      </c>
      <c r="G170" s="419"/>
      <c r="H170" s="420"/>
      <c r="I170" s="639">
        <f>IFERROR(IF(Refkalkulation!K$95=0,ROUND(I$171*(1+I$172+I$173+I$174),1),Refkalkulation!K$95),0)</f>
        <v>20</v>
      </c>
      <c r="J170" s="419"/>
      <c r="K170" s="420"/>
      <c r="L170" s="639">
        <f>IFERROR(IF(Refkalkulation!N$95=0,ROUND(L$171*(1+L$172+L$173+L$174),1),Refkalkulation!N$95),0)</f>
        <v>20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</v>
      </c>
      <c r="G174" s="421"/>
      <c r="H174" s="422"/>
      <c r="I174" s="458">
        <f>SQRT('Quick Input'!P$20/2000)*$D$174</f>
        <v>0</v>
      </c>
      <c r="J174" s="421"/>
      <c r="K174" s="422"/>
      <c r="L174" s="458">
        <f>SQRT('Quick Input'!S$20/2000)*$D$174</f>
        <v>0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IFERROR(IF(OR(Refkalkulation!H$101=0,F$247=0),F$247,Refkalkulation!H$101),0)</f>
        <v>0</v>
      </c>
      <c r="G175" s="436"/>
      <c r="H175" s="420"/>
      <c r="I175" s="645">
        <f>IFERROR(IF(OR(Refkalkulation!K$101=0,I$247=0),I$247,Refkalkulation!K$101),0)</f>
        <v>0</v>
      </c>
      <c r="J175" s="436"/>
      <c r="K175" s="420"/>
      <c r="L175" s="645">
        <f>IFERROR(IF(OR(Refkalkulation!N$101=0,L$247=0),L$247,Refkalkulation!N$101),0)</f>
        <v>0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IFERROR(IF(OR(Refkalkulation!H$105=0,F$250=0),F250,Refkalkulation!H$105),0)</f>
        <v>0</v>
      </c>
      <c r="G176" s="436"/>
      <c r="H176" s="420"/>
      <c r="I176" s="645">
        <f>IFERROR(IF(OR(Refkalkulation!K$105=0,I$250=0),I250,Refkalkulation!K$105),0)</f>
        <v>0</v>
      </c>
      <c r="J176" s="436"/>
      <c r="K176" s="420"/>
      <c r="L176" s="645">
        <f>IFERROR(IF(OR(Refkalkulation!N$105=0,L$250=0),L250,Refkalkulation!N$105),0)</f>
        <v>0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IFERROR(IF(OR(Refkalkulation!H$108=0,F$178=0),ROUND(F178*(1+F179),2),Refkalkulation!H$108),0)</f>
        <v>0</v>
      </c>
      <c r="G177" s="436"/>
      <c r="H177" s="420"/>
      <c r="I177" s="645">
        <f>IFERROR(IF(OR(Refkalkulation!K$108=0,I$178=0),ROUND(I178*(1+I179),2),Refkalkulation!K$108),0)</f>
        <v>0</v>
      </c>
      <c r="J177" s="436"/>
      <c r="K177" s="420"/>
      <c r="L177" s="645">
        <f>IFERROR(IF(OR(Refkalkulation!N$108=0,L$178=0),ROUND(L178*(1+L179),2),Refkalkulation!N$108),0)</f>
        <v>0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0</v>
      </c>
      <c r="G178" s="10"/>
      <c r="H178" s="10"/>
      <c r="I178" s="456">
        <f>IF('Quick Input'!P30=Auswahlfelder!$D$22,0,'Länder-DB'!$I$43*(0.7+0.3*VLOOKUP(I$19,DB_Länder,5,FALSE)/'Länder-DB'!$E$2))</f>
        <v>0</v>
      </c>
      <c r="J178" s="10"/>
      <c r="K178" s="10"/>
      <c r="L178" s="456">
        <f>IF('Quick Input'!S30=Auswahlfelder!$D$22,0,'Länder-DB'!$I$43*(0.7+0.3*VLOOKUP(L$19,DB_Länder,5,FALSE)/'Länder-DB'!$E$2))</f>
        <v>0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 t="e">
        <f>SQRT(MAX(0,'Quick Input'!M$19-0.5))*35%</f>
        <v>#VALUE!</v>
      </c>
      <c r="G179" s="423"/>
      <c r="H179" s="424"/>
      <c r="I179" s="343" t="e">
        <f>SQRT(MAX(0,'Quick Input'!P$19-0.5))*35%</f>
        <v>#VALUE!</v>
      </c>
      <c r="J179" s="423"/>
      <c r="K179" s="424"/>
      <c r="L179" s="343" t="e">
        <f>SQRT(MAX(0,'Quick Input'!S$19-0.5))*35%</f>
        <v>#VALUE!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IF(OR(Refkalkulation!H$90=0,F181=1),ROUND(IF(F$181&gt;2,F$182*F$183+F$184/60*F$20/F186/'Quick Input'!M$19+F$185,0),3),Refkalkulation!H$90)</f>
        <v>0</v>
      </c>
      <c r="G180" s="436"/>
      <c r="H180" s="420"/>
      <c r="I180" s="943">
        <f>IF(OR(Refkalkulation!K$90=0,I181=1),ROUND(IF(I$181&gt;2,I$182*I$183+I$184/60*I$20/I186/'Quick Input'!P$19+I$185,0),3),Refkalkulation!K$90)</f>
        <v>0</v>
      </c>
      <c r="J180" s="436"/>
      <c r="K180" s="420"/>
      <c r="L180" s="943">
        <f>IF(OR(Refkalkulation!N$90=0,L181=1),ROUND(IF(L$181&gt;2,L$182*L$183+L$184/60*L$20/L186/'Quick Input'!S$19+L$185,0),3),Refkalkulation!N$90)</f>
        <v>0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1</v>
      </c>
      <c r="G181" s="421"/>
      <c r="H181" s="422"/>
      <c r="I181" s="30">
        <f>VLOOKUP('Quick Input'!P$32,Auswahlfelder!$D$41:$E$46,2,FALSE)</f>
        <v>1</v>
      </c>
      <c r="J181" s="421"/>
      <c r="K181" s="422"/>
      <c r="L181" s="30">
        <f>VLOOKUP('Quick Input'!S$32,Auswahlfelder!$D$41:$E$46,2,FALSE)</f>
        <v>1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2.4581297619047617E-2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0</v>
      </c>
      <c r="G183" s="446"/>
      <c r="H183" s="447"/>
      <c r="I183" s="445">
        <f>IF(I181&gt;2,0.8+SQRT(I181-1)*($D$183+0.4*SQRT(I41/100)),0)</f>
        <v>0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0</v>
      </c>
      <c r="G184" s="939"/>
      <c r="H184" s="940"/>
      <c r="I184" s="445">
        <f>IF(I181&lt;3,0,$D$184+0.1*I186)</f>
        <v>0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0</v>
      </c>
      <c r="G185" s="446"/>
      <c r="H185" s="447"/>
      <c r="I185" s="463">
        <f>IF(I$181&gt;2,I$151*0.00025*515/0.6,0)</f>
        <v>0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 t="e">
        <f>ROUNDDOWN(MAX(1,$D$186/'Quick Input'!M$19),0)</f>
        <v>#VALUE!</v>
      </c>
      <c r="G186" s="423"/>
      <c r="H186" s="424"/>
      <c r="I186" s="941" t="e">
        <f>ROUNDDOWN(MAX(1,$D$186/'Quick Input'!P$19),0)</f>
        <v>#VALUE!</v>
      </c>
      <c r="J186" s="423"/>
      <c r="K186" s="424"/>
      <c r="L186" s="941" t="e">
        <f>ROUNDDOWN(MAX(1,$D$186/'Quick Input'!S$19),0)</f>
        <v>#VALUE!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Input'!M$33=Auswahlfelder!$D$61),Refkalkulation!H$91,0)</f>
        <v>0</v>
      </c>
      <c r="G190" s="446"/>
      <c r="H190" s="447"/>
      <c r="I190" s="344">
        <f>IF(AND('Quick Input'!P$32&lt;&gt;Auswahlfelder!$D$41,'Quick Input'!P$33=Auswahlfelder!$D$61),Refkalkulation!K$91,0)</f>
        <v>0</v>
      </c>
      <c r="J190" s="446"/>
      <c r="K190" s="447"/>
      <c r="L190" s="344">
        <f>IF(AND('Quick Input'!S$32&lt;&gt;Auswahlfelder!$D$41,'Quick Input'!S$33=Auswahlfelder!$D$61),Refkalkulation!N$91,0)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Refkalkulation!H$95/3600*Refkalkulation!H$98</f>
        <v>0</v>
      </c>
      <c r="G191" s="423"/>
      <c r="H191" s="424"/>
      <c r="I191" s="344">
        <f>Refkalkulation!K$95/3600*Refkalkulation!K$98</f>
        <v>0</v>
      </c>
      <c r="J191" s="423"/>
      <c r="K191" s="424"/>
      <c r="L191" s="344">
        <f>Refkalkulation!N$95/3600*Refkalkulation!N$98</f>
        <v>0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0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0</v>
      </c>
      <c r="G195" s="419"/>
      <c r="H195" s="420"/>
      <c r="I195" s="657">
        <f>IFERROR(IF(Refkalkulation!K$70=0,('Länder-DB'!$I$49/1.5+I196+I197+I198+I199)*IF(I187&gt;0,1-'Länder-DB'!$I$47,1),Refkalkulation!K$70),0)</f>
        <v>0</v>
      </c>
      <c r="J195" s="419"/>
      <c r="K195" s="420"/>
      <c r="L195" s="657">
        <f>IFERROR(IF(Refkalkulation!N$70=0,('Länder-DB'!$I$49/1.5+L196+L197+L198+L199)*IF(L187&gt;0,1-'Länder-DB'!$I$47,1),Refkalkulation!N$70),0)</f>
        <v>0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0</v>
      </c>
      <c r="G198" s="421"/>
      <c r="H198" s="422"/>
      <c r="I198" s="149">
        <f>(VLOOKUP('Quick Input'!P$23,Auswahlfelder!$D$49:$E$51,2,FALSE)-1)*0.25%</f>
        <v>0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 t="e">
        <f>MIN(1.5%,6/F94*1.5%)</f>
        <v>#DIV/0!</v>
      </c>
      <c r="G199" s="421"/>
      <c r="H199" s="422"/>
      <c r="I199" s="149" t="e">
        <f>MIN(1.5%,6/I94*1.5%)</f>
        <v>#DIV/0!</v>
      </c>
      <c r="J199" s="421"/>
      <c r="K199" s="422"/>
      <c r="L199" s="149" t="e">
        <f>MIN(1.5%,6/L94*1.5%)</f>
        <v>#DIV/0!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IFERROR(IF(Refkalkulation!H$92=0,F201+F202+F203,Refkalkulation!H$92),0)</f>
        <v>0</v>
      </c>
      <c r="G200" s="926"/>
      <c r="H200" s="927"/>
      <c r="I200" s="925">
        <f>IFERROR(IF(Refkalkulation!K$92=0,I201+I202+I203,Refkalkulation!K$92),0)</f>
        <v>0</v>
      </c>
      <c r="J200" s="926"/>
      <c r="K200" s="927"/>
      <c r="L200" s="925">
        <f>IFERROR(IF(Refkalkulation!N$92=0,L201+L202+L203,Refkalkulation!N$92),0)</f>
        <v>0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3.0000000000000001E-3</v>
      </c>
      <c r="G202" s="421"/>
      <c r="H202" s="422"/>
      <c r="I202" s="149">
        <f>IF('Quick Input'!P$25="ja",0.3%,0)+IF('Quick Input'!P$26="ja",0.1%,0)+IF('Quick Input'!P$27="ja",0.6%,0)</f>
        <v>3.0000000000000001E-3</v>
      </c>
      <c r="J202" s="421"/>
      <c r="K202" s="422"/>
      <c r="L202" s="149">
        <f>IF('Quick Input'!S$25="ja",0.3%,0)+IF('Quick Input'!S$26="ja",0.1%,0)+IF('Quick Input'!S$27="ja",0.6%,0)</f>
        <v>3.0000000000000001E-3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 t="e">
        <f>MIN(0.5%,3/F94*4%)</f>
        <v>#DIV/0!</v>
      </c>
      <c r="G203" s="421"/>
      <c r="H203" s="422"/>
      <c r="I203" s="149" t="e">
        <f>MIN(0.5%,3/I94*4%)</f>
        <v>#DIV/0!</v>
      </c>
      <c r="J203" s="421"/>
      <c r="K203" s="422"/>
      <c r="L203" s="149" t="e">
        <f t="shared" ref="L203" si="3">MIN(0.5%,3/L94*4%)</f>
        <v>#DIV/0!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IF(Refkalkulation!H$123=0,'Länder-DB'!$I$33,Refkalkulation!H$123)</f>
        <v>0.12</v>
      </c>
      <c r="G204" s="7"/>
      <c r="H204" s="7"/>
      <c r="I204" s="657">
        <f>IF(Refkalkulation!K$123=0,'Länder-DB'!$I$33,Refkalkulation!K$123)</f>
        <v>0.12</v>
      </c>
      <c r="J204" s="7"/>
      <c r="K204" s="7"/>
      <c r="L204" s="657">
        <f>IF(Refkalkulation!N$123=0,'Länder-DB'!$I$33,Refkalkulation!N$123)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 t="e">
        <f>F$206*F$209/MIN(F$207,F$255/Refkalkulation!H$61)</f>
        <v>#DIV/0!</v>
      </c>
      <c r="G205" s="419"/>
      <c r="H205" s="420"/>
      <c r="I205" s="208" t="e">
        <f>I$206*I$209/MIN(I$207,I$255/Refkalkulation!K$61)</f>
        <v>#DIV/0!</v>
      </c>
      <c r="J205" s="419"/>
      <c r="K205" s="420"/>
      <c r="L205" s="208" t="e">
        <f>L$206*L$209/MIN(L$207,L$255/Refkalkulation!N$61)</f>
        <v>#DIV/0!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3.08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5.2999999999999999E-2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5.2999999999999999E-2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13.884145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23.2</v>
      </c>
      <c r="G223" s="446"/>
      <c r="H223" s="447"/>
      <c r="I223" s="445">
        <f>ROUND('Länder-DB'!$M$43*(1+I224),1)</f>
        <v>23.2</v>
      </c>
      <c r="J223" s="446"/>
      <c r="K223" s="447"/>
      <c r="L223" s="445">
        <f>ROUND('Länder-DB'!$M$43*(1+L224),1)</f>
        <v>23.2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0.16</v>
      </c>
      <c r="G224" s="460"/>
      <c r="H224" s="461"/>
      <c r="I224" s="845">
        <f>0.08*(-6+I23/4%+6%/VLOOKUP('Quick Input'!P$10,'Material-DB'!$A$4:$R$37,18,FALSE))</f>
        <v>0.16</v>
      </c>
      <c r="J224" s="460"/>
      <c r="K224" s="461"/>
      <c r="L224" s="845">
        <f>0.08*(-6+L23/4%+6%/VLOOKUP('Quick Input'!S$10,'Material-DB'!$A$4:$R$37,18,FALSE))</f>
        <v>0.16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Cold Box</v>
      </c>
      <c r="G226" s="446"/>
      <c r="H226" s="447"/>
      <c r="I226" s="445" t="str">
        <f>IF('Quick Input'!P$23=Auswahlfelder!$D$51,Auswahlfelder!$D$54,VLOOKUP('Quick Input'!P$24,Auswahlfelder!$D$54:$E$57,1,FALSE))</f>
        <v>Cold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1</v>
      </c>
      <c r="G227" s="446"/>
      <c r="H227" s="447"/>
      <c r="I227" s="932">
        <f>VLOOKUP(I226,Auswahlfelder!$D$54:$E$57,2,FALSE)</f>
        <v>1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2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2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2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4">
        <f>IF(F227=1,VLOOKUP(F228,'Maschinen-DB'!$C$46:$N$51,7,FALSE)/60+IF(F227=3,$D$231,IF(F227=4,$D$232,0)),IF(F227=2,VLOOKUP(F228,'Maschinen-DB'!$C$57:$N$59,7,FALSE)/60+D229+IF(F227=3,$D$231,IF(F227=4,$D$232,0))))</f>
        <v>1.1666666666666667</v>
      </c>
      <c r="G229" s="421"/>
      <c r="H229" s="422"/>
      <c r="I229" s="456">
        <f>VLOOKUP(I228,'Maschinen-DB'!$C$46:$N$59,7,FALSE)/60+IF(I227=2,$D$229,IF(I227=3,$D$231,IF(I227=4,$D$232,0)))</f>
        <v>1.1666666666666667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999</v>
      </c>
      <c r="D230" s="697"/>
      <c r="E230" s="569"/>
      <c r="F230" s="456">
        <f>VLOOKUP(F228,'Maschinen-DB'!$C$46:$N$59,12,FALSE)</f>
        <v>250000</v>
      </c>
      <c r="G230" s="421"/>
      <c r="H230" s="422"/>
      <c r="I230" s="456">
        <f>VLOOKUP(I228,'Maschinen-DB'!$C$46:$N$59,12,FALSE)</f>
        <v>250000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19.657055152979062</v>
      </c>
      <c r="G231" s="421"/>
      <c r="H231" s="422"/>
      <c r="I231" s="456">
        <f>(VLOOKUP(I228,'Maschinen-DB'!$C$46:$N$59,12,FALSE)/'Länder-DB'!$I$27+VLOOKUP(I228,'Maschinen-DB'!$C$46:$N$59,12,FALSE)*'Länder-DB'!$I$29)/I149</f>
        <v>19.657055152979062</v>
      </c>
      <c r="J231" s="421"/>
      <c r="K231" s="422"/>
      <c r="L231" s="456">
        <f>(VLOOKUP(L228,'Maschinen-DB'!$C$46:$N$59,12,FALSE)/'Länder-DB'!$I$27+VLOOKUP(L228,'Maschinen-DB'!$C$46:$N$59,12,FALSE)*'Länder-DB'!$I$29)/L149</f>
        <v>19.657055152979062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49.077780152979059</v>
      </c>
      <c r="G232" s="427"/>
      <c r="H232" s="428"/>
      <c r="I232" s="344">
        <f>I231+I233*I21</f>
        <v>49.077780152979059</v>
      </c>
      <c r="J232" s="427"/>
      <c r="K232" s="428"/>
      <c r="L232" s="344">
        <f>L231+L233*L21</f>
        <v>49.077780152979059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1</v>
      </c>
      <c r="G233" s="446"/>
      <c r="H233" s="447"/>
      <c r="I233" s="445">
        <f>MAX(1,ROUNDDOWN(MIN(2,I228/2),0))</f>
        <v>1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21.333333333333332</v>
      </c>
      <c r="G235" s="930"/>
      <c r="H235" s="931"/>
      <c r="I235" s="161">
        <f>IFERROR(I236*(1+I237+I238),0)</f>
        <v>21.333333333333332</v>
      </c>
      <c r="J235" s="930"/>
      <c r="K235" s="931"/>
      <c r="L235" s="161">
        <f t="shared" ref="L235" si="9">IFERROR(L236*(1+L237+L238),0)</f>
        <v>21.333333333333332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</v>
      </c>
      <c r="G238" s="423"/>
      <c r="H238" s="424"/>
      <c r="I238" s="895">
        <f>SQRT('Quick Input'!P$20/2000)*$D$238</f>
        <v>0</v>
      </c>
      <c r="J238" s="423"/>
      <c r="K238" s="424"/>
      <c r="L238" s="895">
        <f>SQRT('Quick Input'!S$20/2000)*$D$238</f>
        <v>0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0</v>
      </c>
      <c r="G239" s="897"/>
      <c r="H239" s="897"/>
      <c r="I239" s="750">
        <f>IFERROR(I240*I241/I242/'Quick Input'!P$19*1000,0)</f>
        <v>0</v>
      </c>
      <c r="J239" s="897"/>
      <c r="K239" s="897"/>
      <c r="L239" s="750">
        <f>IFERROR(L240*L241/L242/'Quick Input'!S$19*1000,0)</f>
        <v>0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0</v>
      </c>
      <c r="G240" s="421"/>
      <c r="H240" s="422"/>
      <c r="I240" s="30">
        <f>IF('Quick Input'!P$26="ja",$D$240,0)</f>
        <v>0</v>
      </c>
      <c r="J240" s="421"/>
      <c r="K240" s="422"/>
      <c r="L240" s="30">
        <f>IF('Quick Input'!S$26="ja",$D$240,0)</f>
        <v>0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 t="e">
        <f>MAX(MIN(ROUNDDOWN($D$242/'Quick Input'!M$19,0),Refkalkulation!H$61),1)</f>
        <v>#VALUE!</v>
      </c>
      <c r="G242" s="427"/>
      <c r="H242" s="428"/>
      <c r="I242" s="932" t="e">
        <f>MAX(MIN(ROUNDDOWN($D$242/'Quick Input'!P$19,0),Refkalkulation!K$61),1)</f>
        <v>#VALUE!</v>
      </c>
      <c r="J242" s="427"/>
      <c r="K242" s="428"/>
      <c r="L242" s="932" t="e">
        <f>MAX(MIN(ROUNDDOWN($D$242/'Quick Input'!S$19,0),Refkalkulation!N$61),1)</f>
        <v>#VALUE!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</v>
      </c>
      <c r="G246" s="423"/>
      <c r="H246" s="424"/>
      <c r="I246" s="343">
        <f>SQRT('Quick Input'!P$20/2000)*$D$246</f>
        <v>0</v>
      </c>
      <c r="J246" s="423"/>
      <c r="K246" s="424"/>
      <c r="L246" s="343">
        <f>SQRT('Quick Input'!S$20/2000)*$D$246</f>
        <v>0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0</v>
      </c>
      <c r="G247" s="10"/>
      <c r="H247" s="10"/>
      <c r="I247" s="750">
        <f>IF('Quick Input'!P$28=Auswahlfelder!$D$22,0,ROUND(I248*(1+I$249),2))</f>
        <v>0</v>
      </c>
      <c r="J247" s="10"/>
      <c r="K247" s="10"/>
      <c r="L247" s="750">
        <f>IF('Quick Input'!S$28=Auswahlfelder!$D$22,0,ROUND(L248*(1+L$249),2))</f>
        <v>0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4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 t="e">
        <f>SQRT(MAX(0,'Quick Input'!M$19-0.5))*40%</f>
        <v>#VALUE!</v>
      </c>
      <c r="G249" s="10"/>
      <c r="H249" s="10"/>
      <c r="I249" s="343" t="e">
        <f>SQRT(MAX(0,'Quick Input'!P$19-0.5))*40%</f>
        <v>#VALUE!</v>
      </c>
      <c r="J249" s="10"/>
      <c r="K249" s="10"/>
      <c r="L249" s="343" t="e">
        <f>SQRT(MAX(0,'Quick Input'!S$19-0.5))*40%</f>
        <v>#VALUE!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0</v>
      </c>
      <c r="G250" s="7"/>
      <c r="H250" s="7"/>
      <c r="I250" s="345">
        <f>IF('Quick Input'!P29=Auswahlfelder!$D$22,0,ROUND(I251*(1+I252),2))</f>
        <v>0</v>
      </c>
      <c r="J250" s="7"/>
      <c r="K250" s="7"/>
      <c r="L250" s="345">
        <f>IF('Quick Input'!S29=Auswahlfelder!$D$22,0,ROUND(L251*(1+L252),2))</f>
        <v>0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6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 t="e">
        <f>SQRT(MAX(0,'Quick Input'!M$19-0.5))*50%</f>
        <v>#VALUE!</v>
      </c>
      <c r="G252" s="423"/>
      <c r="H252" s="424"/>
      <c r="I252" s="343" t="e">
        <f>SQRT(MAX(0,'Quick Input'!P$19-0.5))*50%</f>
        <v>#VALUE!</v>
      </c>
      <c r="J252" s="423"/>
      <c r="K252" s="424"/>
      <c r="L252" s="343" t="e">
        <f>SQRT(MAX(0,'Quick Input'!S$19-0.5))*50%</f>
        <v>#VALUE!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ohne Prfg.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ohne Prfg.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ohne Prfg.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 t="e">
        <f>ROUNDDOWN(F$46*HLOOKUP(F$259,'Länder-DB'!$M$54:$O$55,2,FALSE)*(1-F$261-F$262-F$263),-1)</f>
        <v>#VALUE!</v>
      </c>
      <c r="G254" s="7"/>
      <c r="H254" s="7"/>
      <c r="I254" s="204" t="e">
        <f>ROUNDDOWN(I$46*HLOOKUP(I$259,'Länder-DB'!$M$54:$O$55,2,FALSE)*(1-I$261-I$262-I$263),-1)</f>
        <v>#VALUE!</v>
      </c>
      <c r="J254" s="7"/>
      <c r="K254" s="7"/>
      <c r="L254" s="204" t="e">
        <f>ROUNDDOWN(L$46*HLOOKUP(L$259,'Länder-DB'!$M$54:$O$55,2,FALSE)*(1-L$261-L$262-L$263),-1)</f>
        <v>#VALUE!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1</v>
      </c>
      <c r="G255" s="10"/>
      <c r="H255" s="10"/>
      <c r="I255" s="557">
        <f>IFERROR('Quick Input'!P$44,1)</f>
        <v>1</v>
      </c>
      <c r="J255" s="10"/>
      <c r="K255" s="10"/>
      <c r="L255" s="557">
        <f>IFERROR('Quick Input'!S$44,1)</f>
        <v>1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 t="e">
        <f>ROUNDDOWN(F$46*'Länder-DB'!$M$55*(1-F$261-F$262-F$263),-1)</f>
        <v>#VALUE!</v>
      </c>
      <c r="G256" s="558"/>
      <c r="H256" s="10"/>
      <c r="I256" s="557" t="e">
        <f>ROUNDDOWN(I$46*'Länder-DB'!$M$55*(1-I$261-I$262-I$263),-1)</f>
        <v>#VALUE!</v>
      </c>
      <c r="J256" s="558"/>
      <c r="K256" s="10"/>
      <c r="L256" s="557" t="e">
        <f>ROUNDDOWN(L$46*'Länder-DB'!$M$55*(1-L$261-L$262-L$263),-1)</f>
        <v>#VALUE!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 t="e">
        <f>F$46*'Länder-DB'!$N$55*(1-F$261-F$262-F$263)</f>
        <v>#VALUE!</v>
      </c>
      <c r="G257" s="558"/>
      <c r="H257" s="10"/>
      <c r="I257" s="557" t="e">
        <f>I$46*'Länder-DB'!$N$55*(1-I$261-I$262-I$263)</f>
        <v>#VALUE!</v>
      </c>
      <c r="J257" s="10"/>
      <c r="K257" s="10"/>
      <c r="L257" s="557" t="e">
        <f>L$46*'Länder-DB'!$N$55*(1-L$261-L$262-L$263)</f>
        <v>#VALUE!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 t="e">
        <f>F$46*'Länder-DB'!$O$55*(1-F$261-F$262-F$263)</f>
        <v>#VALUE!</v>
      </c>
      <c r="G258" s="558"/>
      <c r="H258" s="10"/>
      <c r="I258" s="557" t="e">
        <f>I$46*'Länder-DB'!$O$55*(1-I$261-I$262-I$263)</f>
        <v>#VALUE!</v>
      </c>
      <c r="J258" s="10"/>
      <c r="K258" s="10"/>
      <c r="L258" s="557" t="e">
        <f>L$46*'Länder-DB'!$O$55*(1-L$261-L$262-L$263)</f>
        <v>#VALUE!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e">
        <f>IF(F$255&gt;MIN(F$258,2*F$257),'Länder-DB'!$O$54,IF(F$255&gt;MIN(F$257,3*F$256),'Länder-DB'!$N$54,'Länder-DB'!$M$54))</f>
        <v>#VALUE!</v>
      </c>
      <c r="G259" s="10"/>
      <c r="H259" s="10"/>
      <c r="I259" s="557" t="e">
        <f>IF(I$255&gt;MIN(I$258,2*I$257),'Länder-DB'!$O$54,IF(I$255&gt;MIN(I$257,3*I$256),'Länder-DB'!$N$54,'Länder-DB'!$M$54))</f>
        <v>#VALUE!</v>
      </c>
      <c r="J259" s="10"/>
      <c r="K259" s="10"/>
      <c r="L259" s="557" t="e">
        <f>IF(L$255&gt;MIN(L$258,2*L$257),'Länder-DB'!$O$54,IF(L$255&gt;MIN(L$257,3*L$256),'Länder-DB'!$N$54,'Länder-DB'!$M$54))</f>
        <v>#VALUE!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 t="e">
        <f>ROUNDUP(F255/F254,0)</f>
        <v>#VALUE!</v>
      </c>
      <c r="G260" s="10"/>
      <c r="H260" s="10"/>
      <c r="I260" s="557" t="e">
        <f>ROUNDUP(I255/I254,0)</f>
        <v>#VALUE!</v>
      </c>
      <c r="J260" s="10"/>
      <c r="K260" s="10"/>
      <c r="L260" s="557" t="e">
        <f>ROUNDUP(L255/L254,0)</f>
        <v>#VALUE!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1.1399999999999988E-2</v>
      </c>
      <c r="J261" s="10"/>
      <c r="K261" s="10"/>
      <c r="L261" s="149">
        <f>10%*(0.85-L$27)</f>
        <v>1.1399999999999988E-2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 t="e">
        <f>4%*(('Quick Input'!$E$18-1.2)/('Quick Input'!M$18-1.2))</f>
        <v>#VALUE!</v>
      </c>
      <c r="G263" s="13"/>
      <c r="H263" s="13"/>
      <c r="I263" s="646" t="e">
        <f>4%*(('Quick Input'!$E$18-1.2)/('Quick Input'!P$18-1.2))</f>
        <v>#VALUE!</v>
      </c>
      <c r="J263" s="13"/>
      <c r="K263" s="13"/>
      <c r="L263" s="646" t="e">
        <f>4%*(('Quick Input'!$E$18-1.2)/('Quick Input'!S$18-1.2))</f>
        <v>#VALUE!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 t="e">
        <f>ROUND(F266*(1+F267+F268),-2)</f>
        <v>#VALUE!</v>
      </c>
      <c r="G264" s="419"/>
      <c r="H264" s="420"/>
      <c r="I264" s="204" t="e">
        <f>ROUND(I266*(1+I267+I268),-2)</f>
        <v>#VALUE!</v>
      </c>
      <c r="J264" s="419"/>
      <c r="K264" s="420"/>
      <c r="L264" s="204" t="e">
        <f>ROUND(L266*(1+L267+L268),-2)</f>
        <v>#VALUE!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 t="e">
        <f>SQRT(F$31)*10</f>
        <v>#VALUE!</v>
      </c>
      <c r="G265" s="421"/>
      <c r="H265" s="422"/>
      <c r="I265" s="205" t="e">
        <f>SQRT(I$31)*10</f>
        <v>#VALUE!</v>
      </c>
      <c r="J265" s="421"/>
      <c r="K265" s="422"/>
      <c r="L265" s="205" t="e">
        <f>SQRT(L$31)*10</f>
        <v>#VALUE!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 t="e">
        <f>F$265*SQRT(Refkalkulation!H$50)*0.15*SQRT(HLOOKUP(F$259,'Länder-DB'!$M$54:$O$55,2,FALSE))</f>
        <v>#VALUE!</v>
      </c>
      <c r="G266" s="421"/>
      <c r="H266" s="422"/>
      <c r="I266" s="205" t="e">
        <f>I$265*SQRT(Refkalkulation!K$50)*0.15*SQRT(HLOOKUP(I$259,'Länder-DB'!$M$54:$O$55,2,FALSE))</f>
        <v>#VALUE!</v>
      </c>
      <c r="J266" s="421"/>
      <c r="K266" s="422"/>
      <c r="L266" s="205" t="e">
        <f>L$265*SQRT(Refkalkulation!N$50)*0.15*SQRT(HLOOKUP(L$259,'Länder-DB'!$M$54:$O$55,2,FALSE))</f>
        <v>#VALUE!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0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0</v>
      </c>
      <c r="G269" s="436"/>
      <c r="H269" s="420"/>
      <c r="I269" s="161">
        <f>ROUND(IF('Quick Input'!P23=Auswahlfelder!$D$49,0,350+ROUND(SQRT(I270*1000)*$D$270,0)/I271),-2)</f>
        <v>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200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0</v>
      </c>
      <c r="F276" s="589" t="b">
        <f>F$71&lt;&gt;F$60</f>
        <v>0</v>
      </c>
      <c r="G276" s="602"/>
      <c r="H276" s="589">
        <f>IF(I276,H275+1,H275)</f>
        <v>0</v>
      </c>
      <c r="I276" s="589" t="b">
        <f>I$71&lt;&gt;I$60</f>
        <v>0</v>
      </c>
      <c r="J276" s="589"/>
      <c r="K276" s="589">
        <f>IF(L276,K275+1,K275)</f>
        <v>0</v>
      </c>
      <c r="L276" s="589" t="b">
        <f>L$71&lt;&gt;L$60</f>
        <v>0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0</v>
      </c>
      <c r="F277" s="591" t="str">
        <f>F74</f>
        <v>automatisch</v>
      </c>
      <c r="G277" s="602"/>
      <c r="H277" s="589">
        <f>IF(I276,H276+1,H276)</f>
        <v>0</v>
      </c>
      <c r="I277" s="591" t="str">
        <f>I74</f>
        <v>automatisch</v>
      </c>
      <c r="J277" s="591"/>
      <c r="K277" s="589">
        <f>IF(L276,K276+1,K276)</f>
        <v>0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0</v>
      </c>
      <c r="F278" s="589" t="b">
        <f>IFERROR(F78/F77&lt;3%,FALSE)</f>
        <v>0</v>
      </c>
      <c r="G278" s="602"/>
      <c r="H278" s="589">
        <f>IF(I278,H277+1,H277)</f>
        <v>0</v>
      </c>
      <c r="I278" s="589" t="b">
        <f>IFERROR(I78/I77&lt;3%,FALSE)</f>
        <v>0</v>
      </c>
      <c r="J278" s="589"/>
      <c r="K278" s="589">
        <f>IF(L278,K277+1,K277)</f>
        <v>0</v>
      </c>
      <c r="L278" s="589" t="b">
        <f>IFERROR(L78/L77&lt;3%,FALSE)</f>
        <v>0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0</v>
      </c>
      <c r="F279" s="694" t="str">
        <f>IF(F278,TEXT(F$76,"0%")," ")</f>
        <v xml:space="preserve"> </v>
      </c>
      <c r="G279" s="602"/>
      <c r="H279" s="589">
        <f>IF(I278,H278+1,H278)</f>
        <v>0</v>
      </c>
      <c r="I279" s="694" t="str">
        <f>IF(I278,TEXT(I$76,"0%")," ")</f>
        <v xml:space="preserve"> </v>
      </c>
      <c r="J279" s="591"/>
      <c r="K279" s="589">
        <f>IF(L278,K278+1,K278)</f>
        <v>0</v>
      </c>
      <c r="L279" s="694" t="str">
        <f>IF(L278,TEXT(L$76,"0%")," ")</f>
        <v xml:space="preserve"> 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0</v>
      </c>
      <c r="F280" s="589" t="b">
        <f>IFERROR(Refkalkulation!H66/(Refkalkulation!H66+Refkalkulation!H60)&gt;15%,FALSE)</f>
        <v>0</v>
      </c>
      <c r="G280" s="602"/>
      <c r="H280" s="589">
        <f>IF(I280,H279+1,H279)</f>
        <v>0</v>
      </c>
      <c r="I280" s="589" t="b">
        <f>IFERROR(Refkalkulation!K66/(Refkalkulation!K66+Refkalkulation!K60)&gt;15%,FALSE)</f>
        <v>0</v>
      </c>
      <c r="J280" s="589"/>
      <c r="K280" s="589">
        <f>IF(L280,K279+1,K279)</f>
        <v>0</v>
      </c>
      <c r="L280" s="589" t="b">
        <f>IFERROR(Refkalkulation!N66/(Refkalkulation!N66+Refkalkulation!N60)&gt;15%,FALSE)</f>
        <v>0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0</v>
      </c>
      <c r="F281" s="695" t="e">
        <f>TEXT(Refkalkulation!H62/(Refkalkulation!H62+Refkalkulation!H59*Refkalkulation!H61/60/Refkalkulation!H50),"0,0 %")</f>
        <v>#VALUE!</v>
      </c>
      <c r="G281" s="602"/>
      <c r="H281" s="589">
        <f>IF(I280,H280+1,H280)</f>
        <v>0</v>
      </c>
      <c r="I281" s="693" t="e">
        <f>TEXT(Refkalkulation!K62/(Refkalkulation!K62+Refkalkulation!K59*Refkalkulation!K61/60/Refkalkulation!K50),"0,0 %")</f>
        <v>#VALUE!</v>
      </c>
      <c r="J281" s="591"/>
      <c r="K281" s="589">
        <f>IF(L280,K280+1,K280)</f>
        <v>0</v>
      </c>
      <c r="L281" s="693" t="e">
        <f>TEXT(Refkalkulation!N62/(Refkalkulation!N62+Refkalkulation!N59*Refkalkulation!N61/60/Refkalkulation!N50),"0,0 %")</f>
        <v>#VALUE!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0</v>
      </c>
      <c r="F282" s="589" t="b">
        <f>IFERROR(F260&gt;1,FALSE)</f>
        <v>0</v>
      </c>
      <c r="G282" s="602"/>
      <c r="H282" s="589">
        <f>IF(I282,H281+1,H281)</f>
        <v>0</v>
      </c>
      <c r="I282" s="589" t="b">
        <f>IFERROR(I260&gt;1,FALSE)</f>
        <v>0</v>
      </c>
      <c r="J282" s="589"/>
      <c r="K282" s="589">
        <f>IF(L282,K281+1,K281)</f>
        <v>0</v>
      </c>
      <c r="L282" s="589" t="b">
        <f>IFERROR(L260&gt;1,FALSE)</f>
        <v>0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0</v>
      </c>
      <c r="F283" s="606" t="e">
        <f>CONCATENATE(F260,IF(Deutsch," WKZ aus "," tool from "),F259)</f>
        <v>#VALUE!</v>
      </c>
      <c r="G283" s="602"/>
      <c r="H283" s="589">
        <f>IF(I282,H282+1,H282)</f>
        <v>0</v>
      </c>
      <c r="I283" s="606" t="e">
        <f>CONCATENATE(I260,IF(Deutsch," WKZ aus "," tool from "),I259)</f>
        <v>#VALUE!</v>
      </c>
      <c r="J283" s="591"/>
      <c r="K283" s="589">
        <f>IF(L282,K282+1,K282)</f>
        <v>0</v>
      </c>
      <c r="L283" s="606" t="e">
        <f>CONCATENATE(L260,IF(Deutsch," WKZ aus "," tool from "),L259)</f>
        <v>#VALUE!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0</v>
      </c>
      <c r="F284" s="687" t="b">
        <f>IFERROR(F$129&lt;30%,FALSE)</f>
        <v>0</v>
      </c>
      <c r="G284" s="602"/>
      <c r="H284" s="589">
        <f>IF(I284,H283+1,H283)</f>
        <v>0</v>
      </c>
      <c r="I284" s="687" t="b">
        <f>IFERROR(I$129&lt;30%,FALSE)</f>
        <v>0</v>
      </c>
      <c r="J284" s="589"/>
      <c r="K284" s="589">
        <f>IF(L284,K283+1,K283)</f>
        <v>0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0</v>
      </c>
      <c r="F285" s="693" t="e">
        <f>TEXT(F$129,"0 %")</f>
        <v>#VALUE!</v>
      </c>
      <c r="G285" s="602"/>
      <c r="H285" s="589">
        <f>IF(I284,H284+1,H284)</f>
        <v>0</v>
      </c>
      <c r="I285" s="693" t="e">
        <f>TEXT(I$129,"0 %")</f>
        <v>#VALUE!</v>
      </c>
      <c r="J285" s="591"/>
      <c r="K285" s="589">
        <f>IF(L284,K284+1,K284)</f>
        <v>0</v>
      </c>
      <c r="L285" s="693" t="e">
        <f>TEXT(L$129,"0 %")</f>
        <v>#VALUE!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0</v>
      </c>
      <c r="F286" s="589" t="b">
        <f>IFERROR(F61&gt;F70,FALSE)</f>
        <v>0</v>
      </c>
      <c r="G286" s="602"/>
      <c r="H286" s="589">
        <f>IF(I286,H285+1,H285)</f>
        <v>0</v>
      </c>
      <c r="I286" s="589" t="b">
        <f>IFERROR(I61&gt;I70,FALSE)</f>
        <v>0</v>
      </c>
      <c r="J286" s="589"/>
      <c r="K286" s="589">
        <f>IF(L286,K285+1,K285)</f>
        <v>0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0</v>
      </c>
      <c r="F287" s="606" t="str">
        <f>IF(F286,"","")</f>
        <v/>
      </c>
      <c r="G287" s="602"/>
      <c r="H287" s="589">
        <f>IF(I286,H286+1,H286)</f>
        <v>0</v>
      </c>
      <c r="I287" s="606" t="str">
        <f>IF(I286,"","")</f>
        <v/>
      </c>
      <c r="J287" s="591"/>
      <c r="K287" s="589">
        <f>IF(L286,K286+1,K286)</f>
        <v>0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1</v>
      </c>
      <c r="F288" s="589" t="b">
        <v>1</v>
      </c>
      <c r="G288" s="602"/>
      <c r="H288" s="589">
        <f>IF(I288,H287+1,H287)</f>
        <v>1</v>
      </c>
      <c r="I288" s="589" t="b">
        <v>1</v>
      </c>
      <c r="J288" s="589"/>
      <c r="K288" s="589">
        <f>IF(L288,K287+1,K287)</f>
        <v>1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2</v>
      </c>
      <c r="F289" s="606" t="s">
        <v>33</v>
      </c>
      <c r="G289" s="602"/>
      <c r="H289" s="589">
        <f>IF(I288,H288+1,H288)</f>
        <v>2</v>
      </c>
      <c r="I289" s="606" t="s">
        <v>33</v>
      </c>
      <c r="J289" s="591"/>
      <c r="K289" s="589">
        <f>IF(L288,K288+1,K288)</f>
        <v>2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3</v>
      </c>
      <c r="F290" s="589" t="b">
        <v>1</v>
      </c>
      <c r="G290" s="602"/>
      <c r="H290" s="589">
        <f>IF(I290,H289+1,H289)</f>
        <v>3</v>
      </c>
      <c r="I290" s="589" t="b">
        <v>1</v>
      </c>
      <c r="J290" s="589"/>
      <c r="K290" s="589">
        <f>IF(L290,K289+1,K289)</f>
        <v>3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4</v>
      </c>
      <c r="F291" s="606" t="s">
        <v>33</v>
      </c>
      <c r="G291" s="602"/>
      <c r="H291" s="589">
        <f>IF(I290,H290+1,H290)</f>
        <v>4</v>
      </c>
      <c r="I291" s="606" t="s">
        <v>33</v>
      </c>
      <c r="J291" s="591"/>
      <c r="K291" s="589">
        <f>IF(L290,K290+1,K290)</f>
        <v>4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5</v>
      </c>
      <c r="F292" s="589" t="b">
        <v>1</v>
      </c>
      <c r="G292" s="602"/>
      <c r="H292" s="589">
        <f>IF(I292,H291+1,H291)</f>
        <v>5</v>
      </c>
      <c r="I292" s="589" t="b">
        <v>1</v>
      </c>
      <c r="J292" s="589"/>
      <c r="K292" s="589">
        <f>IF(L292,K291+1,K291)</f>
        <v>5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6</v>
      </c>
      <c r="F293" s="606" t="s">
        <v>33</v>
      </c>
      <c r="G293" s="591"/>
      <c r="H293" s="605">
        <f>IF(I292,H292+1,H292)</f>
        <v>6</v>
      </c>
      <c r="I293" s="606" t="s">
        <v>33</v>
      </c>
      <c r="J293" s="591"/>
      <c r="K293" s="605">
        <f>IF(L292,K292+1,K292)</f>
        <v>6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F8967D64-B6A1-499C-9788-FE6113B627D4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4"/>
    </row>
    <row r="2" spans="1:1" x14ac:dyDescent="0.2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961</v>
      </c>
      <c r="C9" s="1138" t="s">
        <v>962</v>
      </c>
      <c r="D9">
        <v>120620</v>
      </c>
      <c r="E9" s="1139">
        <v>0.47638888888888886</v>
      </c>
      <c r="F9" s="1138" t="s">
        <v>963</v>
      </c>
      <c r="G9" s="1138" t="s">
        <v>964</v>
      </c>
      <c r="H9" s="1138" t="s">
        <v>965</v>
      </c>
    </row>
    <row r="10" spans="1:14" ht="14.25" x14ac:dyDescent="0.2">
      <c r="A10" s="1138" t="s">
        <v>946</v>
      </c>
      <c r="B10" s="1138" t="s">
        <v>966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966</v>
      </c>
      <c r="H10" s="1138" t="s">
        <v>966</v>
      </c>
    </row>
    <row r="11" spans="1:14" ht="14.25" x14ac:dyDescent="0.2">
      <c r="A11" s="1138" t="s">
        <v>946</v>
      </c>
      <c r="B11" s="1138" t="s">
        <v>964</v>
      </c>
      <c r="C11" s="1138" t="s">
        <v>967</v>
      </c>
      <c r="D11">
        <v>110620</v>
      </c>
      <c r="E11" s="1139">
        <v>0.55277777777777781</v>
      </c>
      <c r="F11" s="1138" t="s">
        <v>948</v>
      </c>
      <c r="G11" s="1138" t="s">
        <v>964</v>
      </c>
      <c r="H11" s="1138" t="s">
        <v>964</v>
      </c>
    </row>
    <row r="12" spans="1:14" ht="14.25" x14ac:dyDescent="0.2">
      <c r="A12" s="1138" t="s">
        <v>946</v>
      </c>
      <c r="B12" s="1138" t="s">
        <v>961</v>
      </c>
      <c r="C12" s="1138" t="s">
        <v>968</v>
      </c>
      <c r="D12">
        <v>120620</v>
      </c>
      <c r="E12" s="1139">
        <v>0.47569444444444442</v>
      </c>
      <c r="F12" s="1138" t="s">
        <v>948</v>
      </c>
      <c r="G12" s="1138" t="s">
        <v>964</v>
      </c>
      <c r="H12" s="1138" t="s">
        <v>969</v>
      </c>
    </row>
    <row r="13" spans="1:14" ht="14.25" x14ac:dyDescent="0.2">
      <c r="A13" s="1138" t="s">
        <v>949</v>
      </c>
      <c r="B13" s="1138" t="s">
        <v>970</v>
      </c>
      <c r="C13" s="1138" t="s">
        <v>971</v>
      </c>
      <c r="D13">
        <v>120620</v>
      </c>
      <c r="E13" s="1139">
        <v>0.46597222222222223</v>
      </c>
      <c r="F13" s="1138" t="s">
        <v>972</v>
      </c>
      <c r="G13" s="1138" t="s">
        <v>973</v>
      </c>
      <c r="H13" s="1138" t="s">
        <v>974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2021-12-02T12:59:19Z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
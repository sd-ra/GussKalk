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EE6231A4-A458-4AAA-B21A-C76FDC2E52A4}" xr6:coauthVersionLast="47" xr6:coauthVersionMax="47" xr10:uidLastSave="{00000000-0000-0000-0000-000000000000}"/>
  <bookViews>
    <workbookView xWindow="-120" yWindow="-120" windowWidth="29040" windowHeight="15840" tabRatio="955" activeTab="10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Charts!$C$67:$I$67</definedName>
    <definedName name="_xlchart.v1.1" hidden="1">Charts!$C$68:$I$68</definedName>
    <definedName name="_xlchart.v1.2" hidden="1">Charts!$C$69:$H$69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Refkalkulation!$A$1:$X$132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Refkalkulation!$A$1:$X$132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F229" i="15" l="1"/>
  <c r="X227" i="15"/>
  <c r="F241" i="15"/>
  <c r="I241" i="15"/>
  <c r="L241" i="15"/>
  <c r="F138" i="15"/>
  <c r="Q94" i="7"/>
  <c r="T94" i="7"/>
  <c r="W94" i="7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O241" i="15"/>
  <c r="R241" i="15"/>
  <c r="U241" i="15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U228" i="15" s="1"/>
  <c r="U233" i="15" s="1"/>
  <c r="O47" i="2"/>
  <c r="O46" i="2"/>
  <c r="L228" i="15" l="1"/>
  <c r="L233" i="15" s="1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3" i="15" l="1"/>
  <c r="I233" i="15"/>
  <c r="O233" i="15"/>
  <c r="M21" i="3"/>
  <c r="L59" i="7"/>
  <c r="G81" i="3" l="1"/>
  <c r="G80" i="3"/>
  <c r="V74" i="3"/>
  <c r="U74" i="3" s="1"/>
  <c r="Y74" i="3"/>
  <c r="X74" i="3" s="1"/>
  <c r="V75" i="3"/>
  <c r="U75" i="3" s="1"/>
  <c r="Y75" i="3"/>
  <c r="X75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40" i="15" s="1"/>
  <c r="AB25" i="3"/>
  <c r="Y30" i="3"/>
  <c r="Y29" i="3"/>
  <c r="Y28" i="3"/>
  <c r="Y26" i="3"/>
  <c r="R240" i="15" s="1"/>
  <c r="Y25" i="3"/>
  <c r="V30" i="3"/>
  <c r="V29" i="3"/>
  <c r="V28" i="3"/>
  <c r="V26" i="3"/>
  <c r="O240" i="15" s="1"/>
  <c r="V25" i="3"/>
  <c r="S30" i="3"/>
  <c r="S29" i="3"/>
  <c r="S28" i="3"/>
  <c r="S26" i="3"/>
  <c r="L240" i="15" s="1"/>
  <c r="S25" i="3"/>
  <c r="P30" i="3"/>
  <c r="P29" i="3"/>
  <c r="P28" i="3"/>
  <c r="P26" i="3"/>
  <c r="I240" i="15" s="1"/>
  <c r="P25" i="3"/>
  <c r="M30" i="3"/>
  <c r="M29" i="3"/>
  <c r="M26" i="3"/>
  <c r="F240" i="15" s="1"/>
  <c r="M25" i="3"/>
  <c r="AB23" i="3"/>
  <c r="Y23" i="3"/>
  <c r="V23" i="3"/>
  <c r="S23" i="3"/>
  <c r="P23" i="3"/>
  <c r="M23" i="3"/>
  <c r="L236" i="15" l="1"/>
  <c r="L202" i="15"/>
  <c r="R236" i="15"/>
  <c r="R202" i="15"/>
  <c r="F236" i="15"/>
  <c r="F202" i="15"/>
  <c r="I236" i="15"/>
  <c r="I202" i="15"/>
  <c r="O236" i="15"/>
  <c r="O202" i="15"/>
  <c r="U236" i="15"/>
  <c r="U202" i="15"/>
  <c r="S58" i="3"/>
  <c r="N132" i="7" s="1"/>
  <c r="L49" i="31" s="1"/>
  <c r="Y58" i="3"/>
  <c r="T132" i="7" s="1"/>
  <c r="P58" i="3"/>
  <c r="K132" i="7" s="1"/>
  <c r="H49" i="31" s="1"/>
  <c r="V58" i="3"/>
  <c r="Q132" i="7" s="1"/>
  <c r="AB58" i="3"/>
  <c r="W132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70" i="15" s="1"/>
  <c r="O83" i="15"/>
  <c r="I227" i="15"/>
  <c r="I83" i="15"/>
  <c r="F227" i="15"/>
  <c r="F228" i="15" s="1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F233" i="15" l="1"/>
  <c r="R229" i="15"/>
  <c r="R270" i="15"/>
  <c r="L229" i="15"/>
  <c r="L270" i="15"/>
  <c r="F270" i="15"/>
  <c r="I229" i="15"/>
  <c r="I270" i="15"/>
  <c r="O229" i="15"/>
  <c r="U229" i="15"/>
  <c r="U270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F230" i="15" l="1"/>
  <c r="F231" i="15" s="1"/>
  <c r="D33" i="30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7" i="15"/>
  <c r="L237" i="15"/>
  <c r="R245" i="15"/>
  <c r="L245" i="15"/>
  <c r="R164" i="15"/>
  <c r="L164" i="15"/>
  <c r="I245" i="15"/>
  <c r="I164" i="15"/>
  <c r="I237" i="15"/>
  <c r="F237" i="15"/>
  <c r="F245" i="15"/>
  <c r="F164" i="15"/>
  <c r="O237" i="15"/>
  <c r="U237" i="15"/>
  <c r="O245" i="15"/>
  <c r="U245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O267" i="15"/>
  <c r="O197" i="15"/>
  <c r="O172" i="15"/>
  <c r="R267" i="15"/>
  <c r="R197" i="15"/>
  <c r="R172" i="15"/>
  <c r="R80" i="15"/>
  <c r="L262" i="15"/>
  <c r="L188" i="15"/>
  <c r="L168" i="15"/>
  <c r="L159" i="15"/>
  <c r="U80" i="15"/>
  <c r="U262" i="15"/>
  <c r="U188" i="15"/>
  <c r="U168" i="15"/>
  <c r="U159" i="15"/>
  <c r="O80" i="15"/>
  <c r="O262" i="15"/>
  <c r="O188" i="15"/>
  <c r="O168" i="15"/>
  <c r="O159" i="15"/>
  <c r="R262" i="15"/>
  <c r="R188" i="15"/>
  <c r="R168" i="15"/>
  <c r="R159" i="15"/>
  <c r="L267" i="15"/>
  <c r="L197" i="15"/>
  <c r="L172" i="15"/>
  <c r="L80" i="15"/>
  <c r="U267" i="15"/>
  <c r="U197" i="15"/>
  <c r="U172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3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3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3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3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2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100" i="7"/>
  <c r="T100" i="7"/>
  <c r="Q100" i="7"/>
  <c r="N100" i="7"/>
  <c r="K100" i="7"/>
  <c r="H100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4" i="15"/>
  <c r="D23" i="7"/>
  <c r="C36" i="31" s="1"/>
  <c r="D22" i="7"/>
  <c r="O186" i="15"/>
  <c r="O184" i="15" s="1"/>
  <c r="O244" i="15"/>
  <c r="I157" i="15"/>
  <c r="D32" i="7"/>
  <c r="D31" i="7"/>
  <c r="I62" i="3"/>
  <c r="C57" i="24" s="1"/>
  <c r="D131" i="7"/>
  <c r="D132" i="7"/>
  <c r="C49" i="31" s="1"/>
  <c r="D20" i="25"/>
  <c r="D12" i="30"/>
  <c r="D21" i="7"/>
  <c r="C32" i="30"/>
  <c r="F186" i="15"/>
  <c r="F184" i="15" s="1"/>
  <c r="F244" i="15"/>
  <c r="U186" i="15"/>
  <c r="U184" i="15" s="1"/>
  <c r="U244" i="15"/>
  <c r="R186" i="15"/>
  <c r="R184" i="15" s="1"/>
  <c r="R244" i="15"/>
  <c r="L186" i="15"/>
  <c r="L184" i="15" s="1"/>
  <c r="L244" i="15"/>
  <c r="K83" i="3"/>
  <c r="R3" i="3"/>
  <c r="R4" i="3"/>
  <c r="D69" i="7"/>
  <c r="D68" i="7"/>
  <c r="L157" i="15"/>
  <c r="O157" i="15"/>
  <c r="R157" i="15"/>
  <c r="O242" i="15"/>
  <c r="O239" i="15" s="1"/>
  <c r="L242" i="15"/>
  <c r="F242" i="15"/>
  <c r="H80" i="7" s="1"/>
  <c r="I242" i="15"/>
  <c r="R242" i="15"/>
  <c r="R239" i="15" s="1"/>
  <c r="U242" i="15"/>
  <c r="U239" i="15" s="1"/>
  <c r="D78" i="7"/>
  <c r="D82" i="7"/>
  <c r="D83" i="7"/>
  <c r="D77" i="7"/>
  <c r="D76" i="7"/>
  <c r="D105" i="7"/>
  <c r="D89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14" i="7"/>
  <c r="D110" i="7"/>
  <c r="C38" i="31" s="1"/>
  <c r="D115" i="7"/>
  <c r="D18" i="7"/>
  <c r="C38" i="30"/>
  <c r="D85" i="7"/>
  <c r="D46" i="7"/>
  <c r="D87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90" i="7"/>
  <c r="C42" i="31" s="1"/>
  <c r="D104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6" i="15" s="1"/>
  <c r="L41" i="15"/>
  <c r="S20" i="3"/>
  <c r="L246" i="15" s="1"/>
  <c r="I41" i="15"/>
  <c r="P20" i="3"/>
  <c r="I246" i="15" s="1"/>
  <c r="R41" i="15"/>
  <c r="Y20" i="3"/>
  <c r="R246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2" i="15"/>
  <c r="R249" i="15"/>
  <c r="R179" i="15"/>
  <c r="F157" i="15"/>
  <c r="F179" i="15"/>
  <c r="F249" i="15"/>
  <c r="F252" i="15"/>
  <c r="O252" i="15"/>
  <c r="O249" i="15"/>
  <c r="O179" i="15"/>
  <c r="I33" i="15"/>
  <c r="I53" i="15" s="1"/>
  <c r="U179" i="15"/>
  <c r="U252" i="15"/>
  <c r="U249" i="15"/>
  <c r="L249" i="15"/>
  <c r="L179" i="15"/>
  <c r="L252" i="15"/>
  <c r="K14" i="7"/>
  <c r="I179" i="15"/>
  <c r="D140" i="7"/>
  <c r="D127" i="7"/>
  <c r="D117" i="7"/>
  <c r="D112" i="7"/>
  <c r="D63" i="7"/>
  <c r="D55" i="7"/>
  <c r="D52" i="7"/>
  <c r="D35" i="7"/>
  <c r="D28" i="7"/>
  <c r="D5" i="7"/>
  <c r="D138" i="7"/>
  <c r="D130" i="7"/>
  <c r="D124" i="7"/>
  <c r="D103" i="7"/>
  <c r="D86" i="7"/>
  <c r="D84" i="7"/>
  <c r="D64" i="7"/>
  <c r="D51" i="7"/>
  <c r="D38" i="7"/>
  <c r="D34" i="7"/>
  <c r="D26" i="7"/>
  <c r="C35" i="30" s="1"/>
  <c r="D136" i="7"/>
  <c r="D129" i="7"/>
  <c r="D122" i="7"/>
  <c r="D116" i="7"/>
  <c r="D109" i="7"/>
  <c r="C43" i="31" s="1"/>
  <c r="D101" i="7"/>
  <c r="D107" i="7"/>
  <c r="D66" i="7"/>
  <c r="D62" i="7"/>
  <c r="D59" i="7"/>
  <c r="D54" i="7"/>
  <c r="D49" i="7"/>
  <c r="D41" i="7"/>
  <c r="D37" i="7"/>
  <c r="D17" i="7"/>
  <c r="D134" i="7"/>
  <c r="D128" i="7"/>
  <c r="D120" i="7"/>
  <c r="D100" i="7"/>
  <c r="D92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9" i="7"/>
  <c r="I74" i="3"/>
  <c r="C69" i="24" s="1"/>
  <c r="I76" i="3"/>
  <c r="C71" i="24" s="1"/>
  <c r="D94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2" i="15"/>
  <c r="I249" i="15"/>
  <c r="Z53" i="3"/>
  <c r="AB54" i="3"/>
  <c r="Y54" i="3"/>
  <c r="V54" i="3"/>
  <c r="T53" i="3"/>
  <c r="P53" i="3"/>
  <c r="K54" i="3"/>
  <c r="M55" i="3"/>
  <c r="K53" i="3"/>
  <c r="I30" i="3"/>
  <c r="C25" i="24" s="1"/>
  <c r="C24" i="24"/>
  <c r="C2" i="14"/>
  <c r="I45" i="3"/>
  <c r="C40" i="24" s="1"/>
  <c r="I79" i="3"/>
  <c r="D108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I239" i="15" l="1"/>
  <c r="K80" i="7"/>
  <c r="L239" i="15"/>
  <c r="N80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3" i="15"/>
  <c r="N82" i="7" s="1"/>
  <c r="O243" i="15"/>
  <c r="Q82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9" i="15"/>
  <c r="C16" i="24"/>
  <c r="R243" i="15"/>
  <c r="T82" i="7" s="1"/>
  <c r="I243" i="15"/>
  <c r="K82" i="7" s="1"/>
  <c r="U174" i="15"/>
  <c r="U246" i="15"/>
  <c r="U243" i="15" s="1"/>
  <c r="W82" i="7" s="1"/>
  <c r="U238" i="15"/>
  <c r="U235" i="15" s="1"/>
  <c r="W78" i="7" s="1"/>
  <c r="U169" i="15"/>
  <c r="F246" i="15"/>
  <c r="F243" i="15" s="1"/>
  <c r="H82" i="7" s="1"/>
  <c r="F238" i="15"/>
  <c r="F235" i="15" s="1"/>
  <c r="H78" i="7" s="1"/>
  <c r="R238" i="15"/>
  <c r="R235" i="15" s="1"/>
  <c r="T78" i="7" s="1"/>
  <c r="I238" i="15"/>
  <c r="I235" i="15" s="1"/>
  <c r="K78" i="7" s="1"/>
  <c r="L238" i="15"/>
  <c r="L235" i="15" s="1"/>
  <c r="N78" i="7" s="1"/>
  <c r="O238" i="15"/>
  <c r="O235" i="15" s="1"/>
  <c r="Q78" i="7" s="1"/>
  <c r="F169" i="15"/>
  <c r="R169" i="15"/>
  <c r="I169" i="15"/>
  <c r="L174" i="15"/>
  <c r="L169" i="15"/>
  <c r="O169" i="15"/>
  <c r="D88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7" i="7"/>
  <c r="F190" i="15" s="1"/>
  <c r="T87" i="7"/>
  <c r="W87" i="7"/>
  <c r="K87" i="7"/>
  <c r="N87" i="7"/>
  <c r="Q87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6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2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26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1" i="7"/>
  <c r="D14" i="7"/>
  <c r="D24" i="7"/>
  <c r="C55" i="24"/>
  <c r="D13" i="7"/>
  <c r="C7" i="24"/>
  <c r="C58" i="24"/>
  <c r="D50" i="7"/>
  <c r="D58" i="7"/>
  <c r="C60" i="24"/>
  <c r="D119" i="7"/>
  <c r="C77" i="24"/>
  <c r="C5" i="24"/>
  <c r="C61" i="24"/>
  <c r="D61" i="7"/>
  <c r="C14" i="31" s="1"/>
  <c r="C76" i="24"/>
  <c r="D118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42" i="30" l="1"/>
  <c r="G34" i="30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5" i="15" s="1"/>
  <c r="O36" i="15"/>
  <c r="O35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5" i="15"/>
  <c r="Z55" i="3"/>
  <c r="AB56" i="3"/>
  <c r="Z56" i="3" s="1"/>
  <c r="Y56" i="3"/>
  <c r="W55" i="3"/>
  <c r="V56" i="3"/>
  <c r="T56" i="3" s="1"/>
  <c r="T55" i="3"/>
  <c r="P55" i="3"/>
  <c r="N54" i="3"/>
  <c r="H126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H99" i="7" s="1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K97" i="7" s="1"/>
  <c r="P75" i="3" s="1"/>
  <c r="O75" i="3" s="1"/>
  <c r="R60" i="15"/>
  <c r="I39" i="3"/>
  <c r="C34" i="24" s="1"/>
  <c r="U114" i="15"/>
  <c r="I114" i="15"/>
  <c r="O146" i="15"/>
  <c r="L146" i="15"/>
  <c r="H97" i="7" l="1"/>
  <c r="M75" i="3" s="1"/>
  <c r="L75" i="3" s="1"/>
  <c r="N99" i="7"/>
  <c r="S76" i="3" s="1"/>
  <c r="R76" i="3" s="1"/>
  <c r="M76" i="3"/>
  <c r="L76" i="3" s="1"/>
  <c r="K99" i="7"/>
  <c r="P76" i="3" s="1"/>
  <c r="O76" i="3" s="1"/>
  <c r="N94" i="7"/>
  <c r="S74" i="3" s="1"/>
  <c r="R74" i="3" s="1"/>
  <c r="N97" i="7"/>
  <c r="S75" i="3" s="1"/>
  <c r="R75" i="3" s="1"/>
  <c r="H94" i="7"/>
  <c r="M74" i="3" s="1"/>
  <c r="L74" i="3" s="1"/>
  <c r="K94" i="7"/>
  <c r="P74" i="3" s="1"/>
  <c r="O74" i="3" s="1"/>
  <c r="C32" i="24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J68" i="7"/>
  <c r="P68" i="7"/>
  <c r="S68" i="7"/>
  <c r="M68" i="7"/>
  <c r="G30" i="7"/>
  <c r="F26" i="15"/>
  <c r="F268" i="15"/>
  <c r="F173" i="15"/>
  <c r="F170" i="15" s="1"/>
  <c r="F271" i="15"/>
  <c r="F269" i="15" s="1"/>
  <c r="H131" i="7" s="1"/>
  <c r="F194" i="15"/>
  <c r="F151" i="15"/>
  <c r="F185" i="15" s="1"/>
  <c r="F125" i="15"/>
  <c r="F122" i="15" s="1"/>
  <c r="H84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5" i="15"/>
  <c r="U265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5" i="15"/>
  <c r="L95" i="15"/>
  <c r="H12" i="7"/>
  <c r="D32" i="31" s="1"/>
  <c r="K13" i="3"/>
  <c r="F37" i="15"/>
  <c r="F115" i="15" s="1"/>
  <c r="F113" i="15" s="1"/>
  <c r="Q126" i="7"/>
  <c r="W126" i="7"/>
  <c r="F21" i="15"/>
  <c r="F182" i="15" s="1"/>
  <c r="F251" i="15"/>
  <c r="F250" i="15" s="1"/>
  <c r="F248" i="15"/>
  <c r="F247" i="15" s="1"/>
  <c r="F20" i="15"/>
  <c r="H76" i="7" s="1"/>
  <c r="F22" i="15"/>
  <c r="H92" i="7" s="1"/>
  <c r="T19" i="3"/>
  <c r="W56" i="3"/>
  <c r="T126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H81" i="7" l="1"/>
  <c r="H79" i="7"/>
  <c r="F177" i="15"/>
  <c r="F176" i="15"/>
  <c r="K42" i="3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7" i="7" s="1"/>
  <c r="I271" i="15"/>
  <c r="I269" i="15" s="1"/>
  <c r="K131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4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31" i="7" s="1"/>
  <c r="L154" i="15"/>
  <c r="L17" i="15"/>
  <c r="L15" i="15" s="1"/>
  <c r="L125" i="15"/>
  <c r="L122" i="15" s="1"/>
  <c r="N84" i="7" s="1"/>
  <c r="L10" i="15"/>
  <c r="L140" i="15"/>
  <c r="L142" i="15" s="1"/>
  <c r="L121" i="15"/>
  <c r="L6" i="15"/>
  <c r="L4" i="15" s="1"/>
  <c r="L151" i="15"/>
  <c r="L185" i="15" s="1"/>
  <c r="U271" i="15"/>
  <c r="U269" i="15" s="1"/>
  <c r="W131" i="7" s="1"/>
  <c r="U268" i="15"/>
  <c r="U26" i="15"/>
  <c r="U194" i="15"/>
  <c r="U173" i="15"/>
  <c r="U170" i="15" s="1"/>
  <c r="U151" i="15"/>
  <c r="U154" i="15"/>
  <c r="U17" i="15"/>
  <c r="U15" i="15" s="1"/>
  <c r="U125" i="15"/>
  <c r="U122" i="15" s="1"/>
  <c r="W84" i="7" s="1"/>
  <c r="U10" i="15"/>
  <c r="U140" i="15"/>
  <c r="U142" i="15" s="1"/>
  <c r="U6" i="15"/>
  <c r="U121" i="15"/>
  <c r="O26" i="15"/>
  <c r="O194" i="15"/>
  <c r="O173" i="15"/>
  <c r="O170" i="15" s="1"/>
  <c r="O271" i="15"/>
  <c r="O269" i="15" s="1"/>
  <c r="Q131" i="7" s="1"/>
  <c r="O268" i="15"/>
  <c r="O125" i="15"/>
  <c r="O122" i="15" s="1"/>
  <c r="Q84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1" i="15"/>
  <c r="R269" i="15" s="1"/>
  <c r="T131" i="7" s="1"/>
  <c r="R268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4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5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1" i="15"/>
  <c r="U250" i="15" s="1"/>
  <c r="U176" i="15" s="1"/>
  <c r="U248" i="15"/>
  <c r="U247" i="15" s="1"/>
  <c r="U20" i="15"/>
  <c r="W76" i="7" s="1"/>
  <c r="W83" i="7" s="1"/>
  <c r="U21" i="15"/>
  <c r="U182" i="15" s="1"/>
  <c r="U22" i="15"/>
  <c r="I21" i="15"/>
  <c r="I182" i="15" s="1"/>
  <c r="I20" i="15"/>
  <c r="K76" i="7" s="1"/>
  <c r="I251" i="15"/>
  <c r="I250" i="15" s="1"/>
  <c r="I176" i="15" s="1"/>
  <c r="I248" i="15"/>
  <c r="I247" i="15" s="1"/>
  <c r="I22" i="15"/>
  <c r="O20" i="15"/>
  <c r="Q76" i="7" s="1"/>
  <c r="Q83" i="7" s="1"/>
  <c r="O21" i="15"/>
  <c r="O182" i="15" s="1"/>
  <c r="O22" i="15"/>
  <c r="O251" i="15"/>
  <c r="O250" i="15" s="1"/>
  <c r="O176" i="15" s="1"/>
  <c r="O248" i="15"/>
  <c r="O247" i="15" s="1"/>
  <c r="R248" i="15"/>
  <c r="R247" i="15" s="1"/>
  <c r="R20" i="15"/>
  <c r="T76" i="7" s="1"/>
  <c r="R21" i="15"/>
  <c r="R182" i="15" s="1"/>
  <c r="R22" i="15"/>
  <c r="R251" i="15"/>
  <c r="R250" i="15" s="1"/>
  <c r="R176" i="15" s="1"/>
  <c r="L20" i="15"/>
  <c r="N76" i="7" s="1"/>
  <c r="L21" i="15"/>
  <c r="L182" i="15" s="1"/>
  <c r="L22" i="15"/>
  <c r="L248" i="15"/>
  <c r="L247" i="15" s="1"/>
  <c r="L251" i="15"/>
  <c r="L250" i="15" s="1"/>
  <c r="L176" i="15" s="1"/>
  <c r="K126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U52" i="15"/>
  <c r="U56" i="15" s="1"/>
  <c r="H41" i="7"/>
  <c r="H56" i="7"/>
  <c r="O52" i="15"/>
  <c r="O56" i="15" s="1"/>
  <c r="X67" i="7"/>
  <c r="X68" i="7"/>
  <c r="H83" i="7" l="1"/>
  <c r="N81" i="7"/>
  <c r="N79" i="7"/>
  <c r="N83" i="7" s="1"/>
  <c r="K81" i="7"/>
  <c r="K79" i="7"/>
  <c r="E36" i="30"/>
  <c r="E34" i="31"/>
  <c r="M36" i="30"/>
  <c r="M34" i="31"/>
  <c r="I36" i="30"/>
  <c r="I34" i="31"/>
  <c r="F261" i="15"/>
  <c r="F256" i="15" s="1"/>
  <c r="U4" i="15"/>
  <c r="X24" i="7" s="1"/>
  <c r="L175" i="15"/>
  <c r="L253" i="15" s="1"/>
  <c r="N90" i="7" s="1"/>
  <c r="K16" i="30" s="1"/>
  <c r="R175" i="15"/>
  <c r="R253" i="15" s="1"/>
  <c r="T90" i="7" s="1"/>
  <c r="U175" i="15"/>
  <c r="U253" i="15" s="1"/>
  <c r="W90" i="7" s="1"/>
  <c r="O175" i="15"/>
  <c r="O253" i="15" s="1"/>
  <c r="Q90" i="7" s="1"/>
  <c r="I175" i="15"/>
  <c r="I253" i="15" s="1"/>
  <c r="K90" i="7" s="1"/>
  <c r="G16" i="30" s="1"/>
  <c r="F253" i="15"/>
  <c r="H90" i="7" s="1"/>
  <c r="C16" i="30" s="1"/>
  <c r="F12" i="15"/>
  <c r="F8" i="15" s="1"/>
  <c r="F147" i="15"/>
  <c r="F148" i="15"/>
  <c r="F149" i="15" s="1"/>
  <c r="F232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7" i="7" s="1"/>
  <c r="U192" i="15"/>
  <c r="W107" i="7" s="1"/>
  <c r="I192" i="15"/>
  <c r="R192" i="15"/>
  <c r="T107" i="7" s="1"/>
  <c r="L192" i="15"/>
  <c r="N107" i="7" s="1"/>
  <c r="L220" i="15"/>
  <c r="O220" i="15"/>
  <c r="L261" i="15"/>
  <c r="L134" i="15"/>
  <c r="R220" i="15"/>
  <c r="T83" i="7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1" i="15" s="1"/>
  <c r="U152" i="15"/>
  <c r="L152" i="15"/>
  <c r="R152" i="15"/>
  <c r="O152" i="15"/>
  <c r="I152" i="15"/>
  <c r="P43" i="3"/>
  <c r="W92" i="7"/>
  <c r="Z42" i="3"/>
  <c r="Z36" i="3" s="1"/>
  <c r="AB44" i="3"/>
  <c r="U68" i="7"/>
  <c r="W43" i="3"/>
  <c r="W36" i="3" s="1"/>
  <c r="Y44" i="3"/>
  <c r="K92" i="7"/>
  <c r="I68" i="7"/>
  <c r="T43" i="3"/>
  <c r="T36" i="3" s="1"/>
  <c r="V44" i="3"/>
  <c r="O255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2" i="7"/>
  <c r="T41" i="7"/>
  <c r="T92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7" i="15"/>
  <c r="I52" i="15"/>
  <c r="I56" i="15" s="1"/>
  <c r="N92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K83" i="7" l="1"/>
  <c r="F258" i="15"/>
  <c r="F259" i="15" s="1"/>
  <c r="F266" i="15" s="1"/>
  <c r="O148" i="15"/>
  <c r="O149" i="15" s="1"/>
  <c r="O231" i="15" s="1"/>
  <c r="O232" i="15" s="1"/>
  <c r="U12" i="15"/>
  <c r="U8" i="15" s="1"/>
  <c r="O261" i="15"/>
  <c r="O256" i="15" s="1"/>
  <c r="O147" i="15"/>
  <c r="O134" i="15"/>
  <c r="O12" i="15"/>
  <c r="O8" i="15" s="1"/>
  <c r="F195" i="15"/>
  <c r="L257" i="15"/>
  <c r="L256" i="15"/>
  <c r="U147" i="15"/>
  <c r="U135" i="15"/>
  <c r="W55" i="7" s="1"/>
  <c r="U134" i="15"/>
  <c r="U148" i="15"/>
  <c r="U149" i="15" s="1"/>
  <c r="U231" i="15" s="1"/>
  <c r="U232" i="15" s="1"/>
  <c r="U225" i="15" s="1"/>
  <c r="U118" i="15" s="1"/>
  <c r="U261" i="15"/>
  <c r="U256" i="15" s="1"/>
  <c r="S44" i="3"/>
  <c r="L127" i="15" s="1"/>
  <c r="I12" i="15"/>
  <c r="I8" i="15" s="1"/>
  <c r="I261" i="15"/>
  <c r="I256" i="15" s="1"/>
  <c r="R12" i="15"/>
  <c r="R8" i="15" s="1"/>
  <c r="I147" i="15"/>
  <c r="R134" i="15"/>
  <c r="F155" i="15"/>
  <c r="F137" i="15" s="1"/>
  <c r="H54" i="7" s="1"/>
  <c r="I148" i="15"/>
  <c r="I149" i="15" s="1"/>
  <c r="I231" i="15" s="1"/>
  <c r="I232" i="15" s="1"/>
  <c r="I135" i="15"/>
  <c r="K55" i="7" s="1"/>
  <c r="R148" i="15"/>
  <c r="R149" i="15" s="1"/>
  <c r="R231" i="15" s="1"/>
  <c r="R232" i="15" s="1"/>
  <c r="R261" i="15"/>
  <c r="R257" i="15" s="1"/>
  <c r="I134" i="15"/>
  <c r="R147" i="15"/>
  <c r="H18" i="7"/>
  <c r="E37" i="30"/>
  <c r="F117" i="15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O155" i="15"/>
  <c r="O137" i="15" s="1"/>
  <c r="Q54" i="7" s="1"/>
  <c r="O135" i="15"/>
  <c r="Q55" i="7" s="1"/>
  <c r="R135" i="15"/>
  <c r="T55" i="7" s="1"/>
  <c r="F135" i="15"/>
  <c r="H55" i="7" s="1"/>
  <c r="H103" i="7"/>
  <c r="H104" i="7" s="1"/>
  <c r="E42" i="31" s="1"/>
  <c r="F189" i="15"/>
  <c r="F276" i="15"/>
  <c r="K107" i="7"/>
  <c r="F73" i="15"/>
  <c r="F59" i="15" s="1"/>
  <c r="O276" i="15"/>
  <c r="O74" i="15"/>
  <c r="L276" i="15"/>
  <c r="L74" i="15"/>
  <c r="U74" i="15"/>
  <c r="U276" i="15"/>
  <c r="L258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5" i="15"/>
  <c r="U205" i="15" s="1"/>
  <c r="W22" i="7" s="1"/>
  <c r="U127" i="15"/>
  <c r="Z44" i="3"/>
  <c r="W44" i="3"/>
  <c r="R127" i="15"/>
  <c r="R255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7" i="15"/>
  <c r="O258" i="15"/>
  <c r="I258" i="15"/>
  <c r="Q44" i="3"/>
  <c r="L255" i="15"/>
  <c r="L205" i="15" s="1"/>
  <c r="N22" i="7" s="1"/>
  <c r="I257" i="15"/>
  <c r="U257" i="15"/>
  <c r="U258" i="15"/>
  <c r="U155" i="15"/>
  <c r="U137" i="15" s="1"/>
  <c r="W54" i="7" s="1"/>
  <c r="W57" i="7" s="1"/>
  <c r="R258" i="15"/>
  <c r="R256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103" i="7"/>
  <c r="T104" i="7" s="1"/>
  <c r="I71" i="15"/>
  <c r="I276" i="15" s="1"/>
  <c r="I73" i="15"/>
  <c r="F78" i="15"/>
  <c r="F111" i="15"/>
  <c r="F109" i="15" s="1"/>
  <c r="H62" i="7" s="1"/>
  <c r="N103" i="7"/>
  <c r="N104" i="7" s="1"/>
  <c r="M42" i="31" s="1"/>
  <c r="N18" i="7"/>
  <c r="Q103" i="7"/>
  <c r="Q104" i="7" s="1"/>
  <c r="W103" i="7"/>
  <c r="W104" i="7" s="1"/>
  <c r="K103" i="7"/>
  <c r="K104" i="7" s="1"/>
  <c r="I42" i="31" s="1"/>
  <c r="I255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4" i="15"/>
  <c r="F128" i="15" s="1"/>
  <c r="F264" i="15"/>
  <c r="H130" i="7" s="1"/>
  <c r="D48" i="31" s="1"/>
  <c r="E49" i="31" s="1"/>
  <c r="I58" i="15"/>
  <c r="I45" i="15" s="1"/>
  <c r="I42" i="15" s="1"/>
  <c r="L70" i="15"/>
  <c r="F70" i="15"/>
  <c r="L277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7" i="15"/>
  <c r="M44" i="30" l="1"/>
  <c r="I44" i="30"/>
  <c r="O259" i="15"/>
  <c r="O254" i="15" s="1"/>
  <c r="O128" i="15" s="1"/>
  <c r="L259" i="15"/>
  <c r="L254" i="15" s="1"/>
  <c r="L128" i="15" s="1"/>
  <c r="R259" i="15"/>
  <c r="R254" i="15" s="1"/>
  <c r="R260" i="15" s="1"/>
  <c r="I259" i="15"/>
  <c r="I266" i="15" s="1"/>
  <c r="U161" i="15"/>
  <c r="U259" i="15"/>
  <c r="U254" i="15" s="1"/>
  <c r="U260" i="15" s="1"/>
  <c r="H65" i="7"/>
  <c r="H66" i="7" s="1"/>
  <c r="O286" i="15"/>
  <c r="O287" i="15" s="1"/>
  <c r="U286" i="15"/>
  <c r="U287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6" i="15"/>
  <c r="R74" i="15"/>
  <c r="R277" i="15" s="1"/>
  <c r="U111" i="15"/>
  <c r="U109" i="15" s="1"/>
  <c r="W62" i="7" s="1"/>
  <c r="W65" i="7" s="1"/>
  <c r="W66" i="7" s="1"/>
  <c r="L286" i="15"/>
  <c r="L287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Q33" i="7"/>
  <c r="W33" i="7"/>
  <c r="F260" i="15"/>
  <c r="R43" i="15"/>
  <c r="R40" i="15" s="1"/>
  <c r="U77" i="15"/>
  <c r="F77" i="15"/>
  <c r="F82" i="15" s="1"/>
  <c r="F79" i="15" s="1"/>
  <c r="N51" i="7"/>
  <c r="N124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24" i="7" s="1"/>
  <c r="G49" i="7"/>
  <c r="E276" i="15"/>
  <c r="W51" i="7"/>
  <c r="W124" i="7" s="1"/>
  <c r="O160" i="15"/>
  <c r="O158" i="15" s="1"/>
  <c r="O156" i="15" s="1"/>
  <c r="O277" i="15"/>
  <c r="U277" i="15"/>
  <c r="Q51" i="7"/>
  <c r="Q124" i="7" s="1"/>
  <c r="U160" i="15"/>
  <c r="U158" i="15" s="1"/>
  <c r="K276" i="15"/>
  <c r="O260" i="15" l="1"/>
  <c r="Q129" i="7" s="1"/>
  <c r="I37" i="30"/>
  <c r="I35" i="31"/>
  <c r="O129" i="15"/>
  <c r="O130" i="15" s="1"/>
  <c r="O131" i="15" s="1"/>
  <c r="Q49" i="7" s="1"/>
  <c r="O266" i="15"/>
  <c r="O264" i="15" s="1"/>
  <c r="Q130" i="7" s="1"/>
  <c r="L266" i="15"/>
  <c r="L264" i="15" s="1"/>
  <c r="N130" i="7" s="1"/>
  <c r="L48" i="31" s="1"/>
  <c r="M49" i="31" s="1"/>
  <c r="R266" i="15"/>
  <c r="R264" i="15" s="1"/>
  <c r="T130" i="7" s="1"/>
  <c r="U266" i="15"/>
  <c r="U264" i="15" s="1"/>
  <c r="W130" i="7" s="1"/>
  <c r="U156" i="15"/>
  <c r="W59" i="7" s="1"/>
  <c r="U104" i="15" s="1"/>
  <c r="U283" i="15"/>
  <c r="W129" i="7"/>
  <c r="R283" i="15"/>
  <c r="T129" i="7"/>
  <c r="F283" i="15"/>
  <c r="H129" i="7"/>
  <c r="O82" i="15"/>
  <c r="O79" i="15" s="1"/>
  <c r="F285" i="15"/>
  <c r="I286" i="15"/>
  <c r="I287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2" i="15"/>
  <c r="F284" i="15"/>
  <c r="H49" i="7"/>
  <c r="U282" i="15"/>
  <c r="R128" i="15"/>
  <c r="U128" i="15"/>
  <c r="R78" i="15"/>
  <c r="AB70" i="3"/>
  <c r="AA70" i="3" s="1"/>
  <c r="O283" i="15"/>
  <c r="K18" i="7"/>
  <c r="F75" i="15"/>
  <c r="H19" i="7" s="1"/>
  <c r="H20" i="7" s="1"/>
  <c r="L129" i="15"/>
  <c r="L284" i="15" s="1"/>
  <c r="L260" i="15"/>
  <c r="N129" i="7" s="1"/>
  <c r="N59" i="7"/>
  <c r="N60" i="7" s="1"/>
  <c r="I109" i="15"/>
  <c r="K62" i="7" s="1"/>
  <c r="K65" i="7" s="1"/>
  <c r="K66" i="7" s="1"/>
  <c r="I78" i="15"/>
  <c r="I264" i="15"/>
  <c r="K130" i="7" s="1"/>
  <c r="H48" i="31" s="1"/>
  <c r="I49" i="31" s="1"/>
  <c r="I254" i="15"/>
  <c r="T33" i="7"/>
  <c r="R109" i="15"/>
  <c r="T62" i="7" s="1"/>
  <c r="T65" i="7" s="1"/>
  <c r="T66" i="7" s="1"/>
  <c r="O282" i="15"/>
  <c r="R70" i="15"/>
  <c r="E277" i="15"/>
  <c r="K277" i="15"/>
  <c r="Q59" i="7"/>
  <c r="Q60" i="7" s="1"/>
  <c r="K33" i="7"/>
  <c r="F282" i="15"/>
  <c r="F76" i="15"/>
  <c r="G76" i="15" s="1"/>
  <c r="F278" i="15"/>
  <c r="R160" i="15"/>
  <c r="I77" i="15"/>
  <c r="L278" i="15"/>
  <c r="Q276" i="15"/>
  <c r="L75" i="15"/>
  <c r="N19" i="7" s="1"/>
  <c r="L76" i="15"/>
  <c r="M76" i="15" s="1"/>
  <c r="I277" i="15"/>
  <c r="K51" i="7"/>
  <c r="K124" i="7" s="1"/>
  <c r="I160" i="15"/>
  <c r="I158" i="15" s="1"/>
  <c r="I156" i="15" s="1"/>
  <c r="U75" i="15"/>
  <c r="W19" i="7" s="1"/>
  <c r="U278" i="15"/>
  <c r="U76" i="15"/>
  <c r="O76" i="15"/>
  <c r="P76" i="15" s="1"/>
  <c r="O278" i="15"/>
  <c r="N276" i="15"/>
  <c r="O75" i="15"/>
  <c r="Q19" i="7" s="1"/>
  <c r="T276" i="15"/>
  <c r="O284" i="15" l="1"/>
  <c r="O285" i="15"/>
  <c r="R158" i="15"/>
  <c r="R156" i="15" s="1"/>
  <c r="I82" i="15"/>
  <c r="I79" i="15" s="1"/>
  <c r="R129" i="15"/>
  <c r="R285" i="15" s="1"/>
  <c r="U129" i="15"/>
  <c r="U285" i="15" s="1"/>
  <c r="U106" i="15"/>
  <c r="Q20" i="7"/>
  <c r="F281" i="15"/>
  <c r="H60" i="7"/>
  <c r="Q71" i="7"/>
  <c r="Q72" i="7" s="1"/>
  <c r="N71" i="7"/>
  <c r="N72" i="7" s="1"/>
  <c r="W20" i="7"/>
  <c r="L283" i="15"/>
  <c r="N20" i="7"/>
  <c r="H85" i="7"/>
  <c r="H89" i="7" s="1"/>
  <c r="L282" i="15"/>
  <c r="L130" i="15"/>
  <c r="L131" i="15" s="1"/>
  <c r="L285" i="15"/>
  <c r="L104" i="15"/>
  <c r="L281" i="15"/>
  <c r="E278" i="15"/>
  <c r="E279" i="15" s="1"/>
  <c r="I260" i="15"/>
  <c r="I128" i="15"/>
  <c r="T51" i="7"/>
  <c r="T124" i="7" s="1"/>
  <c r="R286" i="15"/>
  <c r="R287" i="15" s="1"/>
  <c r="R77" i="15"/>
  <c r="R82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W60" i="7"/>
  <c r="F279" i="15"/>
  <c r="O104" i="15"/>
  <c r="N85" i="7"/>
  <c r="N89" i="7" s="1"/>
  <c r="L279" i="15"/>
  <c r="I75" i="15"/>
  <c r="K19" i="7" s="1"/>
  <c r="W85" i="7"/>
  <c r="W89" i="7" s="1"/>
  <c r="I278" i="15"/>
  <c r="I76" i="15"/>
  <c r="J76" i="15" s="1"/>
  <c r="H276" i="15"/>
  <c r="O280" i="15"/>
  <c r="U279" i="15"/>
  <c r="Q85" i="7"/>
  <c r="Q89" i="7" s="1"/>
  <c r="O279" i="15"/>
  <c r="M43" i="30" l="1"/>
  <c r="M41" i="31"/>
  <c r="E43" i="30"/>
  <c r="E41" i="31"/>
  <c r="M42" i="30"/>
  <c r="M40" i="31"/>
  <c r="I283" i="15"/>
  <c r="K129" i="7"/>
  <c r="U98" i="15"/>
  <c r="W32" i="7" s="1"/>
  <c r="R284" i="15"/>
  <c r="R130" i="15"/>
  <c r="R131" i="15" s="1"/>
  <c r="T49" i="7" s="1"/>
  <c r="U284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1" i="15" s="1"/>
  <c r="K85" i="7"/>
  <c r="K89" i="7" s="1"/>
  <c r="N49" i="7"/>
  <c r="I129" i="15"/>
  <c r="I284" i="15" s="1"/>
  <c r="R76" i="15"/>
  <c r="S76" i="15" s="1"/>
  <c r="R79" i="15"/>
  <c r="I282" i="15"/>
  <c r="R75" i="15"/>
  <c r="T19" i="7" s="1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5" i="7"/>
  <c r="T89" i="7" s="1"/>
  <c r="I130" i="15"/>
  <c r="I285" i="15"/>
  <c r="N136" i="7"/>
  <c r="N137" i="7"/>
  <c r="N139" i="7"/>
  <c r="N138" i="7"/>
  <c r="R279" i="15"/>
  <c r="N141" i="7"/>
  <c r="N140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6" i="7"/>
  <c r="W43" i="7"/>
  <c r="W45" i="7" s="1"/>
  <c r="W21" i="7"/>
  <c r="W23" i="7" s="1"/>
  <c r="W25" i="7" s="1"/>
  <c r="H279" i="15"/>
  <c r="H280" i="15" s="1"/>
  <c r="T293" i="15"/>
  <c r="W137" i="7" s="1"/>
  <c r="W138" i="7"/>
  <c r="W140" i="7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6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7" i="7"/>
  <c r="T136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T141" i="7"/>
  <c r="T139" i="7"/>
  <c r="T138" i="7"/>
  <c r="T140" i="7"/>
  <c r="W141" i="7"/>
  <c r="W139" i="7"/>
  <c r="Q140" i="7"/>
  <c r="Q138" i="7"/>
  <c r="Q136" i="7"/>
  <c r="N293" i="15"/>
  <c r="Q137" i="7" s="1"/>
  <c r="E284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20" i="7"/>
  <c r="N43" i="7"/>
  <c r="N45" i="7" s="1"/>
  <c r="N47" i="7" s="1"/>
  <c r="M39" i="31" s="1"/>
  <c r="Q43" i="7"/>
  <c r="Q45" i="7" s="1"/>
  <c r="Q47" i="7" s="1"/>
  <c r="Q106" i="7" s="1"/>
  <c r="Q120" i="7" s="1"/>
  <c r="H47" i="7"/>
  <c r="E39" i="31" s="1"/>
  <c r="H25" i="7"/>
  <c r="T26" i="7"/>
  <c r="W109" i="7"/>
  <c r="W110" i="7" s="1"/>
  <c r="K138" i="7"/>
  <c r="K137" i="7"/>
  <c r="K141" i="7"/>
  <c r="K136" i="7"/>
  <c r="K140" i="7"/>
  <c r="K139" i="7"/>
  <c r="E285" i="15"/>
  <c r="E286" i="15" s="1"/>
  <c r="E287" i="15" s="1"/>
  <c r="E288" i="15" s="1"/>
  <c r="E289" i="15" s="1"/>
  <c r="E290" i="15" s="1"/>
  <c r="E291" i="15" s="1"/>
  <c r="E292" i="15" s="1"/>
  <c r="E293" i="15" s="1"/>
  <c r="H139" i="7" s="1"/>
  <c r="Q141" i="7"/>
  <c r="Q139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6" i="7" s="1"/>
  <c r="T109" i="7" s="1"/>
  <c r="T110" i="7" s="1"/>
  <c r="H106" i="7"/>
  <c r="H109" i="7" s="1"/>
  <c r="E43" i="31" s="1"/>
  <c r="D38" i="31" s="1"/>
  <c r="D57" i="31" s="1"/>
  <c r="E41" i="30"/>
  <c r="N26" i="7"/>
  <c r="L35" i="30" s="1"/>
  <c r="N106" i="7"/>
  <c r="N109" i="7" s="1"/>
  <c r="M43" i="31" s="1"/>
  <c r="L38" i="31" s="1"/>
  <c r="M41" i="30"/>
  <c r="H26" i="7"/>
  <c r="D35" i="30" s="1"/>
  <c r="W113" i="7"/>
  <c r="W115" i="7" s="1"/>
  <c r="K26" i="7"/>
  <c r="H35" i="30" s="1"/>
  <c r="Q109" i="7"/>
  <c r="Q110" i="7" s="1"/>
  <c r="K106" i="7"/>
  <c r="H137" i="7"/>
  <c r="H136" i="7"/>
  <c r="H138" i="7"/>
  <c r="H141" i="7"/>
  <c r="H140" i="7"/>
  <c r="C57" i="31" l="1"/>
  <c r="D58" i="31" s="1"/>
  <c r="E58" i="31" s="1"/>
  <c r="C63" i="31"/>
  <c r="D64" i="31" s="1"/>
  <c r="C68" i="31"/>
  <c r="D69" i="31" s="1"/>
  <c r="N120" i="7"/>
  <c r="T120" i="7"/>
  <c r="K120" i="7"/>
  <c r="H120" i="7"/>
  <c r="N110" i="7"/>
  <c r="D68" i="31" s="1"/>
  <c r="H110" i="7"/>
  <c r="T113" i="7"/>
  <c r="T115" i="7" s="1"/>
  <c r="K109" i="7"/>
  <c r="I43" i="31" s="1"/>
  <c r="H38" i="31" s="1"/>
  <c r="Q113" i="7"/>
  <c r="Q115" i="7" s="1"/>
  <c r="Q116" i="7"/>
  <c r="W116" i="7"/>
  <c r="W117" i="7" s="1"/>
  <c r="L47" i="30" l="1"/>
  <c r="L45" i="31"/>
  <c r="E69" i="31"/>
  <c r="D47" i="30"/>
  <c r="D45" i="31"/>
  <c r="H47" i="30"/>
  <c r="H45" i="31"/>
  <c r="N116" i="7"/>
  <c r="L40" i="30"/>
  <c r="M45" i="30"/>
  <c r="E45" i="30"/>
  <c r="D40" i="30"/>
  <c r="K110" i="7"/>
  <c r="H113" i="7"/>
  <c r="H115" i="7" s="1"/>
  <c r="N113" i="7"/>
  <c r="H116" i="7"/>
  <c r="Q117" i="7"/>
  <c r="W122" i="7"/>
  <c r="W2" i="7" s="1"/>
  <c r="W3" i="7" s="1"/>
  <c r="W4" i="7" s="1"/>
  <c r="T116" i="7"/>
  <c r="F63" i="31" l="1"/>
  <c r="F68" i="31"/>
  <c r="F57" i="31"/>
  <c r="D63" i="31"/>
  <c r="E64" i="31" s="1"/>
  <c r="K113" i="7"/>
  <c r="K115" i="7" s="1"/>
  <c r="I45" i="30"/>
  <c r="H40" i="30"/>
  <c r="N115" i="7"/>
  <c r="N117" i="7" s="1"/>
  <c r="L44" i="31" s="1"/>
  <c r="H117" i="7"/>
  <c r="D44" i="31" s="1"/>
  <c r="K116" i="7"/>
  <c r="Q122" i="7"/>
  <c r="Q2" i="7" s="1"/>
  <c r="Q3" i="7" s="1"/>
  <c r="Q4" i="7" s="1"/>
  <c r="W127" i="7"/>
  <c r="W128" i="7" s="1"/>
  <c r="T117" i="7"/>
  <c r="E57" i="31" l="1"/>
  <c r="F58" i="31" s="1"/>
  <c r="D46" i="31"/>
  <c r="E47" i="31" s="1"/>
  <c r="E68" i="31"/>
  <c r="F69" i="31" s="1"/>
  <c r="L46" i="31"/>
  <c r="M47" i="31" s="1"/>
  <c r="K117" i="7"/>
  <c r="N122" i="7"/>
  <c r="N2" i="7" s="1"/>
  <c r="N3" i="7" s="1"/>
  <c r="N4" i="7" s="1"/>
  <c r="L46" i="30"/>
  <c r="L48" i="30" s="1"/>
  <c r="H122" i="7"/>
  <c r="H2" i="7" s="1"/>
  <c r="H3" i="7" s="1"/>
  <c r="H4" i="7" s="1"/>
  <c r="D46" i="30"/>
  <c r="D48" i="30" s="1"/>
  <c r="Q127" i="7"/>
  <c r="Q128" i="7" s="1"/>
  <c r="T122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22" i="7"/>
  <c r="K2" i="7" s="1"/>
  <c r="K3" i="7" s="1"/>
  <c r="K4" i="7" s="1"/>
  <c r="H127" i="7"/>
  <c r="H128" i="7" s="1"/>
  <c r="N127" i="7"/>
  <c r="N128" i="7" s="1"/>
  <c r="E46" i="30"/>
  <c r="E47" i="30"/>
  <c r="M46" i="30"/>
  <c r="M47" i="30"/>
  <c r="T127" i="7"/>
  <c r="T128" i="7" s="1"/>
  <c r="T2" i="7"/>
  <c r="T3" i="7" s="1"/>
  <c r="T4" i="7" s="1"/>
  <c r="I46" i="30" l="1"/>
  <c r="E63" i="31"/>
  <c r="F64" i="31" s="1"/>
  <c r="H46" i="31"/>
  <c r="I47" i="31" s="1"/>
  <c r="K127" i="7"/>
  <c r="K128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<sst xmlns="http://schemas.openxmlformats.org/spreadsheetml/2006/main" count="3656" uniqueCount="1009">
  <si>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</si>
  <si>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</si>
  <si>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</si>
  <si>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</si>
  <si>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</si>
  <si>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</si>
  <si>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</si>
  <si>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</si>
  <si>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</si>
  <si>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</si>
  <si>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</si>
  <si>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</si>
  <si>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</si>
  <si>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</si>
  <si>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</si>
  <si>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</si>
  <si>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</si>
  <si>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</si>
  <si>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</si>
  <si>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</si>
  <si>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</si>
  <si>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</si>
  <si>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</si>
  <si>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</si>
  <si>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</si>
  <si>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</si>
  <si>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</si>
  <si>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</si>
  <si>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</si>
  <si>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</si>
  <si>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</si>
  <si>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</si>
  <si>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</si>
  <si>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</si>
  <si>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</si>
  <si>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</si>
  <si>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</si>
  <si>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</si>
  <si>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</si>
  <si>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</si>
  <si>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</si>
  <si>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</si>
  <si>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</si>
  <si>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</si>
  <si>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</si>
  <si>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</si>
  <si>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</si>
  <si>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</si>
  <si>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</si>
  <si>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</si>
  <si>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</si>
  <si>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</si>
  <si>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</si>
  <si>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</si>
  <si>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</si>
  <si>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</si>
  <si>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</si>
  <si>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</si>
  <si>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</si>
  <si>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</si>
  <si>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</si>
  <si>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</si>
  <si>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</si>
  <si>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</si>
  <si>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</si>
  <si>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</si>
  <si>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</si>
  <si>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</si>
  <si>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</si>
  <si>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</si>
  <si>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</si>
  <si>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</si>
  <si>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</si>
  <si>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</si>
  <si>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</si>
  <si>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</si>
  <si>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</si>
  <si>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</si>
  <si>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</si>
  <si>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</si>
  <si>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</si>
  <si>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</si>
  <si>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</si>
  <si>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</si>
  <si>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</si>
  <si>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</si>
  <si>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</si>
  <si>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</si>
  <si>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</si>
  <si>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</si>
  <si>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</si>
  <si>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</si>
  <si>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</si>
  <si>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</si>
  <si>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</si>
  <si>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</si>
  <si>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</si>
  <si>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</si>
  <si>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</si>
  <si>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</si>
  <si>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</si>
  <si>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</si>
  <si>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</si>
  <si>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</si>
  <si>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</si>
  <si>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</si>
  <si>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</si>
  <si>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</si>
  <si>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</si>
  <si>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</si>
  <si>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</si>
  <si>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</si>
  <si>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</si>
  <si>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</si>
  <si>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</si>
  <si>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</si>
  <si>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</si>
  <si>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</si>
  <si>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</si>
  <si>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</si>
  <si>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</si>
  <si>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</si>
  <si>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</si>
  <si>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</si>
  <si>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</si>
  <si>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</si>
  <si>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</si>
  <si>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</si>
  <si>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</si>
  <si>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</si>
  <si>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</si>
  <si>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</si>
  <si>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</si>
  <si>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</si>
  <si>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</si>
  <si>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</si>
  <si>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</si>
  <si>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</si>
  <si>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</si>
  <si>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</si>
  <si>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</si>
  <si>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</si>
  <si>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</si>
  <si>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</si>
  <si>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</si>
  <si>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</si>
  <si>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</si>
  <si>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</si>
  <si>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</si>
  <si>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</si>
  <si>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</si>
  <si>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</si>
  <si>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</si>
  <si>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</si>
  <si>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</si>
  <si>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</si>
  <si>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</si>
  <si>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</si>
  <si>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</si>
  <si>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</si>
  <si>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</si>
  <si>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</si>
  <si>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</si>
  <si>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</si>
  <si>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</si>
  <si>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</si>
  <si>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</si>
  <si>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</si>
  <si>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</si>
  <si>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</si>
  <si>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</si>
  <si>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</si>
  <si>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</si>
  <si>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</si>
  <si>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</si>
  <si>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</si>
  <si>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</si>
  <si>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</si>
  <si>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</si>
  <si>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</si>
  <si>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</si>
  <si>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</si>
  <si>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</si>
  <si>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</si>
  <si>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</si>
  <si>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</si>
  <si>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</si>
  <si>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</si>
  <si>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</si>
  <si>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</si>
  <si>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</si>
  <si>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</si>
  <si>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</si>
  <si>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</si>
  <si>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</si>
  <si>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</si>
  <si>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</si>
  <si>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</si>
  <si>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</si>
  <si>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</si>
  <si>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</si>
  <si>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</si>
  <si>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</si>
  <si>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</si>
  <si>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</si>
  <si>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</si>
  <si>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</si>
  <si>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</si>
  <si>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</si>
  <si>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</si>
  <si>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</si>
  <si>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</si>
  <si>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</si>
  <si>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</si>
  <si>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</si>
  <si>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</si>
  <si>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</si>
  <si>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</si>
  <si>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</si>
  <si>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</si>
  <si>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</si>
  <si>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</si>
  <si>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</si>
  <si>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</si>
  <si>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</si>
  <si>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</si>
  <si>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</si>
  <si>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</si>
  <si>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</si>
  <si>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</si>
  <si>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</si>
  <si>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</si>
  <si>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</si>
  <si>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</si>
  <si>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</si>
  <si>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</si>
  <si>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</si>
  <si>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</si>
  <si>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</si>
  <si>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</si>
  <si>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</si>
  <si>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</si>
  <si>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</si>
  <si>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</si>
  <si>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</si>
  <si>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</si>
  <si>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</si>
  <si>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</si>
  <si>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</si>
  <si>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</si>
  <si>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</si>
  <si>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</si>
  <si>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</si>
  <si>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</si>
  <si>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</si>
  <si>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</si>
  <si>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</si>
  <si>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</si>
  <si>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</si>
  <si>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</si>
  <si>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</si>
  <si>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</si>
  <si>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</si>
  <si>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</si>
  <si>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</si>
  <si>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</si>
  <si>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</si>
  <si>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</si>
  <si>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</si>
  <si>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</si>
  <si>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</si>
  <si>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</si>
  <si>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</si>
  <si>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</si>
  <si>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</si>
  <si>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</si>
  <si>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</si>
  <si>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</si>
  <si>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</si>
  <si>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</si>
  <si>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</si>
  <si>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</si>
  <si>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</si>
  <si>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</si>
  <si>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</si>
  <si>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</si>
  <si>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</si>
  <si>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</si>
  <si>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</si>
  <si>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</si>
  <si>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</si>
  <si>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</si>
  <si>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</si>
  <si>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</si>
  <si>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</si>
  <si>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</si>
  <si>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</si>
  <si>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</si>
  <si>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</si>
  <si>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</si>
  <si>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</si>
  <si>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</si>
  <si>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</si>
  <si>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</si>
  <si>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</si>
  <si>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</si>
  <si>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</si>
  <si>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</si>
  <si>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</si>
  <si>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</si>
  <si>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</si>
  <si>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</si>
  <si>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</si>
  <si>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</si>
  <si>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</si>
  <si>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</si>
  <si>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</si>
  <si>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</si>
  <si>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</si>
  <si>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</si>
  <si>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</si>
  <si>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</si>
  <si>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</si>
  <si>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</si>
  <si>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</si>
  <si>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</si>
  <si>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</si>
  <si>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</si>
  <si>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</si>
  <si>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</si>
  <si>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</si>
  <si>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</si>
  <si>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</si>
  <si>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</si>
  <si>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</si>
  <si>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</si>
  <si>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</si>
  <si>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</si>
  <si>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</si>
  <si>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</si>
  <si>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</si>
  <si>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</si>
  <si>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</si>
  <si>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</si>
  <si>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</si>
  <si>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</si>
  <si>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</si>
  <si>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</si>
  <si>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</si>
  <si>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</si>
  <si>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</si>
  <si>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</si>
  <si>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</si>
  <si>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</si>
  <si>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</si>
  <si>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</si>
  <si>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</si>
  <si>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</si>
  <si>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</si>
  <si>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</si>
  <si>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</si>
  <si>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</si>
  <si>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</si>
  <si>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</si>
  <si>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</si>
  <si>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</si>
  <si>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</si>
  <si>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</si>
  <si>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</si>
  <si>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</si>
  <si>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</si>
  <si>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</si>
  <si>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</si>
  <si>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</si>
  <si>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</si>
  <si>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</si>
  <si>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</si>
  <si>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</si>
  <si>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</si>
  <si>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</si>
  <si>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</si>
  <si>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</si>
  <si>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</si>
  <si>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</si>
  <si>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</si>
  <si>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</si>
  <si>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</si>
  <si>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</si>
  <si>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</si>
  <si>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</si>
  <si>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</si>
  <si>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</si>
  <si>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</si>
  <si>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</si>
  <si>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</si>
  <si>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</si>
  <si>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</si>
  <si>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</si>
  <si>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</si>
  <si>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</si>
  <si>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</si>
  <si>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</si>
  <si>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</si>
  <si>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</si>
  <si>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</si>
  <si>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</si>
  <si>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</si>
  <si>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</si>
  <si>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</si>
  <si>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</si>
  <si>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</si>
  <si>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</si>
  <si>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</si>
  <si>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</si>
  <si>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</si>
  <si>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</si>
  <si>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</si>
  <si>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</si>
  <si>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</si>
  <si>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</si>
  <si>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</si>
  <si>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</si>
  <si>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</si>
  <si>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</si>
  <si>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</si>
  <si>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</si>
  <si>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</si>
  <si>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</si>
  <si>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</si>
  <si>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</si>
  <si>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</si>
  <si>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</si>
  <si>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</si>
  <si>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</si>
  <si>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</si>
  <si>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</si>
  <si>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</si>
  <si>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</si>
  <si>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</si>
  <si>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</si>
  <si>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</si>
  <si>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</si>
  <si>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</si>
  <si>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</si>
  <si>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</si>
  <si>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</si>
  <si>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</si>
  <si>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</si>
  <si>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</si>
  <si>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</si>
  <si>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</si>
  <si>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</si>
  <si>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</si>
  <si>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</si>
  <si>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</si>
  <si>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</si>
  <si>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</si>
  <si>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</si>
  <si>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</si>
  <si>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</si>
  <si>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</si>
  <si>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</si>
  <si>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</si>
  <si>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</si>
  <si>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</si>
  <si>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</si>
  <si>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</si>
  <si>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</si>
  <si>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</si>
  <si>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</si>
  <si>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</si>
  <si>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</si>
  <si>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</si>
  <si>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</si>
  <si>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</si>
  <si>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</si>
  <si>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</si>
  <si>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</si>
  <si>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</si>
  <si>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</si>
  <si>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</si>
  <si>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</si>
  <si>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</si>
  <si>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</si>
  <si>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</si>
  <si>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</si>
  <si>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</si>
  <si>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</si>
  <si>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</si>
  <si>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</si>
  <si>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</si>
  <si>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</si>
  <si>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</si>
  <si>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</si>
  <si>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</si>
  <si>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</si>
  <si>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</si>
  <si>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</si>
  <si>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</si>
  <si>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</si>
  <si>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</si>
  <si>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</si>
  <si>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</si>
  <si>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</si>
  <si>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</si>
  <si>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</si>
  <si>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</si>
  <si>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</si>
  <si>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</si>
  <si>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</si>
  <si>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</si>
  <si>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</si>
  <si>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</si>
  <si>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</si>
  <si>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</si>
  <si>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</si>
  <si>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</si>
  <si>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</si>
  <si>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</si>
  <si>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</si>
  <si>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</si>
  <si>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</si>
  <si>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</si>
  <si>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</si>
  <si>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</si>
  <si>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</si>
  <si>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</si>
  <si>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</si>
  <si>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</si>
  <si>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</si>
  <si>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</si>
  <si>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</si>
  <si>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</si>
  <si>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</si>
  <si>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</si>
  <si>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</si>
  <si>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</si>
  <si>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</si>
  <si>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</si>
  <si>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</si>
  <si>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</si>
  <si>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</si>
  <si>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</si>
  <si>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</si>
  <si>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</si>
  <si>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</si>
  <si>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</si>
  <si>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</si>
  <si>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</si>
  <si>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</si>
  <si>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</si>
  <si>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</si>
  <si>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</si>
  <si>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</si>
  <si>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</si>
  <si>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</si>
  <si>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</si>
  <si>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</si>
  <si>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</si>
  <si>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</si>
  <si>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</si>
  <si>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</si>
  <si>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</si>
  <si>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</si>
  <si>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</si>
  <si>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</si>
  <si>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</si>
  <si>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</si>
  <si>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</si>
  <si>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</si>
  <si>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</si>
  <si>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</si>
  <si>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</si>
  <si>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</si>
  <si>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</si>
  <si>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</si>
  <si>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</si>
  <si>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</si>
  <si>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</si>
  <si>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</si>
  <si>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</si>
  <si>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</si>
  <si>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</si>
  <si>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</si>
  <si>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</si>
  <si>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</si>
  <si>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</si>
  <si>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</si>
  <si>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</si>
  <si>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</si>
  <si>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</si>
  <si>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</si>
  <si>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</si>
  <si>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</si>
  <si>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</si>
  <si>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</si>
  <si>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</si>
  <si>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</si>
  <si>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</si>
  <si>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</si>
  <si>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</si>
  <si>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</si>
  <si>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</si>
  <si>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</si>
  <si>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</si>
  <si>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</si>
  <si>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</si>
  <si>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</si>
  <si>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</si>
  <si>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</si>
  <si>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</si>
  <si>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</si>
  <si>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</si>
  <si>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</si>
  <si>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</si>
  <si>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</si>
  <si>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</si>
  <si>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</si>
  <si>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</si>
  <si>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</si>
  <si>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</si>
  <si>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</si>
  <si>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</si>
  <si>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</si>
  <si>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</si>
  <si>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</si>
  <si>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</si>
  <si>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</si>
  <si>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</si>
  <si>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</si>
  <si>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</si>
  <si>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</si>
  <si>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</si>
  <si>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</si>
  <si>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</si>
  <si>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</si>
  <si>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</si>
  <si>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</si>
  <si>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</si>
  <si>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</si>
  <si>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</si>
  <si>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</si>
  <si>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</si>
  <si>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</si>
  <si>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</si>
  <si>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</si>
  <si>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</si>
  <si>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</si>
  <si>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</si>
  <si>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</si>
  <si>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</si>
  <si>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</si>
  <si>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</si>
  <si>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</si>
  <si>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</si>
  <si>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</si>
  <si>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</si>
  <si>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</si>
  <si>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</si>
  <si>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</si>
  <si>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</si>
  <si>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</si>
  <si>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</si>
  <si>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</si>
  <si>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</si>
  <si>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</si>
  <si>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</si>
  <si>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</si>
  <si>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</si>
  <si>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</si>
  <si>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</si>
  <si>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</si>
  <si>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</si>
  <si>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</si>
  <si>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</si>
  <si>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</si>
  <si>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</si>
  <si>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</si>
  <si>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</si>
  <si>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</si>
  <si>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</si>
  <si>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</si>
  <si>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</si>
  <si>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</si>
  <si>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</si>
  <si>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</si>
  <si>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</si>
  <si>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</si>
  <si>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</si>
  <si>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</si>
  <si>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</si>
  <si>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</si>
  <si>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</si>
  <si>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</si>
  <si>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</si>
  <si>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</si>
  <si>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</si>
  <si>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</si>
  <si>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</si>
  <si>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</si>
  <si>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</si>
  <si>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</si>
  <si>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</si>
  <si>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</si>
  <si>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</si>
  <si>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</si>
  <si>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</si>
  <si>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</si>
  <si>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</si>
  <si>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</si>
  <si>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</si>
  <si>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</si>
  <si>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</si>
  <si>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</si>
  <si>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</si>
  <si>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</si>
  <si>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</si>
  <si>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</si>
  <si>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</si>
  <si>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</si>
  <si>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</si>
  <si>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</si>
  <si>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</si>
  <si>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</si>
  <si>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</si>
  <si>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</si>
  <si>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</si>
  <si>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</si>
  <si>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</si>
  <si>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</si>
  <si>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</si>
  <si>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</si>
  <si>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</si>
  <si>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</si>
  <si>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</si>
  <si>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</si>
  <si>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</si>
  <si>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</si>
  <si>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</si>
  <si>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</si>
  <si>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</si>
  <si>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</si>
  <si>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</si>
  <si>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</si>
  <si>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</si>
  <si>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</si>
  <si>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</si>
  <si>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</si>
  <si>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</si>
  <si>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</si>
  <si>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</si>
  <si>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</si>
  <si>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</si>
  <si>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</si>
  <si>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</si>
  <si>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</si>
  <si>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</si>
  <si>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</si>
  <si>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</si>
  <si>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</si>
  <si>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</si>
  <si>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</si>
  <si>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</si>
  <si>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</si>
  <si>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</si>
  <si>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</si>
  <si>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</si>
  <si>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</si>
  <si>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</si>
  <si>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</si>
  <si>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</si>
  <si>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</si>
  <si>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</si>
  <si>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</si>
  <si>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</si>
  <si>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</si>
  <si>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</si>
  <si>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</si>
  <si>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</si>
  <si>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</si>
  <si>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</si>
  <si>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</si>
  <si>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</si>
  <si>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</si>
  <si>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</si>
  <si>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</si>
  <si>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</si>
  <si>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</si>
  <si>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</si>
  <si>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</si>
  <si>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</si>
  <si>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</si>
  <si>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</si>
  <si>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</si>
  <si>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</si>
  <si>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</si>
  <si>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</si>
  <si>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</si>
  <si>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</si>
  <si>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</si>
  <si>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</si>
  <si>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</si>
  <si>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</si>
  <si>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</si>
  <si>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</si>
  <si>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</si>
  <si>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</si>
  <si>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</si>
  <si>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</si>
  <si>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</si>
  <si>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</si>
  <si>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</si>
  <si>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</si>
  <si>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</si>
  <si>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</si>
  <si>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</si>
  <si>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</si>
  <si>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</si>
  <si>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</si>
  <si>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</si>
  <si>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</si>
  <si>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</si>
  <si>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</si>
  <si>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</si>
  <si>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</si>
  <si>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</si>
  <si>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</si>
  <si>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</si>
  <si>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</si>
  <si>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</si>
  <si>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</si>
  <si>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</si>
  <si>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</si>
  <si>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</si>
  <si>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</si>
  <si>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</si>
  <si>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</si>
  <si>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</si>
  <si>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</si>
  <si>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</si>
  <si>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</si>
  <si>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</si>
  <si>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</si>
  <si>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</si>
  <si>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</si>
  <si>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</si>
  <si>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</si>
  <si>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</si>
  <si>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</si>
  <si>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</si>
  <si>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</si>
  <si>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</si>
  <si>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</si>
  <si>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</si>
  <si>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</si>
  <si>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</si>
  <si>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</si>
  <si>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</si>
  <si>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</si>
  <si>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</si>
  <si>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</si>
  <si>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</si>
  <si>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</si>
  <si>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</si>
  <si>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</si>
  <si>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</si>
  <si>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</si>
  <si>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</si>
  <si>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</si>
  <si>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</si>
  <si>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</si>
  <si>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</si>
  <si>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</si>
  <si>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</si>
  <si>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</si>
  <si>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</si>
  <si>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</si>
  <si>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</si>
  <si>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</si>
  <si>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</si>
  <si>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</si>
  <si>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</si>
  <si>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</si>
  <si>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</si>
  <si>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</si>
  <si>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</si>
  <si>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</si>
  <si>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</si>
  <si>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</si>
  <si>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</si>
  <si>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</si>
  <si>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</si>
  <si>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</si>
  <si>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</si>
  <si>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</si>
  <si>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</si>
  <si>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</si>
  <si>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</si>
  <si>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</si>
  <si>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</si>
  <si>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</si>
  <si>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</si>
  <si>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</si>
  <si>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</si>
  <si>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</si>
  <si>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</si>
  <si>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</si>
  <si>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</si>
  <si>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</si>
  <si>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</si>
  <si>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</si>
  <si>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</si>
  <si>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</si>
  <si>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</si>
  <si>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</si>
  <si>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</si>
  <si>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</si>
  <si>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</si>
  <si>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</si>
  <si>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</si>
  <si>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</si>
  <si>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</si>
  <si>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</si>
  <si>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</si>
  <si>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</si>
  <si>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</si>
  <si>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</si>
  <si>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</si>
  <si>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</si>
  <si>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</si>
  <si>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</si>
  <si>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</si>
  <si>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</si>
  <si>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</si>
  <si>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</si>
  <si>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</si>
  <si>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</si>
  <si>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</si>
  <si>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</si>
  <si>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</si>
  <si>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</si>
  <si>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</si>
  <si>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</si>
  <si>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</si>
  <si>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</si>
  <si>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</si>
  <si>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</si>
  <si>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</si>
  <si>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</si>
  <si>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</si>
  <si>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</si>
  <si>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</si>
  <si>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</si>
  <si>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</si>
  <si>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</si>
  <si>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</si>
  <si>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</si>
  <si>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</si>
  <si>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</si>
  <si>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</si>
  <si>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</si>
  <si>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</si>
  <si>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</si>
  <si>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</si>
  <si>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</si>
  <si>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</si>
  <si>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</si>
  <si>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</si>
  <si>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</si>
  <si>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</si>
  <si>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</si>
  <si>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</si>
  <si>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</si>
  <si>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</si>
  <si>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</si>
  <si>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</si>
  <si>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</si>
  <si>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</si>
  <si>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</si>
  <si>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</si>
  <si>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</si>
  <si>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</si>
  <si>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</si>
  <si>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</si>
  <si>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</si>
  <si>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</si>
  <si>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</si>
  <si>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</si>
  <si>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</si>
  <si>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</si>
  <si>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</si>
  <si>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</si>
  <si>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</si>
  <si>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</si>
  <si>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</si>
  <si>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</si>
  <si>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</si>
  <si>
    <t>Ultraschall Prüfzeit (sec)</t>
  </si>
  <si>
    <t>Röntgen Prüfzeit (sec)</t>
  </si>
  <si>
    <t>Strahlkosten (€/Stk.)</t>
  </si>
  <si>
    <t>Auf 0 geändert (27.09.21 ra)</t>
  </si>
  <si>
    <t>Prozesszeit Gleitschleifen (sec)</t>
  </si>
  <si>
    <t>Kosten Gleitschleifen (€/Stk.)</t>
  </si>
  <si>
    <t>PT Manuell</t>
  </si>
  <si>
    <t xml:space="preserve">PT Automatik </t>
  </si>
  <si>
    <t>PT (Anlage)</t>
  </si>
  <si>
    <t>PT Prüfzeit (sec)</t>
  </si>
  <si>
    <t>PT (€/Stk.)</t>
  </si>
  <si>
    <t>Machine Invest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</si>
</sst>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9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6" fillId="32" borderId="1" xfId="0" applyFont="1" applyFill="1" applyBorder="1" applyAlignment="1" applyProtection="1">
      <alignment horizontal="left" indent="3"/>
    </xf>
    <xf numFmtId="0" fontId="6" fillId="32" borderId="1" xfId="0" applyFont="1" applyFill="1" applyBorder="1"/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43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16.503044154272455</c:v>
                </c:pt>
                <c:pt idx="5">
                  <c:v>89.554630544500256</c:v>
                </c:pt>
                <c:pt idx="11">
                  <c:v>19.891291407412744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16.70658437260284</c:v>
                </c:pt>
                <c:pt idx="11">
                  <c:v>4.8619762575854573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27.527104512106519</c:v>
                </c:pt>
                <c:pt idx="11">
                  <c:v>7.0260802854861932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42" dataDxfId="241">
  <autoFilter ref="A2:I5" xr:uid="{399A8E1C-09BC-4743-AD8C-E418CE2EA4E8}"/>
  <tableColumns count="9">
    <tableColumn id="1" xr3:uid="{B225B105-11E0-4B7D-876C-35434AD95A88}" uniqueName="1" name="Contract" queryTableFieldId="1" dataDxfId="240"/>
    <tableColumn id="2" xr3:uid="{3EFA9724-CFDD-4663-AB0A-513A3288DDDE}" uniqueName="2" name="Bid (US$ / Tonne)" queryTableFieldId="2" dataDxfId="239"/>
    <tableColumn id="3" xr3:uid="{5794DC2A-421E-484C-A3E5-D6BD65E63E5B}" uniqueName="3" name="Offer (US$ / Tonne)*" queryTableFieldId="3" dataDxfId="238"/>
    <tableColumn id="11" xr3:uid="{227DC090-9CC6-4ACB-940A-060FA6149FC5}" uniqueName="11" name="Spalte2" queryTableFieldId="11" dataDxfId="237"/>
    <tableColumn id="6" xr3:uid="{B4645055-4894-4C05-823C-070977F75F3E}" uniqueName="6" name="Exchange [$/€]" queryTableFieldId="6" dataDxfId="236">
      <calculatedColumnFormula>MID($B$9,1,6)</calculatedColumnFormula>
    </tableColumn>
    <tableColumn id="13" xr3:uid="{C18F9609-F45D-46E8-B4A0-57BD5DE45F50}" uniqueName="13" name="Abbrand" queryTableFieldId="4" dataDxfId="235"/>
    <tableColumn id="12" xr3:uid="{893B3F09-6F5B-453F-9DB9-06EC27D1B0FF}" uniqueName="12" name="Premium_x000a_[€/t]" queryTableFieldId="5" dataDxfId="234"/>
    <tableColumn id="8" xr3:uid="{974393AB-7E4D-4F8E-99AC-5C57496E75BE}" uniqueName="8" name="Alu-Alloy_x000a_3-months [$/kg]" queryTableFieldId="8" dataDxfId="233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232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231"/>
    <tableColumn id="2" xr3:uid="{C03FD864-AFEE-44BB-B951-D0D4DAD18490}" uniqueName="2" name="Kurs" queryTableFieldId="2" dataDxfId="230"/>
    <tableColumn id="3" xr3:uid="{A4C2B2BB-6AA3-4B22-8DEB-3906671A7EBF}" uniqueName="3" name="Diff. %" queryTableFieldId="3" dataDxfId="229"/>
    <tableColumn id="4" xr3:uid="{BFCC29AB-4E28-462C-AB84-349A9E098312}" uniqueName="4" name="Datum" queryTableFieldId="4"/>
    <tableColumn id="5" xr3:uid="{1A3C214E-7127-4164-A36B-F677BEB85A2A}" uniqueName="5" name="Zeit" queryTableFieldId="5" dataDxfId="228"/>
    <tableColumn id="6" xr3:uid="{C0ECD932-A527-466C-8F2E-A68A19722DB1}" uniqueName="6" name="Eröffnung" queryTableFieldId="6" dataDxfId="227"/>
    <tableColumn id="7" xr3:uid="{FBB0D7E8-40FF-49D8-863E-E500BE4134C6}" uniqueName="7" name="T.-Hoch" queryTableFieldId="7" dataDxfId="226"/>
    <tableColumn id="8" xr3:uid="{5E9B2620-C889-4E1F-B9EE-DEA4775AD700}" uniqueName="8" name="T.-Tief" queryTableFieldId="8" dataDxfId="22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224" dataCellStyle="Standard 4"/>
    <tableColumn id="2" xr3:uid="{FBE21D6A-46E2-48CF-9AB9-57ACBAC49356}" uniqueName="2" name="Bid (US$ / Tonne)" queryTableFieldId="2" dataDxfId="223" dataCellStyle="Standard 4"/>
    <tableColumn id="3" xr3:uid="{9CCB034B-697E-4340-9016-4F9260AF9130}" uniqueName="3" name="Offer (US$ / Tonne)*" queryTableFieldId="3" dataDxfId="222" dataCellStyle="Standard 4"/>
    <tableColumn id="4" xr3:uid="{1B69AAC5-FBB8-4773-9BF5-325B64A4FAB8}" uniqueName="4" name="Spalte2" queryTableFieldId="4" dataDxfId="221" dataCellStyle="Standard 4"/>
    <tableColumn id="5" xr3:uid="{14F0497C-9F37-4055-8F16-0332B1CC3F3F}" uniqueName="5" name="Exchange [$/€]" queryTableFieldId="5" dataDxfId="220" dataCellStyle="Standard 4">
      <calculatedColumnFormula>MID($B$9,1,6)</calculatedColumnFormula>
    </tableColumn>
    <tableColumn id="6" xr3:uid="{69F4BCAE-C936-4909-986E-C0A4FAB354D8}" uniqueName="6" name="Abbrand" queryTableFieldId="6" dataDxfId="219" dataCellStyle="Prozent 3"/>
    <tableColumn id="7" xr3:uid="{528A962C-055C-443F-BC0A-C9EB518D1DE7}" uniqueName="7" name="Premium_x000a_[€/t]" queryTableFieldId="7" dataDxfId="218" dataCellStyle="Standard 4"/>
    <tableColumn id="8" xr3:uid="{3003FB8D-BA21-441D-82C4-AA119C161CF1}" uniqueName="8" name="Alu-Alloy_x000a_3-months [$/kg]" queryTableFieldId="8" dataDxfId="217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216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44470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Polen</v>
      </c>
      <c r="H10" s="1110"/>
      <c r="I10" s="1111"/>
      <c r="J10" s="1014"/>
      <c r="K10" s="1109" t="str">
        <f>Refkalkulation!N7</f>
        <v>Deutschland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Kernschießen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16.503044154272455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4.6110675823957674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1.0796384026159551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Refkalkulation!D110</f>
        <v>Fertigungskosten gesamt</v>
      </c>
      <c r="D38" s="1133">
        <f>SUM(E39:E43)</f>
        <v>89.554630544500256</v>
      </c>
      <c r="E38" s="1141"/>
      <c r="F38" s="1037"/>
      <c r="G38" s="1132" t="str">
        <f t="shared" si="0"/>
        <v>Fertigungskosten gesamt</v>
      </c>
      <c r="H38" s="1133">
        <f>SUM(I39:I43)</f>
        <v>16.70658437260284</v>
      </c>
      <c r="I38" s="1141"/>
      <c r="J38" s="1037"/>
      <c r="K38" s="1132" t="str">
        <f t="shared" si="1"/>
        <v>Fertigungskosten gesamt</v>
      </c>
      <c r="L38" s="1133">
        <f>SUM(M39:M43)</f>
        <v>27.527104512106519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0.47684538443851526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0.78935270448929185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0.53738409644769536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43.145413881307022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9.6532312146949977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15.475299479382162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Refkalkulation!H89</f>
        <v>31.440809203791737</v>
      </c>
      <c r="F41" s="1041"/>
      <c r="G41" s="1142" t="str">
        <f t="shared" si="0"/>
        <v xml:space="preserve">               Nachbehandlung</v>
      </c>
      <c r="H41" s="1145"/>
      <c r="I41" s="1144">
        <f>Refkalkulation!K89</f>
        <v>1.4945328151684594</v>
      </c>
      <c r="J41" s="1041"/>
      <c r="K41" s="1142" t="str">
        <f t="shared" si="1"/>
        <v xml:space="preserve">               Nachbehandlung</v>
      </c>
      <c r="L41" s="1145"/>
      <c r="M41" s="1144">
        <f>Refkalkulation!N89</f>
        <v>4.534682537869668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",Refkalkulation!D90)</f>
        <v xml:space="preserve">               Prüfen</v>
      </c>
      <c r="D42" s="1145"/>
      <c r="E42" s="1144">
        <f>Refkalkulation!H104+Refkalkulation!H107/Refkalkulation!H61</f>
        <v>6.3502320254629634</v>
      </c>
      <c r="F42" s="1041"/>
      <c r="G42" s="1142" t="str">
        <f t="shared" si="0"/>
        <v xml:space="preserve">               Prüfen</v>
      </c>
      <c r="H42" s="1145"/>
      <c r="I42" s="1144">
        <f>Refkalkulation!K104+Refkalkulation!K107/Refkalkulation!K61</f>
        <v>3.2506872407407412</v>
      </c>
      <c r="J42" s="1041"/>
      <c r="K42" s="1142" t="str">
        <f t="shared" si="1"/>
        <v xml:space="preserve">               Prüfen</v>
      </c>
      <c r="L42" s="1145"/>
      <c r="M42" s="1144">
        <f>Refkalkulation!N104+Refkalkulation!N107/Refkalkulation!N61</f>
        <v>4.4772743518518521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",Refkalkulation!D109)</f>
        <v xml:space="preserve">               Fertigungsgemeinkosten</v>
      </c>
      <c r="D43" s="1145"/>
      <c r="E43" s="1144">
        <f>Refkalkulation!H109</f>
        <v>8.1413300495000236</v>
      </c>
      <c r="F43" s="1041"/>
      <c r="G43" s="1142" t="str">
        <f t="shared" si="0"/>
        <v xml:space="preserve">               Fertigungsgemeinkosten</v>
      </c>
      <c r="H43" s="1145"/>
      <c r="I43" s="1144">
        <f>Refkalkulation!K109</f>
        <v>1.5187803975093492</v>
      </c>
      <c r="J43" s="1041"/>
      <c r="K43" s="1142" t="str">
        <f t="shared" si="1"/>
        <v xml:space="preserve">               Fertigungsgemeinkosten</v>
      </c>
      <c r="L43" s="1145"/>
      <c r="M43" s="1144">
        <f>Refkalkulation!N109</f>
        <v>2.5024640465551382</v>
      </c>
      <c r="N43" s="1041"/>
      <c r="O43" s="995"/>
    </row>
    <row r="44" spans="1:16" x14ac:dyDescent="0.2">
      <c r="A44" s="993"/>
      <c r="B44" s="996"/>
      <c r="C44" s="1146" t="str">
        <f>Refkalkulation!D117</f>
        <v>Gesamtgemeinkosten</v>
      </c>
      <c r="D44" s="1147">
        <f>Refkalkulation!H117</f>
        <v>19.891291407412744</v>
      </c>
      <c r="E44" s="1148">
        <f>D44/D46</f>
        <v>0.15793135920339935</v>
      </c>
      <c r="F44" s="1041"/>
      <c r="G44" s="1146" t="str">
        <f t="shared" si="0"/>
        <v>Gesamtgemeinkosten</v>
      </c>
      <c r="H44" s="1147">
        <f>Refkalkulation!K117</f>
        <v>4.8619762575854573</v>
      </c>
      <c r="I44" s="1148">
        <f>H44/H46</f>
        <v>0.14199397534528835</v>
      </c>
      <c r="J44" s="996"/>
      <c r="K44" s="1146" t="str">
        <f t="shared" si="1"/>
        <v>Gesamtgemeinkosten</v>
      </c>
      <c r="L44" s="1147">
        <f>Refkalkulation!N117</f>
        <v>7.0260802854861932</v>
      </c>
      <c r="M44" s="1148">
        <f>L44/L46</f>
        <v>0.14877773976311634</v>
      </c>
      <c r="N44" s="996"/>
      <c r="O44" s="995"/>
    </row>
    <row r="45" spans="1:16" ht="18" customHeight="1" x14ac:dyDescent="0.25">
      <c r="A45" s="993"/>
      <c r="B45" s="996"/>
      <c r="C45" s="1149" t="str">
        <f>Refkalkulation!D120</f>
        <v>Gesamtgewinn</v>
      </c>
      <c r="D45" s="1147">
        <f>Refkalkulation!H120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Refkalkulation!K120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Refkalkulation!N120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Refkalkulation!D122</f>
        <v>Bauteilpreis gesamt</v>
      </c>
      <c r="D46" s="1151">
        <f>SUM(D33:D45)</f>
        <v>125.94896610618545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34.240722155729038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47.225346323133458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Refkalkulation!D126</f>
        <v>Zielpreis Bauteil</v>
      </c>
      <c r="D47" s="1153">
        <f>Refkalkulation!H126</f>
        <v>55</v>
      </c>
      <c r="E47" s="1154">
        <f>(D47-D46)*D13</f>
        <v>-354744.83053092728</v>
      </c>
      <c r="F47" s="1114"/>
      <c r="G47" s="1156" t="str">
        <f>C47</f>
        <v>Zielpreis Bauteil</v>
      </c>
      <c r="H47" s="1153">
        <f>Refkalkulation!K126</f>
        <v>55</v>
      </c>
      <c r="I47" s="1154">
        <f>(H47-H46)*H13</f>
        <v>103796.38922135481</v>
      </c>
      <c r="J47" s="1114"/>
      <c r="K47" s="1156" t="str">
        <f>C47</f>
        <v>Zielpreis Bauteil</v>
      </c>
      <c r="L47" s="1153">
        <f>Refkalkulation!N126</f>
        <v>55</v>
      </c>
      <c r="M47" s="1154">
        <f>(L47-L46)*L13</f>
        <v>38873.26838433271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Refkalkulation!H130+Refkalkulation!H131</f>
        <v>12400</v>
      </c>
      <c r="E48" s="1152" t="s">
        <v>921</v>
      </c>
      <c r="F48" s="1114"/>
      <c r="G48" s="1155" t="str">
        <f>C48</f>
        <v>Modellkosten geschätzt</v>
      </c>
      <c r="H48" s="1151">
        <f>Refkalkulation!K130+Refkalkulation!K131</f>
        <v>8800</v>
      </c>
      <c r="I48" s="1152" t="s">
        <v>921</v>
      </c>
      <c r="J48" s="1114"/>
      <c r="K48" s="1155" t="str">
        <f>C48</f>
        <v>Modellkosten geschätzt</v>
      </c>
      <c r="L48" s="1151">
        <f>Refkalkulation!N130+Refkalkulation!N131</f>
        <v>10100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Refkalkulation!D132</f>
        <v>Modellkosten Angebot</v>
      </c>
      <c r="D49" s="1153">
        <f>Refkalkulation!H132</f>
        <v>10500</v>
      </c>
      <c r="E49" s="1154">
        <f>D49-D48</f>
        <v>-1900</v>
      </c>
      <c r="F49" s="1114"/>
      <c r="G49" s="1156" t="str">
        <f>C49</f>
        <v>Modellkosten Angebot</v>
      </c>
      <c r="H49" s="1153">
        <f>Refkalkulation!K132</f>
        <v>5600</v>
      </c>
      <c r="I49" s="1154">
        <f>H49-H48</f>
        <v>-3200</v>
      </c>
      <c r="J49" s="1114"/>
      <c r="K49" s="1156" t="str">
        <f>C49</f>
        <v>Modellkosten Angebot</v>
      </c>
      <c r="L49" s="1153">
        <f>Refkalkulation!N132</f>
        <v>7500</v>
      </c>
      <c r="M49" s="1154">
        <f>L49-L48</f>
        <v>-2600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16.503044154272455</v>
      </c>
      <c r="D57" s="1121">
        <f>D38</f>
        <v>89.554630544500256</v>
      </c>
      <c r="E57" s="1121">
        <f>D44</f>
        <v>19.891291407412744</v>
      </c>
      <c r="F57" s="1121">
        <f>D45</f>
        <v>0</v>
      </c>
      <c r="G57" s="1121">
        <f>D46</f>
        <v>125.94896610618545</v>
      </c>
      <c r="H57" s="1121">
        <f>I57-G57</f>
        <v>-70.948966106185452</v>
      </c>
      <c r="I57" s="1121">
        <f>D47</f>
        <v>55</v>
      </c>
    </row>
    <row r="58" spans="1:15" ht="0.2" customHeight="1" x14ac:dyDescent="0.2">
      <c r="C58" s="1121"/>
      <c r="D58" s="1121">
        <f>C57</f>
        <v>16.503044154272455</v>
      </c>
      <c r="E58" s="1121">
        <f>D57+D58</f>
        <v>106.05767469877271</v>
      </c>
      <c r="F58" s="1121">
        <f>E57+E58</f>
        <v>125.94896610618545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Polen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16.70658437260284</v>
      </c>
      <c r="E63" s="1121">
        <f>H44</f>
        <v>4.8619762575854573</v>
      </c>
      <c r="F63" s="1121">
        <f>H45</f>
        <v>0</v>
      </c>
      <c r="G63" s="1121">
        <f>H46</f>
        <v>34.240722155729038</v>
      </c>
      <c r="H63" s="1121">
        <f>I63-G63</f>
        <v>20.759277844270962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29.378745898143581</v>
      </c>
      <c r="F64" s="1121">
        <f>E63+E64</f>
        <v>34.240722155729038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Deutschland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27.527104512106519</v>
      </c>
      <c r="E68" s="1121">
        <f>L44</f>
        <v>7.0260802854861932</v>
      </c>
      <c r="F68" s="1121">
        <f>L45</f>
        <v>0</v>
      </c>
      <c r="G68" s="1121">
        <f>L46</f>
        <v>47.225346323133458</v>
      </c>
      <c r="H68" s="1121">
        <f>I68-G68</f>
        <v>7.7746536768665422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40.199266037647263</v>
      </c>
      <c r="F69" s="1121">
        <f>E68+E69</f>
        <v>47.225346323133458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44470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Polen</v>
      </c>
      <c r="H12" s="1012" t="str">
        <f>Refkalkulation!K$6</f>
        <v>Housing</v>
      </c>
      <c r="I12" s="1013"/>
      <c r="J12" s="1014"/>
      <c r="K12" s="1011" t="str">
        <f>Refkalkulation!N7</f>
        <v>Deutschland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Kernschießen: 20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 Gleitschleifen</v>
      </c>
      <c r="D15" s="996"/>
      <c r="E15" s="995"/>
      <c r="F15" s="996"/>
      <c r="G15" s="993" t="str">
        <f>Refkalkulation!K73</f>
        <v>Sandstrahlen Gleitschleifen</v>
      </c>
      <c r="H15" s="996"/>
      <c r="I15" s="995"/>
      <c r="J15" s="996"/>
      <c r="K15" s="993" t="str">
        <f>Refkalkulation!N73</f>
        <v>Sandstrahlen Gleitschleifen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Refkalkulation!H90</f>
        <v>US PT Röntgen prüfen</v>
      </c>
      <c r="D16" s="996"/>
      <c r="E16" s="995"/>
      <c r="F16" s="996"/>
      <c r="G16" s="993" t="str">
        <f>Refkalkulation!K90</f>
        <v>US PT Röntgen prüfen</v>
      </c>
      <c r="H16" s="996"/>
      <c r="I16" s="995"/>
      <c r="J16" s="996"/>
      <c r="K16" s="993" t="str">
        <f>Refkalkulation!N90</f>
        <v>US PT Röntgen prüfen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16.503044154272455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4.6110675823957674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1.0796384026159551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Refkalkulation!H110</f>
        <v>89.554630544500256</v>
      </c>
      <c r="E40" s="1036"/>
      <c r="F40" s="1037"/>
      <c r="G40" s="1034" t="str">
        <f t="shared" si="0"/>
        <v>Fertigungskosten</v>
      </c>
      <c r="H40" s="1035">
        <f>Refkalkulation!K110</f>
        <v>16.70658437260284</v>
      </c>
      <c r="I40" s="1036"/>
      <c r="J40" s="1037"/>
      <c r="K40" s="1034" t="str">
        <f t="shared" si="1"/>
        <v>Fertigungskosten</v>
      </c>
      <c r="L40" s="1035">
        <f>Refkalkulation!N110</f>
        <v>27.527104512106519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0.47684538443851526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0.78935270448929185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0.53738409644769536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43.145413881307022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9.6532312146949977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15.475299479382162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Refkalkulation!H89</f>
        <v>31.440809203791737</v>
      </c>
      <c r="F43" s="1041"/>
      <c r="G43" s="1038" t="str">
        <f t="shared" si="0"/>
        <v xml:space="preserve">               Nachbehandlung</v>
      </c>
      <c r="H43" s="1042"/>
      <c r="I43" s="1040">
        <f>Refkalkulation!K89</f>
        <v>1.4945328151684594</v>
      </c>
      <c r="J43" s="1041"/>
      <c r="K43" s="1038" t="str">
        <f t="shared" si="1"/>
        <v xml:space="preserve">               Nachbehandlung</v>
      </c>
      <c r="L43" s="1042"/>
      <c r="M43" s="1040">
        <f>Refkalkulation!N89</f>
        <v>4.534682537869668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Refkalkulation!H104</f>
        <v>6.3502320254629634</v>
      </c>
      <c r="F44" s="1041"/>
      <c r="G44" s="1038" t="str">
        <f t="shared" si="0"/>
        <v xml:space="preserve">               Prüfen</v>
      </c>
      <c r="H44" s="1042"/>
      <c r="I44" s="1040">
        <f>Refkalkulation!K104</f>
        <v>3.2506872407407412</v>
      </c>
      <c r="J44" s="1041"/>
      <c r="K44" s="1038" t="str">
        <f t="shared" si="1"/>
        <v xml:space="preserve">               Prüfen</v>
      </c>
      <c r="L44" s="1042"/>
      <c r="M44" s="1040">
        <f>Refkalkulation!N104</f>
        <v>4.4772743518518521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Refkalkulation!H110-Refkalkulation!H106</f>
        <v>8.1413300495000271</v>
      </c>
      <c r="F45" s="1041"/>
      <c r="G45" s="1038" t="str">
        <f t="shared" si="0"/>
        <v xml:space="preserve">               Fertigungsnebenkosten</v>
      </c>
      <c r="H45" s="1042"/>
      <c r="I45" s="1040">
        <f>Refkalkulation!K110-Refkalkulation!K106</f>
        <v>1.5187803975093495</v>
      </c>
      <c r="J45" s="1041"/>
      <c r="K45" s="1038" t="str">
        <f t="shared" si="1"/>
        <v xml:space="preserve">               Fertigungsnebenkosten</v>
      </c>
      <c r="L45" s="1042"/>
      <c r="M45" s="1040">
        <f>Refkalkulation!N110-Refkalkulation!N106</f>
        <v>2.50246404655514</v>
      </c>
      <c r="N45" s="1041"/>
      <c r="O45" s="995"/>
    </row>
    <row r="46" spans="1:15" ht="15" x14ac:dyDescent="0.25">
      <c r="A46" s="993"/>
      <c r="B46" s="996"/>
      <c r="C46" s="1043" t="str">
        <f>Refkalkulation!D117</f>
        <v>Gesamtgemeinkosten</v>
      </c>
      <c r="D46" s="1044">
        <f>Refkalkulation!H117</f>
        <v>19.891291407412744</v>
      </c>
      <c r="E46" s="1045">
        <f>D46/D48</f>
        <v>0.15793135920339935</v>
      </c>
      <c r="F46" s="1041"/>
      <c r="G46" s="1043" t="str">
        <f t="shared" si="0"/>
        <v>Gesamtgemeinkosten</v>
      </c>
      <c r="H46" s="1044">
        <f>Refkalkulation!K117</f>
        <v>4.8619762575854573</v>
      </c>
      <c r="I46" s="1045">
        <f>H46/H48</f>
        <v>0.14199397534528835</v>
      </c>
      <c r="J46" s="996"/>
      <c r="K46" s="1043" t="str">
        <f t="shared" si="1"/>
        <v>Gesamtgemeinkosten</v>
      </c>
      <c r="L46" s="1044">
        <f>Refkalkulation!N117</f>
        <v>7.0260802854861932</v>
      </c>
      <c r="M46" s="1045">
        <f>L46/L48</f>
        <v>0.14877773976311634</v>
      </c>
      <c r="N46" s="996"/>
      <c r="O46" s="995"/>
    </row>
    <row r="47" spans="1:15" ht="18" customHeight="1" x14ac:dyDescent="0.25">
      <c r="A47" s="993"/>
      <c r="B47" s="996"/>
      <c r="C47" s="1046" t="str">
        <f>Refkalkulation!D120</f>
        <v>Gesamtgewinn</v>
      </c>
      <c r="D47" s="1047">
        <f>Refkalkulation!H120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Refkalkulation!K120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Refkalkulation!N120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Refkalkulation!D122</f>
        <v>Bauteilpreis gesamt</v>
      </c>
      <c r="D48" s="1050">
        <f>SUM(D35:D47)</f>
        <v>125.94896610618545</v>
      </c>
      <c r="E48" s="1051"/>
      <c r="F48" s="1052"/>
      <c r="G48" s="1049" t="str">
        <f t="shared" si="0"/>
        <v>Bauteilpreis gesamt</v>
      </c>
      <c r="H48" s="1050">
        <f>SUM(H35:H47)</f>
        <v>34.240722155729038</v>
      </c>
      <c r="I48" s="1051"/>
      <c r="J48" s="1052"/>
      <c r="K48" s="1049" t="str">
        <f t="shared" si="1"/>
        <v>Bauteilpreis gesamt</v>
      </c>
      <c r="L48" s="1050">
        <f>SUM(L35:L47)</f>
        <v>47.225346323133458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13" activePane="bottomRight" state="frozenSplit"/>
      <selection activeCell="L30" sqref="L30"/>
      <selection pane="topRight" activeCell="L30" sqref="L30"/>
      <selection pane="bottomLeft" activeCell="L30" sqref="L30"/>
      <selection pane="bottomRight" activeCell="L24" sqref="L24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44470</v>
      </c>
      <c r="H4" s="125"/>
      <c r="I4" s="260" t="str">
        <f>IF(Deutsch,C4,D4)</f>
        <v>Datum</v>
      </c>
      <c r="J4" s="262" t="s">
        <v>233</v>
      </c>
      <c r="K4" s="34">
        <f ca="1">TODAY()</f>
        <v>44470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375</v>
      </c>
      <c r="M23" s="104" t="str">
        <f>IFERROR(VLOOKUP(L$23,Auswahlfelder!$D$49:$D$51,1,FALSE),VLOOKUP(L$23,Auswahlfelder!$C$49:$D$51,2,FALSE))</f>
        <v>Kernschießen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764</v>
      </c>
      <c r="M24" s="104" t="str">
        <f>IFERROR(VLOOKUP(L$24,Auswahlfelder!$D$54:$D$57,1,FALSE),VLOOKUP(L$24,Auswahlfelder!$C$54:$D$57,2,FALSE))</f>
        <v>Hot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">
        <v>623</v>
      </c>
      <c r="J29" s="18"/>
      <c r="K29" s="104" t="e">
        <f>IF(K$31="nein",0,L29)</f>
        <v>#N/A</v>
      </c>
      <c r="L29" s="296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17</v>
      </c>
      <c r="P45" s="104" t="str">
        <f>IFERROR(VLOOKUP(O$45,Auswahlfelder!$I$3:$I$15,1,FALSE),VLOOKUP(O$45,Auswahlfelder!$H$3:$I$15,2,FALSE))</f>
        <v>Polen</v>
      </c>
      <c r="Q45" s="132"/>
      <c r="R45" s="296" t="s">
        <v>14</v>
      </c>
      <c r="S45" s="104" t="str">
        <f>IFERROR(VLOOKUP(R$45,Auswahlfelder!$I$3:$I$15,1,FALSE),VLOOKUP(R$45,Auswahlfelder!$H$3:$I$15,2,FALSE))</f>
        <v>Deutschland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2 shifts</v>
      </c>
      <c r="L46" s="296" t="s">
        <v>20</v>
      </c>
      <c r="M46" s="104" t="str">
        <f>IFERROR(VLOOKUP(L$46,Auswahlfelder!$D$7:$D$9,1,FALSE),VLOOKUP(L$46,Auswahlfelder!$C$7:$D$9,2,FALSE))</f>
        <v>2-Schicht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20</v>
      </c>
      <c r="S46" s="104" t="str">
        <f>IFERROR(VLOOKUP(R$46,Auswahlfelder!$D$7:$D$9,1,FALSE),VLOOKUP(R$46,Auswahlfelder!$C$7:$D$9,2,FALSE))</f>
        <v>2-Schicht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500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20</v>
      </c>
      <c r="M67" s="278">
        <f>Refkalkulation!H$67</f>
        <v>20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0.6</v>
      </c>
      <c r="M71" s="122">
        <f>Refkalkulation!H$86</f>
        <v>0.6</v>
      </c>
      <c r="N71" s="122"/>
      <c r="O71" s="961">
        <f>P$71</f>
        <v>0</v>
      </c>
      <c r="P71" s="122">
        <f>Refkalkulation!K$86</f>
        <v>0</v>
      </c>
      <c r="Q71" s="279"/>
      <c r="R71" s="961">
        <f>S$71</f>
        <v>0</v>
      </c>
      <c r="S71" s="122">
        <f>Refkalkulation!N$86</f>
        <v>0</v>
      </c>
      <c r="T71" s="279"/>
      <c r="U71" s="961">
        <f t="shared" ref="U71" si="39">V$71</f>
        <v>0</v>
      </c>
      <c r="V71" s="122">
        <f>Refkalkulation!Q$86</f>
        <v>0</v>
      </c>
      <c r="W71" s="279"/>
      <c r="X71" s="961">
        <f t="shared" ref="X71" si="40">Y$71</f>
        <v>0</v>
      </c>
      <c r="Y71" s="122">
        <f>Refkalkulation!T$86</f>
        <v>0</v>
      </c>
      <c r="Z71" s="279"/>
      <c r="AA71" s="961">
        <f t="shared" ref="AA71" si="41">AB$71</f>
        <v>0</v>
      </c>
      <c r="AB71" s="681">
        <f>Refkalkulation!W$86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Refkalkulation!H$88</f>
        <v>0.02</v>
      </c>
      <c r="N72" s="279"/>
      <c r="O72" s="135">
        <f>P$72</f>
        <v>0.02</v>
      </c>
      <c r="P72" s="235">
        <f>Refkalkulation!K$88</f>
        <v>0.02</v>
      </c>
      <c r="Q72" s="279"/>
      <c r="R72" s="135">
        <f t="shared" ref="R72" si="42">S$72</f>
        <v>0.02</v>
      </c>
      <c r="S72" s="235">
        <f>Refkalkulation!N$88</f>
        <v>0.02</v>
      </c>
      <c r="T72" s="279"/>
      <c r="U72" s="135">
        <f t="shared" ref="U72" si="43">V$72</f>
        <v>0</v>
      </c>
      <c r="V72" s="235">
        <f>Refkalkulation!Q$88</f>
        <v>0</v>
      </c>
      <c r="W72" s="279"/>
      <c r="X72" s="135">
        <f t="shared" ref="X72" si="44">Y$72</f>
        <v>0</v>
      </c>
      <c r="Y72" s="235">
        <f>Refkalkulation!T$88</f>
        <v>0</v>
      </c>
      <c r="Z72" s="279"/>
      <c r="AA72" s="135">
        <f t="shared" ref="AA72" si="45">AB$72</f>
        <v>0</v>
      </c>
      <c r="AB72" s="277">
        <f>Refkalkulation!W$88</f>
        <v>0</v>
      </c>
      <c r="AC72" s="3"/>
    </row>
    <row r="73" spans="1:29" hidden="1" x14ac:dyDescent="0.2">
      <c r="A73" s="26"/>
      <c r="B73" s="327">
        <v>60</v>
      </c>
      <c r="C73" s="324" t="s">
        <v>995</v>
      </c>
      <c r="D73" s="324" t="s">
        <v>996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Refkalkulation!H$91</f>
        <v>400</v>
      </c>
      <c r="N73" s="279"/>
      <c r="O73" s="187">
        <f>P$73</f>
        <v>300</v>
      </c>
      <c r="P73" s="278">
        <f>Refkalkulation!K$91</f>
        <v>300</v>
      </c>
      <c r="Q73" s="279"/>
      <c r="R73" s="187">
        <f t="shared" ref="R73" si="46">S$73</f>
        <v>300</v>
      </c>
      <c r="S73" s="278">
        <f>Refkalkulation!N$91</f>
        <v>300</v>
      </c>
      <c r="T73" s="279"/>
      <c r="U73" s="187">
        <f t="shared" ref="U73" si="47">V$73</f>
        <v>0</v>
      </c>
      <c r="V73" s="278">
        <f>Refkalkulation!Q$91</f>
        <v>0</v>
      </c>
      <c r="W73" s="279"/>
      <c r="X73" s="187">
        <f t="shared" ref="X73" si="48">Y$73</f>
        <v>0</v>
      </c>
      <c r="Y73" s="278">
        <f>Refkalkulation!T$91</f>
        <v>0</v>
      </c>
      <c r="Z73" s="279"/>
      <c r="AA73" s="187">
        <f t="shared" ref="AA73" si="49">AB$73</f>
        <v>0</v>
      </c>
      <c r="AB73" s="714">
        <f>Refkalkulation!W$91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0.41742621527777779</v>
      </c>
      <c r="M74" s="278">
        <f>Refkalkulation!H$94</f>
        <v>0.41742621527777779</v>
      </c>
      <c r="N74" s="279"/>
      <c r="O74" s="961">
        <f>P$74</f>
        <v>0.30864583333333334</v>
      </c>
      <c r="P74" s="278">
        <f>Refkalkulation!K$94</f>
        <v>0.30864583333333334</v>
      </c>
      <c r="Q74" s="279"/>
      <c r="R74" s="961">
        <f t="shared" ref="R74" si="50">S$74</f>
        <v>0.33394097222222224</v>
      </c>
      <c r="S74" s="278">
        <f>Refkalkulation!N$94</f>
        <v>0.33394097222222224</v>
      </c>
      <c r="T74" s="279"/>
      <c r="U74" s="961">
        <f t="shared" ref="U74" si="51">V$74</f>
        <v>0</v>
      </c>
      <c r="V74" s="278">
        <f>Refkalkulation!Q$94</f>
        <v>0</v>
      </c>
      <c r="W74" s="279"/>
      <c r="X74" s="961">
        <f t="shared" ref="X74" si="52">Y$74</f>
        <v>0</v>
      </c>
      <c r="Y74" s="278">
        <f>Refkalkulation!T$94</f>
        <v>0</v>
      </c>
      <c r="Z74" s="279"/>
      <c r="AA74" s="961">
        <f t="shared" ref="AA74" si="53">AB$74</f>
        <v>0</v>
      </c>
      <c r="AB74" s="380">
        <f>Refkalkulation!W$94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0.37082465277777776</v>
      </c>
      <c r="M75" s="235">
        <f>Refkalkulation!H$97</f>
        <v>0.37082465277777776</v>
      </c>
      <c r="N75" s="279"/>
      <c r="O75" s="961">
        <f>P$75</f>
        <v>0.34611111111111109</v>
      </c>
      <c r="P75" s="235">
        <f>Refkalkulation!K$97</f>
        <v>0.34611111111111109</v>
      </c>
      <c r="Q75" s="279"/>
      <c r="R75" s="961">
        <f t="shared" ref="R75" si="55">S$75</f>
        <v>0.24721643518518516</v>
      </c>
      <c r="S75" s="235">
        <f>Refkalkulation!N$97</f>
        <v>0.24721643518518516</v>
      </c>
      <c r="T75" s="279"/>
      <c r="U75" s="961">
        <f t="shared" ref="U75" si="56">V$75</f>
        <v>0</v>
      </c>
      <c r="V75" s="235">
        <f>Refkalkulation!Q$97</f>
        <v>0</v>
      </c>
      <c r="W75" s="279"/>
      <c r="X75" s="961">
        <f t="shared" ref="X75" si="57">Y$75</f>
        <v>0</v>
      </c>
      <c r="Y75" s="235">
        <f>Refkalkulation!T$97</f>
        <v>0</v>
      </c>
      <c r="Z75" s="279"/>
      <c r="AA75" s="961">
        <f t="shared" ref="AA75" si="58">AB$75</f>
        <v>0</v>
      </c>
      <c r="AB75" s="277">
        <f>Refkalkulation!W$97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1.8357928240740744</v>
      </c>
      <c r="M76" s="235">
        <f>Refkalkulation!H$99</f>
        <v>1.8357928240740744</v>
      </c>
      <c r="N76" s="279"/>
      <c r="O76" s="961">
        <f>P$76</f>
        <v>1.7619212962962969</v>
      </c>
      <c r="P76" s="235">
        <f>Refkalkulation!K$99</f>
        <v>1.7619212962962969</v>
      </c>
      <c r="Q76" s="279"/>
      <c r="R76" s="961">
        <f t="shared" ref="R76" si="59">S$76</f>
        <v>1.1014756944444448</v>
      </c>
      <c r="S76" s="235">
        <f>Refkalkulation!N$99</f>
        <v>1.1014756944444448</v>
      </c>
      <c r="T76" s="279"/>
      <c r="U76" s="961">
        <f t="shared" ref="U76" si="60">V$76</f>
        <v>0</v>
      </c>
      <c r="V76" s="235">
        <f>Refkalkulation!Q$99</f>
        <v>0</v>
      </c>
      <c r="W76" s="279"/>
      <c r="X76" s="961">
        <f t="shared" ref="X76" si="61">Y$76</f>
        <v>0</v>
      </c>
      <c r="Y76" s="235">
        <f>Refkalkulation!T$99</f>
        <v>0</v>
      </c>
      <c r="Z76" s="279"/>
      <c r="AA76" s="961">
        <f t="shared" ref="AA76" si="62">AB$76</f>
        <v>0</v>
      </c>
      <c r="AB76" s="277">
        <f>Refkalkulation!W$99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Refkalkulation!H$102</f>
        <v>0.5</v>
      </c>
      <c r="N77" s="279"/>
      <c r="O77" s="794">
        <f>P$77</f>
        <v>0.5</v>
      </c>
      <c r="P77" s="235">
        <f>Refkalkulation!K$102</f>
        <v>0.5</v>
      </c>
      <c r="Q77" s="279"/>
      <c r="R77" s="794">
        <f>S$77</f>
        <v>0.5</v>
      </c>
      <c r="S77" s="235">
        <f>Refkalkulation!N$102</f>
        <v>0.5</v>
      </c>
      <c r="T77" s="279"/>
      <c r="U77" s="794">
        <f>V$77</f>
        <v>0.5</v>
      </c>
      <c r="V77" s="235">
        <f>Refkalkulation!Q$102</f>
        <v>0.5</v>
      </c>
      <c r="W77" s="279"/>
      <c r="X77" s="794">
        <f>Y$77</f>
        <v>0.5</v>
      </c>
      <c r="Y77" s="235">
        <f>Refkalkulation!T$102</f>
        <v>0.5</v>
      </c>
      <c r="Z77" s="279"/>
      <c r="AA77" s="794">
        <f>AB$77</f>
        <v>0.5</v>
      </c>
      <c r="AB77" s="277">
        <f>Refkalkulation!W$102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Refkalkulation!H$101</f>
        <v>0</v>
      </c>
      <c r="N78" s="122"/>
      <c r="O78" s="135">
        <f>P$78</f>
        <v>0</v>
      </c>
      <c r="P78" s="122">
        <f>Refkalkulation!K$101</f>
        <v>0</v>
      </c>
      <c r="Q78" s="279"/>
      <c r="R78" s="135">
        <f>S$78</f>
        <v>0</v>
      </c>
      <c r="S78" s="122">
        <f>Refkalkulation!N$101</f>
        <v>0</v>
      </c>
      <c r="T78" s="279"/>
      <c r="U78" s="135">
        <f>V$78</f>
        <v>0</v>
      </c>
      <c r="V78" s="122">
        <f>Refkalkulation!Q$101</f>
        <v>0</v>
      </c>
      <c r="W78" s="279"/>
      <c r="X78" s="135">
        <f>Y$78</f>
        <v>0</v>
      </c>
      <c r="Y78" s="122">
        <f>Refkalkulation!T$101</f>
        <v>0</v>
      </c>
      <c r="Z78" s="279"/>
      <c r="AA78" s="135">
        <f>AB$78</f>
        <v>0</v>
      </c>
      <c r="AB78" s="681">
        <f>Refkalkulation!W$101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Refkalkulation!H$108</f>
        <v>0.1</v>
      </c>
      <c r="N79" s="279"/>
      <c r="O79" s="135">
        <f>P$79</f>
        <v>0.1</v>
      </c>
      <c r="P79" s="235">
        <f>Refkalkulation!K$108</f>
        <v>0.1</v>
      </c>
      <c r="Q79" s="279"/>
      <c r="R79" s="135">
        <f>S$79</f>
        <v>0.1</v>
      </c>
      <c r="S79" s="235">
        <f>Refkalkulation!N$108</f>
        <v>0.1</v>
      </c>
      <c r="T79" s="279"/>
      <c r="U79" s="135">
        <f>V$79</f>
        <v>0</v>
      </c>
      <c r="V79" s="235">
        <f>Refkalkulation!Q$108</f>
        <v>0</v>
      </c>
      <c r="W79" s="279"/>
      <c r="X79" s="135">
        <f>Y$79</f>
        <v>0</v>
      </c>
      <c r="Y79" s="235">
        <f>Refkalkulation!T$108</f>
        <v>0</v>
      </c>
      <c r="Z79" s="279"/>
      <c r="AA79" s="135">
        <f>AB$79</f>
        <v>0</v>
      </c>
      <c r="AB79" s="277">
        <f>Refkalkulation!W$108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Refkalkulation!H$114</f>
        <v>0.12</v>
      </c>
      <c r="N80" s="279"/>
      <c r="O80" s="135">
        <f>P$80</f>
        <v>0.12</v>
      </c>
      <c r="P80" s="235">
        <f>Refkalkulation!K$114</f>
        <v>0.12</v>
      </c>
      <c r="Q80" s="279"/>
      <c r="R80" s="135">
        <f t="shared" ref="R80" si="64">S$80</f>
        <v>0.12</v>
      </c>
      <c r="S80" s="235">
        <f>Refkalkulation!N$114</f>
        <v>0.12</v>
      </c>
      <c r="T80" s="279"/>
      <c r="U80" s="135">
        <f t="shared" ref="U80" si="65">V$80</f>
        <v>0.12</v>
      </c>
      <c r="V80" s="235">
        <f>Refkalkulation!Q$114</f>
        <v>0.12</v>
      </c>
      <c r="W80" s="279"/>
      <c r="X80" s="135">
        <f t="shared" ref="X80" si="66">Y$80</f>
        <v>0.12</v>
      </c>
      <c r="Y80" s="235">
        <f>Refkalkulation!T$114</f>
        <v>0.12</v>
      </c>
      <c r="Z80" s="279"/>
      <c r="AA80" s="135">
        <f t="shared" ref="AA80" si="67">AB$80</f>
        <v>0.12</v>
      </c>
      <c r="AB80" s="277">
        <f>Refkalkulation!W$114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Refkalkulation!H$118</f>
        <v>0</v>
      </c>
      <c r="N81" s="279"/>
      <c r="O81" s="135">
        <f>P$81</f>
        <v>0</v>
      </c>
      <c r="P81" s="235">
        <f>Refkalkulation!K$118</f>
        <v>0</v>
      </c>
      <c r="Q81" s="279"/>
      <c r="R81" s="135">
        <f t="shared" ref="R81" si="68">S$81</f>
        <v>0</v>
      </c>
      <c r="S81" s="235">
        <f>Refkalkulation!N$118</f>
        <v>0</v>
      </c>
      <c r="T81" s="279"/>
      <c r="U81" s="135">
        <f t="shared" ref="U81" si="69">V$81</f>
        <v>0</v>
      </c>
      <c r="V81" s="235">
        <f>Refkalkulation!Q$118</f>
        <v>0</v>
      </c>
      <c r="W81" s="279"/>
      <c r="X81" s="135">
        <f t="shared" ref="X81" si="70">Y$81</f>
        <v>0</v>
      </c>
      <c r="Y81" s="235">
        <f>Refkalkulation!T$118</f>
        <v>0</v>
      </c>
      <c r="Z81" s="279"/>
      <c r="AA81" s="135">
        <f t="shared" ref="AA81" si="71">AB$81</f>
        <v>0</v>
      </c>
      <c r="AB81" s="235">
        <f>Refkalkulation!W$118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Refkalkulation!H$119</f>
        <v>0</v>
      </c>
      <c r="N82" s="279"/>
      <c r="O82" s="135">
        <f>P$82</f>
        <v>0</v>
      </c>
      <c r="P82" s="235">
        <f>Refkalkulation!K$119</f>
        <v>0</v>
      </c>
      <c r="Q82" s="279"/>
      <c r="R82" s="135">
        <f>S$82</f>
        <v>0</v>
      </c>
      <c r="S82" s="235">
        <f>Refkalkulation!N$119</f>
        <v>0</v>
      </c>
      <c r="T82" s="279"/>
      <c r="U82" s="135">
        <f>V$82</f>
        <v>0</v>
      </c>
      <c r="V82" s="235">
        <f>Refkalkulation!Q$119</f>
        <v>0</v>
      </c>
      <c r="W82" s="279"/>
      <c r="X82" s="135">
        <f>Y$82</f>
        <v>0</v>
      </c>
      <c r="Y82" s="235">
        <f>Refkalkulation!T$119</f>
        <v>0</v>
      </c>
      <c r="Z82" s="279"/>
      <c r="AA82" s="135">
        <f>AB$82</f>
        <v>0</v>
      </c>
      <c r="AB82" s="277">
        <f>Refkalkulation!W$119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15" priority="65" stopIfTrue="1">
      <formula>VALUE(L12="Materialdatenbank")</formula>
    </cfRule>
  </conditionalFormatting>
  <conditionalFormatting sqref="O36 R36 U36 AA36 L36 X36">
    <cfRule type="cellIs" dxfId="214" priority="66" stopIfTrue="1" operator="notBetween">
      <formula>$E$36</formula>
      <formula>$F$36</formula>
    </cfRule>
  </conditionalFormatting>
  <conditionalFormatting sqref="L11 L20 O20 X20 R20 U20 AA20 O11 R11 U11 X11 AA11">
    <cfRule type="expression" dxfId="213" priority="70" stopIfTrue="1">
      <formula>K$11=0</formula>
    </cfRule>
  </conditionalFormatting>
  <conditionalFormatting sqref="L44">
    <cfRule type="cellIs" dxfId="212" priority="71" stopIfTrue="1" operator="lessThan">
      <formula>$E44</formula>
    </cfRule>
  </conditionalFormatting>
  <conditionalFormatting sqref="AA37:AA43 R37:R43 U37:U43 X37:X43 O37:O43 L37:L43">
    <cfRule type="cellIs" dxfId="211" priority="72" stopIfTrue="1" operator="greaterThan">
      <formula>M$36</formula>
    </cfRule>
  </conditionalFormatting>
  <conditionalFormatting sqref="AA8:AA9 O8:O9 R8:R9 U8:U9 X8:X9 L9">
    <cfRule type="cellIs" dxfId="210" priority="73" operator="equal">
      <formula>"?"</formula>
    </cfRule>
  </conditionalFormatting>
  <conditionalFormatting sqref="X4:X5">
    <cfRule type="cellIs" dxfId="209" priority="74" operator="equal">
      <formula>FALSE</formula>
    </cfRule>
  </conditionalFormatting>
  <conditionalFormatting sqref="L13 O13 R13 U13 X13 AA13">
    <cfRule type="cellIs" dxfId="208" priority="431" operator="notBetween">
      <formula>$E13</formula>
      <formula>$F13</formula>
    </cfRule>
  </conditionalFormatting>
  <conditionalFormatting sqref="L28">
    <cfRule type="expression" dxfId="207" priority="60" stopIfTrue="1">
      <formula>VALUE(#REF!="Materialdatenbank")</formula>
    </cfRule>
  </conditionalFormatting>
  <conditionalFormatting sqref="L29">
    <cfRule type="expression" dxfId="206" priority="59" stopIfTrue="1">
      <formula>VALUE(#REF!="Materialdatenbank")</formula>
    </cfRule>
  </conditionalFormatting>
  <conditionalFormatting sqref="L30">
    <cfRule type="expression" dxfId="205" priority="58" stopIfTrue="1">
      <formula>VALUE(#REF!="Materialdatenbank")</formula>
    </cfRule>
  </conditionalFormatting>
  <conditionalFormatting sqref="O28">
    <cfRule type="expression" dxfId="204" priority="57" stopIfTrue="1">
      <formula>VALUE(#REF!="Materialdatenbank")</formula>
    </cfRule>
  </conditionalFormatting>
  <conditionalFormatting sqref="O29">
    <cfRule type="expression" dxfId="203" priority="56" stopIfTrue="1">
      <formula>VALUE(#REF!="Materialdatenbank")</formula>
    </cfRule>
  </conditionalFormatting>
  <conditionalFormatting sqref="O30">
    <cfRule type="expression" dxfId="202" priority="55" stopIfTrue="1">
      <formula>VALUE(#REF!="Materialdatenbank")</formula>
    </cfRule>
  </conditionalFormatting>
  <conditionalFormatting sqref="R28">
    <cfRule type="expression" dxfId="201" priority="42" stopIfTrue="1">
      <formula>VALUE(#REF!="Materialdatenbank")</formula>
    </cfRule>
  </conditionalFormatting>
  <conditionalFormatting sqref="R29">
    <cfRule type="expression" dxfId="200" priority="41" stopIfTrue="1">
      <formula>VALUE(#REF!="Materialdatenbank")</formula>
    </cfRule>
  </conditionalFormatting>
  <conditionalFormatting sqref="R30">
    <cfRule type="expression" dxfId="199" priority="40" stopIfTrue="1">
      <formula>VALUE(#REF!="Materialdatenbank")</formula>
    </cfRule>
  </conditionalFormatting>
  <conditionalFormatting sqref="U28">
    <cfRule type="expression" dxfId="198" priority="39" stopIfTrue="1">
      <formula>VALUE(#REF!="Materialdatenbank")</formula>
    </cfRule>
  </conditionalFormatting>
  <conditionalFormatting sqref="U29">
    <cfRule type="expression" dxfId="197" priority="38" stopIfTrue="1">
      <formula>VALUE(#REF!="Materialdatenbank")</formula>
    </cfRule>
  </conditionalFormatting>
  <conditionalFormatting sqref="U30">
    <cfRule type="expression" dxfId="196" priority="37" stopIfTrue="1">
      <formula>VALUE(#REF!="Materialdatenbank")</formula>
    </cfRule>
  </conditionalFormatting>
  <conditionalFormatting sqref="X28">
    <cfRule type="expression" dxfId="195" priority="36" stopIfTrue="1">
      <formula>VALUE(#REF!="Materialdatenbank")</formula>
    </cfRule>
  </conditionalFormatting>
  <conditionalFormatting sqref="X29">
    <cfRule type="expression" dxfId="194" priority="35" stopIfTrue="1">
      <formula>VALUE(#REF!="Materialdatenbank")</formula>
    </cfRule>
  </conditionalFormatting>
  <conditionalFormatting sqref="X30">
    <cfRule type="expression" dxfId="193" priority="34" stopIfTrue="1">
      <formula>VALUE(#REF!="Materialdatenbank")</formula>
    </cfRule>
  </conditionalFormatting>
  <conditionalFormatting sqref="AA28">
    <cfRule type="expression" dxfId="192" priority="33" stopIfTrue="1">
      <formula>VALUE(#REF!="Materialdatenbank")</formula>
    </cfRule>
  </conditionalFormatting>
  <conditionalFormatting sqref="AA29">
    <cfRule type="expression" dxfId="191" priority="32" stopIfTrue="1">
      <formula>VALUE(#REF!="Materialdatenbank")</formula>
    </cfRule>
  </conditionalFormatting>
  <conditionalFormatting sqref="AA30">
    <cfRule type="expression" dxfId="190" priority="31" stopIfTrue="1">
      <formula>VALUE(#REF!="Materialdatenbank")</formula>
    </cfRule>
  </conditionalFormatting>
  <conditionalFormatting sqref="L25">
    <cfRule type="expression" dxfId="189" priority="23" stopIfTrue="1">
      <formula>VALUE(#REF!="Materialdatenbank")</formula>
    </cfRule>
  </conditionalFormatting>
  <conditionalFormatting sqref="O25">
    <cfRule type="expression" dxfId="188" priority="22" stopIfTrue="1">
      <formula>VALUE(#REF!="Materialdatenbank")</formula>
    </cfRule>
  </conditionalFormatting>
  <conditionalFormatting sqref="R25">
    <cfRule type="expression" dxfId="187" priority="21" stopIfTrue="1">
      <formula>VALUE(#REF!="Materialdatenbank")</formula>
    </cfRule>
  </conditionalFormatting>
  <conditionalFormatting sqref="U25">
    <cfRule type="expression" dxfId="186" priority="20" stopIfTrue="1">
      <formula>VALUE(#REF!="Materialdatenbank")</formula>
    </cfRule>
  </conditionalFormatting>
  <conditionalFormatting sqref="X25">
    <cfRule type="expression" dxfId="185" priority="19" stopIfTrue="1">
      <formula>VALUE(#REF!="Materialdatenbank")</formula>
    </cfRule>
  </conditionalFormatting>
  <conditionalFormatting sqref="AA25">
    <cfRule type="expression" dxfId="184" priority="18" stopIfTrue="1">
      <formula>VALUE(#REF!="Materialdatenbank")</formula>
    </cfRule>
  </conditionalFormatting>
  <conditionalFormatting sqref="L26">
    <cfRule type="expression" dxfId="183" priority="17" stopIfTrue="1">
      <formula>VALUE(#REF!="Materialdatenbank")</formula>
    </cfRule>
  </conditionalFormatting>
  <conditionalFormatting sqref="O26">
    <cfRule type="expression" dxfId="182" priority="16" stopIfTrue="1">
      <formula>VALUE(#REF!="Materialdatenbank")</formula>
    </cfRule>
  </conditionalFormatting>
  <conditionalFormatting sqref="R26">
    <cfRule type="expression" dxfId="181" priority="15" stopIfTrue="1">
      <formula>VALUE(#REF!="Materialdatenbank")</formula>
    </cfRule>
  </conditionalFormatting>
  <conditionalFormatting sqref="U26">
    <cfRule type="expression" dxfId="180" priority="14" stopIfTrue="1">
      <formula>VALUE(#REF!="Materialdatenbank")</formula>
    </cfRule>
  </conditionalFormatting>
  <conditionalFormatting sqref="X26">
    <cfRule type="expression" dxfId="179" priority="13" stopIfTrue="1">
      <formula>VALUE(#REF!="Materialdatenbank")</formula>
    </cfRule>
  </conditionalFormatting>
  <conditionalFormatting sqref="AA26">
    <cfRule type="expression" dxfId="178" priority="12" stopIfTrue="1">
      <formula>VALUE(#REF!="Materialdatenbank")</formula>
    </cfRule>
  </conditionalFormatting>
  <conditionalFormatting sqref="L27">
    <cfRule type="expression" dxfId="177" priority="11" stopIfTrue="1">
      <formula>VALUE(#REF!="Materialdatenbank")</formula>
    </cfRule>
  </conditionalFormatting>
  <conditionalFormatting sqref="O27">
    <cfRule type="expression" dxfId="176" priority="10" stopIfTrue="1">
      <formula>VALUE(#REF!="Materialdatenbank")</formula>
    </cfRule>
  </conditionalFormatting>
  <conditionalFormatting sqref="R27">
    <cfRule type="expression" dxfId="175" priority="9" stopIfTrue="1">
      <formula>VALUE(#REF!="Materialdatenbank")</formula>
    </cfRule>
  </conditionalFormatting>
  <conditionalFormatting sqref="U27">
    <cfRule type="expression" dxfId="174" priority="8" stopIfTrue="1">
      <formula>VALUE(#REF!="Materialdatenbank")</formula>
    </cfRule>
  </conditionalFormatting>
  <conditionalFormatting sqref="X27">
    <cfRule type="expression" dxfId="173" priority="7" stopIfTrue="1">
      <formula>VALUE(#REF!="Materialdatenbank")</formula>
    </cfRule>
  </conditionalFormatting>
  <conditionalFormatting sqref="AA27">
    <cfRule type="expression" dxfId="172" priority="6" stopIfTrue="1">
      <formula>VALUE(#REF!="Materialdatenbank")</formula>
    </cfRule>
  </conditionalFormatting>
  <conditionalFormatting sqref="L8">
    <cfRule type="cellIs" dxfId="171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45"/>
  <sheetViews>
    <sheetView zoomScaleNormal="100" workbookViewId="0">
      <pane xSplit="6" ySplit="8" topLeftCell="G46" activePane="bottomRight" state="frozenSplit"/>
      <selection activeCell="L30" sqref="L30"/>
      <selection pane="topRight" activeCell="L30" sqref="L30"/>
      <selection pane="bottomLeft" activeCell="L30" sqref="L30"/>
      <selection pane="bottomRight" activeCell="H67" sqref="H67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OR(ISERROR(H122),H5="?",H5=0,H12=0,H16=0,H24=0)</f>
        <v>0</v>
      </c>
      <c r="I2" s="67"/>
      <c r="J2" s="67"/>
      <c r="K2" s="390" t="b">
        <f>OR(ISERROR(K122),K5="?",K5=0,K12=0,K16=0,K24=0)</f>
        <v>0</v>
      </c>
      <c r="L2" s="67"/>
      <c r="M2" s="67"/>
      <c r="N2" s="390" t="b">
        <f>OR(ISERROR(N122),N5="?",N5=0,N12=0,N16=0,N24=0)</f>
        <v>0</v>
      </c>
      <c r="O2" s="67"/>
      <c r="P2" s="67"/>
      <c r="Q2" s="390" t="b">
        <f>OR(ISERROR(Q122),Q5="?",Q5=0,Q12=0,Q16=0,Q24=0)</f>
        <v>1</v>
      </c>
      <c r="R2" s="67"/>
      <c r="S2" s="67"/>
      <c r="T2" s="390" t="b">
        <f>OR(ISERROR(T122),T5="?",T5=0,T12=0,T16=0,T24=0)</f>
        <v>1</v>
      </c>
      <c r="U2" s="67"/>
      <c r="V2" s="67"/>
      <c r="W2" s="390" t="b">
        <f>OR(ISERROR(W122),W5="?",W5=0,W12=0,W16=0,W24=0)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Polen</v>
      </c>
      <c r="L7" s="78" t="s">
        <v>288</v>
      </c>
      <c r="M7" s="78"/>
      <c r="N7" s="68" t="str">
        <f>VLOOKUP('Quick Input'!S$45,DB_Länder,IF(Deutsch,1,2),FALSE)</f>
        <v>Deutschland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4.5433738550957354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4.6110675823957674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1.0796384026159551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16.503044154272455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0.22222222222222221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12.513528138528136</v>
      </c>
      <c r="I35" s="634" t="s">
        <v>288</v>
      </c>
      <c r="J35" s="634"/>
      <c r="K35" s="136">
        <f>Parametrikber!I$108</f>
        <v>15.245912447257387</v>
      </c>
      <c r="L35" s="78" t="s">
        <v>288</v>
      </c>
      <c r="M35" s="78"/>
      <c r="N35" s="136">
        <f>Parametrikber!L$108</f>
        <v>22.671568627450977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6.4886999937268458E-2</v>
      </c>
      <c r="I36" s="634" t="s">
        <v>288</v>
      </c>
      <c r="J36" s="634"/>
      <c r="K36" s="85">
        <f>K$34/60*K$33/Parametrikber!I$101*K$35</f>
        <v>7.907880277736748E-2</v>
      </c>
      <c r="L36" s="634" t="s">
        <v>288</v>
      </c>
      <c r="M36" s="634"/>
      <c r="N36" s="85">
        <f>N$34/60*N$33/Parametrikber!L$101*N$35</f>
        <v>0.11759483142422641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0.1237</v>
      </c>
      <c r="L38" s="634" t="s">
        <v>288</v>
      </c>
      <c r="M38" s="634"/>
      <c r="N38" s="101">
        <f>Parametrikber!L$210</f>
        <v>5.2999999999999999E-2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0.6555359104363192</v>
      </c>
      <c r="L39" s="78" t="s">
        <v>288</v>
      </c>
      <c r="M39" s="78"/>
      <c r="N39" s="85">
        <f>N$33*N$37*N$38</f>
        <v>0.28086825588621595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29.420724999999997</v>
      </c>
      <c r="I41" s="634" t="s">
        <v>288</v>
      </c>
      <c r="J41" s="634"/>
      <c r="K41" s="136">
        <f>Parametrikber!I$21</f>
        <v>7.4557889999999984</v>
      </c>
      <c r="L41" s="78" t="s">
        <v>288</v>
      </c>
      <c r="M41" s="78"/>
      <c r="N41" s="136">
        <f>Parametrikber!L$21</f>
        <v>29.420724999999997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0.1127165191564623</v>
      </c>
      <c r="I42" s="634" t="s">
        <v>288</v>
      </c>
      <c r="J42" s="634"/>
      <c r="K42" s="85">
        <f>K$33*(1+K$16)/Parametrikber!I$101*K$34/60*K$40*K$41</f>
        <v>2.8573046686490366E-2</v>
      </c>
      <c r="L42" s="78" t="s">
        <v>288</v>
      </c>
      <c r="M42" s="78"/>
      <c r="N42" s="85">
        <f>N$33*(1+N$16)/Parametrikber!L$101*N$34/60*N$40*N$41</f>
        <v>0.11274993819908186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13.884145</v>
      </c>
      <c r="I44" s="634" t="s">
        <v>288</v>
      </c>
      <c r="J44" s="634"/>
      <c r="K44" s="136">
        <f>Parametrikber!I220</f>
        <v>9.4911577999999999</v>
      </c>
      <c r="L44" s="78" t="s">
        <v>288</v>
      </c>
      <c r="M44" s="78"/>
      <c r="N44" s="136">
        <f>Parametrikber!L220</f>
        <v>13.884145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9.1069492135108978E-3</v>
      </c>
      <c r="I45" s="634" t="s">
        <v>288</v>
      </c>
      <c r="J45" s="634"/>
      <c r="K45" s="85">
        <f>K$43/60*K$44*K$33/Parametrikber!I$101</f>
        <v>1.0687440579520794E-2</v>
      </c>
      <c r="L45" s="78" t="s">
        <v>288</v>
      </c>
      <c r="M45" s="78"/>
      <c r="N45" s="85">
        <f>N$43/60*N$44*N$33/Parametrikber!L$101</f>
        <v>1.563412787056925E-2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H$70+H$88</f>
        <v>0.02</v>
      </c>
      <c r="I46" s="635"/>
      <c r="J46" s="635"/>
      <c r="K46" s="955">
        <f>K$70+K$88</f>
        <v>0.02</v>
      </c>
      <c r="L46" s="635"/>
      <c r="M46" s="635"/>
      <c r="N46" s="955">
        <f>N$70+N$88</f>
        <v>0.02</v>
      </c>
      <c r="O46" s="635"/>
      <c r="P46" s="635"/>
      <c r="Q46" s="955">
        <f>Q$70+Q$88</f>
        <v>0</v>
      </c>
      <c r="R46" s="635"/>
      <c r="S46" s="635"/>
      <c r="T46" s="955">
        <f>T$70+T$88</f>
        <v>0</v>
      </c>
      <c r="U46" s="635"/>
      <c r="V46" s="635"/>
      <c r="W46" s="955">
        <f>W$70+W$88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0.47684538443851526</v>
      </c>
      <c r="I47" s="1058" t="s">
        <v>288</v>
      </c>
      <c r="J47" s="1058"/>
      <c r="K47" s="1057">
        <f>(K42+K36+K39+K45)*(1+K46)</f>
        <v>0.78935270448929185</v>
      </c>
      <c r="L47" s="1059" t="s">
        <v>288</v>
      </c>
      <c r="M47" s="1059"/>
      <c r="N47" s="1057">
        <f>(N42+N36+N39+N45)*(1+N46)</f>
        <v>0.53738409644769536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157.42587560386471</v>
      </c>
      <c r="I54" s="634" t="s">
        <v>288</v>
      </c>
      <c r="J54" s="634"/>
      <c r="K54" s="74">
        <f>Parametrikber!I$137</f>
        <v>472.359713826242</v>
      </c>
      <c r="L54" s="78" t="s">
        <v>288</v>
      </c>
      <c r="M54" s="67"/>
      <c r="N54" s="74">
        <f>Parametrikber!L$137</f>
        <v>704.84528985507234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5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29.420724999999997</v>
      </c>
      <c r="I56" s="634" t="s">
        <v>288</v>
      </c>
      <c r="J56" s="634"/>
      <c r="K56" s="74">
        <f>Parametrikber!I21</f>
        <v>7.4557889999999984</v>
      </c>
      <c r="L56" s="78" t="s">
        <v>288</v>
      </c>
      <c r="M56" s="67"/>
      <c r="N56" s="74">
        <f>Parametrikber!L21</f>
        <v>29.420724999999997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304.52950060386468</v>
      </c>
      <c r="I57" s="634" t="s">
        <v>288</v>
      </c>
      <c r="J57" s="634"/>
      <c r="K57" s="74">
        <f>K$54+K$55*K$56</f>
        <v>494.727080826242</v>
      </c>
      <c r="L57" s="634" t="s">
        <v>288</v>
      </c>
      <c r="M57" s="622"/>
      <c r="N57" s="74">
        <f t="shared" ref="N57" si="15">N$54+N$55*N$56</f>
        <v>793.10746485507229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0.22222222222222221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466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39.419652022611373</v>
      </c>
      <c r="I60" s="634" t="s">
        <v>288</v>
      </c>
      <c r="J60" s="623">
        <f>K$50</f>
        <v>1</v>
      </c>
      <c r="K60" s="85">
        <f>K$57/3600*K$59/K$50</f>
        <v>5.496967564736023</v>
      </c>
      <c r="L60" s="78" t="s">
        <v>288</v>
      </c>
      <c r="M60" s="599">
        <f>N$50</f>
        <v>1</v>
      </c>
      <c r="N60" s="85">
        <f>N$57/3600*N$59/N$50</f>
        <v>8.8123051650563582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56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33.535694999999997</v>
      </c>
      <c r="I64" s="634" t="s">
        <v>288</v>
      </c>
      <c r="J64" s="622"/>
      <c r="K64" s="74">
        <f>Parametrikber!I$22</f>
        <v>10.008107999999998</v>
      </c>
      <c r="L64" s="78" t="s">
        <v>288</v>
      </c>
      <c r="M64" s="67"/>
      <c r="N64" s="74">
        <f>Parametrikber!L$22</f>
        <v>33.535694999999997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284.22753389694037</v>
      </c>
      <c r="I65" s="634" t="s">
        <v>288</v>
      </c>
      <c r="J65" s="622"/>
      <c r="K65" s="74">
        <f>K$62/60*(K$57+K$63*K$64)</f>
        <v>415.62636499589752</v>
      </c>
      <c r="L65" s="78" t="s">
        <v>288</v>
      </c>
      <c r="M65" s="67"/>
      <c r="N65" s="74">
        <f>N$62/60*(N$57+N$63*N$64)</f>
        <v>666.29943143258026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2.8422753389694035</v>
      </c>
      <c r="I66" s="634" t="s">
        <v>288</v>
      </c>
      <c r="J66" s="622"/>
      <c r="K66" s="85">
        <f>K$65/ROUNDUP(K$61,0)</f>
        <v>4.1562636499589756</v>
      </c>
      <c r="L66" s="634" t="s">
        <v>288</v>
      </c>
      <c r="M66" s="622"/>
      <c r="N66" s="85">
        <f>N$65/ROUNDUP(N$61,0)</f>
        <v>6.662994314325803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20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0.22222222222222221</v>
      </c>
      <c r="H68" s="74">
        <f>Parametrikber!F$117</f>
        <v>4.4174325986312393E-2</v>
      </c>
      <c r="I68" s="624">
        <f>Parametrikber!F$115</f>
        <v>30.548148148148147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0.88348651972624781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43.145413881307022</v>
      </c>
      <c r="I72" s="640" t="s">
        <v>288</v>
      </c>
      <c r="J72" s="887"/>
      <c r="K72" s="886">
        <f>K$60+K$66+K$69+K$71</f>
        <v>9.6532312146949977</v>
      </c>
      <c r="L72" s="640" t="s">
        <v>288</v>
      </c>
      <c r="M72" s="887"/>
      <c r="N72" s="886">
        <f t="shared" ref="N72" si="29">N$60+N$66+N$69+N$71</f>
        <v>15.475299479382162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24.820870000000003</v>
      </c>
      <c r="I76" s="634" t="s">
        <v>288</v>
      </c>
      <c r="J76" s="634"/>
      <c r="K76" s="74">
        <f>Parametrikber!I$20</f>
        <v>5.4818280000000001</v>
      </c>
      <c r="L76" s="78" t="s">
        <v>288</v>
      </c>
      <c r="M76" s="78"/>
      <c r="N76" s="74">
        <f>Parametrikber!L$20</f>
        <v>24.820870000000003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24.820870000000003</v>
      </c>
      <c r="I77" s="634" t="s">
        <v>288</v>
      </c>
      <c r="J77" s="634"/>
      <c r="K77" s="85">
        <f>(K74+K75)/60*K76</f>
        <v>0.45681899999999998</v>
      </c>
      <c r="L77" s="634" t="s">
        <v>288</v>
      </c>
      <c r="M77" s="634"/>
      <c r="N77" s="85">
        <f t="shared" ref="N77" si="33">(N74+N75)/60*N76</f>
        <v>2.0684058333333333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1257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Parametrikber!F$235</f>
        <v>26.144585576580216</v>
      </c>
      <c r="I78" s="634" t="s">
        <v>288</v>
      </c>
      <c r="J78" s="634"/>
      <c r="K78" s="140">
        <f>Parametrikber!I$235</f>
        <v>26.139248634013285</v>
      </c>
      <c r="L78" s="634" t="s">
        <v>288</v>
      </c>
      <c r="M78" s="634"/>
      <c r="N78" s="140">
        <f>Parametrikber!L$235</f>
        <v>26.139248634013285</v>
      </c>
      <c r="O78" s="634" t="s">
        <v>288</v>
      </c>
      <c r="P78" s="634"/>
      <c r="Q78" s="140">
        <f>Parametrikber!O$235</f>
        <v>21.333333333333332</v>
      </c>
      <c r="R78" s="634" t="s">
        <v>288</v>
      </c>
      <c r="S78" s="634"/>
      <c r="T78" s="140">
        <f>Parametrikber!R$235</f>
        <v>21.333333333333332</v>
      </c>
      <c r="U78" s="634" t="s">
        <v>288</v>
      </c>
      <c r="V78" s="634"/>
      <c r="W78" s="140">
        <f>Parametrikber!U$235</f>
        <v>21.333333333333332</v>
      </c>
      <c r="X78" s="642"/>
      <c r="Y78" s="78"/>
    </row>
    <row r="79" spans="2:25" x14ac:dyDescent="0.2">
      <c r="C79" s="78"/>
      <c r="D79" s="1257" t="s">
        <v>999</v>
      </c>
      <c r="E79" s="73"/>
      <c r="F79" s="75"/>
      <c r="G79" s="626"/>
      <c r="H79" s="85">
        <f>IF('Quick Input'!L25="ja",(H$78/3600*H$76)+'Maschinen-DB'!E72*(1+'Maschinen-DB'!F72)/'Länder-DB'!I27/Parametrikber!F146/3600*H78+'Maschinen-DB'!G72/3600*H78*VLOOKUP(H$7,DB_Länder,7,FALSE) + 'Maschinen-DB'!H72*VLOOKUP(H$7,DB_Länder,8,FALSE)*12/Parametrikber!F146/3600*H78,0)</f>
        <v>0.23353908427044551</v>
      </c>
      <c r="I79" s="634"/>
      <c r="J79" s="634"/>
      <c r="K79" s="85">
        <f>IF('Quick Input'!O25="ja",(K$78/3600*K$76)+'Maschinen-DB'!E72*(1+'Maschinen-DB'!F72)/'Länder-DB'!I27/Parametrikber!I146/3600*K78+'Maschinen-DB'!G72/3600*K78*VLOOKUP(K$7,DB_Länder,7,FALSE) + 'Maschinen-DB'!H72*VLOOKUP(K$7,DB_Länder,8,FALSE)*12/Parametrikber!I146/3600*K78,0)</f>
        <v>8.881808006724505E-2</v>
      </c>
      <c r="L79" s="634"/>
      <c r="M79" s="634"/>
      <c r="N79" s="85">
        <f>IF('Quick Input'!R25="ja",(N$78/3600*N$76)+'Maschinen-DB'!E72*(1+'Maschinen-DB'!F72)/'Länder-DB'!I27/Parametrikber!L146/3600*N78+'Maschinen-DB'!G72/3600*N78*VLOOKUP(N$7,DB_Länder,7,FALSE) + 'Maschinen-DB'!H72*VLOOKUP(N$7,DB_Länder,8,FALSE)*12/Parametrikber!L146/3600*N78,0)</f>
        <v>0.23349141150561109</v>
      </c>
      <c r="O79" s="634"/>
      <c r="P79" s="634"/>
      <c r="Q79" s="140"/>
      <c r="R79" s="634"/>
      <c r="S79" s="634"/>
      <c r="T79" s="140"/>
      <c r="U79" s="634"/>
      <c r="V79" s="634"/>
      <c r="W79" s="140"/>
      <c r="X79" s="642"/>
      <c r="Y79" s="78"/>
    </row>
    <row r="80" spans="2:25" x14ac:dyDescent="0.2">
      <c r="C80" s="78"/>
      <c r="D80" s="1257" t="s">
        <v>1001</v>
      </c>
      <c r="E80" s="73"/>
      <c r="F80" s="75"/>
      <c r="G80" s="626"/>
      <c r="H80" s="140">
        <f>Parametrikber!F240/Parametrikber!F242*60</f>
        <v>220</v>
      </c>
      <c r="I80" s="634"/>
      <c r="J80" s="634"/>
      <c r="K80" s="140">
        <f>Parametrikber!I240/Parametrikber!I242*60</f>
        <v>220</v>
      </c>
      <c r="L80" s="634"/>
      <c r="M80" s="634"/>
      <c r="N80" s="140">
        <f>Parametrikber!L240/Parametrikber!L242*60</f>
        <v>220</v>
      </c>
      <c r="O80" s="634"/>
      <c r="P80" s="634"/>
      <c r="Q80" s="140"/>
      <c r="R80" s="634"/>
      <c r="S80" s="634"/>
      <c r="T80" s="140"/>
      <c r="U80" s="634"/>
      <c r="V80" s="634"/>
      <c r="W80" s="140"/>
      <c r="X80" s="642"/>
      <c r="Y80" s="78"/>
    </row>
    <row r="81" spans="2:25" x14ac:dyDescent="0.2">
      <c r="C81" s="78"/>
      <c r="D81" s="1257" t="s">
        <v>1002</v>
      </c>
      <c r="E81" s="73"/>
      <c r="F81" s="75"/>
      <c r="G81" s="626"/>
      <c r="H81" s="85">
        <f>IF('Quick Input'!L26="ja",(H$80/3600*H$76)+'Maschinen-DB'!E73*(1+'Maschinen-DB'!F73)/'Länder-DB'!I27/Parametrikber!F146/3600*H80+'Maschinen-DB'!G73/3600*H80*VLOOKUP(H$7,DB_Länder,7,FALSE) + 'Maschinen-DB'!H73*VLOOKUP(H$7,DB_Länder,8,FALSE)*12/Parametrikber!F146/3600*H80,0)</f>
        <v>1.8978491736111114</v>
      </c>
      <c r="I81" s="711"/>
      <c r="J81" s="711"/>
      <c r="K81" s="85">
        <f>IF('Quick Input'!L26="ja",(K$80/3600*K$76)+'Maschinen-DB'!E73*(1+'Maschinen-DB'!F73)/'Länder-DB'!I27/Parametrikber!I146/3600*K80+'Maschinen-DB'!G73/3600*K80*VLOOKUP(K$7,DB_Länder,7,FALSE) + 'Maschinen-DB'!H73*VLOOKUP(K$7,DB_Länder,8,FALSE)*12/Parametrikber!F146/3600*K80,0)</f>
        <v>0.70253619027777769</v>
      </c>
      <c r="L81" s="711"/>
      <c r="M81" s="711"/>
      <c r="N81" s="85">
        <f>IF('Quick Input'!R26="ja",(N$80/3600*N$76)+'Maschinen-DB'!E73*(1+'Maschinen-DB'!F73)/'Länder-DB'!I27/Parametrikber!F146/3600*N80+'Maschinen-DB'!G73/3600*N80*VLOOKUP(N$7,DB_Länder,7,FALSE) + 'Maschinen-DB'!H73*VLOOKUP(N$7,DB_Länder,8,FALSE)*12/Parametrikber!F146/3600*N80,0)</f>
        <v>1.8978491736111114</v>
      </c>
      <c r="O81" s="711"/>
      <c r="P81" s="711"/>
      <c r="Q81" s="136"/>
      <c r="R81" s="711"/>
      <c r="S81" s="711"/>
      <c r="T81" s="136"/>
      <c r="U81" s="711"/>
      <c r="V81" s="711"/>
      <c r="W81" s="136"/>
      <c r="X81" s="642"/>
      <c r="Y81" s="78"/>
    </row>
    <row r="82" spans="2:25" x14ac:dyDescent="0.2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626"/>
      <c r="H82" s="140">
        <f>Parametrikber!F$243</f>
        <v>0</v>
      </c>
      <c r="I82" s="634" t="s">
        <v>288</v>
      </c>
      <c r="J82" s="634"/>
      <c r="K82" s="140">
        <f>Parametrikber!I$243</f>
        <v>0</v>
      </c>
      <c r="L82" s="634" t="s">
        <v>288</v>
      </c>
      <c r="M82" s="634"/>
      <c r="N82" s="140">
        <f>Parametrikber!L$243</f>
        <v>0</v>
      </c>
      <c r="O82" s="634" t="s">
        <v>288</v>
      </c>
      <c r="P82" s="634"/>
      <c r="Q82" s="140">
        <f>Parametrikber!O$243</f>
        <v>0</v>
      </c>
      <c r="R82" s="634" t="s">
        <v>288</v>
      </c>
      <c r="S82" s="634"/>
      <c r="T82" s="140">
        <f>Parametrikber!R$243</f>
        <v>0</v>
      </c>
      <c r="U82" s="634" t="s">
        <v>288</v>
      </c>
      <c r="V82" s="634"/>
      <c r="W82" s="140">
        <f>Parametrikber!U$243</f>
        <v>0</v>
      </c>
      <c r="X82" s="642"/>
      <c r="Y82" s="78"/>
    </row>
    <row r="83" spans="2:25" x14ac:dyDescent="0.2">
      <c r="C83" s="78"/>
      <c r="D83" s="82" t="str">
        <f>IF(Deutsch,"Oberflächenkosten (€/Stk.)","surfaces cost (€/pc.)")</f>
        <v>Oberflächenkosten (€/Stk.)</v>
      </c>
      <c r="E83" s="73"/>
      <c r="F83" s="75"/>
      <c r="G83" s="626"/>
      <c r="H83" s="85">
        <f>H$79+H$81+(H$82/3600*H$76)</f>
        <v>2.1313882578815568</v>
      </c>
      <c r="I83" s="634" t="s">
        <v>288</v>
      </c>
      <c r="J83" s="634"/>
      <c r="K83" s="85">
        <f>K$79+K$81+(K$82/3600*K$76)</f>
        <v>0.7913542703450227</v>
      </c>
      <c r="L83" s="634" t="s">
        <v>288</v>
      </c>
      <c r="M83" s="634"/>
      <c r="N83" s="85">
        <f>N$79+N$81+(N$82/3600*N$76)</f>
        <v>2.1313405851167224</v>
      </c>
      <c r="O83" s="634" t="s">
        <v>288</v>
      </c>
      <c r="P83" s="634"/>
      <c r="Q83" s="85" t="e">
        <f>(Q$78/3600*Q$76)+(#REF!/1000*Q$14)+(Q$82/3600*Q$76)</f>
        <v>#REF!</v>
      </c>
      <c r="R83" s="634" t="s">
        <v>288</v>
      </c>
      <c r="S83" s="634"/>
      <c r="T83" s="85" t="e">
        <f>(T$78/3600*T$76)+(#REF!/1000*T$14)+(T$82/3600*T$76)</f>
        <v>#REF!</v>
      </c>
      <c r="U83" s="634" t="s">
        <v>288</v>
      </c>
      <c r="V83" s="634"/>
      <c r="W83" s="85" t="e">
        <f>(W$78/3600*W$76)+(#REF!/1000*W$14)+(W$82/3600*W$76)</f>
        <v>#REF!</v>
      </c>
      <c r="X83" s="642"/>
      <c r="Y83" s="78"/>
    </row>
    <row r="84" spans="2:25" x14ac:dyDescent="0.2">
      <c r="C84" s="78"/>
      <c r="D84" s="72" t="str">
        <f>IF(Deutsch,"Sandaufbereitung (€/t)","sand regeneration (€/to)")</f>
        <v>Sandaufbereitung (€/t)</v>
      </c>
      <c r="E84" s="73"/>
      <c r="F84" s="75"/>
      <c r="G84" s="626"/>
      <c r="H84" s="74">
        <f>Parametrikber!F$122</f>
        <v>1.4142135623730949</v>
      </c>
      <c r="I84" s="634" t="s">
        <v>288</v>
      </c>
      <c r="J84" s="634"/>
      <c r="K84" s="74">
        <f>Parametrikber!I$122</f>
        <v>1.2477080261564104</v>
      </c>
      <c r="L84" s="78" t="s">
        <v>288</v>
      </c>
      <c r="M84" s="78"/>
      <c r="N84" s="74">
        <f>Parametrikber!L$122</f>
        <v>1.4142135623730949</v>
      </c>
      <c r="O84" s="78" t="s">
        <v>288</v>
      </c>
      <c r="P84" s="78"/>
      <c r="Q84" s="74">
        <f>Parametrikber!O$122</f>
        <v>1.4142135623730949</v>
      </c>
      <c r="R84" s="78" t="s">
        <v>288</v>
      </c>
      <c r="S84" s="78"/>
      <c r="T84" s="74">
        <f>Parametrikber!R$122</f>
        <v>1.4142135623730949</v>
      </c>
      <c r="U84" s="78" t="s">
        <v>288</v>
      </c>
      <c r="V84" s="78"/>
      <c r="W84" s="74">
        <f>Parametrikber!U$122</f>
        <v>1.4142135623730949</v>
      </c>
      <c r="X84" s="642"/>
      <c r="Y84" s="78"/>
    </row>
    <row r="85" spans="2:25" x14ac:dyDescent="0.2">
      <c r="C85" s="78"/>
      <c r="D85" s="82" t="str">
        <f>IF(Deutsch,"Sandaufbereitung (€/Stk.)","sand regeneration (€/pc.)")</f>
        <v>Sandaufbereitung (€/Stk.)</v>
      </c>
      <c r="E85" s="73"/>
      <c r="F85" s="75"/>
      <c r="G85" s="626"/>
      <c r="H85" s="85">
        <f>H$84*Parametrikber!F$75/1000</f>
        <v>0.87206449093386962</v>
      </c>
      <c r="I85" s="634" t="s">
        <v>288</v>
      </c>
      <c r="J85" s="634"/>
      <c r="K85" s="85">
        <f>K$84*Parametrikber!I$75/1000</f>
        <v>0.21705497982013336</v>
      </c>
      <c r="L85" s="78" t="s">
        <v>288</v>
      </c>
      <c r="M85" s="78"/>
      <c r="N85" s="85">
        <f>N$84*Parametrikber!L$75/1000</f>
        <v>0.2460207755398143</v>
      </c>
      <c r="O85" s="78" t="s">
        <v>288</v>
      </c>
      <c r="P85" s="78"/>
      <c r="Q85" s="85" t="e">
        <f>Q$84*Parametrikber!O$75/1000</f>
        <v>#VALUE!</v>
      </c>
      <c r="R85" s="78" t="s">
        <v>288</v>
      </c>
      <c r="S85" s="78"/>
      <c r="T85" s="85" t="e">
        <f>T$84*Parametrikber!R$75/1000</f>
        <v>#VALUE!</v>
      </c>
      <c r="U85" s="78" t="s">
        <v>288</v>
      </c>
      <c r="V85" s="78"/>
      <c r="W85" s="85" t="e">
        <f>W$84*Parametrikber!U$75/1000</f>
        <v>#VALUE!</v>
      </c>
      <c r="X85" s="642"/>
      <c r="Y85" s="78" t="s">
        <v>33</v>
      </c>
    </row>
    <row r="86" spans="2:25" x14ac:dyDescent="0.2">
      <c r="C86" s="78"/>
      <c r="D86" s="72" t="str">
        <f>CONCATENATE(IF(Deutsch,'Quick Input'!C71,'Quick Input'!D71)," (€/kg)")</f>
        <v>Wärmebehandlung (€/kg)</v>
      </c>
      <c r="E86" s="73"/>
      <c r="F86" s="75"/>
      <c r="G86" s="626"/>
      <c r="H86" s="348">
        <v>0.6</v>
      </c>
      <c r="I86" s="635"/>
      <c r="J86" s="635"/>
      <c r="K86" s="348">
        <v>0</v>
      </c>
      <c r="L86" s="361"/>
      <c r="M86" s="361"/>
      <c r="N86" s="348">
        <v>0</v>
      </c>
      <c r="O86" s="361"/>
      <c r="P86" s="361"/>
      <c r="Q86" s="348">
        <v>0</v>
      </c>
      <c r="R86" s="361"/>
      <c r="S86" s="361"/>
      <c r="T86" s="348">
        <v>0</v>
      </c>
      <c r="U86" s="361"/>
      <c r="V86" s="361"/>
      <c r="W86" s="348">
        <v>0</v>
      </c>
      <c r="X86" s="642"/>
      <c r="Y86" s="78"/>
    </row>
    <row r="87" spans="2:25" x14ac:dyDescent="0.2">
      <c r="C87" s="78"/>
      <c r="D87" s="82" t="str">
        <f>IF(Deutsch,"Wärmebehandlung (€/Stk.)","heat treatment (€/pc.")</f>
        <v>Wärmebehandlung (€/Stk.)</v>
      </c>
      <c r="E87" s="73"/>
      <c r="F87" s="75"/>
      <c r="G87" s="626"/>
      <c r="H87" s="85">
        <f>H$86*H$14</f>
        <v>3</v>
      </c>
      <c r="I87" s="634"/>
      <c r="J87" s="634"/>
      <c r="K87" s="85">
        <f>K$86*K$14</f>
        <v>0</v>
      </c>
      <c r="L87" s="78"/>
      <c r="M87" s="78"/>
      <c r="N87" s="85">
        <f>N$86*N$14</f>
        <v>0</v>
      </c>
      <c r="O87" s="78"/>
      <c r="P87" s="78"/>
      <c r="Q87" s="85" t="e">
        <f>Q$86*Q$14</f>
        <v>#VALUE!</v>
      </c>
      <c r="R87" s="78"/>
      <c r="S87" s="78"/>
      <c r="T87" s="85" t="e">
        <f>T$86*T$14</f>
        <v>#VALUE!</v>
      </c>
      <c r="U87" s="78"/>
      <c r="V87" s="78"/>
      <c r="W87" s="85" t="e">
        <f>W$86*W$14</f>
        <v>#VALUE!</v>
      </c>
      <c r="X87" s="642"/>
      <c r="Y87" s="78"/>
    </row>
    <row r="88" spans="2:25" x14ac:dyDescent="0.2">
      <c r="B88" s="55" t="s">
        <v>127</v>
      </c>
      <c r="C88" s="78"/>
      <c r="D88" s="238" t="str">
        <f>'Quick Input'!I72</f>
        <v>Fertigungsausschuss 2</v>
      </c>
      <c r="E88" s="73"/>
      <c r="F88" s="75"/>
      <c r="G88" s="626"/>
      <c r="H88" s="119">
        <v>0.02</v>
      </c>
      <c r="I88" s="635"/>
      <c r="J88" s="635"/>
      <c r="K88" s="119">
        <v>0.02</v>
      </c>
      <c r="L88" s="361"/>
      <c r="M88" s="361"/>
      <c r="N88" s="119">
        <v>0.02</v>
      </c>
      <c r="O88" s="361"/>
      <c r="P88" s="361"/>
      <c r="Q88" s="119">
        <v>0</v>
      </c>
      <c r="R88" s="361"/>
      <c r="S88" s="361"/>
      <c r="T88" s="119">
        <v>0</v>
      </c>
      <c r="U88" s="361"/>
      <c r="V88" s="361"/>
      <c r="W88" s="119">
        <v>0</v>
      </c>
      <c r="X88" s="642"/>
      <c r="Y88" s="78" t="s">
        <v>33</v>
      </c>
    </row>
    <row r="89" spans="2:25" ht="15" thickBot="1" x14ac:dyDescent="0.25">
      <c r="C89" s="78"/>
      <c r="D89" s="116" t="str">
        <f>IF(Deutsch,"Prozesskosten pro Stück","process cost per part")</f>
        <v>Prozesskosten pro Stück</v>
      </c>
      <c r="E89" s="73"/>
      <c r="F89" s="75"/>
      <c r="G89" s="888"/>
      <c r="H89" s="886">
        <f>(1+H88)*(H77+H83+H$85+H$87)</f>
        <v>31.440809203791737</v>
      </c>
      <c r="I89" s="640" t="s">
        <v>288</v>
      </c>
      <c r="J89" s="640"/>
      <c r="K89" s="886">
        <f>(1+K88)*(K77+K83+K$85+K$87)</f>
        <v>1.4945328151684594</v>
      </c>
      <c r="L89" s="640" t="s">
        <v>288</v>
      </c>
      <c r="M89" s="640"/>
      <c r="N89" s="886">
        <f>(1+N88)*(N77+N83+N$85+N$87)</f>
        <v>4.534682537869668</v>
      </c>
      <c r="O89" s="640" t="s">
        <v>288</v>
      </c>
      <c r="P89" s="640"/>
      <c r="Q89" s="886" t="e">
        <f>(1+Q88)*(Q77+Q83+Q$85+Q$87)</f>
        <v>#REF!</v>
      </c>
      <c r="R89" s="640" t="s">
        <v>288</v>
      </c>
      <c r="S89" s="640"/>
      <c r="T89" s="886" t="e">
        <f>(1+T88)*(T77+T83+T$85+T$87)</f>
        <v>#REF!</v>
      </c>
      <c r="U89" s="640" t="s">
        <v>288</v>
      </c>
      <c r="V89" s="640"/>
      <c r="W89" s="886" t="e">
        <f>(1+W88)*(W77+W83+W$85+W$87)</f>
        <v>#REF!</v>
      </c>
      <c r="X89" s="644"/>
      <c r="Y89" s="78" t="s">
        <v>33</v>
      </c>
    </row>
    <row r="90" spans="2:25" ht="28.5" customHeight="1" x14ac:dyDescent="0.2">
      <c r="C90" s="78"/>
      <c r="D90" s="1254" t="str">
        <f>IF(Deutsch,"Prüfen","testing")</f>
        <v>Prüfen</v>
      </c>
      <c r="E90" s="1255"/>
      <c r="F90" s="1256"/>
      <c r="G90" s="626"/>
      <c r="H90" s="949" t="str">
        <f>Parametrikber!F$253</f>
        <v>US PT Röntgen prüfen</v>
      </c>
      <c r="I90" s="950" t="s">
        <v>288</v>
      </c>
      <c r="J90" s="950"/>
      <c r="K90" s="949" t="str">
        <f>Parametrikber!I$253</f>
        <v>US PT Röntgen prüfen</v>
      </c>
      <c r="L90" s="950" t="s">
        <v>288</v>
      </c>
      <c r="M90" s="950"/>
      <c r="N90" s="949" t="str">
        <f>Parametrikber!L$253</f>
        <v>US PT Röntgen prüfen</v>
      </c>
      <c r="O90" s="950" t="s">
        <v>288</v>
      </c>
      <c r="P90" s="950"/>
      <c r="Q90" s="949" t="str">
        <f>Parametrikber!O$253</f>
        <v>ohne Prfg.</v>
      </c>
      <c r="R90" s="950" t="s">
        <v>288</v>
      </c>
      <c r="S90" s="950"/>
      <c r="T90" s="949" t="str">
        <f>Parametrikber!R$253</f>
        <v>ohne Prfg.</v>
      </c>
      <c r="U90" s="950" t="s">
        <v>288</v>
      </c>
      <c r="V90" s="950"/>
      <c r="W90" s="949" t="str">
        <f>Parametrikber!U$253</f>
        <v>ohne Prfg.</v>
      </c>
      <c r="X90" s="642"/>
      <c r="Y90" s="78" t="s">
        <v>33</v>
      </c>
    </row>
    <row r="91" spans="2:25" x14ac:dyDescent="0.2">
      <c r="B91" s="55" t="s">
        <v>127</v>
      </c>
      <c r="C91" s="78"/>
      <c r="D91" s="72" t="str">
        <f>'Quick Input'!I73</f>
        <v>VT Prüfzeit/Teil (sec)</v>
      </c>
      <c r="E91" s="73"/>
      <c r="F91" s="75"/>
      <c r="G91" s="626"/>
      <c r="H91" s="121">
        <v>400</v>
      </c>
      <c r="I91" s="635"/>
      <c r="J91" s="635"/>
      <c r="K91" s="121">
        <v>300</v>
      </c>
      <c r="L91" s="361"/>
      <c r="M91" s="361"/>
      <c r="N91" s="121">
        <v>300</v>
      </c>
      <c r="O91" s="361"/>
      <c r="P91" s="361"/>
      <c r="Q91" s="121">
        <v>0</v>
      </c>
      <c r="R91" s="361"/>
      <c r="S91" s="361"/>
      <c r="T91" s="121">
        <v>0</v>
      </c>
      <c r="U91" s="361"/>
      <c r="V91" s="361"/>
      <c r="W91" s="121">
        <v>0</v>
      </c>
      <c r="X91" s="642"/>
      <c r="Y91" s="78" t="s">
        <v>33</v>
      </c>
    </row>
    <row r="92" spans="2:25" x14ac:dyDescent="0.2">
      <c r="C92" s="78"/>
      <c r="D92" s="72" t="str">
        <f>IF(Deutsch,"Personalkosten Prüfer","personal cost testing")</f>
        <v>Personalkosten Prüfer</v>
      </c>
      <c r="E92" s="73"/>
      <c r="F92" s="75"/>
      <c r="G92" s="626"/>
      <c r="H92" s="74">
        <f>Parametrikber!F$22</f>
        <v>33.535694999999997</v>
      </c>
      <c r="I92" s="634" t="s">
        <v>288</v>
      </c>
      <c r="J92" s="634"/>
      <c r="K92" s="74">
        <f>Parametrikber!I$22</f>
        <v>10.008107999999998</v>
      </c>
      <c r="L92" s="78" t="s">
        <v>288</v>
      </c>
      <c r="M92" s="78"/>
      <c r="N92" s="74">
        <f>Parametrikber!L$22</f>
        <v>33.535694999999997</v>
      </c>
      <c r="O92" s="78" t="s">
        <v>288</v>
      </c>
      <c r="P92" s="78"/>
      <c r="Q92" s="74">
        <f>Parametrikber!O$22</f>
        <v>33.535694999999997</v>
      </c>
      <c r="R92" s="78" t="s">
        <v>288</v>
      </c>
      <c r="S92" s="78"/>
      <c r="T92" s="74">
        <f>Parametrikber!R$22</f>
        <v>33.535694999999997</v>
      </c>
      <c r="U92" s="78" t="s">
        <v>288</v>
      </c>
      <c r="V92" s="78"/>
      <c r="W92" s="74">
        <f>Parametrikber!U$22</f>
        <v>33.535694999999997</v>
      </c>
      <c r="X92" s="642"/>
      <c r="Y92" s="78" t="s">
        <v>33</v>
      </c>
    </row>
    <row r="93" spans="2:25" x14ac:dyDescent="0.2">
      <c r="C93" s="78"/>
      <c r="D93" s="1257" t="s">
        <v>997</v>
      </c>
      <c r="E93" s="73"/>
      <c r="G93" s="626"/>
      <c r="H93" s="121">
        <v>500</v>
      </c>
      <c r="I93" s="634"/>
      <c r="J93" s="634"/>
      <c r="K93" s="121">
        <v>400</v>
      </c>
      <c r="L93" s="78"/>
      <c r="M93" s="78"/>
      <c r="N93" s="121">
        <v>400</v>
      </c>
      <c r="O93" s="78"/>
      <c r="P93" s="78"/>
      <c r="Q93" s="121"/>
      <c r="R93" s="78"/>
      <c r="S93" s="78"/>
      <c r="T93" s="121"/>
      <c r="U93" s="78"/>
      <c r="V93" s="78"/>
      <c r="W93" s="121"/>
      <c r="X93" s="642"/>
      <c r="Y93" s="78"/>
    </row>
    <row r="94" spans="2:25" x14ac:dyDescent="0.2">
      <c r="C94" s="78"/>
      <c r="D94" s="1257" t="str">
        <f>IF(Deutsch,'Quick Input'!C28,'Quick Input'!D28)</f>
        <v>Ultraschall Prüfung</v>
      </c>
      <c r="E94" s="73"/>
      <c r="F94" s="75"/>
      <c r="G94" s="626"/>
      <c r="H94" s="348">
        <f>IF('Quick Input'!L28="ja",'Maschinen-DB'!E66*(1+'Maschinen-DB'!F66)/'Länder-DB'!I27/Parametrikber!F146/3600*H93+'Maschinen-DB'!G66/3600*H93*VLOOKUP(H$7,DB_Länder,7,FALSE) + 'Maschinen-DB'!H66*VLOOKUP(H$7,DB_Länder,8,FALSE)*12/Parametrikber!F146/3600*H93,0)</f>
        <v>0.41742621527777779</v>
      </c>
      <c r="I94" s="635"/>
      <c r="J94" s="635"/>
      <c r="K94" s="348">
        <f>IF('Quick Input'!O28="ja",'Maschinen-DB'!E66*(1+'Maschinen-DB'!F66)/'Länder-DB'!I27/Parametrikber!I146/3600*K93+'Maschinen-DB'!G66/3600*K93*VLOOKUP(K$7,DB_Länder,7,FALSE) + 'Maschinen-DB'!H66*VLOOKUP(K$7,DB_Länder,8,FALSE)*12/Parametrikber!I146/3600*K93,0)</f>
        <v>0.30864583333333334</v>
      </c>
      <c r="L94" s="361"/>
      <c r="M94" s="361"/>
      <c r="N94" s="348">
        <f>IF('Quick Input'!R28="ja",'Maschinen-DB'!E66*(1+'Maschinen-DB'!F66)/'Länder-DB'!I27/Parametrikber!L146/3600*N93+'Maschinen-DB'!G66/3600*N93*VLOOKUP(N$7,DB_Länder,7,FALSE) + 'Maschinen-DB'!H66*VLOOKUP(N$7,DB_Länder,8,FALSE)*12/Parametrikber!L146/3600*N93,0)</f>
        <v>0.33394097222222224</v>
      </c>
      <c r="O94" s="361"/>
      <c r="P94" s="361"/>
      <c r="Q94" s="348">
        <f>IF('Quick Input'!U28="ja",'Maschinen-DB'!E66*(1+'Maschinen-DB'!F66)/'Länder-DB'!I27/Parametrikber!O146/3600*Q93+'Maschinen-DB'!G66/3600*Q93*VLOOKUP(Q$7,DB_Länder,7,FALSE) + 'Maschinen-DB'!H66*VLOOKUP(Q$7,DB_Länder,8,FALSE)*12/Parametrikber!O146/3600*Q93,0)</f>
        <v>0</v>
      </c>
      <c r="R94" s="361"/>
      <c r="S94" s="361"/>
      <c r="T94" s="348">
        <f>IF('Quick Input'!X28="ja",'Maschinen-DB'!E66*(1+'Maschinen-DB'!F66)/'Länder-DB'!I27/Parametrikber!R146/3600*T93+'Maschinen-DB'!G66/3600*T93*VLOOKUP(T$7,DB_Länder,7,FALSE) + 'Maschinen-DB'!H66*VLOOKUP(T$7,DB_Länder,8,FALSE)*12/Parametrikber!R146/3600*T93,0)</f>
        <v>0</v>
      </c>
      <c r="U94" s="361"/>
      <c r="V94" s="361"/>
      <c r="W94" s="348">
        <f>IF('Quick Input'!AA28="ja",'Maschinen-DB'!E66*(1+'Maschinen-DB'!F66)/'Länder-DB'!I27/Parametrikber!U146/3600*W93+'Maschinen-DB'!G66/3600*W93*VLOOKUP(W$7,DB_Länder,7,FALSE) + 'Maschinen-DB'!H66*VLOOKUP(W$7,DB_Länder,8,FALSE)*12/Parametrikber!U146/3600*W93,0)</f>
        <v>0</v>
      </c>
      <c r="X94" s="642"/>
      <c r="Y94" s="78"/>
    </row>
    <row r="95" spans="2:25" x14ac:dyDescent="0.2">
      <c r="C95" s="78"/>
      <c r="D95" s="1257" t="s">
        <v>1005</v>
      </c>
      <c r="E95" s="73"/>
      <c r="F95" s="75"/>
      <c r="G95" s="626"/>
      <c r="H95" s="348" t="s">
        <v>1003</v>
      </c>
      <c r="I95" s="635"/>
      <c r="J95" s="635"/>
      <c r="K95" s="348" t="s">
        <v>1003</v>
      </c>
      <c r="L95" s="361"/>
      <c r="M95" s="361"/>
      <c r="N95" s="348" t="s">
        <v>1003</v>
      </c>
      <c r="O95" s="361"/>
      <c r="P95" s="361"/>
      <c r="Q95" s="348"/>
      <c r="R95" s="361"/>
      <c r="S95" s="361"/>
      <c r="T95" s="348"/>
      <c r="U95" s="361"/>
      <c r="V95" s="361"/>
      <c r="W95" s="348"/>
      <c r="X95" s="642"/>
      <c r="Y95" s="78"/>
    </row>
    <row r="96" spans="2:25" x14ac:dyDescent="0.2">
      <c r="C96" s="78"/>
      <c r="D96" s="1257" t="s">
        <v>1006</v>
      </c>
      <c r="E96" s="73"/>
      <c r="F96" s="75"/>
      <c r="G96" s="626"/>
      <c r="H96" s="121">
        <v>600</v>
      </c>
      <c r="I96" s="635"/>
      <c r="J96" s="635"/>
      <c r="K96" s="121">
        <v>600</v>
      </c>
      <c r="L96" s="361"/>
      <c r="M96" s="361"/>
      <c r="N96" s="121">
        <v>400</v>
      </c>
      <c r="O96" s="361"/>
      <c r="P96" s="361"/>
      <c r="Q96" s="348"/>
      <c r="R96" s="361"/>
      <c r="S96" s="361"/>
      <c r="T96" s="348"/>
      <c r="U96" s="361"/>
      <c r="V96" s="361"/>
      <c r="W96" s="348"/>
      <c r="X96" s="642"/>
      <c r="Y96" s="78"/>
    </row>
    <row r="97" spans="2:25" x14ac:dyDescent="0.2">
      <c r="C97" s="78"/>
      <c r="D97" s="1257" t="s">
        <v>1007</v>
      </c>
      <c r="E97" s="73"/>
      <c r="F97" s="75"/>
      <c r="G97" s="626"/>
      <c r="H97" s="348">
        <f>IF('Quick Input'!L29="ja",VLOOKUP(Refkalkulation!H95,'Maschinen-DB'!B67:H69,4,FALSE)*(1+VLOOKUP(Refkalkulation!H95,'Maschinen-DB'!B67:H69,5,FALSE))/'Länder-DB'!I27/Parametrikber!F146/3600*H96+VLOOKUP(Refkalkulation!H95,'Maschinen-DB'!B67:H69,6,FALSE)/3600*H96*VLOOKUP(H$7,DB_Länder,7,FALSE) + VLOOKUP(Refkalkulation!H95,'Maschinen-DB'!B67:H69,7,FALSE)*VLOOKUP(H$7,DB_Länder,8,FALSE)*12/Parametrikber!F146/3600*H96,0)</f>
        <v>0.37082465277777776</v>
      </c>
      <c r="I97" s="635"/>
      <c r="J97" s="635"/>
      <c r="K97" s="348">
        <f>IF('Quick Input'!O29="ja",VLOOKUP(Refkalkulation!K95,'Maschinen-DB'!B67:K69,4,FALSE)*(1+VLOOKUP(Refkalkulation!K95,'Maschinen-DB'!B67:K69,5,FALSE))/'Länder-DB'!I27/Parametrikber!I146/3600*K96+VLOOKUP(Refkalkulation!K95,'Maschinen-DB'!B67:K69,6,FALSE)/3600*K96*VLOOKUP(K$7,DB_Länder,7,FALSE) + VLOOKUP(Refkalkulation!K95,'Maschinen-DB'!B67:K69,7,FALSE)*VLOOKUP(K$7,DB_Länder,8,FALSE)*12/Parametrikber!I146/3600*K96,0)</f>
        <v>0.34611111111111109</v>
      </c>
      <c r="L97" s="361"/>
      <c r="M97" s="361"/>
      <c r="N97" s="348">
        <f>IF('Quick Input'!R29="ja",VLOOKUP(Refkalkulation!N95,'Maschinen-DB'!B67:N69,4,FALSE)*(1+VLOOKUP(Refkalkulation!N95,'Maschinen-DB'!B67:N69,5,FALSE))/'Länder-DB'!I27/Parametrikber!L146/3600*N96+VLOOKUP(Refkalkulation!N95,'Maschinen-DB'!B67:N69,6,FALSE)/3600*N96*VLOOKUP(N$7,DB_Länder,7,FALSE) + VLOOKUP(Refkalkulation!N95,'Maschinen-DB'!B67:N69,7,FALSE)*VLOOKUP(N$7,DB_Länder,8,FALSE)*12/Parametrikber!L146/3600*N96,0)</f>
        <v>0.24721643518518516</v>
      </c>
      <c r="O97" s="361"/>
      <c r="P97" s="361"/>
      <c r="Q97" s="348">
        <v>0</v>
      </c>
      <c r="R97" s="361"/>
      <c r="S97" s="361"/>
      <c r="T97" s="348">
        <v>0</v>
      </c>
      <c r="U97" s="361"/>
      <c r="V97" s="361"/>
      <c r="W97" s="348">
        <v>0</v>
      </c>
      <c r="X97" s="642"/>
      <c r="Y97" s="78"/>
    </row>
    <row r="98" spans="2:25" x14ac:dyDescent="0.2">
      <c r="C98" s="78"/>
      <c r="D98" s="1257" t="s">
        <v>998</v>
      </c>
      <c r="E98" s="73"/>
      <c r="F98" s="75"/>
      <c r="G98" s="626"/>
      <c r="H98" s="121">
        <v>1000</v>
      </c>
      <c r="I98" s="635"/>
      <c r="J98" s="635"/>
      <c r="K98" s="121">
        <v>1000</v>
      </c>
      <c r="L98" s="361"/>
      <c r="M98" s="361"/>
      <c r="N98" s="121">
        <v>600</v>
      </c>
      <c r="O98" s="361"/>
      <c r="P98" s="361"/>
      <c r="Q98" s="348"/>
      <c r="R98" s="361"/>
      <c r="S98" s="361"/>
      <c r="T98" s="348"/>
      <c r="U98" s="361"/>
      <c r="V98" s="361"/>
      <c r="W98" s="348"/>
      <c r="X98" s="642"/>
      <c r="Y98" s="78"/>
    </row>
    <row r="99" spans="2:25" x14ac:dyDescent="0.2">
      <c r="C99" s="78"/>
      <c r="D99" s="1257" t="str">
        <f>IF(Deutsch,'Quick Input'!C30,'Quick Input'!D30)</f>
        <v>Röntgen Prüfung</v>
      </c>
      <c r="E99" s="73"/>
      <c r="F99" s="75"/>
      <c r="G99" s="626"/>
      <c r="H99" s="348">
        <f>IF('Quick Input'!L30="ja",'Maschinen-DB'!E63*(1+'Maschinen-DB'!F63)/'Länder-DB'!I27/Parametrikber!F146/3600*H98+'Maschinen-DB'!G63/3600*H98*VLOOKUP(H$7,DB_Länder,7,FALSE) + 'Maschinen-DB'!H63*VLOOKUP(H$7,DB_Länder,8,FALSE)*12/Parametrikber!F146/3600*H98,0)</f>
        <v>1.8357928240740744</v>
      </c>
      <c r="I99" s="635"/>
      <c r="J99" s="635"/>
      <c r="K99" s="348">
        <f>IF('Quick Input'!O30="ja",'Maschinen-DB'!E63*(1+'Maschinen-DB'!F63)/'Länder-DB'!I27/Parametrikber!F146/3600*K98+'Maschinen-DB'!G63/3600*K98*VLOOKUP(K$7,DB_Länder,7,FALSE) + 'Maschinen-DB'!H63*VLOOKUP(K$7,DB_Länder,8,FALSE)*12/Parametrikber!F146/3600*K98,0)</f>
        <v>1.7619212962962969</v>
      </c>
      <c r="L99" s="361"/>
      <c r="M99" s="361"/>
      <c r="N99" s="348">
        <f>IF('Quick Input'!R30="ja",'Maschinen-DB'!E63*(1+'Maschinen-DB'!F63)/'Länder-DB'!I27/Parametrikber!F146/3600*N98+'Maschinen-DB'!G63/3600*N98*VLOOKUP(N$7,DB_Länder,7,FALSE) + 'Maschinen-DB'!H63*VLOOKUP(N$7,DB_Länder,8,FALSE)*12/Parametrikber!F146/3600*N98,0)</f>
        <v>1.1014756944444448</v>
      </c>
      <c r="O99" s="361"/>
      <c r="P99" s="361"/>
      <c r="Q99" s="348">
        <v>0</v>
      </c>
      <c r="R99" s="361"/>
      <c r="S99" s="361"/>
      <c r="T99" s="348">
        <v>0</v>
      </c>
      <c r="U99" s="361"/>
      <c r="V99" s="361"/>
      <c r="W99" s="348">
        <v>0</v>
      </c>
      <c r="X99" s="642"/>
      <c r="Y99" s="78"/>
    </row>
    <row r="100" spans="2:25" x14ac:dyDescent="0.2">
      <c r="C100" s="78"/>
      <c r="D100" s="72" t="str">
        <f>IF(Deutsch,Auswahlfelder!$B$59,Auswahlfelder!$D$59)</f>
        <v>Reparaturschweißen</v>
      </c>
      <c r="E100" s="73"/>
      <c r="F100" s="75"/>
      <c r="G100" s="626"/>
      <c r="H100" s="80" t="str">
        <f>'Quick Input'!L$33</f>
        <v>ohne</v>
      </c>
      <c r="I100" s="634"/>
      <c r="J100" s="634"/>
      <c r="K100" s="80" t="str">
        <f>'Quick Input'!O$33</f>
        <v>ohne</v>
      </c>
      <c r="L100" s="78"/>
      <c r="M100" s="78"/>
      <c r="N100" s="80" t="str">
        <f>'Quick Input'!R$33</f>
        <v>ohne</v>
      </c>
      <c r="O100" s="78"/>
      <c r="P100" s="78"/>
      <c r="Q100" s="80" t="str">
        <f>'Quick Input'!U$33</f>
        <v>ohne</v>
      </c>
      <c r="R100" s="78"/>
      <c r="S100" s="78"/>
      <c r="T100" s="80" t="str">
        <f>'Quick Input'!X$33</f>
        <v>ohne</v>
      </c>
      <c r="U100" s="78"/>
      <c r="V100" s="78"/>
      <c r="W100" s="80" t="str">
        <f>'Quick Input'!AA$33</f>
        <v>ohne</v>
      </c>
      <c r="X100" s="642"/>
      <c r="Y100" s="78"/>
    </row>
    <row r="101" spans="2:25" x14ac:dyDescent="0.2">
      <c r="C101" s="78"/>
      <c r="D101" s="72" t="str">
        <f>IF(Deutsch,"Reparaturanteil (%)","repair proportion (%)")</f>
        <v>Reparaturanteil (%)</v>
      </c>
      <c r="E101" s="73"/>
      <c r="F101" s="75"/>
      <c r="G101" s="626"/>
      <c r="H101" s="549">
        <v>0</v>
      </c>
      <c r="I101" s="635"/>
      <c r="J101" s="635"/>
      <c r="K101" s="549">
        <v>0</v>
      </c>
      <c r="L101" s="361"/>
      <c r="M101" s="361"/>
      <c r="N101" s="549">
        <v>0</v>
      </c>
      <c r="O101" s="361"/>
      <c r="P101" s="361"/>
      <c r="Q101" s="549">
        <v>0</v>
      </c>
      <c r="R101" s="361"/>
      <c r="S101" s="361"/>
      <c r="T101" s="549">
        <v>0</v>
      </c>
      <c r="U101" s="361"/>
      <c r="V101" s="361"/>
      <c r="W101" s="549">
        <v>0</v>
      </c>
      <c r="X101" s="642"/>
      <c r="Y101" s="78"/>
    </row>
    <row r="102" spans="2:25" x14ac:dyDescent="0.2">
      <c r="C102" s="78"/>
      <c r="D102" s="72" t="str">
        <f>'Quick Input'!$I$77</f>
        <v>Anteil Nachprüfung</v>
      </c>
      <c r="E102" s="73"/>
      <c r="F102" s="75"/>
      <c r="G102" s="626"/>
      <c r="H102" s="720">
        <v>0.5</v>
      </c>
      <c r="I102" s="635"/>
      <c r="J102" s="635"/>
      <c r="K102" s="720">
        <v>0.5</v>
      </c>
      <c r="L102" s="361"/>
      <c r="M102" s="361"/>
      <c r="N102" s="720">
        <v>0.5</v>
      </c>
      <c r="O102" s="361"/>
      <c r="P102" s="361"/>
      <c r="Q102" s="720">
        <v>0.5</v>
      </c>
      <c r="R102" s="361"/>
      <c r="S102" s="361"/>
      <c r="T102" s="720">
        <v>0.5</v>
      </c>
      <c r="U102" s="361"/>
      <c r="V102" s="361"/>
      <c r="W102" s="720">
        <v>0.5</v>
      </c>
      <c r="X102" s="642"/>
      <c r="Y102" s="78"/>
    </row>
    <row r="103" spans="2:25" x14ac:dyDescent="0.2">
      <c r="C103" s="78"/>
      <c r="D103" s="72" t="str">
        <f>IF(Deutsch,"Kosten je Reparatur (€)","cost per repair (€)")</f>
        <v>Kosten je Reparatur (€)</v>
      </c>
      <c r="E103" s="73"/>
      <c r="F103" s="75"/>
      <c r="G103" s="626"/>
      <c r="H103" s="85">
        <f>IF('Quick Input'!M$33=Auswahlfelder!$D$60,0,Parametrikber!F$187)</f>
        <v>0</v>
      </c>
      <c r="I103" s="634"/>
      <c r="J103" s="634"/>
      <c r="K103" s="85">
        <f>IF('Quick Input'!P$33=Auswahlfelder!$D$60,0,Parametrikber!I$187)</f>
        <v>0</v>
      </c>
      <c r="L103" s="78"/>
      <c r="M103" s="78"/>
      <c r="N103" s="85">
        <f>IF('Quick Input'!S$33=Auswahlfelder!$D$60,0,Parametrikber!L$187)</f>
        <v>0</v>
      </c>
      <c r="O103" s="78"/>
      <c r="P103" s="78"/>
      <c r="Q103" s="85">
        <f>IF('Quick Input'!V$33=Auswahlfelder!$D$60,0,Parametrikber!O$187)</f>
        <v>0</v>
      </c>
      <c r="R103" s="78"/>
      <c r="S103" s="78"/>
      <c r="T103" s="85">
        <f>IF('Quick Input'!Y$33=Auswahlfelder!$D$60,0,Parametrikber!R$187)</f>
        <v>0</v>
      </c>
      <c r="U103" s="78"/>
      <c r="V103" s="78"/>
      <c r="W103" s="85">
        <f>IF('Quick Input'!AB$33=Auswahlfelder!$D$60,0,Parametrikber!U$187)</f>
        <v>0</v>
      </c>
      <c r="X103" s="642"/>
      <c r="Y103" s="78"/>
    </row>
    <row r="104" spans="2:25" ht="15" thickBot="1" x14ac:dyDescent="0.25">
      <c r="C104" s="78"/>
      <c r="D104" s="116" t="str">
        <f>IF(Deutsch,"Prüfkosten pro Stück","testing cost per part")</f>
        <v>Prüfkosten pro Stück</v>
      </c>
      <c r="E104" s="73"/>
      <c r="F104" s="75"/>
      <c r="G104" s="888"/>
      <c r="H104" s="886">
        <f>H$91/3600*H$92+(H$94+H$97+H$99)*(1+H$102*H$101)+H$101*H$103</f>
        <v>6.3502320254629634</v>
      </c>
      <c r="I104" s="640" t="s">
        <v>288</v>
      </c>
      <c r="J104" s="640"/>
      <c r="K104" s="886">
        <f>K$91/3600*K$92+(K$94+K$97+K$99)*(1+K$102*K$101)+K$101*K$103</f>
        <v>3.2506872407407412</v>
      </c>
      <c r="L104" s="640" t="s">
        <v>288</v>
      </c>
      <c r="M104" s="640"/>
      <c r="N104" s="886">
        <f>N$91/3600*N$92+(N$94+N$97+N$99)*(1+N$102*N$101)+N$101*N$103</f>
        <v>4.4772743518518521</v>
      </c>
      <c r="O104" s="640" t="s">
        <v>288</v>
      </c>
      <c r="P104" s="640"/>
      <c r="Q104" s="886">
        <f>Q$91/3600*Q$92+(Q$94+Q$97+Q$99)*(1+Q$102*Q$101)+Q$101*Q$103</f>
        <v>0</v>
      </c>
      <c r="R104" s="640" t="s">
        <v>288</v>
      </c>
      <c r="S104" s="640"/>
      <c r="T104" s="886">
        <f>T$91/3600*T$92+(T$94+T$97+T$99)*(1+T$102*T$101)+T$101*T$103</f>
        <v>0</v>
      </c>
      <c r="U104" s="640" t="s">
        <v>288</v>
      </c>
      <c r="V104" s="640"/>
      <c r="W104" s="886">
        <f>W$91/3600*W$92+(W$94+W$97+W$99)*(1+W$102*W$101)+W$101*W$103</f>
        <v>0</v>
      </c>
      <c r="X104" s="644"/>
      <c r="Y104" s="78" t="s">
        <v>33</v>
      </c>
    </row>
    <row r="105" spans="2:25" ht="11.25" customHeight="1" x14ac:dyDescent="0.2">
      <c r="C105" s="78"/>
      <c r="D105" s="1234" t="str">
        <f>IF(Deutsch,"Fertigungsnebenkosten","production cost")</f>
        <v>Fertigungsnebenkosten</v>
      </c>
      <c r="E105" s="1235"/>
      <c r="F105" s="1236"/>
      <c r="G105" s="626"/>
      <c r="H105" s="79"/>
      <c r="I105" s="634" t="s">
        <v>288</v>
      </c>
      <c r="J105" s="634"/>
      <c r="K105" s="79"/>
      <c r="L105" s="78" t="s">
        <v>288</v>
      </c>
      <c r="M105" s="78"/>
      <c r="N105" s="79"/>
      <c r="O105" s="78" t="s">
        <v>288</v>
      </c>
      <c r="P105" s="78"/>
      <c r="Q105" s="79"/>
      <c r="R105" s="78" t="s">
        <v>288</v>
      </c>
      <c r="S105" s="78"/>
      <c r="T105" s="79"/>
      <c r="U105" s="78" t="s">
        <v>288</v>
      </c>
      <c r="V105" s="78"/>
      <c r="W105" s="79"/>
      <c r="X105" s="642"/>
      <c r="Y105" s="78" t="s">
        <v>33</v>
      </c>
    </row>
    <row r="106" spans="2:25" ht="14.25" customHeight="1" x14ac:dyDescent="0.2">
      <c r="C106" s="78"/>
      <c r="D106" s="1237"/>
      <c r="E106" s="1238"/>
      <c r="F106" s="1239"/>
      <c r="G106" s="626"/>
      <c r="H106" s="965">
        <f>H$47+H$72+H89+H$104</f>
        <v>81.413300495000229</v>
      </c>
      <c r="I106" s="634" t="s">
        <v>288</v>
      </c>
      <c r="J106" s="634"/>
      <c r="K106" s="965">
        <f>K$47+K$72+K89+K$104</f>
        <v>15.187803975093491</v>
      </c>
      <c r="L106" s="634" t="s">
        <v>288</v>
      </c>
      <c r="M106" s="634"/>
      <c r="N106" s="965">
        <f>N$47+N$72+N89+N$104</f>
        <v>25.024640465551379</v>
      </c>
      <c r="O106" s="634" t="s">
        <v>288</v>
      </c>
      <c r="P106" s="634"/>
      <c r="Q106" s="965" t="e">
        <f>Q$47+Q$72+Q89+Q$104</f>
        <v>#VALUE!</v>
      </c>
      <c r="R106" s="634" t="s">
        <v>288</v>
      </c>
      <c r="S106" s="634"/>
      <c r="T106" s="965" t="e">
        <f>T$47+T$72+T89+T$104</f>
        <v>#VALUE!</v>
      </c>
      <c r="U106" s="634" t="s">
        <v>288</v>
      </c>
      <c r="V106" s="634"/>
      <c r="W106" s="965" t="e">
        <f>W$47+W$72+W89+W$104</f>
        <v>#VALUE!</v>
      </c>
      <c r="X106" s="642"/>
      <c r="Y106" s="78" t="s">
        <v>33</v>
      </c>
    </row>
    <row r="107" spans="2:25" x14ac:dyDescent="0.2">
      <c r="C107" s="78"/>
      <c r="D107" s="72" t="str">
        <f>CONCATENATE(IF(Deutsch,'Quick Input'!C31,'Quick Input'!D31)," (per lot)")</f>
        <v>Materialprüfzertifikat (per lot)</v>
      </c>
      <c r="E107" s="73"/>
      <c r="F107" s="75"/>
      <c r="G107" s="626"/>
      <c r="H107" s="74">
        <f>Parametrikber!F$192</f>
        <v>0</v>
      </c>
      <c r="I107" s="634" t="s">
        <v>288</v>
      </c>
      <c r="J107" s="634"/>
      <c r="K107" s="74">
        <f>Parametrikber!I$192</f>
        <v>0</v>
      </c>
      <c r="L107" s="634" t="s">
        <v>288</v>
      </c>
      <c r="M107" s="634"/>
      <c r="N107" s="74">
        <f>Parametrikber!L$192</f>
        <v>0</v>
      </c>
      <c r="O107" s="634" t="s">
        <v>288</v>
      </c>
      <c r="P107" s="634"/>
      <c r="Q107" s="74">
        <f>Parametrikber!O$192</f>
        <v>0</v>
      </c>
      <c r="R107" s="634" t="s">
        <v>288</v>
      </c>
      <c r="S107" s="634"/>
      <c r="T107" s="74">
        <f>Parametrikber!R$192</f>
        <v>0</v>
      </c>
      <c r="U107" s="634" t="s">
        <v>288</v>
      </c>
      <c r="V107" s="634"/>
      <c r="W107" s="74">
        <f>Parametrikber!U$192</f>
        <v>0</v>
      </c>
      <c r="X107" s="642"/>
      <c r="Y107" s="78"/>
    </row>
    <row r="108" spans="2:25" ht="14.25" customHeight="1" x14ac:dyDescent="0.2">
      <c r="B108" s="55" t="s">
        <v>127</v>
      </c>
      <c r="C108" s="78"/>
      <c r="D108" s="238" t="str">
        <f>'Quick Input'!I79</f>
        <v>Fertigungsgemeinkosten</v>
      </c>
      <c r="E108" s="73"/>
      <c r="F108" s="75"/>
      <c r="G108" s="626"/>
      <c r="H108" s="119">
        <v>0.1</v>
      </c>
      <c r="I108" s="635"/>
      <c r="J108" s="635"/>
      <c r="K108" s="119">
        <v>0.1</v>
      </c>
      <c r="L108" s="361"/>
      <c r="M108" s="361"/>
      <c r="N108" s="119">
        <v>0.1</v>
      </c>
      <c r="O108" s="361"/>
      <c r="P108" s="361"/>
      <c r="Q108" s="119">
        <v>0</v>
      </c>
      <c r="R108" s="361"/>
      <c r="S108" s="361"/>
      <c r="T108" s="119">
        <v>0</v>
      </c>
      <c r="U108" s="361"/>
      <c r="V108" s="361"/>
      <c r="W108" s="119">
        <v>0</v>
      </c>
      <c r="X108" s="642"/>
      <c r="Y108" s="78" t="s">
        <v>33</v>
      </c>
    </row>
    <row r="109" spans="2:25" x14ac:dyDescent="0.2">
      <c r="C109" s="78"/>
      <c r="D109" s="238" t="str">
        <f>IF(Deutsch,'Quick Input'!C79,'Quick Input'!D79)</f>
        <v>Fertigungsgemeinkosten</v>
      </c>
      <c r="E109" s="73"/>
      <c r="F109" s="75"/>
      <c r="G109" s="626"/>
      <c r="H109" s="74">
        <f>H$108*H$106</f>
        <v>8.1413300495000236</v>
      </c>
      <c r="I109" s="634" t="s">
        <v>288</v>
      </c>
      <c r="J109" s="634"/>
      <c r="K109" s="74">
        <f>K$108*K$106</f>
        <v>1.5187803975093492</v>
      </c>
      <c r="L109" s="78" t="s">
        <v>288</v>
      </c>
      <c r="M109" s="78"/>
      <c r="N109" s="74">
        <f>N$108*N$106</f>
        <v>2.5024640465551382</v>
      </c>
      <c r="O109" s="78" t="s">
        <v>288</v>
      </c>
      <c r="P109" s="78"/>
      <c r="Q109" s="74" t="e">
        <f>Q$108*Q$106</f>
        <v>#VALUE!</v>
      </c>
      <c r="R109" s="78" t="s">
        <v>288</v>
      </c>
      <c r="S109" s="78"/>
      <c r="T109" s="74" t="e">
        <f>T$108*T$106</f>
        <v>#VALUE!</v>
      </c>
      <c r="U109" s="78" t="s">
        <v>288</v>
      </c>
      <c r="V109" s="78"/>
      <c r="W109" s="74" t="e">
        <f>W$108*W$106</f>
        <v>#VALUE!</v>
      </c>
      <c r="X109" s="642"/>
      <c r="Y109" s="78" t="s">
        <v>33</v>
      </c>
    </row>
    <row r="110" spans="2:25" ht="15" customHeight="1" x14ac:dyDescent="0.2">
      <c r="C110" s="78"/>
      <c r="D110" s="116" t="str">
        <f>IF(Deutsch,"Fertigungskosten gesamt","manufacturing cost total")</f>
        <v>Fertigungskosten gesamt</v>
      </c>
      <c r="E110" s="73"/>
      <c r="F110" s="75"/>
      <c r="G110" s="626"/>
      <c r="H110" s="113">
        <f>H$106+H$107/H$61+H$109</f>
        <v>89.554630544500256</v>
      </c>
      <c r="I110" s="634" t="s">
        <v>288</v>
      </c>
      <c r="J110" s="634"/>
      <c r="K110" s="113">
        <f>K$106+K$107/K$61+K$109</f>
        <v>16.70658437260284</v>
      </c>
      <c r="L110" s="634" t="s">
        <v>288</v>
      </c>
      <c r="M110" s="634"/>
      <c r="N110" s="113">
        <f>N$106+N$107/N$61+N$109</f>
        <v>27.527104512106519</v>
      </c>
      <c r="O110" s="634" t="s">
        <v>288</v>
      </c>
      <c r="P110" s="634"/>
      <c r="Q110" s="113" t="e">
        <f>Q$106+Q$107/Q$61+Q$109</f>
        <v>#VALUE!</v>
      </c>
      <c r="R110" s="634" t="s">
        <v>288</v>
      </c>
      <c r="S110" s="634"/>
      <c r="T110" s="113" t="e">
        <f>T$106+T$107/T$61+T$109</f>
        <v>#VALUE!</v>
      </c>
      <c r="U110" s="634" t="s">
        <v>288</v>
      </c>
      <c r="V110" s="634"/>
      <c r="W110" s="113" t="e">
        <f>W$106+W$107/W$61+W$109</f>
        <v>#VALUE!</v>
      </c>
      <c r="X110" s="642"/>
      <c r="Y110" s="78" t="s">
        <v>33</v>
      </c>
    </row>
    <row r="111" spans="2:25" ht="4.5" customHeight="1" thickBot="1" x14ac:dyDescent="0.25">
      <c r="C111" s="87"/>
      <c r="D111" s="88"/>
      <c r="E111" s="87"/>
      <c r="F111" s="89"/>
      <c r="G111" s="626"/>
      <c r="H111" s="91"/>
      <c r="I111" s="634" t="s">
        <v>288</v>
      </c>
      <c r="J111" s="634"/>
      <c r="K111" s="91"/>
      <c r="L111" s="78" t="s">
        <v>288</v>
      </c>
      <c r="M111" s="78"/>
      <c r="N111" s="91"/>
      <c r="O111" s="78" t="s">
        <v>288</v>
      </c>
      <c r="P111" s="78"/>
      <c r="Q111" s="91"/>
      <c r="R111" s="78" t="s">
        <v>288</v>
      </c>
      <c r="S111" s="78"/>
      <c r="T111" s="91"/>
      <c r="U111" s="78" t="s">
        <v>288</v>
      </c>
      <c r="V111" s="78"/>
      <c r="W111" s="91"/>
      <c r="X111" s="644"/>
      <c r="Y111" s="78" t="s">
        <v>33</v>
      </c>
    </row>
    <row r="112" spans="2:25" ht="7.5" customHeight="1" x14ac:dyDescent="0.2">
      <c r="D112" s="1234" t="str">
        <f>IF(Deutsch,"Gemeinkosten &amp; Gewinn","common cost &amp; profit")</f>
        <v>Gemeinkosten &amp; Gewinn</v>
      </c>
      <c r="E112" s="1235"/>
      <c r="F112" s="1236"/>
      <c r="G112" s="626"/>
      <c r="H112" s="79"/>
      <c r="I112" s="634" t="s">
        <v>288</v>
      </c>
      <c r="J112" s="634"/>
      <c r="K112" s="79"/>
      <c r="L112" s="78" t="s">
        <v>288</v>
      </c>
      <c r="M112" s="78"/>
      <c r="N112" s="79"/>
      <c r="O112" s="78" t="s">
        <v>288</v>
      </c>
      <c r="P112" s="78"/>
      <c r="Q112" s="79"/>
      <c r="R112" s="78" t="s">
        <v>288</v>
      </c>
      <c r="S112" s="78"/>
      <c r="T112" s="79"/>
      <c r="U112" s="78" t="s">
        <v>288</v>
      </c>
      <c r="V112" s="78"/>
      <c r="W112" s="79"/>
      <c r="X112" s="642"/>
      <c r="Y112" s="78" t="s">
        <v>33</v>
      </c>
    </row>
    <row r="113" spans="2:25" x14ac:dyDescent="0.2">
      <c r="D113" s="1237"/>
      <c r="E113" s="1238"/>
      <c r="F113" s="1239"/>
      <c r="G113" s="626"/>
      <c r="H113" s="74">
        <f>H$26+H$110</f>
        <v>106.05767469877271</v>
      </c>
      <c r="I113" s="634" t="s">
        <v>288</v>
      </c>
      <c r="J113" s="634"/>
      <c r="K113" s="85">
        <f>K$26+K$110</f>
        <v>29.378745898143581</v>
      </c>
      <c r="L113" s="634" t="s">
        <v>288</v>
      </c>
      <c r="M113" s="634"/>
      <c r="N113" s="85">
        <f>N$26+N$110</f>
        <v>40.199266037647263</v>
      </c>
      <c r="O113" s="634" t="s">
        <v>288</v>
      </c>
      <c r="P113" s="634"/>
      <c r="Q113" s="85" t="e">
        <f>Q$26+Q$110</f>
        <v>#VALUE!</v>
      </c>
      <c r="R113" s="634" t="s">
        <v>288</v>
      </c>
      <c r="S113" s="634"/>
      <c r="T113" s="85" t="e">
        <f>T$26+T$110</f>
        <v>#VALUE!</v>
      </c>
      <c r="U113" s="634" t="s">
        <v>288</v>
      </c>
      <c r="V113" s="634"/>
      <c r="W113" s="85" t="e">
        <f>W$26+W$110</f>
        <v>#VALUE!</v>
      </c>
      <c r="X113" s="642"/>
      <c r="Y113" s="78" t="s">
        <v>33</v>
      </c>
    </row>
    <row r="114" spans="2:25" x14ac:dyDescent="0.2">
      <c r="B114" s="55" t="s">
        <v>127</v>
      </c>
      <c r="D114" s="72" t="str">
        <f>IF(Deutsch,"Vertriebs- und Verw.-gemeinkostensatz","administration cost rate")</f>
        <v>Vertriebs- und Verw.-gemeinkostensatz</v>
      </c>
      <c r="E114" s="67"/>
      <c r="F114" s="75"/>
      <c r="G114" s="626"/>
      <c r="H114" s="119">
        <v>0.12</v>
      </c>
      <c r="I114" s="635"/>
      <c r="J114" s="635"/>
      <c r="K114" s="119">
        <v>0.12</v>
      </c>
      <c r="L114" s="361"/>
      <c r="M114" s="361"/>
      <c r="N114" s="119">
        <v>0.12</v>
      </c>
      <c r="O114" s="361"/>
      <c r="P114" s="361"/>
      <c r="Q114" s="119">
        <v>0.12</v>
      </c>
      <c r="R114" s="361"/>
      <c r="S114" s="361"/>
      <c r="T114" s="119">
        <v>0.12</v>
      </c>
      <c r="U114" s="361"/>
      <c r="V114" s="361"/>
      <c r="W114" s="119">
        <v>0.12</v>
      </c>
      <c r="X114" s="642"/>
      <c r="Y114" s="78" t="s">
        <v>33</v>
      </c>
    </row>
    <row r="115" spans="2:25" x14ac:dyDescent="0.2">
      <c r="D115" s="72" t="str">
        <f>IF(Deutsch,"Vertriebs- und Verw.-gemeinkosten","administration costs")</f>
        <v>Vertriebs- und Verw.-gemeinkosten</v>
      </c>
      <c r="E115" s="67"/>
      <c r="F115" s="75"/>
      <c r="G115" s="626"/>
      <c r="H115" s="74">
        <f>H$113*H114</f>
        <v>12.726920963852725</v>
      </c>
      <c r="I115" s="634" t="s">
        <v>288</v>
      </c>
      <c r="J115" s="634"/>
      <c r="K115" s="74">
        <f>K$113*K114</f>
        <v>3.5254495077772297</v>
      </c>
      <c r="L115" s="634" t="s">
        <v>288</v>
      </c>
      <c r="M115" s="634"/>
      <c r="N115" s="74">
        <f t="shared" ref="N115" si="37">N$113*N114</f>
        <v>4.8239119245176711</v>
      </c>
      <c r="O115" s="634" t="s">
        <v>288</v>
      </c>
      <c r="P115" s="634"/>
      <c r="Q115" s="74" t="e">
        <f t="shared" ref="Q115" si="38">Q$113*Q114</f>
        <v>#VALUE!</v>
      </c>
      <c r="R115" s="634" t="s">
        <v>288</v>
      </c>
      <c r="S115" s="634"/>
      <c r="T115" s="74" t="e">
        <f t="shared" ref="T115" si="39">T$113*T114</f>
        <v>#VALUE!</v>
      </c>
      <c r="U115" s="634" t="s">
        <v>288</v>
      </c>
      <c r="V115" s="634"/>
      <c r="W115" s="74" t="e">
        <f t="shared" ref="W115" si="40">W$113*W114</f>
        <v>#VALUE!</v>
      </c>
      <c r="X115" s="642"/>
      <c r="Y115" s="78" t="s">
        <v>33</v>
      </c>
    </row>
    <row r="116" spans="2:25" x14ac:dyDescent="0.2">
      <c r="D116" s="72" t="str">
        <f>CONCATENATE(IF(Deutsch,"F&amp;E- Kosten (","design and development cost ("),'Länder-DB'!I35*100,"%)")</f>
        <v>F&amp;E- Kosten (8%)</v>
      </c>
      <c r="E116" s="67"/>
      <c r="F116" s="75"/>
      <c r="G116" s="626"/>
      <c r="H116" s="74">
        <f>H$110*'Länder-DB'!$I$35</f>
        <v>7.1643704435600206</v>
      </c>
      <c r="I116" s="634" t="s">
        <v>288</v>
      </c>
      <c r="J116" s="634"/>
      <c r="K116" s="74">
        <f>K$110*'Länder-DB'!$I$35</f>
        <v>1.3365267498082272</v>
      </c>
      <c r="L116" s="78" t="s">
        <v>288</v>
      </c>
      <c r="M116" s="78"/>
      <c r="N116" s="74">
        <f>N$110*'Länder-DB'!$I$35</f>
        <v>2.2021683609685216</v>
      </c>
      <c r="O116" s="78" t="s">
        <v>288</v>
      </c>
      <c r="P116" s="78"/>
      <c r="Q116" s="74" t="e">
        <f>Q$110*'Länder-DB'!$I$35</f>
        <v>#VALUE!</v>
      </c>
      <c r="R116" s="78" t="s">
        <v>288</v>
      </c>
      <c r="S116" s="78"/>
      <c r="T116" s="74" t="e">
        <f>T$110*'Länder-DB'!$I$35</f>
        <v>#VALUE!</v>
      </c>
      <c r="U116" s="78" t="s">
        <v>288</v>
      </c>
      <c r="V116" s="78"/>
      <c r="W116" s="74" t="e">
        <f>W$110*'Länder-DB'!$I$35</f>
        <v>#VALUE!</v>
      </c>
      <c r="X116" s="642"/>
      <c r="Y116" s="78" t="s">
        <v>33</v>
      </c>
    </row>
    <row r="117" spans="2:25" x14ac:dyDescent="0.2">
      <c r="D117" s="82" t="str">
        <f>IF(Deutsch,"Gesamtgemeinkosten","administration cost total")</f>
        <v>Gesamtgemeinkosten</v>
      </c>
      <c r="E117" s="67"/>
      <c r="F117" s="75"/>
      <c r="G117" s="626"/>
      <c r="H117" s="1070">
        <f>H$115+H$116</f>
        <v>19.891291407412744</v>
      </c>
      <c r="I117" s="634" t="s">
        <v>288</v>
      </c>
      <c r="J117" s="634"/>
      <c r="K117" s="1070">
        <f>K$115+K$116</f>
        <v>4.8619762575854573</v>
      </c>
      <c r="L117" s="634" t="s">
        <v>288</v>
      </c>
      <c r="M117" s="634"/>
      <c r="N117" s="1070">
        <f t="shared" ref="N117" si="41">N$115+N$116</f>
        <v>7.0260802854861932</v>
      </c>
      <c r="O117" s="634" t="s">
        <v>288</v>
      </c>
      <c r="P117" s="634"/>
      <c r="Q117" s="1070" t="e">
        <f t="shared" ref="Q117" si="42">Q$115+Q$116</f>
        <v>#VALUE!</v>
      </c>
      <c r="R117" s="634" t="s">
        <v>288</v>
      </c>
      <c r="S117" s="634"/>
      <c r="T117" s="1070" t="e">
        <f t="shared" ref="T117" si="43">T$115+T$116</f>
        <v>#VALUE!</v>
      </c>
      <c r="U117" s="634" t="s">
        <v>288</v>
      </c>
      <c r="V117" s="634"/>
      <c r="W117" s="1070" t="e">
        <f t="shared" ref="W117" si="44">W$115+W$116</f>
        <v>#VALUE!</v>
      </c>
      <c r="X117" s="642"/>
      <c r="Y117" s="78" t="s">
        <v>33</v>
      </c>
    </row>
    <row r="118" spans="2:25" x14ac:dyDescent="0.2">
      <c r="B118" s="55" t="s">
        <v>127</v>
      </c>
      <c r="D118" s="72" t="str">
        <f>'Quick Input'!I81</f>
        <v>Gewinn auf Material</v>
      </c>
      <c r="E118" s="67"/>
      <c r="F118" s="75"/>
      <c r="G118" s="626"/>
      <c r="H118" s="119">
        <v>0</v>
      </c>
      <c r="I118" s="635"/>
      <c r="J118" s="635"/>
      <c r="K118" s="119">
        <v>0</v>
      </c>
      <c r="L118" s="635"/>
      <c r="M118" s="635"/>
      <c r="N118" s="119">
        <v>0</v>
      </c>
      <c r="O118" s="635"/>
      <c r="P118" s="635"/>
      <c r="Q118" s="119">
        <v>0</v>
      </c>
      <c r="R118" s="635"/>
      <c r="S118" s="635"/>
      <c r="T118" s="119">
        <v>0</v>
      </c>
      <c r="U118" s="635"/>
      <c r="V118" s="635"/>
      <c r="W118" s="119">
        <v>0</v>
      </c>
      <c r="X118" s="642"/>
      <c r="Y118" s="78" t="s">
        <v>33</v>
      </c>
    </row>
    <row r="119" spans="2:25" x14ac:dyDescent="0.2">
      <c r="B119" s="55" t="s">
        <v>127</v>
      </c>
      <c r="D119" s="72" t="str">
        <f>'Quick Input'!I82</f>
        <v>Gewinn auf Wertschöpfung</v>
      </c>
      <c r="E119" s="67"/>
      <c r="F119" s="75"/>
      <c r="G119" s="626"/>
      <c r="H119" s="119">
        <v>0</v>
      </c>
      <c r="I119" s="635"/>
      <c r="J119" s="635"/>
      <c r="K119" s="119">
        <v>0</v>
      </c>
      <c r="L119" s="635"/>
      <c r="M119" s="635"/>
      <c r="N119" s="119">
        <v>0</v>
      </c>
      <c r="O119" s="635"/>
      <c r="P119" s="635"/>
      <c r="Q119" s="119">
        <v>0</v>
      </c>
      <c r="R119" s="635"/>
      <c r="S119" s="635"/>
      <c r="T119" s="119">
        <v>0</v>
      </c>
      <c r="U119" s="635"/>
      <c r="V119" s="635"/>
      <c r="W119" s="119">
        <v>0</v>
      </c>
      <c r="X119" s="642"/>
      <c r="Y119" s="78" t="s">
        <v>33</v>
      </c>
    </row>
    <row r="120" spans="2:25" x14ac:dyDescent="0.2">
      <c r="D120" s="82" t="str">
        <f>IF(Deutsch,"Gesamtgewinn","profit total")</f>
        <v>Gesamtgewinn</v>
      </c>
      <c r="E120" s="67"/>
      <c r="F120" s="75"/>
      <c r="G120" s="626"/>
      <c r="H120" s="1069">
        <f>H$118*H$26+H$119*H$106</f>
        <v>0</v>
      </c>
      <c r="I120" s="634" t="s">
        <v>288</v>
      </c>
      <c r="J120" s="634"/>
      <c r="K120" s="1069">
        <f>K$118*K$26+K$119*K$106</f>
        <v>0</v>
      </c>
      <c r="L120" s="634" t="s">
        <v>288</v>
      </c>
      <c r="M120" s="634"/>
      <c r="N120" s="1069">
        <f>N$118*N$26+N$119*N$106</f>
        <v>0</v>
      </c>
      <c r="O120" s="634" t="s">
        <v>288</v>
      </c>
      <c r="P120" s="634"/>
      <c r="Q120" s="1069" t="e">
        <f>Q$118*Q$26+Q$119*Q$106</f>
        <v>#VALUE!</v>
      </c>
      <c r="R120" s="634" t="s">
        <v>288</v>
      </c>
      <c r="S120" s="634"/>
      <c r="T120" s="1069" t="e">
        <f>T$118*T$26+T$119*T$106</f>
        <v>#VALUE!</v>
      </c>
      <c r="U120" s="634" t="s">
        <v>288</v>
      </c>
      <c r="V120" s="634"/>
      <c r="W120" s="1069" t="e">
        <f>W$118*W$26+W$119*W$106</f>
        <v>#VALUE!</v>
      </c>
      <c r="X120" s="642"/>
      <c r="Y120" s="78" t="s">
        <v>33</v>
      </c>
    </row>
    <row r="121" spans="2:25" ht="6" customHeight="1" x14ac:dyDescent="0.2">
      <c r="D121" s="72"/>
      <c r="E121" s="67"/>
      <c r="F121" s="75"/>
      <c r="G121" s="626"/>
      <c r="H121" s="86"/>
      <c r="I121" s="634" t="s">
        <v>288</v>
      </c>
      <c r="J121" s="634"/>
      <c r="K121" s="86"/>
      <c r="L121" s="78" t="s">
        <v>288</v>
      </c>
      <c r="M121" s="78"/>
      <c r="N121" s="86"/>
      <c r="O121" s="78" t="s">
        <v>288</v>
      </c>
      <c r="P121" s="78"/>
      <c r="Q121" s="86"/>
      <c r="R121" s="78" t="s">
        <v>288</v>
      </c>
      <c r="S121" s="78"/>
      <c r="T121" s="86"/>
      <c r="U121" s="78" t="s">
        <v>288</v>
      </c>
      <c r="V121" s="78"/>
      <c r="W121" s="86"/>
      <c r="X121" s="642"/>
      <c r="Y121" s="78" t="s">
        <v>33</v>
      </c>
    </row>
    <row r="122" spans="2:25" x14ac:dyDescent="0.2">
      <c r="D122" s="808" t="str">
        <f>IF(Deutsch,"Bauteilpreis gesamt","part cost total")</f>
        <v>Bauteilpreis gesamt</v>
      </c>
      <c r="E122" s="67"/>
      <c r="F122" s="75"/>
      <c r="G122" s="626"/>
      <c r="H122" s="1071">
        <f>H$113+H$117+H$120</f>
        <v>125.94896610618545</v>
      </c>
      <c r="I122" s="634" t="s">
        <v>288</v>
      </c>
      <c r="J122" s="634"/>
      <c r="K122" s="1071">
        <f>K$113+K$117+K$120</f>
        <v>34.240722155729038</v>
      </c>
      <c r="L122" s="634" t="s">
        <v>288</v>
      </c>
      <c r="M122" s="634"/>
      <c r="N122" s="1071">
        <f>N$113+N$117+N$120</f>
        <v>47.225346323133458</v>
      </c>
      <c r="O122" s="634" t="s">
        <v>288</v>
      </c>
      <c r="P122" s="634"/>
      <c r="Q122" s="1071" t="e">
        <f>Q$113+Q$117+Q$120</f>
        <v>#VALUE!</v>
      </c>
      <c r="R122" s="634" t="s">
        <v>288</v>
      </c>
      <c r="S122" s="634"/>
      <c r="T122" s="1071" t="e">
        <f>T$113+T$117+T$120</f>
        <v>#VALUE!</v>
      </c>
      <c r="U122" s="634" t="s">
        <v>288</v>
      </c>
      <c r="V122" s="634"/>
      <c r="W122" s="1071" t="e">
        <f>W$113+W$117+W$120</f>
        <v>#VALUE!</v>
      </c>
      <c r="X122" s="642"/>
      <c r="Y122" s="78" t="s">
        <v>33</v>
      </c>
    </row>
    <row r="123" spans="2:25" ht="6" customHeight="1" thickBot="1" x14ac:dyDescent="0.25">
      <c r="D123" s="82"/>
      <c r="E123" s="67"/>
      <c r="F123" s="75"/>
      <c r="G123" s="626"/>
      <c r="H123" s="92"/>
      <c r="I123" s="634" t="s">
        <v>288</v>
      </c>
      <c r="J123" s="634"/>
      <c r="K123" s="92"/>
      <c r="L123" s="78" t="s">
        <v>288</v>
      </c>
      <c r="M123" s="78"/>
      <c r="N123" s="92"/>
      <c r="O123" s="78" t="s">
        <v>288</v>
      </c>
      <c r="P123" s="78"/>
      <c r="Q123" s="92"/>
      <c r="R123" s="78" t="s">
        <v>288</v>
      </c>
      <c r="S123" s="78"/>
      <c r="T123" s="92"/>
      <c r="U123" s="78" t="s">
        <v>288</v>
      </c>
      <c r="V123" s="78"/>
      <c r="W123" s="92"/>
      <c r="X123" s="642"/>
      <c r="Y123" s="78" t="s">
        <v>33</v>
      </c>
    </row>
    <row r="124" spans="2:25" ht="14.25" customHeight="1" x14ac:dyDescent="0.2">
      <c r="D124" s="1234" t="str">
        <f>IF(Deutsch,"Potenziabschätzung","estimation potential")</f>
        <v>Potenziabschätzung</v>
      </c>
      <c r="E124" s="1235"/>
      <c r="F124" s="1236"/>
      <c r="G124" s="626"/>
      <c r="H124" s="286" t="e">
        <f>IF(H50=Parametrikber!F126,IF(H51=#REF!,TRUE,FALSE),FALSE)</f>
        <v>#REF!</v>
      </c>
      <c r="I124" s="634" t="s">
        <v>288</v>
      </c>
      <c r="J124" s="634"/>
      <c r="K124" s="286" t="e">
        <f>IF(K50=Parametrikber!I126,IF(K51=#REF!,TRUE,FALSE),FALSE)</f>
        <v>#REF!</v>
      </c>
      <c r="L124" s="78" t="s">
        <v>288</v>
      </c>
      <c r="M124" s="364"/>
      <c r="N124" s="286" t="e">
        <f>IF(N50=Parametrikber!L126,IF(N51=#REF!,TRUE,FALSE),FALSE)</f>
        <v>#REF!</v>
      </c>
      <c r="O124" s="78" t="s">
        <v>288</v>
      </c>
      <c r="P124" s="364"/>
      <c r="Q124" s="286" t="e">
        <f>IF(Q50=Parametrikber!O126,IF(Q51=#REF!,TRUE,FALSE),FALSE)</f>
        <v>#VALUE!</v>
      </c>
      <c r="R124" s="78" t="s">
        <v>288</v>
      </c>
      <c r="S124" s="364"/>
      <c r="T124" s="286" t="e">
        <f>IF(T50=Parametrikber!R126,IF(T51=#REF!,TRUE,FALSE),FALSE)</f>
        <v>#VALUE!</v>
      </c>
      <c r="U124" s="78" t="s">
        <v>288</v>
      </c>
      <c r="V124" s="364"/>
      <c r="W124" s="286" t="e">
        <f>IF(W50=Parametrikber!U126,IF(W51=#REF!,TRUE,FALSE),FALSE)</f>
        <v>#VALUE!</v>
      </c>
      <c r="X124" s="641"/>
      <c r="Y124" s="78" t="s">
        <v>33</v>
      </c>
    </row>
    <row r="125" spans="2:25" x14ac:dyDescent="0.2">
      <c r="D125" s="1237"/>
      <c r="E125" s="1238"/>
      <c r="F125" s="1239"/>
      <c r="G125" s="626"/>
      <c r="H125" s="143"/>
      <c r="I125" s="634" t="s">
        <v>288</v>
      </c>
      <c r="J125" s="638"/>
      <c r="K125" s="143"/>
      <c r="L125" s="78" t="s">
        <v>288</v>
      </c>
      <c r="M125" s="144"/>
      <c r="N125" s="143"/>
      <c r="O125" s="78" t="s">
        <v>288</v>
      </c>
      <c r="P125" s="144"/>
      <c r="Q125" s="143"/>
      <c r="R125" s="78" t="s">
        <v>288</v>
      </c>
      <c r="S125" s="144"/>
      <c r="T125" s="143"/>
      <c r="U125" s="78" t="s">
        <v>288</v>
      </c>
      <c r="V125" s="144"/>
      <c r="W125" s="143"/>
      <c r="X125" s="642"/>
      <c r="Y125" s="78" t="s">
        <v>33</v>
      </c>
    </row>
    <row r="126" spans="2:25" x14ac:dyDescent="0.2">
      <c r="B126" s="55" t="s">
        <v>127</v>
      </c>
      <c r="D126" s="72" t="str">
        <f>'Quick Input'!I51</f>
        <v>Zielpreis Bauteil</v>
      </c>
      <c r="E126" s="73"/>
      <c r="F126" s="75"/>
      <c r="G126" s="626"/>
      <c r="H126" s="85">
        <f>AVERAGE('Quick Input'!M$52:M$56)</f>
        <v>55</v>
      </c>
      <c r="I126" s="634" t="s">
        <v>288</v>
      </c>
      <c r="J126" s="638"/>
      <c r="K126" s="85">
        <f>AVERAGE('Quick Input'!P52:P56)</f>
        <v>55</v>
      </c>
      <c r="L126" s="78" t="s">
        <v>288</v>
      </c>
      <c r="M126" s="365"/>
      <c r="N126" s="85">
        <f>AVERAGE('Quick Input'!S52:S56)</f>
        <v>55</v>
      </c>
      <c r="O126" s="78" t="s">
        <v>288</v>
      </c>
      <c r="P126" s="365"/>
      <c r="Q126" s="85" t="e">
        <f>AVERAGE('Quick Input'!V52:V56)</f>
        <v>#DIV/0!</v>
      </c>
      <c r="R126" s="78" t="s">
        <v>288</v>
      </c>
      <c r="S126" s="365"/>
      <c r="T126" s="85" t="e">
        <f>AVERAGE('Quick Input'!Y52:Y56)</f>
        <v>#DIV/0!</v>
      </c>
      <c r="U126" s="78" t="s">
        <v>288</v>
      </c>
      <c r="V126" s="365"/>
      <c r="W126" s="85" t="e">
        <f>AVERAGE('Quick Input'!AB52:AB56)</f>
        <v>#DIV/0!</v>
      </c>
      <c r="X126" s="642"/>
      <c r="Y126" s="78" t="s">
        <v>33</v>
      </c>
    </row>
    <row r="127" spans="2:25" x14ac:dyDescent="0.2">
      <c r="D127" s="72" t="str">
        <f>IF(Deutsch,"Potenzial pro Bauteil","earning per part")</f>
        <v>Potenzial pro Bauteil</v>
      </c>
      <c r="E127" s="73"/>
      <c r="F127" s="75"/>
      <c r="G127" s="626"/>
      <c r="H127" s="85">
        <f>H$126-H$122</f>
        <v>-70.948966106185452</v>
      </c>
      <c r="I127" s="634" t="s">
        <v>288</v>
      </c>
      <c r="J127" s="634"/>
      <c r="K127" s="85">
        <f>K126-K122</f>
        <v>20.759277844270962</v>
      </c>
      <c r="L127" s="78" t="s">
        <v>288</v>
      </c>
      <c r="M127" s="78"/>
      <c r="N127" s="85">
        <f>N126-N122</f>
        <v>7.7746536768665422</v>
      </c>
      <c r="O127" s="78" t="s">
        <v>288</v>
      </c>
      <c r="P127" s="78"/>
      <c r="Q127" s="85" t="e">
        <f>Q126-Q122</f>
        <v>#DIV/0!</v>
      </c>
      <c r="R127" s="78" t="s">
        <v>288</v>
      </c>
      <c r="S127" s="78"/>
      <c r="T127" s="85" t="e">
        <f>T126-T122</f>
        <v>#DIV/0!</v>
      </c>
      <c r="U127" s="78" t="s">
        <v>288</v>
      </c>
      <c r="V127" s="78"/>
      <c r="W127" s="85" t="e">
        <f>W126-W122</f>
        <v>#DIV/0!</v>
      </c>
      <c r="X127" s="642"/>
      <c r="Y127" s="78" t="s">
        <v>33</v>
      </c>
    </row>
    <row r="128" spans="2:25" x14ac:dyDescent="0.2">
      <c r="D128" s="72" t="str">
        <f>IF(Deutsch,"Potenzial über Lebenszyklus","earnig per live time")</f>
        <v>Potenzial über Lebenszyklus</v>
      </c>
      <c r="E128" s="73"/>
      <c r="F128" s="75"/>
      <c r="G128" s="626"/>
      <c r="H128" s="93">
        <f>IF(H$127&gt;0,H$127*'Quick Input'!M$44,0)</f>
        <v>0</v>
      </c>
      <c r="I128" s="634" t="s">
        <v>288</v>
      </c>
      <c r="J128" s="634"/>
      <c r="K128" s="93">
        <f>IF(K127&gt;0,K127*'Quick Input'!P44,0)</f>
        <v>622778.33532812889</v>
      </c>
      <c r="L128" s="78" t="s">
        <v>288</v>
      </c>
      <c r="M128" s="78"/>
      <c r="N128" s="93">
        <f>IF(N127&gt;0,N127*'Quick Input'!S44,0)</f>
        <v>233239.61030599626</v>
      </c>
      <c r="O128" s="78" t="s">
        <v>288</v>
      </c>
      <c r="P128" s="78"/>
      <c r="Q128" s="93" t="e">
        <f>IF(Q127&gt;0,Q127*'Quick Input'!V44,0)</f>
        <v>#DIV/0!</v>
      </c>
      <c r="R128" s="78" t="s">
        <v>288</v>
      </c>
      <c r="S128" s="78"/>
      <c r="T128" s="93" t="e">
        <f>IF(T127&gt;0,T127*'Quick Input'!Y44,0)</f>
        <v>#DIV/0!</v>
      </c>
      <c r="U128" s="78" t="s">
        <v>288</v>
      </c>
      <c r="V128" s="78"/>
      <c r="W128" s="93" t="e">
        <f>IF(W127&gt;0,W127*'Quick Input'!AB44,0)</f>
        <v>#DIV/0!</v>
      </c>
      <c r="X128" s="642"/>
      <c r="Y128" s="78" t="s">
        <v>33</v>
      </c>
    </row>
    <row r="129" spans="2:25" x14ac:dyDescent="0.2">
      <c r="D129" s="72" t="str">
        <f>IF(Deutsch,"Anzahl notwendiger Gieß-WKZ","tool sets")</f>
        <v>Anzahl notwendiger Gieß-WKZ</v>
      </c>
      <c r="E129" s="73"/>
      <c r="F129" s="75"/>
      <c r="G129" s="626"/>
      <c r="H129" s="140" t="str">
        <f>CONCATENATE(Parametrikber!F$260," x ",Parametrikber!F$259)</f>
        <v>2 x Alu</v>
      </c>
      <c r="I129" s="634" t="s">
        <v>288</v>
      </c>
      <c r="J129" s="634"/>
      <c r="K129" s="140" t="str">
        <f>CONCATENATE(Parametrikber!I$260," x ",Parametrikber!I$259)</f>
        <v>2 x Alu</v>
      </c>
      <c r="L129" s="78" t="s">
        <v>288</v>
      </c>
      <c r="M129" s="78"/>
      <c r="N129" s="140" t="str">
        <f>CONCATENATE(Parametrikber!L$260," x ",Parametrikber!L$259)</f>
        <v>2 x Alu</v>
      </c>
      <c r="O129" s="78" t="s">
        <v>288</v>
      </c>
      <c r="P129" s="78"/>
      <c r="Q129" s="140" t="e">
        <f>CONCATENATE(Parametrikber!O$260," x ",Parametrikber!O$259)</f>
        <v>#VALUE!</v>
      </c>
      <c r="R129" s="78" t="s">
        <v>288</v>
      </c>
      <c r="S129" s="78"/>
      <c r="T129" s="140" t="e">
        <f>CONCATENATE(Parametrikber!R$260," x ",Parametrikber!R$259)</f>
        <v>#VALUE!</v>
      </c>
      <c r="U129" s="78" t="s">
        <v>288</v>
      </c>
      <c r="V129" s="78"/>
      <c r="W129" s="140" t="e">
        <f>CONCATENATE(Parametrikber!U$260," x ",Parametrikber!U$259)</f>
        <v>#VALUE!</v>
      </c>
      <c r="X129" s="642"/>
      <c r="Y129" s="78"/>
    </row>
    <row r="130" spans="2:25" x14ac:dyDescent="0.2">
      <c r="D130" s="72" t="str">
        <f>IF(Deutsch,"Werkzeuginvest geschätzt","tool invest - calculated")</f>
        <v>Werkzeuginvest geschätzt</v>
      </c>
      <c r="E130" s="73"/>
      <c r="F130" s="75"/>
      <c r="G130" s="626"/>
      <c r="H130" s="93">
        <f>Parametrikber!F$264</f>
        <v>10100</v>
      </c>
      <c r="I130" s="634" t="s">
        <v>288</v>
      </c>
      <c r="J130" s="634"/>
      <c r="K130" s="93">
        <f>Parametrikber!I$264</f>
        <v>8800</v>
      </c>
      <c r="L130" s="634" t="s">
        <v>288</v>
      </c>
      <c r="M130" s="634"/>
      <c r="N130" s="93">
        <f>Parametrikber!L$264</f>
        <v>10100</v>
      </c>
      <c r="O130" s="634" t="s">
        <v>288</v>
      </c>
      <c r="P130" s="634"/>
      <c r="Q130" s="93" t="e">
        <f>Parametrikber!O$264</f>
        <v>#VALUE!</v>
      </c>
      <c r="R130" s="634" t="s">
        <v>288</v>
      </c>
      <c r="S130" s="634"/>
      <c r="T130" s="93" t="e">
        <f>Parametrikber!R$264</f>
        <v>#VALUE!</v>
      </c>
      <c r="U130" s="634" t="s">
        <v>288</v>
      </c>
      <c r="V130" s="634"/>
      <c r="W130" s="93" t="e">
        <f>Parametrikber!U$264</f>
        <v>#VALUE!</v>
      </c>
      <c r="X130" s="642"/>
      <c r="Y130" s="78"/>
    </row>
    <row r="131" spans="2:25" x14ac:dyDescent="0.2">
      <c r="D131" s="72" t="str">
        <f>IF(Deutsch,"Kernkasteninvest geschätzt","tool invest - calculated")</f>
        <v>Kernkasteninvest geschätzt</v>
      </c>
      <c r="E131" s="73"/>
      <c r="F131" s="75"/>
      <c r="G131" s="626"/>
      <c r="H131" s="93">
        <f>Parametrikber!F$269</f>
        <v>2300</v>
      </c>
      <c r="I131" s="634" t="s">
        <v>288</v>
      </c>
      <c r="J131" s="634"/>
      <c r="K131" s="93">
        <f>Parametrikber!I$269</f>
        <v>0</v>
      </c>
      <c r="L131" s="634" t="s">
        <v>288</v>
      </c>
      <c r="M131" s="634"/>
      <c r="N131" s="93">
        <f>Parametrikber!L$269</f>
        <v>0</v>
      </c>
      <c r="O131" s="634" t="s">
        <v>288</v>
      </c>
      <c r="P131" s="634"/>
      <c r="Q131" s="93">
        <f>Parametrikber!O$269</f>
        <v>0</v>
      </c>
      <c r="R131" s="634" t="s">
        <v>288</v>
      </c>
      <c r="S131" s="634"/>
      <c r="T131" s="93">
        <f>Parametrikber!R$269</f>
        <v>0</v>
      </c>
      <c r="U131" s="634" t="s">
        <v>288</v>
      </c>
      <c r="V131" s="634"/>
      <c r="W131" s="93">
        <f>Parametrikber!U$269</f>
        <v>0</v>
      </c>
      <c r="X131" s="642"/>
      <c r="Y131" s="78"/>
    </row>
    <row r="132" spans="2:25" ht="15" thickBot="1" x14ac:dyDescent="0.25">
      <c r="D132" s="807" t="str">
        <f>IF(Deutsch,"Modellkosten Angebot","tool invest - supplier")</f>
        <v>Modellkosten Angebot</v>
      </c>
      <c r="E132" s="94"/>
      <c r="F132" s="89"/>
      <c r="G132" s="630"/>
      <c r="H132" s="366">
        <f>'Quick Input'!M57+'Quick Input'!M58</f>
        <v>10500</v>
      </c>
      <c r="I132" s="639" t="s">
        <v>288</v>
      </c>
      <c r="J132" s="640"/>
      <c r="K132" s="366">
        <f>'Quick Input'!P57+'Quick Input'!P58</f>
        <v>5600</v>
      </c>
      <c r="L132" s="639" t="s">
        <v>288</v>
      </c>
      <c r="M132" s="640"/>
      <c r="N132" s="366">
        <f>'Quick Input'!S57+'Quick Input'!S58</f>
        <v>7500</v>
      </c>
      <c r="O132" s="639" t="s">
        <v>288</v>
      </c>
      <c r="P132" s="640"/>
      <c r="Q132" s="366" t="e">
        <f>'Quick Input'!V57+'Quick Input'!V58</f>
        <v>#VALUE!</v>
      </c>
      <c r="R132" s="639" t="s">
        <v>288</v>
      </c>
      <c r="S132" s="640"/>
      <c r="T132" s="366" t="e">
        <f>'Quick Input'!Y57+'Quick Input'!Y58</f>
        <v>#VALUE!</v>
      </c>
      <c r="U132" s="639" t="s">
        <v>288</v>
      </c>
      <c r="V132" s="640"/>
      <c r="W132" s="366" t="e">
        <f>'Quick Input'!AB57+'Quick Input'!AB58</f>
        <v>#VALUE!</v>
      </c>
      <c r="X132" s="644"/>
      <c r="Y132" s="78" t="s">
        <v>33</v>
      </c>
    </row>
    <row r="133" spans="2:25" ht="9" customHeight="1" thickBot="1" x14ac:dyDescent="0.25">
      <c r="G133" s="276"/>
      <c r="Y133" s="55" t="s">
        <v>33</v>
      </c>
    </row>
    <row r="134" spans="2:25" ht="11.25" customHeight="1" x14ac:dyDescent="0.2">
      <c r="D134" s="1222" t="str">
        <f>IF(Deutsch,"Empfehlungen / Info"," suggestion, infos")</f>
        <v>Empfehlungen / Info</v>
      </c>
      <c r="E134" s="1223"/>
      <c r="F134" s="1224"/>
      <c r="G134" s="191"/>
    </row>
    <row r="135" spans="2:25" ht="9.75" customHeight="1" thickBot="1" x14ac:dyDescent="0.25">
      <c r="D135" s="1225"/>
      <c r="E135" s="1226"/>
      <c r="F135" s="1227"/>
      <c r="G135" s="191"/>
    </row>
    <row r="136" spans="2:25" ht="26.25" customHeight="1" x14ac:dyDescent="0.2">
      <c r="B136" s="55" t="s">
        <v>127</v>
      </c>
      <c r="D136" s="603" t="str">
        <f>IF(Deutsch,"Parameter","parameter")</f>
        <v>Parameter</v>
      </c>
      <c r="E136" s="600"/>
      <c r="F136" s="601"/>
      <c r="G136" s="631"/>
      <c r="H136" s="703" t="str">
        <f>VLOOKUP(1,Parametrikber!E$276:$X$292,IF(Deutsch,19,20),FALSE)</f>
        <v>Empfehlung Formverfahren</v>
      </c>
      <c r="I136" s="271" t="s">
        <v>288</v>
      </c>
      <c r="J136" s="602"/>
      <c r="K136" s="703" t="str">
        <f>VLOOKUP(1,Parametrikber!H$276:$X$292,IF(Deutsch,16,17),FALSE)</f>
        <v>Empfehlung Formverfahren</v>
      </c>
      <c r="L136" s="271" t="s">
        <v>288</v>
      </c>
      <c r="M136" s="602"/>
      <c r="N136" s="703" t="str">
        <f>VLOOKUP(1,Parametrikber!K$276:$X$292,IF(Deutsch,13,14),FALSE)</f>
        <v>Empfehlung Formverfahren</v>
      </c>
      <c r="O136" s="271" t="s">
        <v>288</v>
      </c>
      <c r="P136" s="602"/>
      <c r="Q136" s="703" t="str">
        <f>VLOOKUP(1,Parametrikber!N$276:$X$292,IF(Deutsch,10,11),FALSE)</f>
        <v xml:space="preserve"> </v>
      </c>
      <c r="R136" s="271" t="s">
        <v>288</v>
      </c>
      <c r="S136" s="602"/>
      <c r="T136" s="703" t="str">
        <f>VLOOKUP(1,Parametrikber!Q$276:$X$292,IF(Deutsch,7,8),FALSE)</f>
        <v xml:space="preserve"> </v>
      </c>
      <c r="U136" s="271" t="s">
        <v>288</v>
      </c>
      <c r="V136" s="602"/>
      <c r="W136" s="703" t="str">
        <f>VLOOKUP(1,Parametrikber!T$276:$X$292,IF(Deutsch,4,5),FALSE)</f>
        <v xml:space="preserve"> </v>
      </c>
      <c r="X136" s="360"/>
      <c r="Y136" s="78" t="s">
        <v>33</v>
      </c>
    </row>
    <row r="137" spans="2:25" ht="15" thickBot="1" x14ac:dyDescent="0.25">
      <c r="D137" s="142"/>
      <c r="E137" s="94"/>
      <c r="F137" s="89"/>
      <c r="G137" s="632"/>
      <c r="H137" s="724" t="str">
        <f>VLOOKUP(2,Parametrikber!E$276:$X$293,2,FALSE)</f>
        <v>automatisch</v>
      </c>
      <c r="I137" s="87" t="s">
        <v>288</v>
      </c>
      <c r="J137" s="87"/>
      <c r="K137" s="704" t="str">
        <f>VLOOKUP(2,Parametrikber!H$276:$X$293,2,FALSE)</f>
        <v>automatisch</v>
      </c>
      <c r="L137" s="87" t="s">
        <v>288</v>
      </c>
      <c r="M137" s="87"/>
      <c r="N137" s="704" t="str">
        <f>VLOOKUP(2,Parametrikber!K$276:$X$293,2,FALSE)</f>
        <v>automatisch</v>
      </c>
      <c r="O137" s="87" t="s">
        <v>288</v>
      </c>
      <c r="P137" s="87"/>
      <c r="Q137" s="704" t="str">
        <f>VLOOKUP(2,Parametrikber!N$276:$X$293,2,FALSE)</f>
        <v xml:space="preserve"> </v>
      </c>
      <c r="R137" s="87" t="s">
        <v>288</v>
      </c>
      <c r="S137" s="87"/>
      <c r="T137" s="704" t="str">
        <f>VLOOKUP(2,Parametrikber!Q$276:$X$293,2,FALSE)</f>
        <v xml:space="preserve"> </v>
      </c>
      <c r="U137" s="87" t="s">
        <v>288</v>
      </c>
      <c r="V137" s="87"/>
      <c r="W137" s="704" t="str">
        <f>VLOOKUP(2,Parametrikber!T$276:$X$293,2,FALSE)</f>
        <v xml:space="preserve"> </v>
      </c>
      <c r="X137" s="362"/>
      <c r="Y137" s="78" t="s">
        <v>33</v>
      </c>
    </row>
    <row r="138" spans="2:25" ht="25.5" customHeight="1" x14ac:dyDescent="0.2">
      <c r="D138" s="603" t="str">
        <f>IF(Deutsch,"Parameter","parameter")</f>
        <v>Parameter</v>
      </c>
      <c r="E138" s="600"/>
      <c r="F138" s="601"/>
      <c r="G138" s="631"/>
      <c r="H138" s="703" t="str">
        <f>VLOOKUP(3,Parametrikber!E$276:$X$292,IF(Deutsch,19,20),FALSE)</f>
        <v>Kastenausnutzung (Volumen)</v>
      </c>
      <c r="I138" s="271" t="s">
        <v>288</v>
      </c>
      <c r="J138" s="602"/>
      <c r="K138" s="703" t="str">
        <f>VLOOKUP(3,Parametrikber!H$276:$X$292,IF(Deutsch,16,17),FALSE)</f>
        <v>Kastenausnutzung (Volumen)</v>
      </c>
      <c r="L138" s="271" t="s">
        <v>288</v>
      </c>
      <c r="M138" s="602"/>
      <c r="N138" s="703" t="str">
        <f>VLOOKUP(3,Parametrikber!K$276:$X$292,IF(Deutsch,13,14),FALSE)</f>
        <v>Kastenausnutzung (Volumen)</v>
      </c>
      <c r="O138" s="271" t="s">
        <v>288</v>
      </c>
      <c r="P138" s="602"/>
      <c r="Q138" s="703" t="str">
        <f>VLOOKUP(3,Parametrikber!N$276:$X$292,IF(Deutsch,10,11),FALSE)</f>
        <v xml:space="preserve"> </v>
      </c>
      <c r="R138" s="271" t="s">
        <v>288</v>
      </c>
      <c r="S138" s="602"/>
      <c r="T138" s="703" t="str">
        <f>VLOOKUP(3,Parametrikber!Q$276:$X$292,IF(Deutsch,7,8),FALSE)</f>
        <v xml:space="preserve"> </v>
      </c>
      <c r="U138" s="271" t="s">
        <v>288</v>
      </c>
      <c r="V138" s="602"/>
      <c r="W138" s="703" t="str">
        <f>VLOOKUP(3,Parametrikber!T$276:$X$292,IF(Deutsch,4,5),FALSE)</f>
        <v xml:space="preserve"> </v>
      </c>
      <c r="X138" s="360"/>
      <c r="Y138" s="55" t="s">
        <v>33</v>
      </c>
    </row>
    <row r="139" spans="2:25" ht="15" thickBot="1" x14ac:dyDescent="0.25">
      <c r="D139" s="142"/>
      <c r="E139" s="94"/>
      <c r="F139" s="89"/>
      <c r="G139" s="632"/>
      <c r="H139" s="723" t="str">
        <f>VLOOKUP(4,Parametrikber!E$276:$X$293,2,FALSE)</f>
        <v>0%</v>
      </c>
      <c r="I139" s="87" t="s">
        <v>288</v>
      </c>
      <c r="J139" s="87"/>
      <c r="K139" s="723" t="str">
        <f>VLOOKUP(4,Parametrikber!H$276:$X$293,2,FALSE)</f>
        <v>1%</v>
      </c>
      <c r="L139" s="87" t="s">
        <v>288</v>
      </c>
      <c r="M139" s="87"/>
      <c r="N139" s="723" t="str">
        <f>VLOOKUP(4,Parametrikber!K$276:$X$293,2,FALSE)</f>
        <v>1%</v>
      </c>
      <c r="O139" s="87" t="s">
        <v>288</v>
      </c>
      <c r="P139" s="87"/>
      <c r="Q139" s="723" t="str">
        <f>VLOOKUP(4,Parametrikber!N$276:$X$293,2,FALSE)</f>
        <v xml:space="preserve"> </v>
      </c>
      <c r="R139" s="87" t="s">
        <v>288</v>
      </c>
      <c r="S139" s="87"/>
      <c r="T139" s="723" t="str">
        <f>VLOOKUP(4,Parametrikber!Q$276:$X$293,2,FALSE)</f>
        <v xml:space="preserve"> </v>
      </c>
      <c r="U139" s="87" t="s">
        <v>288</v>
      </c>
      <c r="V139" s="87"/>
      <c r="W139" s="723" t="str">
        <f>VLOOKUP(4,Parametrikber!T$276:$X$293,2,FALSE)</f>
        <v xml:space="preserve"> </v>
      </c>
      <c r="X139" s="362"/>
      <c r="Y139" s="55" t="s">
        <v>33</v>
      </c>
    </row>
    <row r="140" spans="2:25" ht="26.25" customHeight="1" x14ac:dyDescent="0.2">
      <c r="D140" s="603" t="str">
        <f>IF(Deutsch,"Parameter","parameter")</f>
        <v>Parameter</v>
      </c>
      <c r="E140" s="600"/>
      <c r="F140" s="601"/>
      <c r="G140" s="631"/>
      <c r="H140" s="703" t="str">
        <f>VLOOKUP(5,Parametrikber!E$276:$X$292,IF(Deutsch,19,20),FALSE)</f>
        <v>Anzahl Modelle &gt;1</v>
      </c>
      <c r="I140" s="271" t="s">
        <v>288</v>
      </c>
      <c r="J140" s="602"/>
      <c r="K140" s="703" t="str">
        <f>VLOOKUP(5,Parametrikber!H$276:$X$292,IF(Deutsch,16,17),FALSE)</f>
        <v>Anteil Rüstzeit zu Prod.-Zeit</v>
      </c>
      <c r="L140" s="271" t="s">
        <v>288</v>
      </c>
      <c r="M140" s="602"/>
      <c r="N140" s="703" t="str">
        <f>VLOOKUP(5,Parametrikber!K$276:$X$292,IF(Deutsch,13,14),FALSE)</f>
        <v>Anteil Rüstzeit zu Prod.-Zeit</v>
      </c>
      <c r="O140" s="271" t="s">
        <v>288</v>
      </c>
      <c r="P140" s="602"/>
      <c r="Q140" s="703" t="str">
        <f>VLOOKUP(5,Parametrikber!N$276:$X$292,IF(Deutsch,10,11),FALSE)</f>
        <v xml:space="preserve"> </v>
      </c>
      <c r="R140" s="271" t="s">
        <v>288</v>
      </c>
      <c r="S140" s="602"/>
      <c r="T140" s="703" t="str">
        <f>VLOOKUP(5,Parametrikber!Q$276:$X$292,IF(Deutsch,7,8),FALSE)</f>
        <v xml:space="preserve"> </v>
      </c>
      <c r="U140" s="271" t="s">
        <v>288</v>
      </c>
      <c r="V140" s="602"/>
      <c r="W140" s="703" t="str">
        <f>VLOOKUP(5,Parametrikber!T$276:$X$292,IF(Deutsch,4,5),FALSE)</f>
        <v xml:space="preserve"> </v>
      </c>
      <c r="X140" s="360"/>
      <c r="Y140" s="55" t="s">
        <v>33</v>
      </c>
    </row>
    <row r="141" spans="2:25" ht="15" thickBot="1" x14ac:dyDescent="0.25">
      <c r="D141" s="142"/>
      <c r="E141" s="94"/>
      <c r="F141" s="89"/>
      <c r="G141" s="632"/>
      <c r="H141" s="704" t="str">
        <f>VLOOKUP(6,Parametrikber!E$276:$X$293,2,FALSE)</f>
        <v>2 WKZ aus Alu</v>
      </c>
      <c r="I141" s="87" t="s">
        <v>288</v>
      </c>
      <c r="J141" s="87"/>
      <c r="K141" s="704" t="str">
        <f>VLOOKUP(6,Parametrikber!H$276:$X$293,2,FALSE)</f>
        <v>43,1 %</v>
      </c>
      <c r="L141" s="87" t="s">
        <v>288</v>
      </c>
      <c r="M141" s="87"/>
      <c r="N141" s="704" t="str">
        <f>VLOOKUP(6,Parametrikber!K$276:$X$293,2,FALSE)</f>
        <v>43,1 %</v>
      </c>
      <c r="O141" s="87" t="s">
        <v>288</v>
      </c>
      <c r="P141" s="87"/>
      <c r="Q141" s="704" t="str">
        <f>VLOOKUP(6,Parametrikber!N$276:$X$293,2,FALSE)</f>
        <v xml:space="preserve"> </v>
      </c>
      <c r="R141" s="87" t="s">
        <v>288</v>
      </c>
      <c r="S141" s="87"/>
      <c r="T141" s="704" t="str">
        <f>VLOOKUP(6,Parametrikber!Q$276:$X$293,2,FALSE)</f>
        <v xml:space="preserve"> </v>
      </c>
      <c r="U141" s="87" t="s">
        <v>288</v>
      </c>
      <c r="V141" s="87"/>
      <c r="W141" s="704" t="str">
        <f>VLOOKUP(6,Parametrikber!T$276:$X$293,2,FALSE)</f>
        <v xml:space="preserve"> </v>
      </c>
      <c r="X141" s="362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  <c r="Y181" s="55" t="s">
        <v>33</v>
      </c>
    </row>
    <row r="182" spans="7:25" x14ac:dyDescent="0.2">
      <c r="G182" s="67"/>
      <c r="Y182" s="55" t="s">
        <v>33</v>
      </c>
    </row>
    <row r="183" spans="7:25" x14ac:dyDescent="0.2">
      <c r="G183" s="67"/>
      <c r="Y183" s="55" t="s">
        <v>33</v>
      </c>
    </row>
    <row r="184" spans="7:25" x14ac:dyDescent="0.2">
      <c r="G184" s="67"/>
      <c r="Y184" s="55" t="s">
        <v>33</v>
      </c>
    </row>
    <row r="185" spans="7:25" x14ac:dyDescent="0.2">
      <c r="G185" s="67"/>
      <c r="Y185" s="55" t="s">
        <v>33</v>
      </c>
    </row>
    <row r="186" spans="7:25" x14ac:dyDescent="0.2">
      <c r="G186" s="67"/>
      <c r="Y186" s="55" t="s">
        <v>33</v>
      </c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4:F135"/>
    <mergeCell ref="D5:F6"/>
    <mergeCell ref="D124:F125"/>
    <mergeCell ref="D28:F29"/>
    <mergeCell ref="D112:F113"/>
    <mergeCell ref="D9:F11"/>
    <mergeCell ref="D7:F7"/>
    <mergeCell ref="D8:F8"/>
    <mergeCell ref="D48:F48"/>
    <mergeCell ref="D105:F106"/>
    <mergeCell ref="D73:F73"/>
    <mergeCell ref="D90:F90"/>
  </mergeCells>
  <phoneticPr fontId="4" type="noConversion"/>
  <conditionalFormatting sqref="N123 Q123 T123 W123 K123 H15 H65 H123 K15 N15 Q15 W15 T15 H115 K115 N115 Q115 T115 W115 H47">
    <cfRule type="expression" dxfId="163" priority="458" stopIfTrue="1">
      <formula>VALUE(H16="Materialdatenbank")</formula>
    </cfRule>
  </conditionalFormatting>
  <conditionalFormatting sqref="H121 K121 N121 Q121 T121 W121 W54 K54 N54 Q54 T54 H54">
    <cfRule type="expression" dxfId="162" priority="459" stopIfTrue="1">
      <formula>VALUE(H56="Materialdatenbank")</formula>
    </cfRule>
  </conditionalFormatting>
  <conditionalFormatting sqref="N60 Q60 T60 W60 K60">
    <cfRule type="expression" dxfId="161" priority="461" stopIfTrue="1">
      <formula>VALUE(K119="Materialdatenbank")</formula>
    </cfRule>
  </conditionalFormatting>
  <conditionalFormatting sqref="H34">
    <cfRule type="expression" dxfId="160" priority="463" stopIfTrue="1">
      <formula>VALUE(H33="Materialdatenbank")</formula>
    </cfRule>
  </conditionalFormatting>
  <conditionalFormatting sqref="H56 K56 N56 Q56 W56 T56">
    <cfRule type="expression" dxfId="159" priority="464" stopIfTrue="1">
      <formula>VALUE(#REF!="Materialdatenbank")</formula>
    </cfRule>
  </conditionalFormatting>
  <conditionalFormatting sqref="H60">
    <cfRule type="expression" dxfId="158" priority="465" stopIfTrue="1">
      <formula>VALUE(H119="Materialdatenbank")</formula>
    </cfRule>
  </conditionalFormatting>
  <conditionalFormatting sqref="K76 N76 Q76 W76 H76">
    <cfRule type="expression" dxfId="157" priority="466" stopIfTrue="1">
      <formula>VALUE(H66="Materialdatenbank")</formula>
    </cfRule>
  </conditionalFormatting>
  <conditionalFormatting sqref="H122 H92 H33 N92 Q92 T92 W92 K122 N122 Q122 T122 W122 H86:H87 H107 K86:K87 K107 N86:N87 Q86:Q87 T86:T87 W86:W87 N107 Q107 T107 W107 K92 H94:H95 Q94:Q96 T94:T96 W94:W96 K94:K95 N94:N95">
    <cfRule type="expression" dxfId="156" priority="467" stopIfTrue="1">
      <formula>VALUE(#REF!="Materialdatenbank")</formula>
    </cfRule>
  </conditionalFormatting>
  <conditionalFormatting sqref="H125:H128 K125:K128 N125:N128 Q125:Q128 T125:T128 H130 H57 H25 H14 H68 K14 N14 Q14 T14 W14 W125:W128 K68 N68 Q68 T68 W68 H9:H12 K9:K12 N9:N12 Q9:Q12 T9:T12 W9:W12 K25 N25 Q25 T25 W25 K57 N57 Q57 T57 W57 K132 H132 K130 N130 Q130 T130 W130 N132 Q132 T132 W132">
    <cfRule type="expression" dxfId="155" priority="468" stopIfTrue="1">
      <formula>VALUE(#REF!="Materialdatenbank")</formula>
    </cfRule>
  </conditionalFormatting>
  <conditionalFormatting sqref="H113 K113 N113 Q113 W113 T113">
    <cfRule type="expression" dxfId="154" priority="470" stopIfTrue="1">
      <formula>VALUE(#REF!="Materialdatenbank")</formula>
    </cfRule>
  </conditionalFormatting>
  <conditionalFormatting sqref="H42">
    <cfRule type="expression" dxfId="153" priority="471" stopIfTrue="1">
      <formula>VALUE(#REF!="Materialdatenbank")</formula>
    </cfRule>
  </conditionalFormatting>
  <conditionalFormatting sqref="H37">
    <cfRule type="expression" dxfId="152" priority="472" stopIfTrue="1">
      <formula>VALUE(#REF!="Materialdatenbank")</formula>
    </cfRule>
  </conditionalFormatting>
  <conditionalFormatting sqref="K2:K4 T2:T4 N2:N4 W2:W4 Q2:Q4 H2:H4">
    <cfRule type="cellIs" dxfId="151" priority="473" operator="equal">
      <formula>FALSE</formula>
    </cfRule>
  </conditionalFormatting>
  <conditionalFormatting sqref="H17">
    <cfRule type="expression" dxfId="150" priority="474" stopIfTrue="1">
      <formula>VALUE(H24="Materialdatenbank")</formula>
    </cfRule>
  </conditionalFormatting>
  <conditionalFormatting sqref="H20">
    <cfRule type="expression" dxfId="149" priority="454" stopIfTrue="1">
      <formula>VALUE(H26="Materialdatenbank")</formula>
    </cfRule>
  </conditionalFormatting>
  <conditionalFormatting sqref="H21">
    <cfRule type="expression" dxfId="148" priority="453" stopIfTrue="1">
      <formula>VALUE(H25="Materialdatenbank")</formula>
    </cfRule>
  </conditionalFormatting>
  <conditionalFormatting sqref="K17">
    <cfRule type="expression" dxfId="147" priority="426" stopIfTrue="1">
      <formula>VALUE(K24="Materialdatenbank")</formula>
    </cfRule>
  </conditionalFormatting>
  <conditionalFormatting sqref="H103 H101 K103 K101 N103 N101 Q103 Q101 W103 W101 T103 T101">
    <cfRule type="expression" dxfId="146" priority="437" stopIfTrue="1">
      <formula>VALUE(#REF!="Materialdatenbank")</formula>
    </cfRule>
  </conditionalFormatting>
  <conditionalFormatting sqref="H36">
    <cfRule type="expression" dxfId="145" priority="475" stopIfTrue="1">
      <formula>VALUE(#REF!="Materialdatenbank")</formula>
    </cfRule>
  </conditionalFormatting>
  <conditionalFormatting sqref="H40">
    <cfRule type="expression" dxfId="144" priority="481" stopIfTrue="1">
      <formula>VALUE(H34="Materialdatenbank")</formula>
    </cfRule>
  </conditionalFormatting>
  <conditionalFormatting sqref="N17">
    <cfRule type="expression" dxfId="143" priority="425" stopIfTrue="1">
      <formula>VALUE(N24="Materialdatenbank")</formula>
    </cfRule>
  </conditionalFormatting>
  <conditionalFormatting sqref="Q17">
    <cfRule type="expression" dxfId="142" priority="424" stopIfTrue="1">
      <formula>VALUE(Q24="Materialdatenbank")</formula>
    </cfRule>
  </conditionalFormatting>
  <conditionalFormatting sqref="T17">
    <cfRule type="expression" dxfId="141" priority="423" stopIfTrue="1">
      <formula>VALUE(T24="Materialdatenbank")</formula>
    </cfRule>
  </conditionalFormatting>
  <conditionalFormatting sqref="W17">
    <cfRule type="expression" dxfId="140" priority="422" stopIfTrue="1">
      <formula>VALUE(W24="Materialdatenbank")</formula>
    </cfRule>
  </conditionalFormatting>
  <conditionalFormatting sqref="H39 K39 Q39 T39 W39">
    <cfRule type="expression" dxfId="139" priority="410" stopIfTrue="1">
      <formula>VALUE(H47="Materialdatenbank")</formula>
    </cfRule>
  </conditionalFormatting>
  <conditionalFormatting sqref="K40">
    <cfRule type="expression" dxfId="138" priority="416" stopIfTrue="1">
      <formula>VALUE(K34="Materialdatenbank")</formula>
    </cfRule>
  </conditionalFormatting>
  <conditionalFormatting sqref="N40">
    <cfRule type="expression" dxfId="137" priority="408" stopIfTrue="1">
      <formula>VALUE(N34="Materialdatenbank")</formula>
    </cfRule>
  </conditionalFormatting>
  <conditionalFormatting sqref="Q40">
    <cfRule type="expression" dxfId="136" priority="400" stopIfTrue="1">
      <formula>VALUE(Q34="Materialdatenbank")</formula>
    </cfRule>
  </conditionalFormatting>
  <conditionalFormatting sqref="T40">
    <cfRule type="expression" dxfId="135" priority="392" stopIfTrue="1">
      <formula>VALUE(T34="Materialdatenbank")</formula>
    </cfRule>
  </conditionalFormatting>
  <conditionalFormatting sqref="W40">
    <cfRule type="expression" dxfId="134" priority="384" stopIfTrue="1">
      <formula>VALUE(W34="Materialdatenbank")</formula>
    </cfRule>
  </conditionalFormatting>
  <conditionalFormatting sqref="K42">
    <cfRule type="expression" dxfId="133" priority="366" stopIfTrue="1">
      <formula>VALUE(#REF!="Materialdatenbank")</formula>
    </cfRule>
  </conditionalFormatting>
  <conditionalFormatting sqref="N42">
    <cfRule type="expression" dxfId="132" priority="365" stopIfTrue="1">
      <formula>VALUE(#REF!="Materialdatenbank")</formula>
    </cfRule>
  </conditionalFormatting>
  <conditionalFormatting sqref="Q42">
    <cfRule type="expression" dxfId="131" priority="364" stopIfTrue="1">
      <formula>VALUE(#REF!="Materialdatenbank")</formula>
    </cfRule>
  </conditionalFormatting>
  <conditionalFormatting sqref="T42">
    <cfRule type="expression" dxfId="130" priority="363" stopIfTrue="1">
      <formula>VALUE(#REF!="Materialdatenbank")</formula>
    </cfRule>
  </conditionalFormatting>
  <conditionalFormatting sqref="W42">
    <cfRule type="expression" dxfId="129" priority="362" stopIfTrue="1">
      <formula>VALUE(#REF!="Materialdatenbank")</formula>
    </cfRule>
  </conditionalFormatting>
  <conditionalFormatting sqref="K65">
    <cfRule type="expression" dxfId="128" priority="358" stopIfTrue="1">
      <formula>VALUE(K66="Materialdatenbank")</formula>
    </cfRule>
  </conditionalFormatting>
  <conditionalFormatting sqref="N65">
    <cfRule type="expression" dxfId="127" priority="356" stopIfTrue="1">
      <formula>VALUE(N66="Materialdatenbank")</formula>
    </cfRule>
  </conditionalFormatting>
  <conditionalFormatting sqref="Q65">
    <cfRule type="expression" dxfId="126" priority="354" stopIfTrue="1">
      <formula>VALUE(Q66="Materialdatenbank")</formula>
    </cfRule>
  </conditionalFormatting>
  <conditionalFormatting sqref="T65">
    <cfRule type="expression" dxfId="125" priority="352" stopIfTrue="1">
      <formula>VALUE(T66="Materialdatenbank")</formula>
    </cfRule>
  </conditionalFormatting>
  <conditionalFormatting sqref="W65">
    <cfRule type="expression" dxfId="124" priority="350" stopIfTrue="1">
      <formula>VALUE(W66="Materialdatenbank")</formula>
    </cfRule>
  </conditionalFormatting>
  <conditionalFormatting sqref="K137">
    <cfRule type="expression" dxfId="123" priority="240" stopIfTrue="1">
      <formula>K137=" "</formula>
    </cfRule>
  </conditionalFormatting>
  <conditionalFormatting sqref="K136">
    <cfRule type="expression" dxfId="122" priority="239" stopIfTrue="1">
      <formula>K136=" "</formula>
    </cfRule>
  </conditionalFormatting>
  <conditionalFormatting sqref="Q136">
    <cfRule type="expression" dxfId="121" priority="220" stopIfTrue="1">
      <formula>Q136=" "</formula>
    </cfRule>
  </conditionalFormatting>
  <conditionalFormatting sqref="N136">
    <cfRule type="expression" dxfId="120" priority="226" stopIfTrue="1">
      <formula>N136=" "</formula>
    </cfRule>
  </conditionalFormatting>
  <conditionalFormatting sqref="K141">
    <cfRule type="expression" dxfId="119" priority="235" stopIfTrue="1">
      <formula>K141=" "</formula>
    </cfRule>
  </conditionalFormatting>
  <conditionalFormatting sqref="N139">
    <cfRule type="expression" dxfId="118" priority="225" stopIfTrue="1">
      <formula>N139=" "</formula>
    </cfRule>
  </conditionalFormatting>
  <conditionalFormatting sqref="H137">
    <cfRule type="expression" dxfId="117" priority="233" stopIfTrue="1">
      <formula>H137=" "</formula>
    </cfRule>
  </conditionalFormatting>
  <conditionalFormatting sqref="H136">
    <cfRule type="expression" dxfId="116" priority="232" stopIfTrue="1">
      <formula>H136=" "</formula>
    </cfRule>
  </conditionalFormatting>
  <conditionalFormatting sqref="H141">
    <cfRule type="expression" dxfId="115" priority="229" stopIfTrue="1">
      <formula>H141=" "</formula>
    </cfRule>
  </conditionalFormatting>
  <conditionalFormatting sqref="Q141">
    <cfRule type="expression" dxfId="114" priority="217" stopIfTrue="1">
      <formula>Q141=" "</formula>
    </cfRule>
  </conditionalFormatting>
  <conditionalFormatting sqref="N137">
    <cfRule type="expression" dxfId="113" priority="227" stopIfTrue="1">
      <formula>N137=" "</formula>
    </cfRule>
  </conditionalFormatting>
  <conditionalFormatting sqref="N141">
    <cfRule type="expression" dxfId="112" priority="223" stopIfTrue="1">
      <formula>N141=" "</formula>
    </cfRule>
  </conditionalFormatting>
  <conditionalFormatting sqref="T137">
    <cfRule type="expression" dxfId="111" priority="215" stopIfTrue="1">
      <formula>T137=" "</formula>
    </cfRule>
  </conditionalFormatting>
  <conditionalFormatting sqref="Q137">
    <cfRule type="expression" dxfId="110" priority="221" stopIfTrue="1">
      <formula>Q137=" "</formula>
    </cfRule>
  </conditionalFormatting>
  <conditionalFormatting sqref="Q139">
    <cfRule type="expression" dxfId="109" priority="219" stopIfTrue="1">
      <formula>Q139=" "</formula>
    </cfRule>
  </conditionalFormatting>
  <conditionalFormatting sqref="T141">
    <cfRule type="expression" dxfId="108" priority="211" stopIfTrue="1">
      <formula>T141=" "</formula>
    </cfRule>
  </conditionalFormatting>
  <conditionalFormatting sqref="T136">
    <cfRule type="expression" dxfId="107" priority="214" stopIfTrue="1">
      <formula>T136=" "</formula>
    </cfRule>
  </conditionalFormatting>
  <conditionalFormatting sqref="T139">
    <cfRule type="expression" dxfId="106" priority="213" stopIfTrue="1">
      <formula>T139=" "</formula>
    </cfRule>
  </conditionalFormatting>
  <conditionalFormatting sqref="W136">
    <cfRule type="expression" dxfId="105" priority="208" stopIfTrue="1">
      <formula>W136=" "</formula>
    </cfRule>
  </conditionalFormatting>
  <conditionalFormatting sqref="W139">
    <cfRule type="expression" dxfId="104" priority="207" stopIfTrue="1">
      <formula>W139=" "</formula>
    </cfRule>
  </conditionalFormatting>
  <conditionalFormatting sqref="W137">
    <cfRule type="expression" dxfId="103" priority="209" stopIfTrue="1">
      <formula>W137=" "</formula>
    </cfRule>
  </conditionalFormatting>
  <conditionalFormatting sqref="W141">
    <cfRule type="expression" dxfId="102" priority="205" stopIfTrue="1">
      <formula>W141=" "</formula>
    </cfRule>
  </conditionalFormatting>
  <conditionalFormatting sqref="H22">
    <cfRule type="expression" dxfId="101" priority="203" stopIfTrue="1">
      <formula>VALUE(H122="Materialdatenbank")</formula>
    </cfRule>
  </conditionalFormatting>
  <conditionalFormatting sqref="K22">
    <cfRule type="expression" dxfId="100" priority="192" stopIfTrue="1">
      <formula>VALUE(K122="Materialdatenbank")</formula>
    </cfRule>
  </conditionalFormatting>
  <conditionalFormatting sqref="N22">
    <cfRule type="expression" dxfId="99" priority="191" stopIfTrue="1">
      <formula>VALUE(N122="Materialdatenbank")</formula>
    </cfRule>
  </conditionalFormatting>
  <conditionalFormatting sqref="Q22">
    <cfRule type="expression" dxfId="98" priority="190" stopIfTrue="1">
      <formula>VALUE(Q122="Materialdatenbank")</formula>
    </cfRule>
  </conditionalFormatting>
  <conditionalFormatting sqref="T22">
    <cfRule type="expression" dxfId="97" priority="189" stopIfTrue="1">
      <formula>VALUE(T122="Materialdatenbank")</formula>
    </cfRule>
  </conditionalFormatting>
  <conditionalFormatting sqref="W22">
    <cfRule type="expression" dxfId="96" priority="188" stopIfTrue="1">
      <formula>VALUE(W122="Materialdatenbank")</formula>
    </cfRule>
  </conditionalFormatting>
  <conditionalFormatting sqref="H138">
    <cfRule type="expression" dxfId="95" priority="186" stopIfTrue="1">
      <formula>H138=" "</formula>
    </cfRule>
  </conditionalFormatting>
  <conditionalFormatting sqref="H140">
    <cfRule type="expression" dxfId="94" priority="185" stopIfTrue="1">
      <formula>H140=" "</formula>
    </cfRule>
  </conditionalFormatting>
  <conditionalFormatting sqref="K138">
    <cfRule type="expression" dxfId="93" priority="184" stopIfTrue="1">
      <formula>K138=" "</formula>
    </cfRule>
  </conditionalFormatting>
  <conditionalFormatting sqref="K140">
    <cfRule type="expression" dxfId="92" priority="183" stopIfTrue="1">
      <formula>K140=" "</formula>
    </cfRule>
  </conditionalFormatting>
  <conditionalFormatting sqref="N138">
    <cfRule type="expression" dxfId="91" priority="182" stopIfTrue="1">
      <formula>N138=" "</formula>
    </cfRule>
  </conditionalFormatting>
  <conditionalFormatting sqref="N140">
    <cfRule type="expression" dxfId="90" priority="181" stopIfTrue="1">
      <formula>N140=" "</formula>
    </cfRule>
  </conditionalFormatting>
  <conditionalFormatting sqref="Q138">
    <cfRule type="expression" dxfId="89" priority="180" stopIfTrue="1">
      <formula>Q138=" "</formula>
    </cfRule>
  </conditionalFormatting>
  <conditionalFormatting sqref="Q140">
    <cfRule type="expression" dxfId="88" priority="179" stopIfTrue="1">
      <formula>Q140=" "</formula>
    </cfRule>
  </conditionalFormatting>
  <conditionalFormatting sqref="T138">
    <cfRule type="expression" dxfId="87" priority="178" stopIfTrue="1">
      <formula>T138=" "</formula>
    </cfRule>
  </conditionalFormatting>
  <conditionalFormatting sqref="T140">
    <cfRule type="expression" dxfId="86" priority="177" stopIfTrue="1">
      <formula>T140=" "</formula>
    </cfRule>
  </conditionalFormatting>
  <conditionalFormatting sqref="W138">
    <cfRule type="expression" dxfId="85" priority="176" stopIfTrue="1">
      <formula>W138=" "</formula>
    </cfRule>
  </conditionalFormatting>
  <conditionalFormatting sqref="W140">
    <cfRule type="expression" dxfId="84" priority="175" stopIfTrue="1">
      <formula>W140=" "</formula>
    </cfRule>
  </conditionalFormatting>
  <conditionalFormatting sqref="H102 K102 N102 Q102 W102 T102">
    <cfRule type="expression" dxfId="83" priority="174" stopIfTrue="1">
      <formula>VALUE(#REF!="Materialdatenbank")</formula>
    </cfRule>
  </conditionalFormatting>
  <conditionalFormatting sqref="H139">
    <cfRule type="expression" dxfId="82" priority="166" stopIfTrue="1">
      <formula>H139=" "</formula>
    </cfRule>
  </conditionalFormatting>
  <conditionalFormatting sqref="K139">
    <cfRule type="expression" dxfId="81" priority="164" stopIfTrue="1">
      <formula>K139=" "</formula>
    </cfRule>
  </conditionalFormatting>
  <conditionalFormatting sqref="H97 Q97:Q98 T97:T98 W97:W98 K97 N97">
    <cfRule type="expression" dxfId="80" priority="158" stopIfTrue="1">
      <formula>VALUE(#REF!="Materialdatenbank")</formula>
    </cfRule>
  </conditionalFormatting>
  <conditionalFormatting sqref="H99 K99 N99 Q99 T99 W99">
    <cfRule type="expression" dxfId="79" priority="157" stopIfTrue="1">
      <formula>VALUE(#REF!="Materialdatenbank")</formula>
    </cfRule>
  </conditionalFormatting>
  <conditionalFormatting sqref="K33">
    <cfRule type="expression" dxfId="78" priority="152" stopIfTrue="1">
      <formula>VALUE(#REF!="Materialdatenbank")</formula>
    </cfRule>
  </conditionalFormatting>
  <conditionalFormatting sqref="N33">
    <cfRule type="expression" dxfId="77" priority="150" stopIfTrue="1">
      <formula>VALUE(#REF!="Materialdatenbank")</formula>
    </cfRule>
  </conditionalFormatting>
  <conditionalFormatting sqref="Q33">
    <cfRule type="expression" dxfId="76" priority="148" stopIfTrue="1">
      <formula>VALUE(#REF!="Materialdatenbank")</formula>
    </cfRule>
  </conditionalFormatting>
  <conditionalFormatting sqref="T33">
    <cfRule type="expression" dxfId="75" priority="146" stopIfTrue="1">
      <formula>VALUE(#REF!="Materialdatenbank")</formula>
    </cfRule>
  </conditionalFormatting>
  <conditionalFormatting sqref="W33">
    <cfRule type="expression" dxfId="74" priority="144" stopIfTrue="1">
      <formula>VALUE(#REF!="Materialdatenbank")</formula>
    </cfRule>
  </conditionalFormatting>
  <conditionalFormatting sqref="K37 N37 Q37 T37 W37">
    <cfRule type="expression" dxfId="73" priority="142" stopIfTrue="1">
      <formula>VALUE(#REF!="Materialdatenbank")</formula>
    </cfRule>
  </conditionalFormatting>
  <conditionalFormatting sqref="K34">
    <cfRule type="expression" dxfId="72" priority="139" stopIfTrue="1">
      <formula>VALUE(K33="Materialdatenbank")</formula>
    </cfRule>
  </conditionalFormatting>
  <conditionalFormatting sqref="N34">
    <cfRule type="expression" dxfId="71" priority="138" stopIfTrue="1">
      <formula>VALUE(N33="Materialdatenbank")</formula>
    </cfRule>
  </conditionalFormatting>
  <conditionalFormatting sqref="Q34">
    <cfRule type="expression" dxfId="70" priority="137" stopIfTrue="1">
      <formula>VALUE(Q33="Materialdatenbank")</formula>
    </cfRule>
  </conditionalFormatting>
  <conditionalFormatting sqref="T34">
    <cfRule type="expression" dxfId="69" priority="136" stopIfTrue="1">
      <formula>VALUE(T33="Materialdatenbank")</formula>
    </cfRule>
  </conditionalFormatting>
  <conditionalFormatting sqref="W34">
    <cfRule type="expression" dxfId="68" priority="135" stopIfTrue="1">
      <formula>VALUE(W33="Materialdatenbank")</formula>
    </cfRule>
  </conditionalFormatting>
  <conditionalFormatting sqref="H45">
    <cfRule type="expression" dxfId="67" priority="133" stopIfTrue="1">
      <formula>VALUE(#REF!="Materialdatenbank")</formula>
    </cfRule>
  </conditionalFormatting>
  <conditionalFormatting sqref="H43">
    <cfRule type="expression" dxfId="66" priority="134" stopIfTrue="1">
      <formula>VALUE(H37="Materialdatenbank")</formula>
    </cfRule>
  </conditionalFormatting>
  <conditionalFormatting sqref="K43">
    <cfRule type="expression" dxfId="65" priority="112" stopIfTrue="1">
      <formula>VALUE(K37="Materialdatenbank")</formula>
    </cfRule>
  </conditionalFormatting>
  <conditionalFormatting sqref="N43">
    <cfRule type="expression" dxfId="64" priority="111" stopIfTrue="1">
      <formula>VALUE(N37="Materialdatenbank")</formula>
    </cfRule>
  </conditionalFormatting>
  <conditionalFormatting sqref="Q43">
    <cfRule type="expression" dxfId="63" priority="110" stopIfTrue="1">
      <formula>VALUE(Q37="Materialdatenbank")</formula>
    </cfRule>
  </conditionalFormatting>
  <conditionalFormatting sqref="T43">
    <cfRule type="expression" dxfId="62" priority="109" stopIfTrue="1">
      <formula>VALUE(T37="Materialdatenbank")</formula>
    </cfRule>
  </conditionalFormatting>
  <conditionalFormatting sqref="W43">
    <cfRule type="expression" dxfId="61" priority="108" stopIfTrue="1">
      <formula>VALUE(W37="Materialdatenbank")</formula>
    </cfRule>
  </conditionalFormatting>
  <conditionalFormatting sqref="K21">
    <cfRule type="expression" dxfId="60" priority="97" stopIfTrue="1">
      <formula>VALUE(K25="Materialdatenbank")</formula>
    </cfRule>
  </conditionalFormatting>
  <conditionalFormatting sqref="N21">
    <cfRule type="expression" dxfId="59" priority="96" stopIfTrue="1">
      <formula>VALUE(N25="Materialdatenbank")</formula>
    </cfRule>
  </conditionalFormatting>
  <conditionalFormatting sqref="Q21">
    <cfRule type="expression" dxfId="58" priority="95" stopIfTrue="1">
      <formula>VALUE(Q25="Materialdatenbank")</formula>
    </cfRule>
  </conditionalFormatting>
  <conditionalFormatting sqref="W21">
    <cfRule type="expression" dxfId="57" priority="93" stopIfTrue="1">
      <formula>VALUE(W25="Materialdatenbank")</formula>
    </cfRule>
  </conditionalFormatting>
  <conditionalFormatting sqref="K106 H106 N106 Q106 T106 W106">
    <cfRule type="expression" dxfId="56" priority="84" stopIfTrue="1">
      <formula>VALUE(H109="Materialdatenbank")</formula>
    </cfRule>
  </conditionalFormatting>
  <conditionalFormatting sqref="H26 K26 N26 Q26 T26 W26">
    <cfRule type="expression" dxfId="55" priority="483" stopIfTrue="1">
      <formula>VALUE(#REF!="Materialdatenbank")</formula>
    </cfRule>
  </conditionalFormatting>
  <conditionalFormatting sqref="H18 N18 Q18 T18 W18 K18">
    <cfRule type="expression" dxfId="54" priority="81" stopIfTrue="1">
      <formula>VALUE(H21="Materialdatenbank")</formula>
    </cfRule>
  </conditionalFormatting>
  <conditionalFormatting sqref="H23">
    <cfRule type="expression" dxfId="53" priority="80" stopIfTrue="1">
      <formula>VALUE(H27="Materialdatenbank")</formula>
    </cfRule>
  </conditionalFormatting>
  <conditionalFormatting sqref="H19">
    <cfRule type="expression" dxfId="52" priority="67" stopIfTrue="1">
      <formula>VALUE(#REF!="Materialdatenbank")</formula>
    </cfRule>
  </conditionalFormatting>
  <conditionalFormatting sqref="K19 N19 Q19 T19 W19">
    <cfRule type="expression" dxfId="51" priority="66" stopIfTrue="1">
      <formula>VALUE(#REF!="Materialdatenbank")</formula>
    </cfRule>
  </conditionalFormatting>
  <conditionalFormatting sqref="K20 N20 Q20 W20 T20">
    <cfRule type="expression" dxfId="50" priority="65" stopIfTrue="1">
      <formula>VALUE(K26="Materialdatenbank")</formula>
    </cfRule>
  </conditionalFormatting>
  <conditionalFormatting sqref="K23 N23 Q23 T23 W23">
    <cfRule type="expression" dxfId="49" priority="64" stopIfTrue="1">
      <formula>VALUE(K27="Materialdatenbank")</formula>
    </cfRule>
  </conditionalFormatting>
  <conditionalFormatting sqref="K45">
    <cfRule type="expression" dxfId="48" priority="63" stopIfTrue="1">
      <formula>VALUE(#REF!="Materialdatenbank")</formula>
    </cfRule>
  </conditionalFormatting>
  <conditionalFormatting sqref="N45">
    <cfRule type="expression" dxfId="47" priority="62" stopIfTrue="1">
      <formula>VALUE(#REF!="Materialdatenbank")</formula>
    </cfRule>
  </conditionalFormatting>
  <conditionalFormatting sqref="Q45">
    <cfRule type="expression" dxfId="46" priority="61" stopIfTrue="1">
      <formula>VALUE(#REF!="Materialdatenbank")</formula>
    </cfRule>
  </conditionalFormatting>
  <conditionalFormatting sqref="W45">
    <cfRule type="expression" dxfId="45" priority="60" stopIfTrue="1">
      <formula>VALUE(#REF!="Materialdatenbank")</formula>
    </cfRule>
  </conditionalFormatting>
  <conditionalFormatting sqref="K36 N36 Q36 T36 W36">
    <cfRule type="expression" dxfId="44" priority="59" stopIfTrue="1">
      <formula>VALUE(#REF!="Materialdatenbank")</formula>
    </cfRule>
  </conditionalFormatting>
  <conditionalFormatting sqref="N39">
    <cfRule type="expression" dxfId="43" priority="58" stopIfTrue="1">
      <formula>VALUE(N47="Materialdatenbank")</formula>
    </cfRule>
  </conditionalFormatting>
  <conditionalFormatting sqref="T21">
    <cfRule type="expression" dxfId="42" priority="57" stopIfTrue="1">
      <formula>VALUE(T25="Materialdatenbank")</formula>
    </cfRule>
  </conditionalFormatting>
  <conditionalFormatting sqref="T45">
    <cfRule type="expression" dxfId="41" priority="56" stopIfTrue="1">
      <formula>VALUE(#REF!="Materialdatenbank")</formula>
    </cfRule>
  </conditionalFormatting>
  <conditionalFormatting sqref="K89 N89 Q89 T89 W89 H89">
    <cfRule type="expression" dxfId="40" priority="490" stopIfTrue="1">
      <formula>VALUE(H65="Materialdatenbank")</formula>
    </cfRule>
  </conditionalFormatting>
  <conditionalFormatting sqref="T76">
    <cfRule type="expression" dxfId="39" priority="496" stopIfTrue="1">
      <formula>VALUE(T66="Materialdatenbank")</formula>
    </cfRule>
  </conditionalFormatting>
  <conditionalFormatting sqref="T64 W64 H64 K64 N64 Q64">
    <cfRule type="expression" dxfId="38" priority="502" stopIfTrue="1">
      <formula>VALUE(H53="Materialdatenbank")</formula>
    </cfRule>
  </conditionalFormatting>
  <conditionalFormatting sqref="H85 K85 N85 Q85 T85 W85">
    <cfRule type="expression" dxfId="37" priority="504" stopIfTrue="1">
      <formula>VALUE(H63="Materialdatenbank")</formula>
    </cfRule>
  </conditionalFormatting>
  <conditionalFormatting sqref="K66 N66 Q66 T66 W66 H66 N69 Q69 T69 W69">
    <cfRule type="expression" dxfId="36" priority="52" stopIfTrue="1">
      <formula>VALUE(H123="Materialdatenbank")</formula>
    </cfRule>
  </conditionalFormatting>
  <conditionalFormatting sqref="H116 K116 N116 Q116 T116 W116">
    <cfRule type="expression" dxfId="35" priority="506" stopIfTrue="1">
      <formula>VALUE(#REF!="Materialdatenbank")</formula>
    </cfRule>
  </conditionalFormatting>
  <conditionalFormatting sqref="N117 Q117 T117 W117">
    <cfRule type="expression" dxfId="34" priority="529" stopIfTrue="1">
      <formula>VALUE(N104="Materialdatenbank")</formula>
    </cfRule>
  </conditionalFormatting>
  <conditionalFormatting sqref="K109 N109 Q109 T109 W109 H109">
    <cfRule type="expression" dxfId="33" priority="530" stopIfTrue="1">
      <formula>VALUE(H70="Materialdatenbank")</formula>
    </cfRule>
  </conditionalFormatting>
  <conditionalFormatting sqref="K47">
    <cfRule type="expression" dxfId="32" priority="44" stopIfTrue="1">
      <formula>VALUE(K48="Materialdatenbank")</formula>
    </cfRule>
  </conditionalFormatting>
  <conditionalFormatting sqref="N47">
    <cfRule type="expression" dxfId="31" priority="43" stopIfTrue="1">
      <formula>VALUE(N48="Materialdatenbank")</formula>
    </cfRule>
  </conditionalFormatting>
  <conditionalFormatting sqref="Q47">
    <cfRule type="expression" dxfId="30" priority="42" stopIfTrue="1">
      <formula>VALUE(Q48="Materialdatenbank")</formula>
    </cfRule>
  </conditionalFormatting>
  <conditionalFormatting sqref="T47">
    <cfRule type="expression" dxfId="29" priority="41" stopIfTrue="1">
      <formula>VALUE(T48="Materialdatenbank")</formula>
    </cfRule>
  </conditionalFormatting>
  <conditionalFormatting sqref="W47">
    <cfRule type="expression" dxfId="28" priority="40" stopIfTrue="1">
      <formula>VALUE(W48="Materialdatenbank")</formula>
    </cfRule>
  </conditionalFormatting>
  <conditionalFormatting sqref="H72">
    <cfRule type="expression" dxfId="27" priority="35" stopIfTrue="1">
      <formula>VALUE(H68="Materialdatenbank")</formula>
    </cfRule>
  </conditionalFormatting>
  <conditionalFormatting sqref="H117">
    <cfRule type="expression" dxfId="26" priority="32" stopIfTrue="1">
      <formula>VALUE(H104="Materialdatenbank")</formula>
    </cfRule>
  </conditionalFormatting>
  <conditionalFormatting sqref="H120">
    <cfRule type="expression" dxfId="25" priority="31" stopIfTrue="1">
      <formula>VALUE(H107="Materialdatenbank")</formula>
    </cfRule>
  </conditionalFormatting>
  <conditionalFormatting sqref="K117">
    <cfRule type="expression" dxfId="24" priority="29" stopIfTrue="1">
      <formula>VALUE(K104="Materialdatenbank")</formula>
    </cfRule>
  </conditionalFormatting>
  <conditionalFormatting sqref="N71 Q71 T71 W71 K71 H71">
    <cfRule type="expression" dxfId="23" priority="535" stopIfTrue="1">
      <formula>VALUE(#REF!="Materialdatenbank")</formula>
    </cfRule>
  </conditionalFormatting>
  <conditionalFormatting sqref="H110">
    <cfRule type="expression" dxfId="22" priority="27" stopIfTrue="1">
      <formula>VALUE(H113="Materialdatenbank")</formula>
    </cfRule>
  </conditionalFormatting>
  <conditionalFormatting sqref="K110 N110 Q110 T110 W110">
    <cfRule type="expression" dxfId="21" priority="26" stopIfTrue="1">
      <formula>VALUE(K113="Materialdatenbank")</formula>
    </cfRule>
  </conditionalFormatting>
  <conditionalFormatting sqref="H84 K84 N84 Q84 T84 W84">
    <cfRule type="expression" dxfId="20" priority="559" stopIfTrue="1">
      <formula>VALUE(H64="Materialdatenbank")</formula>
    </cfRule>
  </conditionalFormatting>
  <conditionalFormatting sqref="H104 K104 N104 Q104 T104 W104">
    <cfRule type="expression" dxfId="19" priority="564" stopIfTrue="1">
      <formula>VALUE(H76="Materialdatenbank")</formula>
    </cfRule>
  </conditionalFormatting>
  <conditionalFormatting sqref="H77 N77 Q77 T77 W77">
    <cfRule type="expression" dxfId="18" priority="25" stopIfTrue="1">
      <formula>VALUE(H60="Materialdatenbank")</formula>
    </cfRule>
  </conditionalFormatting>
  <conditionalFormatting sqref="K77">
    <cfRule type="expression" dxfId="17" priority="24" stopIfTrue="1">
      <formula>VALUE(K60="Materialdatenbank")</formula>
    </cfRule>
  </conditionalFormatting>
  <conditionalFormatting sqref="H83 Q83 T83 W83 N83">
    <cfRule type="expression" dxfId="16" priority="21" stopIfTrue="1">
      <formula>VALUE(H64="Materialdatenbank")</formula>
    </cfRule>
  </conditionalFormatting>
  <conditionalFormatting sqref="K83">
    <cfRule type="expression" dxfId="15" priority="13" stopIfTrue="1">
      <formula>VALUE(K64="Materialdatenbank")</formula>
    </cfRule>
  </conditionalFormatting>
  <conditionalFormatting sqref="H69">
    <cfRule type="expression" dxfId="14" priority="11" stopIfTrue="1">
      <formula>VALUE(H126="Materialdatenbank")</formula>
    </cfRule>
  </conditionalFormatting>
  <conditionalFormatting sqref="K69">
    <cfRule type="expression" dxfId="13" priority="10" stopIfTrue="1">
      <formula>VALUE(K126="Materialdatenbank")</formula>
    </cfRule>
  </conditionalFormatting>
  <conditionalFormatting sqref="K72 N72 Q72 T72 W72">
    <cfRule type="expression" dxfId="12" priority="9" stopIfTrue="1">
      <formula>VALUE(K68="Materialdatenbank")</formula>
    </cfRule>
  </conditionalFormatting>
  <conditionalFormatting sqref="K120 N120 Q120 T120 W120">
    <cfRule type="expression" dxfId="11" priority="8" stopIfTrue="1">
      <formula>VALUE(K107="Materialdatenbank")</formula>
    </cfRule>
  </conditionalFormatting>
  <conditionalFormatting sqref="H131 K131 N131 Q131 T131 W131">
    <cfRule type="expression" dxfId="10" priority="7" stopIfTrue="1">
      <formula>VALUE(#REF!="Materialdatenbank")</formula>
    </cfRule>
  </conditionalFormatting>
  <conditionalFormatting sqref="H79">
    <cfRule type="expression" dxfId="9" priority="6" stopIfTrue="1">
      <formula>VALUE(H62="Materialdatenbank")</formula>
    </cfRule>
  </conditionalFormatting>
  <conditionalFormatting sqref="K79">
    <cfRule type="expression" dxfId="8" priority="5" stopIfTrue="1">
      <formula>VALUE(K62="Materialdatenbank")</formula>
    </cfRule>
  </conditionalFormatting>
  <conditionalFormatting sqref="N79">
    <cfRule type="expression" dxfId="7" priority="4" stopIfTrue="1">
      <formula>VALUE(N62="Materialdatenbank")</formula>
    </cfRule>
  </conditionalFormatting>
  <conditionalFormatting sqref="H81">
    <cfRule type="expression" dxfId="6" priority="3" stopIfTrue="1">
      <formula>VALUE(H64="Materialdatenbank")</formula>
    </cfRule>
  </conditionalFormatting>
  <conditionalFormatting sqref="K81">
    <cfRule type="expression" dxfId="5" priority="2" stopIfTrue="1">
      <formula>VALUE(K64="Materialdatenbank")</formula>
    </cfRule>
  </conditionalFormatting>
  <conditionalFormatting sqref="N81">
    <cfRule type="expression" dxfId="4" priority="1" stopIfTrue="1">
      <formula>VALUE(N64="Materialdatenbank")</formula>
    </cfRule>
  </conditionalFormatting>
  <dataValidations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101 K101 N101 Q101 W101 H101" xr:uid="{00000000-0002-0000-0200-000005000000}">
      <formula1>0</formula1>
      <formula2>1</formula2>
    </dataValidation>
    <dataValidation type="decimal" allowBlank="1" showInputMessage="1" showErrorMessage="1" sqref="H102 K102 N102 Q102 W102 T102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976440-59C3-447B-BE27-FD7D5012F3AB}">
          <x14:formula1>
            <xm:f>'Maschinen-DB'!$B$67:$B$68</xm:f>
          </x14:formula1>
          <xm:sqref>N95 H95 K95</xm:sqref>
        </x14:dataValidation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K31 N31 Q31 T31 W31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C6" sqref="C6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1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opLeftCell="A44" zoomScaleNormal="100" workbookViewId="0">
      <selection activeCell="I58" sqref="I58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I57">
        <v>80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9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9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9" x14ac:dyDescent="0.2">
      <c r="B67" s="545" t="s">
        <v>1003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9" x14ac:dyDescent="0.2">
      <c r="B68" s="1212" t="s">
        <v>1004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9" x14ac:dyDescent="0.2">
      <c r="B69" s="1212" t="s">
        <v>989</v>
      </c>
      <c r="C69" s="1213" t="s">
        <v>990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9" x14ac:dyDescent="0.2">
      <c r="B70" s="1212" t="s">
        <v>991</v>
      </c>
      <c r="C70" s="1213" t="s">
        <v>990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  <c r="I70" s="1210">
        <v>2.2999999999999998</v>
      </c>
    </row>
    <row r="71" spans="2:9" x14ac:dyDescent="0.2">
      <c r="B71" s="1212" t="s">
        <v>992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  <c r="I71" s="1210">
        <v>0.6</v>
      </c>
    </row>
    <row r="72" spans="2:9" x14ac:dyDescent="0.2">
      <c r="B72" s="1212" t="s">
        <v>993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9" x14ac:dyDescent="0.2">
      <c r="B73" s="1212" t="s">
        <v>994</v>
      </c>
      <c r="C73" s="1213" t="s">
        <v>990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9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PT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3"/>
  <sheetViews>
    <sheetView tabSelected="1" workbookViewId="0">
      <pane xSplit="4" ySplit="3" topLeftCell="E199" activePane="bottomRight" state="frozenSplit"/>
      <selection activeCell="L30" sqref="L30"/>
      <selection pane="topRight" activeCell="L30" sqref="L30"/>
      <selection pane="bottomLeft" activeCell="L30" sqref="L30"/>
      <selection pane="bottomRight" activeCell="B229" sqref="B229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IFERROR(IF(Refkalkulation!H$108=0,SUM(F$9:F$12),Refkalkulation!H$108),0)</f>
        <v>0.1</v>
      </c>
      <c r="G8" s="7"/>
      <c r="H8" s="7"/>
      <c r="I8" s="684">
        <f>IFERROR(IF(Refkalkulation!K$108=0,SUM(I$9:I$12),Refkalkulation!K$108),0)</f>
        <v>0.1</v>
      </c>
      <c r="J8" s="7"/>
      <c r="K8" s="7"/>
      <c r="L8" s="684">
        <f>IFERROR(IF(Refkalkulation!N$108=0,SUM(L$9:L$12),Refkalkulation!N$108),0)</f>
        <v>0.1</v>
      </c>
      <c r="M8" s="7"/>
      <c r="N8" s="7"/>
      <c r="O8" s="684">
        <f>IFERROR(IF(Refkalkulation!Q$108=0,SUM(O$9:O$12),Refkalkulation!Q$108),0)</f>
        <v>0.16639999999999999</v>
      </c>
      <c r="P8" s="7"/>
      <c r="Q8" s="7"/>
      <c r="R8" s="684">
        <f>IFERROR(IF(Refkalkulation!T$108=0,SUM(R$9:R$12),Refkalkulation!T$108),0)</f>
        <v>0.16639999999999999</v>
      </c>
      <c r="S8" s="7"/>
      <c r="T8" s="7"/>
      <c r="U8" s="684">
        <f>IFERROR(IF(Refkalkulation!W$108=0,SUM(U$9:U$12),Refkalkulation!W$108),0)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IFERROR(IF(Refkalkulation!H$118=0,'Länder-DB'!$I$25*F$14,Refkalkulation!H$118),0)</f>
        <v>0</v>
      </c>
      <c r="G13" s="7"/>
      <c r="H13" s="7"/>
      <c r="I13" s="684">
        <f>IFERROR(IF(Refkalkulation!K$118=0,'Länder-DB'!$I$25*I$14,Refkalkulation!K$118),0)</f>
        <v>0</v>
      </c>
      <c r="J13" s="7"/>
      <c r="K13" s="7"/>
      <c r="L13" s="684">
        <f>IFERROR(IF(Refkalkulation!N$118=0,'Länder-DB'!$I$25*L$14,Refkalkulation!N$118),0)</f>
        <v>0</v>
      </c>
      <c r="M13" s="7"/>
      <c r="N13" s="7"/>
      <c r="O13" s="684">
        <f>IFERROR(IF(Refkalkulation!Q$118=0,'Länder-DB'!$I$25*O$14,Refkalkulation!Q$118),0)</f>
        <v>0</v>
      </c>
      <c r="P13" s="7"/>
      <c r="Q13" s="7"/>
      <c r="R13" s="684">
        <f>IFERROR(IF(Refkalkulation!T$118=0,'Länder-DB'!$I$25*R$14,Refkalkulation!T$118),0)</f>
        <v>0</v>
      </c>
      <c r="S13" s="7"/>
      <c r="T13" s="7"/>
      <c r="U13" s="684">
        <f>IFERROR(IF(Refkalkulation!W$118=0,'Länder-DB'!$I$25*U$14,Refkalkulation!W$118),0)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IFERROR(IF(Refkalkulation!H$119=0,SUM(F$16:F$18),Refkalkulation!H$119),0)</f>
        <v>0.08</v>
      </c>
      <c r="G15" s="7"/>
      <c r="H15" s="7"/>
      <c r="I15" s="684">
        <f>IFERROR(IF(Refkalkulation!K$119=0,SUM(I$16:I$18),Refkalkulation!K$119),0)</f>
        <v>0.09</v>
      </c>
      <c r="J15" s="7"/>
      <c r="K15" s="7"/>
      <c r="L15" s="684">
        <f>IFERROR(IF(Refkalkulation!N$119=0,SUM(L$16:L$18),Refkalkulation!N$119),0)</f>
        <v>0.08</v>
      </c>
      <c r="M15" s="7"/>
      <c r="N15" s="7"/>
      <c r="O15" s="684">
        <f>IFERROR(IF(Refkalkulation!Q$119=0,SUM(O$16:O$18),Refkalkulation!Q$119),0)</f>
        <v>0.08</v>
      </c>
      <c r="P15" s="7"/>
      <c r="Q15" s="7"/>
      <c r="R15" s="684">
        <f>IFERROR(IF(Refkalkulation!T$119=0,SUM(R$16:R$18),Refkalkulation!T$119),0)</f>
        <v>0.08</v>
      </c>
      <c r="S15" s="7"/>
      <c r="T15" s="7"/>
      <c r="U15" s="684">
        <f>IFERROR(IF(Refkalkulation!W$119=0,SUM(U$16:U$18),Refkalkulation!W$119),0)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Polen</v>
      </c>
      <c r="J19" s="434"/>
      <c r="K19" s="435"/>
      <c r="L19" s="665" t="str">
        <f>'Quick Input'!S$45</f>
        <v>Deutschland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3.3579194504606484E-3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2.0765473642581932E-2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0.39999999999999991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0.39999999999999991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0.6160000000000001</v>
      </c>
      <c r="G103" s="440"/>
      <c r="H103" s="441"/>
      <c r="I103" s="283">
        <f>Parametrikber!I$27-12%</f>
        <v>0.50559999999999994</v>
      </c>
      <c r="J103" s="440"/>
      <c r="K103" s="441"/>
      <c r="L103" s="283">
        <f>Parametrikber!L$27-12%</f>
        <v>0.34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67.729972523958125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12.513528138528136</v>
      </c>
      <c r="G108" s="440"/>
      <c r="H108" s="437"/>
      <c r="I108" s="284">
        <f>(I$107/'Länder-DB'!$I$27+I$107*'Länder-DB'!$I$29)/(I$103*I$146)</f>
        <v>15.245912447257387</v>
      </c>
      <c r="J108" s="440"/>
      <c r="K108" s="437"/>
      <c r="L108" s="284">
        <f>(L$107/'Länder-DB'!$I$27+L$107*'Länder-DB'!$I$29)/(L$103*L$146)</f>
        <v>22.671568627450977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56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6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20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0.22222222222222221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30.548148148148147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0.54629629629629628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4.4174325986312393E-2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4.4174325986312393E-2</v>
      </c>
      <c r="G118" s="479"/>
      <c r="H118" s="480"/>
      <c r="I118" s="975">
        <f>IF('Quick Input'!P$23=Auswahlfelder!$D50,I$225,('Länder-DB'!$M$47+I120)/I$121)</f>
        <v>0.21115500376222723</v>
      </c>
      <c r="J118" s="479"/>
      <c r="K118" s="480"/>
      <c r="L118" s="975">
        <f>IF('Quick Input'!S$23=Auswahlfelder!$D50,L$225,('Länder-DB'!$M$47+L120)/L$121)</f>
        <v>0.25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7.7459666924148338E-3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1.1839643652561247</v>
      </c>
      <c r="J121" s="475"/>
      <c r="K121" s="476"/>
      <c r="L121" s="474">
        <f>1+0.25*(1-VLOOKUP(L$19,DB_Länder,4,FALSE)/'Länder-DB'!$D$2)</f>
        <v>1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1.4142135623730949</v>
      </c>
      <c r="G122" s="451"/>
      <c r="H122" s="477"/>
      <c r="I122" s="351">
        <f>I123*I124*I125</f>
        <v>1.2477080261564104</v>
      </c>
      <c r="J122" s="451"/>
      <c r="K122" s="477"/>
      <c r="L122" s="351">
        <f>L123*L124*L125</f>
        <v>1.4142135623730949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0.70710678118654746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0.70710678118654746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0.88226280623608011</v>
      </c>
      <c r="J125" s="438"/>
      <c r="K125" s="439"/>
      <c r="L125" s="647">
        <f>0.84+0.16*VLOOKUP(L$19,DB_Länder,4,FALSE)/'Länder-DB'!$D$2</f>
        <v>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ROUNDUP(F$127/F$254,0)</f>
        <v>2</v>
      </c>
      <c r="G128" s="10"/>
      <c r="H128" s="10"/>
      <c r="I128" s="206">
        <f>ROUNDUP(I$127/I254,0)</f>
        <v>2</v>
      </c>
      <c r="J128" s="10"/>
      <c r="K128" s="10"/>
      <c r="L128" s="206">
        <f>ROUNDUP(L$127/L254,0)</f>
        <v>2</v>
      </c>
      <c r="M128" s="10"/>
      <c r="N128" s="10"/>
      <c r="O128" s="206" t="e">
        <f>ROUNDUP(O$127/O254,0)</f>
        <v>#VALUE!</v>
      </c>
      <c r="P128" s="4"/>
      <c r="Q128" s="4"/>
      <c r="R128" s="206" t="e">
        <f>ROUNDUP(R$127/R254,0)</f>
        <v>#VALUE!</v>
      </c>
      <c r="S128" s="4"/>
      <c r="T128" s="4"/>
      <c r="U128" s="206" t="e">
        <f>ROUNDUP(U$127/U254,0)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(F$254*F$128-F$127)/F$127</f>
        <v>0.58533333333333337</v>
      </c>
      <c r="G129" s="10"/>
      <c r="H129" s="10"/>
      <c r="I129" s="202">
        <f>(I$254*I$128-I$127)/I$127</f>
        <v>0.56666666666666665</v>
      </c>
      <c r="J129" s="10"/>
      <c r="K129" s="10"/>
      <c r="L129" s="202">
        <f>(L$254*L$128-L$127)/L$127</f>
        <v>0.53933333333333333</v>
      </c>
      <c r="M129" s="10"/>
      <c r="N129" s="10"/>
      <c r="O129" s="202" t="e">
        <f>(O$254*O$128-O$127)/O$127</f>
        <v>#VALUE!</v>
      </c>
      <c r="P129" s="4"/>
      <c r="Q129" s="4"/>
      <c r="R129" s="202" t="e">
        <f>(R$254*R$128-R$127)/R$127</f>
        <v>#VALUE!</v>
      </c>
      <c r="S129" s="4"/>
      <c r="T129" s="4"/>
      <c r="U129" s="202" t="e">
        <f>(U$254*U$128-U$127)/U$127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5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157.42587560386471</v>
      </c>
      <c r="G137" s="434"/>
      <c r="H137" s="435"/>
      <c r="I137" s="209">
        <f>I$142/I$149+I$152+I$155</f>
        <v>472.359713826242</v>
      </c>
      <c r="J137" s="434"/>
      <c r="K137" s="435"/>
      <c r="L137" s="209">
        <f>L$142/L$149+L$152+L$155</f>
        <v>704.84528985507234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10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864000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16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16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3840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3840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0.7360000000000001</v>
      </c>
      <c r="G147" s="436"/>
      <c r="H147" s="437"/>
      <c r="I147" s="202">
        <f>I$27</f>
        <v>0.62559999999999993</v>
      </c>
      <c r="J147" s="436"/>
      <c r="K147" s="437"/>
      <c r="L147" s="202">
        <f>L$27</f>
        <v>0.46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0.6624000000000001</v>
      </c>
      <c r="G148" s="436"/>
      <c r="H148" s="437"/>
      <c r="I148" s="202">
        <f>0.9*I$27</f>
        <v>0.56303999999999998</v>
      </c>
      <c r="J148" s="436"/>
      <c r="K148" s="437"/>
      <c r="L148" s="202">
        <f>0.9*L$27</f>
        <v>0.41400000000000003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2543.6160000000004</v>
      </c>
      <c r="G149" s="436"/>
      <c r="H149" s="437"/>
      <c r="I149" s="292">
        <f>I146*I148</f>
        <v>2162.0735999999997</v>
      </c>
      <c r="J149" s="436"/>
      <c r="K149" s="437"/>
      <c r="L149" s="292">
        <f>L146*L148</f>
        <v>1589.7600000000002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0.06</v>
      </c>
      <c r="J151" s="436"/>
      <c r="K151" s="437"/>
      <c r="L151" s="210">
        <f>VLOOKUP(L$19,DB_Länder,7,FALSE)</f>
        <v>7.0000000000000007E-2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12.15</v>
      </c>
      <c r="J152" s="444"/>
      <c r="K152" s="437"/>
      <c r="L152" s="293">
        <f>L$150*L$151</f>
        <v>14.175000000000001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4.7300000000000004</v>
      </c>
      <c r="J154" s="444"/>
      <c r="K154" s="437"/>
      <c r="L154" s="211">
        <f>VLOOKUP(L$19,DB_Länder,8,FALSE)</f>
        <v>6.5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55.197010869565204</v>
      </c>
      <c r="G155" s="438"/>
      <c r="H155" s="439"/>
      <c r="I155" s="293">
        <f>I153*I154*12/I149</f>
        <v>78.757725916453566</v>
      </c>
      <c r="J155" s="438"/>
      <c r="K155" s="439"/>
      <c r="L155" s="293">
        <f>L153*L154*12/L149</f>
        <v>147.19202898550722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466.30434782608694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16.304347826086953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IFERROR(IF(Refkalkulation!H$91=0,ROUND(F$171*(1+F$172+F$173+F$174),1),Refkalkulation!H$91),0)</f>
        <v>400</v>
      </c>
      <c r="G170" s="434"/>
      <c r="H170" s="435"/>
      <c r="I170" s="661">
        <f>IFERROR(IF(Refkalkulation!K$91=0,ROUND(I$171*(1+I$172+I$173+I$174),1),Refkalkulation!K$91),0)</f>
        <v>300</v>
      </c>
      <c r="J170" s="434"/>
      <c r="K170" s="435"/>
      <c r="L170" s="661">
        <f>IFERROR(IF(Refkalkulation!N$91=0,ROUND(L$171*(1+L$172+L$173+L$174),1),Refkalkulation!N$91),0)</f>
        <v>300</v>
      </c>
      <c r="M170" s="434"/>
      <c r="N170" s="435"/>
      <c r="O170" s="661">
        <f>IFERROR(IF(Refkalkulation!Q$91=0,ROUND(O$171*(1+O$172+O$173+O$174),1),Refkalkulation!Q$91),0)</f>
        <v>20</v>
      </c>
      <c r="P170" s="434"/>
      <c r="Q170" s="435"/>
      <c r="R170" s="661">
        <f>IFERROR(IF(Refkalkulation!T$91=0,ROUND(R$171*(1+R$172+R$173+R$174),1),Refkalkulation!T$91),0)</f>
        <v>20</v>
      </c>
      <c r="S170" s="434"/>
      <c r="T170" s="435"/>
      <c r="U170" s="661">
        <f>IFERROR(IF(Refkalkulation!W$91=0,ROUND(U$171*(1+U$172+U$173+U$174),1),Refkalkulation!W$91),0)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0.27500000000000002</v>
      </c>
      <c r="J173" s="446"/>
      <c r="K173" s="447"/>
      <c r="L173" s="202">
        <f>-55*VLOOKUP(L$19,DB_Länder,10,FALSE)</f>
        <v>0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IFERROR(IF(OR(Refkalkulation!H$94=0,F$247=0),F$247,Refkalkulation!H$94),0)</f>
        <v>0.41742621527777779</v>
      </c>
      <c r="G175" s="451"/>
      <c r="H175" s="435"/>
      <c r="I175" s="667">
        <f>IFERROR(IF(OR(Refkalkulation!K$94=0,I$247=0),I$247,Refkalkulation!K$94),0)</f>
        <v>0.30864583333333334</v>
      </c>
      <c r="J175" s="451"/>
      <c r="K175" s="435"/>
      <c r="L175" s="667">
        <f>IFERROR(IF(OR(Refkalkulation!N$94=0,L$247=0),L$247,Refkalkulation!N$94),0)</f>
        <v>0.33394097222222224</v>
      </c>
      <c r="M175" s="451"/>
      <c r="N175" s="435"/>
      <c r="O175" s="667">
        <f>IFERROR(IF(OR(Refkalkulation!Q$94=0,O$247=0),O$247,Refkalkulation!Q$94),0)</f>
        <v>0</v>
      </c>
      <c r="P175" s="451"/>
      <c r="Q175" s="435"/>
      <c r="R175" s="667">
        <f>IFERROR(IF(OR(Refkalkulation!T$94=0,R$247=0),R$247,Refkalkulation!T$94),0)</f>
        <v>0</v>
      </c>
      <c r="S175" s="451"/>
      <c r="T175" s="435"/>
      <c r="U175" s="667">
        <f>IFERROR(IF(OR(Refkalkulation!W$94=0,U$247=0),U$247,Refkalkulation!W$94),0)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IFERROR(IF(OR(Refkalkulation!H$97=0,F$250=0),F250,Refkalkulation!H$97),0)</f>
        <v>0.37082465277777776</v>
      </c>
      <c r="G176" s="451"/>
      <c r="H176" s="435"/>
      <c r="I176" s="667">
        <f>IFERROR(IF(OR(Refkalkulation!K$97=0,I$250=0),I250,Refkalkulation!K$97),0)</f>
        <v>0.34611111111111109</v>
      </c>
      <c r="J176" s="451"/>
      <c r="K176" s="435"/>
      <c r="L176" s="667">
        <f>IFERROR(IF(OR(Refkalkulation!N$97=0,L$250=0),L250,Refkalkulation!N$97),0)</f>
        <v>0.24721643518518516</v>
      </c>
      <c r="M176" s="451"/>
      <c r="N176" s="435"/>
      <c r="O176" s="667">
        <f>IFERROR(IF(OR(Refkalkulation!Q$97=0,O$250=0),O250,Refkalkulation!Q$97),0)</f>
        <v>0</v>
      </c>
      <c r="P176" s="451"/>
      <c r="Q176" s="435"/>
      <c r="R176" s="667">
        <f>IFERROR(IF(OR(Refkalkulation!T$97=0,R$250=0),R250,Refkalkulation!T$97),0)</f>
        <v>0</v>
      </c>
      <c r="S176" s="451"/>
      <c r="T176" s="435"/>
      <c r="U176" s="667">
        <f>IFERROR(IF(OR(Refkalkulation!W$97=0,U$250=0),U250,Refkalkulation!W$97),0)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IFERROR(IF(OR(Refkalkulation!H$99=0,F$178=0),ROUND(F178*(1+F179),2),Refkalkulation!H$99),0)</f>
        <v>1.8357928240740744</v>
      </c>
      <c r="G177" s="451"/>
      <c r="H177" s="435"/>
      <c r="I177" s="667">
        <f>IFERROR(IF(OR(Refkalkulation!K$99=0,I$178=0),ROUND(I178*(1+I179),2),Refkalkulation!K$99),0)</f>
        <v>1.7619212962962969</v>
      </c>
      <c r="J177" s="451"/>
      <c r="K177" s="435"/>
      <c r="L177" s="667">
        <f>IFERROR(IF(OR(Refkalkulation!N$99=0,L$178=0),ROUND(L178*(1+L179),2),Refkalkulation!N$99),0)</f>
        <v>1.1014756944444448</v>
      </c>
      <c r="M177" s="451"/>
      <c r="N177" s="435"/>
      <c r="O177" s="667">
        <f>IFERROR(IF(OR(Refkalkulation!Q$99=0,O$178=0),ROUND(O178*(1+O179),2),Refkalkulation!Q$99),0)</f>
        <v>0</v>
      </c>
      <c r="P177" s="451"/>
      <c r="Q177" s="435"/>
      <c r="R177" s="667">
        <f>IFERROR(IF(OR(Refkalkulation!T$99=0,R$178=0),ROUND(R178*(1+R179),2),Refkalkulation!T$99),0)</f>
        <v>0</v>
      </c>
      <c r="S177" s="451"/>
      <c r="T177" s="435"/>
      <c r="U177" s="667">
        <f>IFERROR(IF(OR(Refkalkulation!W$99=0,U$178=0),ROUND(U178*(1+U179),2),Refkalkulation!W$99),0)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9</v>
      </c>
      <c r="G178" s="10"/>
      <c r="H178" s="10"/>
      <c r="I178" s="471">
        <f>IF('Quick Input'!P30=Auswahlfelder!$D$22,0,'Länder-DB'!$I$43*(0.7+0.3*VLOOKUP(I$19,DB_Länder,5,FALSE)/'Länder-DB'!$E$2))</f>
        <v>7.1398593200468934</v>
      </c>
      <c r="J178" s="10"/>
      <c r="K178" s="10"/>
      <c r="L178" s="471">
        <f>IF('Quick Input'!S30=Auswahlfelder!$D$22,0,'Länder-DB'!$I$43*(0.7+0.3*VLOOKUP(L$19,DB_Länder,5,FALSE)/'Länder-DB'!$E$2))</f>
        <v>9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IF(OR(Refkalkulation!H$86=0,F181=1),ROUND(IF(F$181&gt;2,F$182*F$183+F$184/60*F$20/F186/'Quick Input'!M$19+F$185,0),3),Refkalkulation!H$86)</f>
        <v>0</v>
      </c>
      <c r="G180" s="451"/>
      <c r="H180" s="435"/>
      <c r="I180" s="981">
        <f>IF(OR(Refkalkulation!K$86=0,I181=1),ROUND(IF(I$181&gt;2,I$182*I$183+I$184/60*I$20/I186/'Quick Input'!P$19+I$185,0),3),Refkalkulation!K$86)</f>
        <v>0</v>
      </c>
      <c r="J180" s="451"/>
      <c r="K180" s="435"/>
      <c r="L180" s="981">
        <f>IF(OR(Refkalkulation!N$86=0,L181=1),ROUND(IF(L$181&gt;2,L$182*L$183+L$184/60*L$20/L186/'Quick Input'!S$19+L$185,0),3),Refkalkulation!N$86)</f>
        <v>0</v>
      </c>
      <c r="M180" s="451"/>
      <c r="N180" s="435"/>
      <c r="O180" s="981">
        <f>IF(OR(Refkalkulation!Q$86=0,O181=1),ROUND(IF(O$181&gt;2,O$182*O$183+O$184/60*O$20/O186/'Quick Input'!V$19+O$185,0),3),Refkalkulation!Q$86)</f>
        <v>0</v>
      </c>
      <c r="P180" s="451"/>
      <c r="Q180" s="435"/>
      <c r="R180" s="981">
        <f>IF(OR(Refkalkulation!T$86=0,R181=1),ROUND(IF(R$181&gt;2,R$182*R$183+R$184/60*R$20/R186/'Quick Input'!Y$19+R$185,0),3),Refkalkulation!T$86)</f>
        <v>0</v>
      </c>
      <c r="S180" s="451"/>
      <c r="T180" s="435"/>
      <c r="U180" s="981">
        <f>IF(OR(Refkalkulation!W$86=0,U181=1),ROUND(IF(U$181&gt;2,U$182*U$183+U$184/60*U$20/U186/'Quick Input'!AB$19+U$185,0),3),Refkalkulation!W$86)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2.4581297619047617E-2</v>
      </c>
      <c r="G182" s="479"/>
      <c r="H182" s="480"/>
      <c r="I182" s="478">
        <f>(3.7+10/60*I$21)/$D$186</f>
        <v>1.4121804285714286E-2</v>
      </c>
      <c r="J182" s="479"/>
      <c r="K182" s="480"/>
      <c r="L182" s="478">
        <f>(3.7+10/60*L$21)/$D$186</f>
        <v>2.4581297619047617E-2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Input'!M$33=Auswahlfelder!$D$61),Refkalkulation!H$87,0)</f>
        <v>0</v>
      </c>
      <c r="G190" s="461"/>
      <c r="H190" s="462"/>
      <c r="I190" s="350">
        <f>IF(AND('Quick Input'!P$32&lt;&gt;Auswahlfelder!$D$41,'Quick Input'!P$33=Auswahlfelder!$D$61),Refkalkulation!K$87,0)</f>
        <v>0</v>
      </c>
      <c r="J190" s="461"/>
      <c r="K190" s="462"/>
      <c r="L190" s="350">
        <f>IF(AND('Quick Input'!S$32&lt;&gt;Auswahlfelder!$D$41,'Quick Input'!S$33=Auswahlfelder!$D$61),Refkalkulation!N$87,0)</f>
        <v>0</v>
      </c>
      <c r="M190" s="461"/>
      <c r="N190" s="462"/>
      <c r="O190" s="350">
        <f>IF(AND('Quick Input'!V$32&lt;&gt;Auswahlfelder!$D$41,'Quick Input'!V$33=Auswahlfelder!$D$61),Refkalkulation!Q$87,0)</f>
        <v>0</v>
      </c>
      <c r="P190" s="461"/>
      <c r="Q190" s="462"/>
      <c r="R190" s="350">
        <f>IF(AND('Quick Input'!Y$32&lt;&gt;Auswahlfelder!$D$41,'Quick Input'!Y$33=Auswahlfelder!$D$61),Refkalkulation!T$87,0)</f>
        <v>0</v>
      </c>
      <c r="S190" s="461"/>
      <c r="T190" s="462"/>
      <c r="U190" s="350">
        <f>IF(AND('Quick Input'!AB$32&lt;&gt;Auswahlfelder!$D$41,'Quick Input'!AB$33=Auswahlfelder!$D$61),Refkalkulation!W$87,0)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Refkalkulation!H$91/3600*Refkalkulation!H$92</f>
        <v>3.726188333333333</v>
      </c>
      <c r="G191" s="438"/>
      <c r="H191" s="439"/>
      <c r="I191" s="350">
        <f>Refkalkulation!K$91/3600*Refkalkulation!K$92</f>
        <v>0.83400899999999978</v>
      </c>
      <c r="J191" s="438"/>
      <c r="K191" s="439"/>
      <c r="L191" s="350">
        <f>Refkalkulation!N$91/3600*Refkalkulation!N$92</f>
        <v>2.7946412499999997</v>
      </c>
      <c r="M191" s="438"/>
      <c r="N191" s="439"/>
      <c r="O191" s="350">
        <f>Refkalkulation!Q$91/3600*Refkalkulation!Q$92</f>
        <v>0</v>
      </c>
      <c r="P191" s="438"/>
      <c r="Q191" s="439"/>
      <c r="R191" s="350">
        <f>Refkalkulation!T$91/3600*Refkalkulation!T$92</f>
        <v>0</v>
      </c>
      <c r="S191" s="438"/>
      <c r="T191" s="439"/>
      <c r="U191" s="350">
        <f>Refkalkulation!W$91/3600*Refkalkulation!W$92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-0.15</v>
      </c>
      <c r="J194" s="13"/>
      <c r="K194" s="13"/>
      <c r="L194" s="349">
        <f>30*VLOOKUP(L$19,DB_Länder,10,FALSE)</f>
        <v>0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3.6733333333333333E-2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2.5000000000000001E-3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IFERROR(IF(Refkalkulation!H$88=0,F201+F202+F203,Refkalkulation!H$88),0)</f>
        <v>0.02</v>
      </c>
      <c r="G200" s="963"/>
      <c r="H200" s="964"/>
      <c r="I200" s="962">
        <f>IFERROR(IF(Refkalkulation!K$88=0,I201+I202+I203,Refkalkulation!K$88),0)</f>
        <v>0.02</v>
      </c>
      <c r="J200" s="963"/>
      <c r="K200" s="964"/>
      <c r="L200" s="962">
        <f>IFERROR(IF(Refkalkulation!N$88=0,L201+L202+L203,Refkalkulation!N$88),0)</f>
        <v>0.02</v>
      </c>
      <c r="M200" s="963"/>
      <c r="N200" s="964"/>
      <c r="O200" s="962">
        <f>IFERROR(IF(Refkalkulation!Q$88=0,O201+O202+O203,Refkalkulation!Q$88),0)</f>
        <v>0</v>
      </c>
      <c r="P200" s="963"/>
      <c r="Q200" s="964"/>
      <c r="R200" s="962">
        <f>IFERROR(IF(Refkalkulation!T$88=0,R201+R202+R203,Refkalkulation!T$88),0)</f>
        <v>0</v>
      </c>
      <c r="S200" s="963"/>
      <c r="T200" s="964"/>
      <c r="U200" s="962">
        <f>IFERROR(IF(Refkalkulation!W$88=0,U201+U202+U203,Refkalkulation!W$88),0)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4.0000000000000001E-3</v>
      </c>
      <c r="G202" s="436"/>
      <c r="H202" s="437"/>
      <c r="I202" s="149">
        <f>IF('Quick Input'!P$25="ja",0.3%,0)+IF('Quick Input'!P$26="ja",0.1%,0)+IF('Quick Input'!P$27="ja",0.6%,0)</f>
        <v>4.0000000000000001E-3</v>
      </c>
      <c r="J202" s="436"/>
      <c r="K202" s="437"/>
      <c r="L202" s="149">
        <f>IF('Quick Input'!S$25="ja",0.3%,0)+IF('Quick Input'!S$26="ja",0.1%,0)+IF('Quick Input'!S$27="ja",0.6%,0)</f>
        <v>4.0000000000000001E-3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IF(Refkalkulation!H$114=0,'Länder-DB'!$I$33,Refkalkulation!H$114)</f>
        <v>0.12</v>
      </c>
      <c r="G204" s="7"/>
      <c r="H204" s="7"/>
      <c r="I204" s="684">
        <f>IF(Refkalkulation!K$114=0,'Länder-DB'!$I$33,Refkalkulation!K$114)</f>
        <v>0.12</v>
      </c>
      <c r="J204" s="7"/>
      <c r="K204" s="7"/>
      <c r="L204" s="684">
        <f>IF(Refkalkulation!N$114=0,'Länder-DB'!$I$33,Refkalkulation!N$114)</f>
        <v>0.12</v>
      </c>
      <c r="M204" s="7"/>
      <c r="N204" s="7"/>
      <c r="O204" s="684">
        <f>IF(Refkalkulation!Q$114=0,'Länder-DB'!$I$33,Refkalkulation!Q$114)</f>
        <v>0.12</v>
      </c>
      <c r="P204" s="7"/>
      <c r="Q204" s="7"/>
      <c r="R204" s="684">
        <f>IF(Refkalkulation!T$114=0,'Länder-DB'!$I$33,Refkalkulation!T$114)</f>
        <v>0.12</v>
      </c>
      <c r="S204" s="7"/>
      <c r="T204" s="7"/>
      <c r="U204" s="684">
        <f>IF(Refkalkulation!W$114=0,'Länder-DB'!$I$33,Refkalkulation!W$114)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F$206*F$209/MIN(F$207,F$255/Refkalkulation!H$61)</f>
        <v>0</v>
      </c>
      <c r="G205" s="434"/>
      <c r="H205" s="435"/>
      <c r="I205" s="209">
        <f>I$206*I$209/MIN(I$207,I$255/Refkalkulation!K$61)</f>
        <v>0</v>
      </c>
      <c r="J205" s="434"/>
      <c r="K205" s="435"/>
      <c r="L205" s="209">
        <f>L$206*L$209/MIN(L$207,L$255/Refkalkulation!N$61)</f>
        <v>0</v>
      </c>
      <c r="M205" s="434"/>
      <c r="N205" s="435"/>
      <c r="O205" s="209" t="e">
        <f>O$206*O$209/MIN(O$207,O$255/Refkalkulation!Q$61)</f>
        <v>#DIV/0!</v>
      </c>
      <c r="P205" s="434"/>
      <c r="Q205" s="435"/>
      <c r="R205" s="209" t="e">
        <f>R$206*R$209/MIN(R$207,R$255/Refkalkulation!T$61)</f>
        <v>#DIV/0!</v>
      </c>
      <c r="S205" s="434"/>
      <c r="T205" s="435"/>
      <c r="U205" s="209" t="e">
        <f>U$206*U$209/MIN(U$207,U$255/Refkalkulation!W$61)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2.6980511137162955</v>
      </c>
      <c r="J209" s="438"/>
      <c r="K209" s="439"/>
      <c r="L209" s="717">
        <f>'Länder-DB'!$M$53*(1+18%*(VLOOKUP('Quick Input'!S$45,DB_Länder,5,FALSE)/'Länder-DB'!$E$2-1))</f>
        <v>3.08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0.1237</v>
      </c>
      <c r="J210" s="931"/>
      <c r="K210" s="931"/>
      <c r="L210" s="930">
        <f t="shared" ref="L210" si="15">L212+L213+L214</f>
        <v>5.2999999999999999E-2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0.1237</v>
      </c>
      <c r="J212" s="436"/>
      <c r="K212" s="437"/>
      <c r="L212" s="478">
        <f>IF(L$211=Auswahlfelder!$D71,VLOOKUP('Quick Input'!S$45,DB_Länder,9,FALSE),0)</f>
        <v>5.2999999999999999E-2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13.884145</v>
      </c>
      <c r="G220" s="451"/>
      <c r="H220" s="435"/>
      <c r="I220" s="351">
        <f>I221+I222/60*I21</f>
        <v>9.4911577999999999</v>
      </c>
      <c r="J220" s="451"/>
      <c r="K220" s="435"/>
      <c r="L220" s="351">
        <f>L221+L222/60*L21</f>
        <v>13.884145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IFERROR((F229/60*F232*2)/Refkalkulation!H$67,0)</f>
        <v>4.4174325986312393E-2</v>
      </c>
      <c r="G225" s="931"/>
      <c r="H225" s="931"/>
      <c r="I225" s="930">
        <f>IFERROR((I229/60*I232*2)/Refkalkulation!K$67,0)</f>
        <v>0</v>
      </c>
      <c r="J225" s="931"/>
      <c r="K225" s="931"/>
      <c r="L225" s="930">
        <f>IFERROR((L229/60*L232*2)/Refkalkulation!N$67,0)</f>
        <v>0</v>
      </c>
      <c r="M225" s="931"/>
      <c r="N225" s="931"/>
      <c r="O225" s="930">
        <f>IFERROR((O229/60*O232*2)/Refkalkulation!Q$67,0)</f>
        <v>0</v>
      </c>
      <c r="P225" s="931"/>
      <c r="Q225" s="931"/>
      <c r="R225" s="930">
        <f>IFERROR((R229/60*R232*2)/Refkalkulation!T$67,0)</f>
        <v>0</v>
      </c>
      <c r="S225" s="931"/>
      <c r="T225" s="931"/>
      <c r="U225" s="930">
        <f>IFERROR((U229/60*U232*2)/Refkalkulation!W$67,0)</f>
        <v>0</v>
      </c>
      <c r="V225" s="8"/>
      <c r="W225" s="795"/>
      <c r="X225" s="526"/>
    </row>
    <row r="226" spans="2:24" x14ac:dyDescent="0.2">
      <c r="B226" s="482" t="str">
        <f t="shared" ref="B226:B234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Hot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2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  <c r="X227">
        <f>VLOOKUP(10,'Maschinen-DB'!$K$47:$O$51,5,TRUE)</f>
        <v>2</v>
      </c>
    </row>
    <row r="228" spans="2:24" x14ac:dyDescent="0.2">
      <c r="B228" s="1258" t="str">
        <f t="shared" si="21"/>
        <v>?</v>
      </c>
      <c r="C228" s="96" t="s">
        <v>869</v>
      </c>
      <c r="D228" s="876"/>
      <c r="E228" s="584"/>
      <c r="F228" s="969">
        <f>IFERROR(IF(F227=1,VLOOKUP(Refkalkulation!H$67/2,'Maschinen-DB'!$K$47:$O$51,5,TRUE)+1,VLOOKUP(Refkalkulation!H$67/2,'Maschinen-DB'!$K$57:$O$59,5,TRUE)),1)</f>
        <v>1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1258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IF(F227=2,VLOOKUP(F228,'Maschinen-DB'!$C$46:$N$51,7,FALSE),VLOOKUP(F228,'Maschinen-DB'!$C$57:$N$59,7,FALSE))/60+IF(F227=2,$D$229,IF(F227=3,$D$231,IF(F227=4,$D$232,0)))</f>
        <v>0.5</v>
      </c>
      <c r="G229" s="436"/>
      <c r="H229" s="437"/>
      <c r="I229" s="471">
        <f>VLOOKUP(I228,'Maschinen-DB'!$C$46:$N$51,7,FALSE)/60+IF(I227=2,$D$229,IF(I227=3,$D$231,IF(I227=4,$D$232,0)))</f>
        <v>1.1666666666666667</v>
      </c>
      <c r="J229" s="436"/>
      <c r="K229" s="437"/>
      <c r="L229" s="471">
        <f>VLOOKUP(L228,'Maschinen-DB'!$C$46:$N$51,7,FALSE)/60+IF(L227=2,$D$229,IF(L227=3,$D$231,IF(L227=4,$D$232,0)))</f>
        <v>1.1666666666666667</v>
      </c>
      <c r="M229" s="436"/>
      <c r="N229" s="437"/>
      <c r="O229" s="471">
        <f>VLOOKUP(O228,'Maschinen-DB'!$C$46:$N$51,7,FALSE)/60+IF(O227=2,$D$229,IF(O227=3,$D$231,IF(O227=4,$D$232,0)))</f>
        <v>1.1666666666666667</v>
      </c>
      <c r="P229" s="436"/>
      <c r="Q229" s="437"/>
      <c r="R229" s="471">
        <f>VLOOKUP(R228,'Maschinen-DB'!$C$46:$N$51,7,FALSE)/60+IF(R227=2,$D$229,IF(R227=3,$D$231,IF(R227=4,$D$232,0)))</f>
        <v>1.1666666666666667</v>
      </c>
      <c r="S229" s="436"/>
      <c r="T229" s="437"/>
      <c r="U229" s="471">
        <f>VLOOKUP(U228,'Maschinen-DB'!$C$46:$N$51,7,FALSE)/60+IF(U227=2,$D$229,IF(U227=3,$D$231,IF(U227=4,$D$232,0)))</f>
        <v>1.1666666666666667</v>
      </c>
      <c r="V229" s="11"/>
    </row>
    <row r="230" spans="2:24" ht="15" x14ac:dyDescent="0.25">
      <c r="B230" s="1258"/>
      <c r="C230" s="96" t="s">
        <v>1008</v>
      </c>
      <c r="D230" s="729"/>
      <c r="E230" s="584"/>
      <c r="F230" s="471">
        <f>IF(F227=1,VLOOKUP(F228,'Maschinen-DB'!$C$46:$N$51,12,FALSE),IF(F227=2,VLOOKUP(F228,'Maschinen-DB'!$C$57:$N$59,12,FALSE)))</f>
        <v>300000</v>
      </c>
      <c r="G230" s="436"/>
      <c r="H230" s="437"/>
      <c r="I230" s="471"/>
      <c r="J230" s="436"/>
      <c r="K230" s="437"/>
      <c r="L230" s="471"/>
      <c r="M230" s="436"/>
      <c r="N230" s="437"/>
      <c r="O230" s="471"/>
      <c r="P230" s="436"/>
      <c r="Q230" s="437"/>
      <c r="R230" s="471"/>
      <c r="S230" s="436"/>
      <c r="T230" s="437"/>
      <c r="U230" s="471"/>
      <c r="V230" s="11"/>
    </row>
    <row r="231" spans="2:24" ht="15" x14ac:dyDescent="0.25">
      <c r="B231" s="482" t="str">
        <f>B229</f>
        <v>?</v>
      </c>
      <c r="C231" s="96" t="s">
        <v>872</v>
      </c>
      <c r="D231" s="729">
        <v>1.5</v>
      </c>
      <c r="E231" s="584" t="s">
        <v>500</v>
      </c>
      <c r="F231" s="471">
        <f>(F230/'Länder-DB'!$I$27+F230*'Länder-DB'!$I$29)/F149</f>
        <v>23.588466183574877</v>
      </c>
      <c r="G231" s="436"/>
      <c r="H231" s="437"/>
      <c r="I231" s="471">
        <f>(VLOOKUP(I228,'Maschinen-DB'!$C$46:$N$51,12,FALSE)/'Länder-DB'!$I$27+VLOOKUP(I228,'Maschinen-DB'!$C$46:$N$51,12,FALSE)*'Länder-DB'!$I$29)/I149</f>
        <v>23.125947238798904</v>
      </c>
      <c r="J231" s="436"/>
      <c r="K231" s="437"/>
      <c r="L231" s="471">
        <f>(VLOOKUP(L228,'Maschinen-DB'!$C$46:$N$51,12,FALSE)/'Länder-DB'!$I$27+VLOOKUP(L228,'Maschinen-DB'!$C$46:$N$51,12,FALSE)*'Länder-DB'!$I$29)/L149</f>
        <v>31.451288244766502</v>
      </c>
      <c r="M231" s="436"/>
      <c r="N231" s="437"/>
      <c r="O231" s="471">
        <f>(VLOOKUP(O228,'Maschinen-DB'!$C$46:$N$51,12,FALSE)/'Länder-DB'!$I$27+VLOOKUP(O228,'Maschinen-DB'!$C$46:$N$51,12,FALSE)*'Länder-DB'!$I$29)/O149</f>
        <v>19.657055152979062</v>
      </c>
      <c r="P231" s="436"/>
      <c r="Q231" s="437"/>
      <c r="R231" s="471">
        <f>(VLOOKUP(R228,'Maschinen-DB'!$C$46:$N$51,12,FALSE)/'Länder-DB'!$I$27+VLOOKUP(R228,'Maschinen-DB'!$C$46:$N$51,12,FALSE)*'Länder-DB'!$I$29)/R149</f>
        <v>19.657055152979062</v>
      </c>
      <c r="S231" s="436"/>
      <c r="T231" s="437"/>
      <c r="U231" s="471">
        <f>(VLOOKUP(U228,'Maschinen-DB'!$C$46:$N$51,12,FALSE)/'Länder-DB'!$I$27+VLOOKUP(U228,'Maschinen-DB'!$C$46:$N$51,12,FALSE)*'Länder-DB'!$I$29)/U149</f>
        <v>19.657055152979062</v>
      </c>
      <c r="V231" s="11"/>
      <c r="X231" s="526"/>
    </row>
    <row r="232" spans="2:24" ht="15" x14ac:dyDescent="0.25">
      <c r="B232" s="482" t="str">
        <f t="shared" si="21"/>
        <v>?</v>
      </c>
      <c r="C232" s="96" t="s">
        <v>875</v>
      </c>
      <c r="D232" s="729">
        <v>1.1000000000000001</v>
      </c>
      <c r="E232" s="584" t="s">
        <v>500</v>
      </c>
      <c r="F232" s="350">
        <f>F231+F233*F21</f>
        <v>53.00919118357487</v>
      </c>
      <c r="G232" s="442"/>
      <c r="H232" s="443"/>
      <c r="I232" s="350">
        <f>I231+I233*I21</f>
        <v>30.581736238798904</v>
      </c>
      <c r="J232" s="442"/>
      <c r="K232" s="443"/>
      <c r="L232" s="350">
        <f>L231+L233*L21</f>
        <v>60.872013244766499</v>
      </c>
      <c r="M232" s="442"/>
      <c r="N232" s="443"/>
      <c r="O232" s="350">
        <f>O231+O233*O21</f>
        <v>49.077780152979059</v>
      </c>
      <c r="P232" s="442"/>
      <c r="Q232" s="443"/>
      <c r="R232" s="350">
        <f>R231+R233*R21</f>
        <v>49.077780152979059</v>
      </c>
      <c r="S232" s="442"/>
      <c r="T232" s="443"/>
      <c r="U232" s="350">
        <f>U231+U233*U21</f>
        <v>49.077780152979059</v>
      </c>
      <c r="V232" s="11"/>
    </row>
    <row r="233" spans="2:24" x14ac:dyDescent="0.2">
      <c r="B233" s="482" t="str">
        <f t="shared" si="21"/>
        <v>?</v>
      </c>
      <c r="C233" s="96" t="s">
        <v>870</v>
      </c>
      <c r="D233" s="100"/>
      <c r="E233" s="584" t="s">
        <v>500</v>
      </c>
      <c r="F233" s="460">
        <f>MAX(1,ROUNDDOWN(MIN(2,F228/2),0))</f>
        <v>1</v>
      </c>
      <c r="G233" s="461"/>
      <c r="H233" s="462"/>
      <c r="I233" s="460">
        <f>MAX(1,ROUNDDOWN(MIN(2,I228/2),0))</f>
        <v>1</v>
      </c>
      <c r="J233" s="461"/>
      <c r="K233" s="462"/>
      <c r="L233" s="460">
        <f t="shared" ref="L233" si="22">MAX(1,ROUNDDOWN(MIN(2,L228/2),0))</f>
        <v>1</v>
      </c>
      <c r="M233" s="461"/>
      <c r="N233" s="462"/>
      <c r="O233" s="460">
        <f t="shared" ref="O233" si="23">MAX(1,ROUNDDOWN(MIN(2,O228/2),0))</f>
        <v>1</v>
      </c>
      <c r="P233" s="461"/>
      <c r="Q233" s="462"/>
      <c r="R233" s="460">
        <f t="shared" ref="R233" si="24">MAX(1,ROUNDDOWN(MIN(2,R228/2),0))</f>
        <v>1</v>
      </c>
      <c r="S233" s="461"/>
      <c r="T233" s="462"/>
      <c r="U233" s="460">
        <f t="shared" ref="U233" si="25">MAX(1,ROUNDDOWN(MIN(2,U228/2),0))</f>
        <v>1</v>
      </c>
      <c r="V233" s="11"/>
    </row>
    <row r="234" spans="2:24" ht="15" thickBot="1" x14ac:dyDescent="0.25">
      <c r="B234" s="974" t="str">
        <f t="shared" si="21"/>
        <v>?</v>
      </c>
      <c r="C234" s="97" t="s">
        <v>350</v>
      </c>
      <c r="D234" s="102"/>
      <c r="E234" s="585"/>
      <c r="F234" s="454"/>
      <c r="G234" s="438"/>
      <c r="H234" s="439"/>
      <c r="I234" s="454"/>
      <c r="J234" s="438"/>
      <c r="K234" s="439"/>
      <c r="L234" s="454"/>
      <c r="M234" s="438"/>
      <c r="N234" s="439"/>
      <c r="O234" s="454"/>
      <c r="P234" s="438"/>
      <c r="Q234" s="439"/>
      <c r="R234" s="454"/>
      <c r="S234" s="438"/>
      <c r="T234" s="439"/>
      <c r="U234" s="454"/>
      <c r="V234" s="126"/>
    </row>
    <row r="235" spans="2:24" ht="15" x14ac:dyDescent="0.25">
      <c r="B235" s="482" t="s">
        <v>69</v>
      </c>
      <c r="C235" s="99" t="s">
        <v>857</v>
      </c>
      <c r="D235" s="100"/>
      <c r="E235" s="589" t="s">
        <v>501</v>
      </c>
      <c r="F235" s="161">
        <f>IFERROR(F236*(1+F237+F238),0)</f>
        <v>26.144585576580216</v>
      </c>
      <c r="G235" s="967"/>
      <c r="H235" s="968"/>
      <c r="I235" s="161">
        <f>IFERROR(I236*(1+I237+I238),0)</f>
        <v>26.139248634013285</v>
      </c>
      <c r="J235" s="967"/>
      <c r="K235" s="968"/>
      <c r="L235" s="161">
        <f t="shared" ref="L235" si="26">IFERROR(L236*(1+L237+L238),0)</f>
        <v>26.139248634013285</v>
      </c>
      <c r="M235" s="967"/>
      <c r="N235" s="968"/>
      <c r="O235" s="161">
        <f t="shared" ref="O235" si="27">IFERROR(O236*(1+O237+O238),0)</f>
        <v>21.333333333333332</v>
      </c>
      <c r="P235" s="967"/>
      <c r="Q235" s="968"/>
      <c r="R235" s="161">
        <f t="shared" ref="R235" si="28">IFERROR(R236*(1+R237+R238),0)</f>
        <v>21.333333333333332</v>
      </c>
      <c r="S235" s="967"/>
      <c r="T235" s="968"/>
      <c r="U235" s="161">
        <f t="shared" ref="U235" si="29">IFERROR(U236*(1+U237+U238),0)</f>
        <v>21.333333333333332</v>
      </c>
      <c r="V235" s="11"/>
      <c r="X235" s="526"/>
    </row>
    <row r="236" spans="2:24" ht="15" x14ac:dyDescent="0.25">
      <c r="B236" s="482" t="str">
        <f>B235</f>
        <v>?</v>
      </c>
      <c r="C236" s="96" t="s">
        <v>855</v>
      </c>
      <c r="D236" s="729">
        <v>20</v>
      </c>
      <c r="E236" s="584" t="s">
        <v>500</v>
      </c>
      <c r="F236" s="30">
        <f>IF('Quick Input'!M$25="ja",$D$236,0)</f>
        <v>20</v>
      </c>
      <c r="G236" s="436"/>
      <c r="H236" s="437"/>
      <c r="I236" s="30">
        <f>IF('Quick Input'!P$25="ja",$D$236,0)</f>
        <v>20</v>
      </c>
      <c r="J236" s="436"/>
      <c r="K236" s="437"/>
      <c r="L236" s="30">
        <f>IF('Quick Input'!S$25="ja",$D$236,0)</f>
        <v>20</v>
      </c>
      <c r="M236" s="436"/>
      <c r="N236" s="437"/>
      <c r="O236" s="30">
        <f>IF('Quick Input'!V$25="ja",$D$236,0)</f>
        <v>20</v>
      </c>
      <c r="P236" s="436"/>
      <c r="Q236" s="437"/>
      <c r="R236" s="30">
        <f>IF('Quick Input'!Y$25="ja",$D$236,0)</f>
        <v>20</v>
      </c>
      <c r="S236" s="436"/>
      <c r="T236" s="437"/>
      <c r="U236" s="30">
        <f>IF('Quick Input'!AB$25="ja",$D$236,0)</f>
        <v>20</v>
      </c>
      <c r="V236" s="11"/>
    </row>
    <row r="237" spans="2:24" x14ac:dyDescent="0.2">
      <c r="B237" s="482" t="str">
        <f>B236</f>
        <v>?</v>
      </c>
      <c r="C237" s="96" t="s">
        <v>184</v>
      </c>
      <c r="D237" s="100"/>
      <c r="E237" s="584" t="s">
        <v>500</v>
      </c>
      <c r="F237" s="202">
        <f>MAX(0,POWER(VLOOKUP('Quick Input'!M$21,Auswahlfelder!$D$16:$E$19,2,FALSE)-1,2)/15)</f>
        <v>6.6666666666666666E-2</v>
      </c>
      <c r="G237" s="446"/>
      <c r="H237" s="447"/>
      <c r="I237" s="202">
        <f>MAX(0,POWER(VLOOKUP('Quick Input'!P$21,Auswahlfelder!$D$16:$E$19,2,FALSE)-1,2)/15)</f>
        <v>6.6666666666666666E-2</v>
      </c>
      <c r="J237" s="446"/>
      <c r="K237" s="447"/>
      <c r="L237" s="202">
        <f>MAX(0,POWER(VLOOKUP('Quick Input'!S$21,Auswahlfelder!$D$16:$E$19,2,FALSE)-1,2)/15)</f>
        <v>6.6666666666666666E-2</v>
      </c>
      <c r="M237" s="446"/>
      <c r="N237" s="447"/>
      <c r="O237" s="202">
        <f>MAX(0,POWER(VLOOKUP('Quick Input'!V$21,Auswahlfelder!$D$16:$E$19,2,FALSE)-1,2)/15)</f>
        <v>6.6666666666666666E-2</v>
      </c>
      <c r="P237" s="446"/>
      <c r="Q237" s="447"/>
      <c r="R237" s="202">
        <f>MAX(0,POWER(VLOOKUP('Quick Input'!Y$21,Auswahlfelder!$D$16:$E$19,2,FALSE)-1,2)/15)</f>
        <v>6.6666666666666666E-2</v>
      </c>
      <c r="S237" s="446"/>
      <c r="T237" s="447"/>
      <c r="U237" s="202">
        <f>MAX(0,POWER(VLOOKUP('Quick Input'!AB$21,Auswahlfelder!$D$16:$E$19,2,FALSE)-1,2)/15)</f>
        <v>6.6666666666666666E-2</v>
      </c>
      <c r="V237" s="11"/>
      <c r="X237" s="526"/>
    </row>
    <row r="238" spans="2:24" ht="15" thickBot="1" x14ac:dyDescent="0.25">
      <c r="B238" s="547" t="str">
        <f>B237</f>
        <v>?</v>
      </c>
      <c r="C238" s="97" t="s">
        <v>181</v>
      </c>
      <c r="D238" s="810">
        <v>0.25</v>
      </c>
      <c r="E238" s="584" t="s">
        <v>500</v>
      </c>
      <c r="F238" s="929">
        <f>SQRT('Quick Input'!M$20/2000)*$D$238</f>
        <v>0.24056261216234406</v>
      </c>
      <c r="G238" s="438"/>
      <c r="H238" s="439"/>
      <c r="I238" s="929">
        <f>SQRT('Quick Input'!P$20/2000)*$D$238</f>
        <v>0.24029576503399763</v>
      </c>
      <c r="J238" s="438"/>
      <c r="K238" s="439"/>
      <c r="L238" s="929">
        <f>SQRT('Quick Input'!S$20/2000)*$D$238</f>
        <v>0.24029576503399763</v>
      </c>
      <c r="M238" s="438"/>
      <c r="N238" s="439"/>
      <c r="O238" s="929">
        <f>SQRT('Quick Input'!V$20/2000)*$D$238</f>
        <v>0</v>
      </c>
      <c r="P238" s="438"/>
      <c r="Q238" s="439"/>
      <c r="R238" s="929">
        <f>SQRT('Quick Input'!Y$20/2000)*$D$238</f>
        <v>0</v>
      </c>
      <c r="S238" s="438"/>
      <c r="T238" s="439"/>
      <c r="U238" s="929">
        <f>SQRT('Quick Input'!AB$20/2000)*$D$238</f>
        <v>0</v>
      </c>
      <c r="V238" s="11"/>
    </row>
    <row r="239" spans="2:24" ht="15" x14ac:dyDescent="0.25">
      <c r="B239" s="482" t="s">
        <v>69</v>
      </c>
      <c r="C239" s="95" t="s">
        <v>862</v>
      </c>
      <c r="D239" s="100"/>
      <c r="E239" s="589" t="s">
        <v>501</v>
      </c>
      <c r="F239" s="782">
        <f>IFERROR(F240*F241/F242/'Quick Input'!M$19*1000,0)</f>
        <v>42.777777777777786</v>
      </c>
      <c r="G239" s="931"/>
      <c r="H239" s="931"/>
      <c r="I239" s="782">
        <f>IFERROR(I240*I241/I242/'Quick Input'!P$19*1000,0)</f>
        <v>42.777777777777786</v>
      </c>
      <c r="J239" s="931"/>
      <c r="K239" s="931"/>
      <c r="L239" s="782">
        <f>IFERROR(L240*L241/L242/'Quick Input'!S$19*1000,0)</f>
        <v>42.777777777777786</v>
      </c>
      <c r="M239" s="931"/>
      <c r="N239" s="931"/>
      <c r="O239" s="782">
        <f>IFERROR(O240*O241/O242/'Quick Input'!V$19*1000,0)</f>
        <v>0</v>
      </c>
      <c r="P239" s="931"/>
      <c r="Q239" s="931"/>
      <c r="R239" s="782">
        <f>IFERROR(R240*R241/R242/'Quick Input'!Y$19*1000,0)</f>
        <v>0</v>
      </c>
      <c r="S239" s="931"/>
      <c r="T239" s="931"/>
      <c r="U239" s="782">
        <f>IFERROR(U240*U241/U242/'Quick Input'!AB$19*1000,0)</f>
        <v>0</v>
      </c>
      <c r="V239" s="8"/>
      <c r="W239" s="795"/>
      <c r="X239" s="526"/>
    </row>
    <row r="240" spans="2:24" ht="15" x14ac:dyDescent="0.25">
      <c r="B240" s="482" t="str">
        <f t="shared" ref="B240:B242" si="30">B239</f>
        <v>?</v>
      </c>
      <c r="C240" s="96" t="s">
        <v>859</v>
      </c>
      <c r="D240" s="729">
        <v>22</v>
      </c>
      <c r="E240" s="584" t="s">
        <v>500</v>
      </c>
      <c r="F240" s="30">
        <f>IF('Quick Input'!M$26="ja",$D$240,0)</f>
        <v>22</v>
      </c>
      <c r="G240" s="436"/>
      <c r="H240" s="437"/>
      <c r="I240" s="30">
        <f>IF('Quick Input'!P$26="ja",$D$240,0)</f>
        <v>22</v>
      </c>
      <c r="J240" s="436"/>
      <c r="K240" s="437"/>
      <c r="L240" s="30">
        <f>IF('Quick Input'!S$26="ja",$D$240,0)</f>
        <v>22</v>
      </c>
      <c r="M240" s="436"/>
      <c r="N240" s="437"/>
      <c r="O240" s="30">
        <f>IF('Quick Input'!V$26="ja",$D$240,0)</f>
        <v>0</v>
      </c>
      <c r="P240" s="436"/>
      <c r="Q240" s="437"/>
      <c r="R240" s="30">
        <f>IF('Quick Input'!Y$26="ja",$D$240,0)</f>
        <v>0</v>
      </c>
      <c r="S240" s="436"/>
      <c r="T240" s="437"/>
      <c r="U240" s="30">
        <f>IF('Quick Input'!AB$26="ja",$D$240,0)</f>
        <v>0</v>
      </c>
      <c r="V240" s="11"/>
    </row>
    <row r="241" spans="2:24" ht="15" x14ac:dyDescent="0.25">
      <c r="B241" s="482" t="str">
        <f t="shared" si="30"/>
        <v>?</v>
      </c>
      <c r="C241" s="96" t="s">
        <v>860</v>
      </c>
      <c r="D241" s="729">
        <v>3.5</v>
      </c>
      <c r="E241" s="584" t="s">
        <v>500</v>
      </c>
      <c r="F241" s="350">
        <f>$D$241/60</f>
        <v>5.8333333333333334E-2</v>
      </c>
      <c r="G241" s="436"/>
      <c r="H241" s="437"/>
      <c r="I241" s="350">
        <f>$D$241/60</f>
        <v>5.8333333333333334E-2</v>
      </c>
      <c r="J241" s="436"/>
      <c r="K241" s="437"/>
      <c r="L241" s="350">
        <f>$D$241/60</f>
        <v>5.8333333333333334E-2</v>
      </c>
      <c r="M241" s="436"/>
      <c r="N241" s="437"/>
      <c r="O241" s="350">
        <f>$D$241/60</f>
        <v>5.8333333333333334E-2</v>
      </c>
      <c r="P241" s="436"/>
      <c r="Q241" s="437"/>
      <c r="R241" s="350">
        <f>$D$241/60</f>
        <v>5.8333333333333334E-2</v>
      </c>
      <c r="S241" s="436"/>
      <c r="T241" s="437"/>
      <c r="U241" s="350">
        <f>$D$241/60</f>
        <v>5.8333333333333334E-2</v>
      </c>
      <c r="V241" s="11"/>
      <c r="X241" s="526" t="s">
        <v>1000</v>
      </c>
    </row>
    <row r="242" spans="2:24" ht="15.75" thickBot="1" x14ac:dyDescent="0.3">
      <c r="B242" s="547" t="str">
        <f t="shared" si="30"/>
        <v>?</v>
      </c>
      <c r="C242" s="97" t="s">
        <v>861</v>
      </c>
      <c r="D242" s="985">
        <v>30</v>
      </c>
      <c r="E242" s="584" t="s">
        <v>500</v>
      </c>
      <c r="F242" s="969">
        <f>MAX(MIN(ROUNDDOWN($D$242/'Quick Input'!M$19,0),Refkalkulation!H$61),1)</f>
        <v>6</v>
      </c>
      <c r="G242" s="442"/>
      <c r="H242" s="443"/>
      <c r="I242" s="969">
        <f>MAX(MIN(ROUNDDOWN($D$242/'Quick Input'!P$19,0),Refkalkulation!K$61),1)</f>
        <v>6</v>
      </c>
      <c r="J242" s="442"/>
      <c r="K242" s="443"/>
      <c r="L242" s="969">
        <f>MAX(MIN(ROUNDDOWN($D$242/'Quick Input'!S$19,0),Refkalkulation!N$61),1)</f>
        <v>6</v>
      </c>
      <c r="M242" s="442"/>
      <c r="N242" s="443"/>
      <c r="O242" s="969" t="e">
        <f>MAX(MIN(ROUNDDOWN($D$242/'Quick Input'!V$19,0),Refkalkulation!Q$61),1)</f>
        <v>#VALUE!</v>
      </c>
      <c r="P242" s="442"/>
      <c r="Q242" s="443"/>
      <c r="R242" s="969" t="e">
        <f>MAX(MIN(ROUNDDOWN($D$242/'Quick Input'!Y$19,0),Refkalkulation!T$61),1)</f>
        <v>#VALUE!</v>
      </c>
      <c r="S242" s="442"/>
      <c r="T242" s="443"/>
      <c r="U242" s="969" t="e">
        <f>MAX(MIN(ROUNDDOWN($D$242/'Quick Input'!AB$19,0),Refkalkulation!W$61),1)</f>
        <v>#VALUE!</v>
      </c>
      <c r="V242" s="11"/>
    </row>
    <row r="243" spans="2:24" ht="15" x14ac:dyDescent="0.25">
      <c r="B243" s="482" t="s">
        <v>69</v>
      </c>
      <c r="C243" s="99" t="s">
        <v>858</v>
      </c>
      <c r="D243" s="100"/>
      <c r="E243" s="589" t="s">
        <v>501</v>
      </c>
      <c r="F243" s="161">
        <f>IFERROR(F244*(1+F245+F246),0)</f>
        <v>0</v>
      </c>
      <c r="G243" s="967"/>
      <c r="H243" s="968"/>
      <c r="I243" s="161">
        <f>IFERROR(I244*(1+I245+I246),0)</f>
        <v>0</v>
      </c>
      <c r="J243" s="967"/>
      <c r="K243" s="968"/>
      <c r="L243" s="161">
        <f t="shared" ref="L243" si="31">IFERROR(L244*(1+L245+L246),0)</f>
        <v>0</v>
      </c>
      <c r="M243" s="967"/>
      <c r="N243" s="968"/>
      <c r="O243" s="161">
        <f t="shared" ref="O243" si="32">IFERROR(O244*(1+O245+O246),0)</f>
        <v>0</v>
      </c>
      <c r="P243" s="967"/>
      <c r="Q243" s="968"/>
      <c r="R243" s="161">
        <f t="shared" ref="R243" si="33">IFERROR(R244*(1+R245+R246),0)</f>
        <v>0</v>
      </c>
      <c r="S243" s="967"/>
      <c r="T243" s="968"/>
      <c r="U243" s="161">
        <f t="shared" ref="U243" si="34">IFERROR(U244*(1+U245+U246),0)</f>
        <v>0</v>
      </c>
      <c r="V243" s="11"/>
      <c r="X243" s="526"/>
    </row>
    <row r="244" spans="2:24" ht="15" x14ac:dyDescent="0.25">
      <c r="B244" s="482" t="str">
        <f>B243</f>
        <v>?</v>
      </c>
      <c r="C244" s="96" t="s">
        <v>856</v>
      </c>
      <c r="D244" s="729">
        <v>15</v>
      </c>
      <c r="E244" s="584" t="s">
        <v>500</v>
      </c>
      <c r="F244" s="30">
        <f>IF('Quick Input'!M$27="nein",0,$D$244+IF('Quick Input'!M$19&gt;8,$D$245,0))</f>
        <v>0</v>
      </c>
      <c r="G244" s="436"/>
      <c r="H244" s="437"/>
      <c r="I244" s="30">
        <f>IF('Quick Input'!P$27="nein",0,$D$244+IF('Quick Input'!P$19&gt;8,$D$245,0))</f>
        <v>0</v>
      </c>
      <c r="J244" s="436"/>
      <c r="K244" s="437"/>
      <c r="L244" s="30">
        <f>IF('Quick Input'!S$27="nein",0,$D$244+IF('Quick Input'!S$19&gt;8,$D$245,0))</f>
        <v>0</v>
      </c>
      <c r="M244" s="436"/>
      <c r="N244" s="437"/>
      <c r="O244" s="30">
        <f>IF('Quick Input'!V$27="nein",0,$D$244+IF('Quick Input'!V$19&gt;8,$D$245,0))</f>
        <v>0</v>
      </c>
      <c r="P244" s="436"/>
      <c r="Q244" s="437"/>
      <c r="R244" s="30">
        <f>IF('Quick Input'!Y$27="nein",0,$D$244+IF('Quick Input'!Y$19&gt;8,$D$245,0))</f>
        <v>0</v>
      </c>
      <c r="S244" s="436"/>
      <c r="T244" s="437"/>
      <c r="U244" s="30">
        <f>IF('Quick Input'!AB$27="nein",0,$D$244+IF('Quick Input'!AB$19&gt;8,$D$245,0))</f>
        <v>0</v>
      </c>
      <c r="V244" s="11"/>
    </row>
    <row r="245" spans="2:24" ht="15" x14ac:dyDescent="0.25">
      <c r="B245" s="482" t="str">
        <f t="shared" ref="B245:B246" si="35">B244</f>
        <v>?</v>
      </c>
      <c r="C245" s="96" t="s">
        <v>904</v>
      </c>
      <c r="D245" s="729">
        <v>35</v>
      </c>
      <c r="E245" s="584" t="s">
        <v>500</v>
      </c>
      <c r="F245" s="202">
        <f>MAX(0,POWER(VLOOKUP('Quick Input'!M$21,Auswahlfelder!$D$16:$E$19,2,FALSE)-1,2)/8)</f>
        <v>0.125</v>
      </c>
      <c r="G245" s="446"/>
      <c r="H245" s="447"/>
      <c r="I245" s="202">
        <f>MAX(0,POWER(VLOOKUP('Quick Input'!P$21,Auswahlfelder!$D$16:$E$19,2,FALSE)-1,2)/8)</f>
        <v>0.125</v>
      </c>
      <c r="J245" s="446"/>
      <c r="K245" s="447"/>
      <c r="L245" s="202">
        <f>MAX(0,POWER(VLOOKUP('Quick Input'!S$21,Auswahlfelder!$D$16:$E$19,2,FALSE)-1,2)/8)</f>
        <v>0.125</v>
      </c>
      <c r="M245" s="446"/>
      <c r="N245" s="447"/>
      <c r="O245" s="202">
        <f>MAX(0,POWER(VLOOKUP('Quick Input'!V$21,Auswahlfelder!$D$16:$E$19,2,FALSE)-1,2)/8)</f>
        <v>0.125</v>
      </c>
      <c r="P245" s="446"/>
      <c r="Q245" s="447"/>
      <c r="R245" s="202">
        <f>MAX(0,POWER(VLOOKUP('Quick Input'!Y$21,Auswahlfelder!$D$16:$E$19,2,FALSE)-1,2)/8)</f>
        <v>0.125</v>
      </c>
      <c r="S245" s="446"/>
      <c r="T245" s="447"/>
      <c r="U245" s="202">
        <f>MAX(0,POWER(VLOOKUP('Quick Input'!AB$21,Auswahlfelder!$D$16:$E$19,2,FALSE)-1,2)/8)</f>
        <v>0.125</v>
      </c>
      <c r="V245" s="11"/>
      <c r="X245" s="526"/>
    </row>
    <row r="246" spans="2:24" ht="15" thickBot="1" x14ac:dyDescent="0.25">
      <c r="B246" s="547" t="str">
        <f t="shared" si="35"/>
        <v>?</v>
      </c>
      <c r="C246" s="97" t="s">
        <v>181</v>
      </c>
      <c r="D246" s="810">
        <v>0.35</v>
      </c>
      <c r="E246" s="585" t="s">
        <v>500</v>
      </c>
      <c r="F246" s="349">
        <f>SQRT('Quick Input'!M$20/2000)*$D$246</f>
        <v>0.33678765702728169</v>
      </c>
      <c r="G246" s="438"/>
      <c r="H246" s="439"/>
      <c r="I246" s="349">
        <f>SQRT('Quick Input'!P$20/2000)*$D$246</f>
        <v>0.33641407104759669</v>
      </c>
      <c r="J246" s="438"/>
      <c r="K246" s="439"/>
      <c r="L246" s="349">
        <f>SQRT('Quick Input'!S$20/2000)*$D$246</f>
        <v>0.33641407104759669</v>
      </c>
      <c r="M246" s="438"/>
      <c r="N246" s="439"/>
      <c r="O246" s="349">
        <f>SQRT('Quick Input'!V$20/2000)*$D$246</f>
        <v>0</v>
      </c>
      <c r="P246" s="438"/>
      <c r="Q246" s="439"/>
      <c r="R246" s="349">
        <f>SQRT('Quick Input'!Y$20/2000)*$D$246</f>
        <v>0</v>
      </c>
      <c r="S246" s="438"/>
      <c r="T246" s="439"/>
      <c r="U246" s="349">
        <f>SQRT('Quick Input'!AB$20/2000)*$D$246</f>
        <v>0</v>
      </c>
      <c r="V246" s="126"/>
    </row>
    <row r="247" spans="2:24" ht="15" x14ac:dyDescent="0.25">
      <c r="B247" s="17">
        <v>39</v>
      </c>
      <c r="C247" s="99" t="s">
        <v>616</v>
      </c>
      <c r="D247" s="100"/>
      <c r="E247" s="583" t="s">
        <v>501</v>
      </c>
      <c r="F247" s="782">
        <f>IF('Quick Input'!M$28=Auswahlfelder!$D$22,0,ROUND(F248*(1+F$249),2))</f>
        <v>7.39</v>
      </c>
      <c r="G247" s="10"/>
      <c r="H247" s="10"/>
      <c r="I247" s="782">
        <f>IF('Quick Input'!P$28=Auswahlfelder!$D$22,0,ROUND(I248*(1+I$249),2))</f>
        <v>3.32</v>
      </c>
      <c r="J247" s="10"/>
      <c r="K247" s="10"/>
      <c r="L247" s="782">
        <f>IF('Quick Input'!S$28=Auswahlfelder!$D$22,0,ROUND(L248*(1+L$249),2))</f>
        <v>7.39</v>
      </c>
      <c r="M247" s="10"/>
      <c r="N247" s="10"/>
      <c r="O247" s="782">
        <f>IF('Quick Input'!V$28=Auswahlfelder!$D$22,0,ROUND(O248*(1+O$249),2))</f>
        <v>0</v>
      </c>
      <c r="P247" s="10"/>
      <c r="Q247" s="10"/>
      <c r="R247" s="782">
        <f>IF('Quick Input'!Y$28=Auswahlfelder!$D$22,0,ROUND(R248*(1+R$249),2))</f>
        <v>0</v>
      </c>
      <c r="S247" s="10"/>
      <c r="T247" s="10"/>
      <c r="U247" s="782">
        <f>IF('Quick Input'!AB$28=Auswahlfelder!$D$22,0,ROUND(U248*(1+U$249),2))</f>
        <v>0</v>
      </c>
      <c r="V247" s="11"/>
    </row>
    <row r="248" spans="2:24" x14ac:dyDescent="0.2">
      <c r="B248" s="17">
        <v>39</v>
      </c>
      <c r="C248" s="96" t="s">
        <v>617</v>
      </c>
      <c r="D248" s="100"/>
      <c r="E248" s="586" t="s">
        <v>578</v>
      </c>
      <c r="F248" s="471">
        <f>'Länder-DB'!$I$39*(0.2+0.8*VLOOKUP(F$19,DB_Länder,5,FALSE)/'Länder-DB'!$E$2)</f>
        <v>4</v>
      </c>
      <c r="G248" s="10"/>
      <c r="H248" s="10"/>
      <c r="I248" s="471">
        <f>'Länder-DB'!$I$39*(0.2+0.8*VLOOKUP(I$19,DB_Länder,5,FALSE)/'Länder-DB'!$E$2)</f>
        <v>1.7953888237592812</v>
      </c>
      <c r="J248" s="10"/>
      <c r="K248" s="10"/>
      <c r="L248" s="471">
        <f>'Länder-DB'!$I$39*(0.2+0.8*VLOOKUP(L$19,DB_Länder,5,FALSE)/'Länder-DB'!$E$2)</f>
        <v>4</v>
      </c>
      <c r="M248" s="10"/>
      <c r="N248" s="10"/>
      <c r="O248" s="471">
        <f>'Länder-DB'!$I$39*(0.2+0.8*VLOOKUP(O$19,DB_Länder,5,FALSE)/'Länder-DB'!$E$2)</f>
        <v>4</v>
      </c>
      <c r="P248" s="10"/>
      <c r="Q248" s="10"/>
      <c r="R248" s="471">
        <f>'Länder-DB'!$I$39*(0.2+0.8*VLOOKUP(R$19,DB_Länder,5,FALSE)/'Länder-DB'!$E$2)</f>
        <v>4</v>
      </c>
      <c r="S248" s="10"/>
      <c r="T248" s="10"/>
      <c r="U248" s="471">
        <f>'Länder-DB'!$I$39*(0.2+0.8*VLOOKUP(U$19,DB_Länder,5,FALSE)/'Länder-DB'!$E$2)</f>
        <v>4</v>
      </c>
      <c r="V248" s="11"/>
    </row>
    <row r="249" spans="2:24" ht="15" thickBot="1" x14ac:dyDescent="0.25">
      <c r="B249" s="17">
        <v>39</v>
      </c>
      <c r="C249" s="96" t="s">
        <v>181</v>
      </c>
      <c r="D249" s="102"/>
      <c r="E249" s="587" t="s">
        <v>578</v>
      </c>
      <c r="F249" s="349">
        <f>SQRT(MAX(0,'Quick Input'!M$19-0.5))*40%</f>
        <v>0.84852813742385702</v>
      </c>
      <c r="G249" s="10"/>
      <c r="H249" s="10"/>
      <c r="I249" s="349">
        <f>SQRT(MAX(0,'Quick Input'!P$19-0.5))*40%</f>
        <v>0.84852813742385702</v>
      </c>
      <c r="J249" s="10"/>
      <c r="K249" s="10"/>
      <c r="L249" s="349">
        <f>SQRT(MAX(0,'Quick Input'!S$19-0.5))*40%</f>
        <v>0.84852813742385702</v>
      </c>
      <c r="M249" s="10"/>
      <c r="N249" s="10"/>
      <c r="O249" s="349" t="e">
        <f>SQRT(MAX(0,'Quick Input'!V$19-0.5))*40%</f>
        <v>#VALUE!</v>
      </c>
      <c r="P249" s="10"/>
      <c r="Q249" s="10"/>
      <c r="R249" s="349" t="e">
        <f>SQRT(MAX(0,'Quick Input'!Y$19-0.5))*40%</f>
        <v>#VALUE!</v>
      </c>
      <c r="S249" s="10"/>
      <c r="T249" s="10"/>
      <c r="U249" s="349" t="e">
        <f>SQRT(MAX(0,'Quick Input'!AB$19-0.5))*40%</f>
        <v>#VALUE!</v>
      </c>
      <c r="V249" s="11"/>
    </row>
    <row r="250" spans="2:24" ht="15" x14ac:dyDescent="0.25">
      <c r="B250" s="17">
        <v>39</v>
      </c>
      <c r="C250" s="95" t="s">
        <v>618</v>
      </c>
      <c r="D250" s="100"/>
      <c r="E250" s="583" t="s">
        <v>501</v>
      </c>
      <c r="F250" s="351">
        <f>IF('Quick Input'!M29=Auswahlfelder!$D$22,0,ROUND(F251*(1+F252),2))</f>
        <v>12.36</v>
      </c>
      <c r="G250" s="7"/>
      <c r="H250" s="7"/>
      <c r="I250" s="351">
        <f>IF('Quick Input'!P29=Auswahlfelder!$D$22,0,ROUND(I251*(1+I252),2))</f>
        <v>7.25</v>
      </c>
      <c r="J250" s="7"/>
      <c r="K250" s="7"/>
      <c r="L250" s="351">
        <f>IF('Quick Input'!S29=Auswahlfelder!$D$22,0,ROUND(L251*(1+L252),2))</f>
        <v>12.36</v>
      </c>
      <c r="M250" s="7"/>
      <c r="N250" s="7"/>
      <c r="O250" s="351">
        <f>IF('Quick Input'!V29=Auswahlfelder!$D$22,0,ROUND(O251*(1+O252),2))</f>
        <v>0</v>
      </c>
      <c r="P250" s="7"/>
      <c r="Q250" s="7"/>
      <c r="R250" s="351">
        <f>IF('Quick Input'!Y29=Auswahlfelder!$D$22,0,ROUND(R251*(1+R252),2))</f>
        <v>0</v>
      </c>
      <c r="S250" s="7"/>
      <c r="T250" s="7"/>
      <c r="U250" s="351">
        <f>IF('Quick Input'!AB29=Auswahlfelder!$D$22,0,ROUND(U251*(1+U252),2))</f>
        <v>0</v>
      </c>
      <c r="V250" s="11"/>
    </row>
    <row r="251" spans="2:24" x14ac:dyDescent="0.2">
      <c r="B251" s="17">
        <v>39</v>
      </c>
      <c r="C251" s="96" t="s">
        <v>619</v>
      </c>
      <c r="D251" s="100"/>
      <c r="E251" s="586" t="s">
        <v>578</v>
      </c>
      <c r="F251" s="471">
        <f>'Länder-DB'!$I$41*(0.4+0.6*VLOOKUP(F$19,DB_Länder,5,FALSE)/'Länder-DB'!$E$2)</f>
        <v>6</v>
      </c>
      <c r="G251" s="10"/>
      <c r="H251" s="10"/>
      <c r="I251" s="471">
        <f>'Länder-DB'!$I$41*(0.4+0.6*VLOOKUP(I$19,DB_Länder,5,FALSE)/'Länder-DB'!$E$2)</f>
        <v>3.519812426729191</v>
      </c>
      <c r="J251" s="10"/>
      <c r="K251" s="10"/>
      <c r="L251" s="471">
        <f>'Länder-DB'!$I$41*(0.4+0.6*VLOOKUP(L$19,DB_Länder,5,FALSE)/'Länder-DB'!$E$2)</f>
        <v>6</v>
      </c>
      <c r="M251" s="10"/>
      <c r="N251" s="10"/>
      <c r="O251" s="471">
        <f>'Länder-DB'!$I$41*(0.4+0.6*VLOOKUP(O$19,DB_Länder,5,FALSE)/'Länder-DB'!$E$2)</f>
        <v>6</v>
      </c>
      <c r="P251" s="10"/>
      <c r="Q251" s="10"/>
      <c r="R251" s="471">
        <f>'Länder-DB'!$I$41*(0.4+0.6*VLOOKUP(R$19,DB_Länder,5,FALSE)/'Länder-DB'!$E$2)</f>
        <v>6</v>
      </c>
      <c r="S251" s="10"/>
      <c r="T251" s="10"/>
      <c r="U251" s="471">
        <f>'Länder-DB'!$I$41*(0.4+0.6*VLOOKUP(U$19,DB_Länder,5,FALSE)/'Länder-DB'!$E$2)</f>
        <v>6</v>
      </c>
      <c r="V251" s="11"/>
    </row>
    <row r="252" spans="2:24" ht="15" thickBot="1" x14ac:dyDescent="0.25">
      <c r="B252" s="291">
        <v>39</v>
      </c>
      <c r="C252" s="97" t="s">
        <v>181</v>
      </c>
      <c r="D252" s="102"/>
      <c r="E252" s="587" t="s">
        <v>578</v>
      </c>
      <c r="F252" s="349">
        <f>SQRT(MAX(0,'Quick Input'!M$19-0.5))*50%</f>
        <v>1.0606601717798212</v>
      </c>
      <c r="G252" s="438"/>
      <c r="H252" s="439"/>
      <c r="I252" s="349">
        <f>SQRT(MAX(0,'Quick Input'!P$19-0.5))*50%</f>
        <v>1.0606601717798212</v>
      </c>
      <c r="J252" s="438"/>
      <c r="K252" s="439"/>
      <c r="L252" s="349">
        <f>SQRT(MAX(0,'Quick Input'!S$19-0.5))*50%</f>
        <v>1.0606601717798212</v>
      </c>
      <c r="M252" s="438"/>
      <c r="N252" s="439"/>
      <c r="O252" s="349" t="e">
        <f>SQRT(MAX(0,'Quick Input'!V$19-0.5))*50%</f>
        <v>#VALUE!</v>
      </c>
      <c r="P252" s="438"/>
      <c r="Q252" s="439"/>
      <c r="R252" s="349" t="e">
        <f>SQRT(MAX(0,'Quick Input'!Y$19-0.5))*50%</f>
        <v>#VALUE!</v>
      </c>
      <c r="S252" s="438"/>
      <c r="T252" s="439"/>
      <c r="U252" s="349" t="e">
        <f>SQRT(MAX(0,'Quick Input'!AB$19-0.5))*50%</f>
        <v>#VALUE!</v>
      </c>
      <c r="V252" s="126"/>
    </row>
    <row r="253" spans="2:24" ht="15" thickBot="1" x14ac:dyDescent="0.25">
      <c r="B253" s="783">
        <v>39</v>
      </c>
      <c r="C253" s="784"/>
      <c r="D253" s="785" t="s">
        <v>620</v>
      </c>
      <c r="E253" s="786"/>
      <c r="F253" s="787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88"/>
      <c r="H253" s="788"/>
      <c r="I253" s="787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88"/>
      <c r="K253" s="788"/>
      <c r="L253" s="787" t="str">
        <f>CONCATENATE(IF(L247&gt;0,"US ",""),IF(L250&gt;0,"PT ",""),IF(L177&gt;0,IF(Deutsch,"Röntgen ","X-ray "),""),IF(SUM(L175:L177)=0,IF(Deutsch,"ohne Prfg.","no test"),IF(Deutsch,"prüfen","test")))</f>
        <v>US PT Röntgen prüfen</v>
      </c>
      <c r="M253" s="788"/>
      <c r="N253" s="788"/>
      <c r="O253" s="787" t="str">
        <f>CONCATENATE(IF(O247&gt;0,"US ",""),IF(O250&gt;0,"PT ",""),IF(O177&gt;0,IF(Deutsch,"Röntgen ","X-ray "),""),IF(SUM(O175:O177)=0,IF(Deutsch,"ohne Prfg.","no test"),IF(Deutsch,"prüfen","test")))</f>
        <v>ohne Prfg.</v>
      </c>
      <c r="P253" s="788"/>
      <c r="Q253" s="788"/>
      <c r="R253" s="787" t="str">
        <f>CONCATENATE(IF(R247&gt;0,"US ",""),IF(R250&gt;0,"PT ",""),IF(R177&gt;0,IF(Deutsch,"Röntgen ","X-ray "),""),IF(SUM(R175:R177)=0,IF(Deutsch,"ohne Prfg.","no test"),IF(Deutsch,"prüfen","test")))</f>
        <v>ohne Prfg.</v>
      </c>
      <c r="S253" s="788"/>
      <c r="T253" s="788"/>
      <c r="U253" s="787" t="str">
        <f>CONCATENATE(IF(U247&gt;0,"US ",""),IF(U250&gt;0,"PT ",""),IF(U177&gt;0,IF(Deutsch,"Röntgen ","X-ray "),""),IF(SUM(U175:U177)=0,IF(Deutsch,"ohne Prfg.","no test"),IF(Deutsch,"prüfen","test")))</f>
        <v>ohne Prfg.</v>
      </c>
      <c r="V253" s="789"/>
    </row>
    <row r="254" spans="2:24" ht="15" x14ac:dyDescent="0.25">
      <c r="B254" s="482">
        <v>44</v>
      </c>
      <c r="C254" s="95" t="s">
        <v>381</v>
      </c>
      <c r="D254" s="98"/>
      <c r="E254" s="589" t="s">
        <v>501</v>
      </c>
      <c r="F254" s="205">
        <f>ROUNDDOWN(F$46*HLOOKUP(F$259,'Länder-DB'!$M$54:$O$55,2,FALSE)*(1-F$261-F$262-F$263),-1)</f>
        <v>23780</v>
      </c>
      <c r="G254" s="7"/>
      <c r="H254" s="7"/>
      <c r="I254" s="205">
        <f>ROUNDDOWN(I$46*HLOOKUP(I$259,'Länder-DB'!$M$54:$O$55,2,FALSE)*(1-I$261-I$262-I$263),-1)</f>
        <v>23500</v>
      </c>
      <c r="J254" s="7"/>
      <c r="K254" s="7"/>
      <c r="L254" s="205">
        <f>ROUNDDOWN(L$46*HLOOKUP(L$259,'Länder-DB'!$M$54:$O$55,2,FALSE)*(1-L$261-L$262-L$263),-1)</f>
        <v>23090</v>
      </c>
      <c r="M254" s="7"/>
      <c r="N254" s="7"/>
      <c r="O254" s="205" t="e">
        <f>ROUNDDOWN(O$46*HLOOKUP(O$259,'Länder-DB'!$M$54:$O$55,2,FALSE)*(1-O$261-O$262-O$263),-1)</f>
        <v>#VALUE!</v>
      </c>
      <c r="P254" s="28"/>
      <c r="Q254" s="28"/>
      <c r="R254" s="205" t="e">
        <f>ROUNDDOWN(R$46*HLOOKUP(R$259,'Länder-DB'!$M$54:$O$55,2,FALSE)*(1-R$261-R$262-R$263),-1)</f>
        <v>#VALUE!</v>
      </c>
      <c r="S254" s="28"/>
      <c r="T254" s="28"/>
      <c r="U254" s="205" t="e">
        <f>ROUNDDOWN(U$46*HLOOKUP(U$259,'Länder-DB'!$M$54:$O$55,2,FALSE)*(1-U$261-U$262-U$263),-1)</f>
        <v>#VALUE!</v>
      </c>
      <c r="V254" s="11"/>
    </row>
    <row r="255" spans="2:24" x14ac:dyDescent="0.2">
      <c r="B255" s="482">
        <v>44</v>
      </c>
      <c r="C255" s="483" t="s">
        <v>544</v>
      </c>
      <c r="D255" s="100">
        <v>1</v>
      </c>
      <c r="E255" s="586"/>
      <c r="F255" s="572">
        <f>IFERROR('Quick Input'!M$44,1)</f>
        <v>30000</v>
      </c>
      <c r="G255" s="10"/>
      <c r="H255" s="10"/>
      <c r="I255" s="572">
        <f>IFERROR('Quick Input'!P$44,1)</f>
        <v>30000</v>
      </c>
      <c r="J255" s="10"/>
      <c r="K255" s="10"/>
      <c r="L255" s="572">
        <f>IFERROR('Quick Input'!S$44,1)</f>
        <v>30000</v>
      </c>
      <c r="M255" s="10"/>
      <c r="N255" s="10"/>
      <c r="O255" s="572">
        <f>IFERROR('Quick Input'!V$44,1)</f>
        <v>1</v>
      </c>
      <c r="P255" s="4"/>
      <c r="Q255" s="4"/>
      <c r="R255" s="572">
        <f>IFERROR('Quick Input'!Y$44,1)</f>
        <v>1</v>
      </c>
      <c r="S255" s="4"/>
      <c r="T255" s="4"/>
      <c r="U255" s="572">
        <f>IFERROR('Quick Input'!AB$44,1)</f>
        <v>1</v>
      </c>
      <c r="V255" s="11"/>
    </row>
    <row r="256" spans="2:24" x14ac:dyDescent="0.2">
      <c r="B256" s="482">
        <v>44</v>
      </c>
      <c r="C256" s="483" t="s">
        <v>489</v>
      </c>
      <c r="D256" s="100">
        <v>1</v>
      </c>
      <c r="E256" s="586"/>
      <c r="F256" s="572">
        <f>ROUNDDOWN(F$46*'Länder-DB'!$M$55*(1-F$261-F$262-F$263),-1)</f>
        <v>950</v>
      </c>
      <c r="G256" s="573"/>
      <c r="H256" s="10"/>
      <c r="I256" s="572">
        <f>ROUNDDOWN(I$46*'Länder-DB'!$M$55*(1-I$261-I$262-I$263),-1)</f>
        <v>940</v>
      </c>
      <c r="J256" s="573"/>
      <c r="K256" s="10"/>
      <c r="L256" s="572">
        <f>ROUNDDOWN(L$46*'Länder-DB'!$M$55*(1-L$261-L$262-L$263),-1)</f>
        <v>920</v>
      </c>
      <c r="M256" s="573"/>
      <c r="N256" s="10"/>
      <c r="O256" s="572" t="e">
        <f>ROUNDDOWN(O$46*'Länder-DB'!$M$55*(1-O$261-O$262-O$263),-1)</f>
        <v>#VALUE!</v>
      </c>
      <c r="P256" s="573"/>
      <c r="Q256" s="10"/>
      <c r="R256" s="572" t="e">
        <f>ROUNDDOWN(R$46*'Länder-DB'!$M$55*(1-R$261-R$262-R$263),-1)</f>
        <v>#VALUE!</v>
      </c>
      <c r="S256" s="573"/>
      <c r="T256" s="10"/>
      <c r="U256" s="572" t="e">
        <f>ROUNDDOWN(U$46*'Länder-DB'!$M$55*(1-U$261-U$262-U$263),-1)</f>
        <v>#VALUE!</v>
      </c>
      <c r="V256" s="11"/>
    </row>
    <row r="257" spans="1:24" x14ac:dyDescent="0.2">
      <c r="B257" s="482">
        <v>44</v>
      </c>
      <c r="C257" s="483" t="s">
        <v>486</v>
      </c>
      <c r="D257" s="100">
        <v>1</v>
      </c>
      <c r="E257" s="586"/>
      <c r="F257" s="572">
        <f>F$46*'Länder-DB'!$N$55*(1-F$261-F$262-F$263)</f>
        <v>9512.4705882352937</v>
      </c>
      <c r="G257" s="573"/>
      <c r="H257" s="10"/>
      <c r="I257" s="572">
        <f>I$46*'Länder-DB'!$N$55*(1-I$261-I$262-I$263)</f>
        <v>9402.0705882352941</v>
      </c>
      <c r="J257" s="10"/>
      <c r="K257" s="10"/>
      <c r="L257" s="572">
        <f>L$46*'Länder-DB'!$N$55*(1-L$261-L$262-L$263)</f>
        <v>9236.4705882352937</v>
      </c>
      <c r="M257" s="10"/>
      <c r="N257" s="10"/>
      <c r="O257" s="572" t="e">
        <f>O$46*'Länder-DB'!$N$55*(1-O$261-O$262-O$263)</f>
        <v>#VALUE!</v>
      </c>
      <c r="P257" s="4"/>
      <c r="Q257" s="4"/>
      <c r="R257" s="572" t="e">
        <f>R$46*'Länder-DB'!$N$55*(1-R$261-R$262-R$263)</f>
        <v>#VALUE!</v>
      </c>
      <c r="S257" s="4"/>
      <c r="T257" s="4"/>
      <c r="U257" s="572" t="e">
        <f>U$46*'Länder-DB'!$N$55*(1-U$261-U$262-U$263)</f>
        <v>#VALUE!</v>
      </c>
      <c r="V257" s="11"/>
    </row>
    <row r="258" spans="1:24" x14ac:dyDescent="0.2">
      <c r="B258" s="482">
        <v>44</v>
      </c>
      <c r="C258" s="483" t="s">
        <v>487</v>
      </c>
      <c r="D258" s="100">
        <v>1</v>
      </c>
      <c r="E258" s="586"/>
      <c r="F258" s="572">
        <f>F$46*'Länder-DB'!$O$55*(1-F$261-F$262-F$263)</f>
        <v>23781.176470588238</v>
      </c>
      <c r="G258" s="573"/>
      <c r="H258" s="10"/>
      <c r="I258" s="572">
        <f>I$46*'Länder-DB'!$O$55*(1-I$261-I$262-I$263)</f>
        <v>23505.176470588234</v>
      </c>
      <c r="J258" s="10"/>
      <c r="K258" s="10"/>
      <c r="L258" s="572">
        <f>L$46*'Länder-DB'!$O$55*(1-L$261-L$262-L$263)</f>
        <v>23091.176470588234</v>
      </c>
      <c r="M258" s="10"/>
      <c r="N258" s="10"/>
      <c r="O258" s="572" t="e">
        <f>O$46*'Länder-DB'!$O$55*(1-O$261-O$262-O$263)</f>
        <v>#VALUE!</v>
      </c>
      <c r="P258" s="4"/>
      <c r="Q258" s="4"/>
      <c r="R258" s="572" t="e">
        <f>R$46*'Länder-DB'!$O$55*(1-R$261-R$262-R$263)</f>
        <v>#VALUE!</v>
      </c>
      <c r="S258" s="4"/>
      <c r="T258" s="4"/>
      <c r="U258" s="572" t="e">
        <f>U$46*'Länder-DB'!$O$55*(1-U$261-U$262-U$263)</f>
        <v>#VALUE!</v>
      </c>
      <c r="V258" s="11"/>
    </row>
    <row r="259" spans="1:24" x14ac:dyDescent="0.2">
      <c r="B259" s="482">
        <v>44</v>
      </c>
      <c r="C259" s="483" t="s">
        <v>488</v>
      </c>
      <c r="D259" s="598" t="s">
        <v>507</v>
      </c>
      <c r="E259" s="584" t="s">
        <v>501</v>
      </c>
      <c r="F259" s="572" t="str">
        <f>IF(F$255&gt;MIN(F$258,2*F$257),'Länder-DB'!$O$54,IF(F$255&gt;MIN(F$257,3*F$256),'Länder-DB'!$N$54,'Länder-DB'!$M$54))</f>
        <v>Alu</v>
      </c>
      <c r="G259" s="10"/>
      <c r="H259" s="10"/>
      <c r="I259" s="572" t="str">
        <f>IF(I$255&gt;MIN(I$258,2*I$257),'Länder-DB'!$O$54,IF(I$255&gt;MIN(I$257,3*I$256),'Länder-DB'!$N$54,'Länder-DB'!$M$54))</f>
        <v>Alu</v>
      </c>
      <c r="J259" s="10"/>
      <c r="K259" s="10"/>
      <c r="L259" s="572" t="str">
        <f>IF(L$255&gt;MIN(L$258,2*L$257),'Länder-DB'!$O$54,IF(L$255&gt;MIN(L$257,3*L$256),'Länder-DB'!$N$54,'Länder-DB'!$M$54))</f>
        <v>Alu</v>
      </c>
      <c r="M259" s="10"/>
      <c r="N259" s="10"/>
      <c r="O259" s="572" t="e">
        <f>IF(O$255&gt;MIN(O$258,2*O$257),'Länder-DB'!$O$54,IF(O$255&gt;MIN(O$257,3*O$256),'Länder-DB'!$N$54,'Länder-DB'!$M$54))</f>
        <v>#VALUE!</v>
      </c>
      <c r="P259" s="10"/>
      <c r="Q259" s="10"/>
      <c r="R259" s="572" t="e">
        <f>IF(R$255&gt;MIN(R$258,2*R$257),'Länder-DB'!$O$54,IF(R$255&gt;MIN(R$257,3*R$256),'Länder-DB'!$N$54,'Länder-DB'!$M$54))</f>
        <v>#VALUE!</v>
      </c>
      <c r="S259" s="10"/>
      <c r="T259" s="10"/>
      <c r="U259" s="572" t="e">
        <f>IF(U$255&gt;MIN(U$258,2*U$257),'Länder-DB'!$O$54,IF(U$255&gt;MIN(U$257,3*U$256),'Länder-DB'!$N$54,'Länder-DB'!$M$54))</f>
        <v>#VALUE!</v>
      </c>
      <c r="V259" s="11"/>
    </row>
    <row r="260" spans="1:24" x14ac:dyDescent="0.2">
      <c r="B260" s="482">
        <v>44</v>
      </c>
      <c r="C260" s="483" t="s">
        <v>545</v>
      </c>
      <c r="D260" s="598" t="s">
        <v>507</v>
      </c>
      <c r="E260" s="584" t="s">
        <v>501</v>
      </c>
      <c r="F260" s="572">
        <f>ROUNDUP(F255/F254,0)</f>
        <v>2</v>
      </c>
      <c r="G260" s="10"/>
      <c r="H260" s="10"/>
      <c r="I260" s="572">
        <f>ROUNDUP(I255/I254,0)</f>
        <v>2</v>
      </c>
      <c r="J260" s="10"/>
      <c r="K260" s="10"/>
      <c r="L260" s="572">
        <f>ROUNDUP(L255/L254,0)</f>
        <v>2</v>
      </c>
      <c r="M260" s="10"/>
      <c r="N260" s="10"/>
      <c r="O260" s="572" t="e">
        <f>ROUNDUP(O255/O254,0)</f>
        <v>#VALUE!</v>
      </c>
      <c r="P260" s="4"/>
      <c r="Q260" s="4"/>
      <c r="R260" s="572" t="e">
        <f>ROUNDUP(R255/R254,0)</f>
        <v>#VALUE!</v>
      </c>
      <c r="S260" s="4"/>
      <c r="T260" s="4"/>
      <c r="U260" s="572" t="e">
        <f>ROUNDUP(U255/U254,0)</f>
        <v>#VALUE!</v>
      </c>
      <c r="V260" s="11"/>
    </row>
    <row r="261" spans="1:24" x14ac:dyDescent="0.2">
      <c r="B261" s="482">
        <v>44</v>
      </c>
      <c r="C261" s="96" t="s">
        <v>142</v>
      </c>
      <c r="D261" s="100" t="s">
        <v>395</v>
      </c>
      <c r="E261" s="584" t="s">
        <v>500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>
        <f>10%*(0.85-O$27)</f>
        <v>1.1399999999999988E-2</v>
      </c>
      <c r="P261" s="4"/>
      <c r="Q261" s="4"/>
      <c r="R261" s="149">
        <f>10%*(0.85-R$27)</f>
        <v>1.1399999999999988E-2</v>
      </c>
      <c r="S261" s="4"/>
      <c r="T261" s="4"/>
      <c r="U261" s="149">
        <f>10%*(0.85-U$27)</f>
        <v>1.1399999999999988E-2</v>
      </c>
      <c r="V261" s="11"/>
    </row>
    <row r="262" spans="1:24" x14ac:dyDescent="0.2">
      <c r="B262" s="482">
        <v>44</v>
      </c>
      <c r="C262" s="96" t="s">
        <v>141</v>
      </c>
      <c r="D262" s="100" t="s">
        <v>395</v>
      </c>
      <c r="E262" s="584" t="s">
        <v>500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>
        <f>1.5%*(VLOOKUP('Quick Input'!V$21,Auswahlfelder!$D$16:$E$19,2,FALSE)-1)</f>
        <v>1.4999999999999999E-2</v>
      </c>
      <c r="P262" s="10"/>
      <c r="Q262" s="10"/>
      <c r="R262" s="149">
        <f>1.5%*(VLOOKUP('Quick Input'!Y$21,Auswahlfelder!$D$16:$E$19,2,FALSE)-1)</f>
        <v>1.4999999999999999E-2</v>
      </c>
      <c r="S262" s="10"/>
      <c r="T262" s="10"/>
      <c r="U262" s="149">
        <f>1.5%*(VLOOKUP('Quick Input'!AB$21,Auswahlfelder!$D$16:$E$19,2,FALSE)-1)</f>
        <v>1.4999999999999999E-2</v>
      </c>
      <c r="V262" s="5"/>
    </row>
    <row r="263" spans="1:24" ht="15" thickBot="1" x14ac:dyDescent="0.25">
      <c r="B263" s="482">
        <v>44</v>
      </c>
      <c r="C263" s="97" t="s">
        <v>145</v>
      </c>
      <c r="D263" s="102" t="s">
        <v>395</v>
      </c>
      <c r="E263" s="585" t="s">
        <v>500</v>
      </c>
      <c r="F263" s="668">
        <f>4%*(('Quick Input'!$E$18-1.2)/('Quick Input'!M$18-1.2))</f>
        <v>2.2352941176470589E-2</v>
      </c>
      <c r="G263" s="13"/>
      <c r="H263" s="13"/>
      <c r="I263" s="668">
        <f>4%*(('Quick Input'!$E$18-1.2)/('Quick Input'!P$18-1.2))</f>
        <v>2.2352941176470589E-2</v>
      </c>
      <c r="J263" s="13"/>
      <c r="K263" s="13"/>
      <c r="L263" s="668">
        <f>4%*(('Quick Input'!$E$18-1.2)/('Quick Input'!S$18-1.2))</f>
        <v>2.2352941176470589E-2</v>
      </c>
      <c r="M263" s="13"/>
      <c r="N263" s="13"/>
      <c r="O263" s="668" t="e">
        <f>4%*(('Quick Input'!$E$18-1.2)/('Quick Input'!V$18-1.2))</f>
        <v>#VALUE!</v>
      </c>
      <c r="P263" s="27"/>
      <c r="Q263" s="27"/>
      <c r="R263" s="668" t="e">
        <f>4%*(('Quick Input'!$E$18-1.2)/('Quick Input'!Y$18-1.2))</f>
        <v>#VALUE!</v>
      </c>
      <c r="S263" s="27"/>
      <c r="T263" s="27"/>
      <c r="U263" s="668" t="e">
        <f>4%*(('Quick Input'!$E$18-1.2)/('Quick Input'!AB$18-1.2))</f>
        <v>#VALUE!</v>
      </c>
      <c r="V263" s="32"/>
    </row>
    <row r="264" spans="1:24" ht="15" x14ac:dyDescent="0.25">
      <c r="B264" s="482">
        <v>49</v>
      </c>
      <c r="C264" s="95" t="s">
        <v>576</v>
      </c>
      <c r="D264" s="98"/>
      <c r="E264" s="589" t="s">
        <v>501</v>
      </c>
      <c r="F264" s="205">
        <f>ROUND(F266*(1+F267+F268),-2)</f>
        <v>10100</v>
      </c>
      <c r="G264" s="434"/>
      <c r="H264" s="435"/>
      <c r="I264" s="205">
        <f>ROUND(I266*(1+I267+I268),-2)</f>
        <v>8800</v>
      </c>
      <c r="J264" s="434"/>
      <c r="K264" s="435"/>
      <c r="L264" s="205">
        <f>ROUND(L266*(1+L267+L268),-2)</f>
        <v>10100</v>
      </c>
      <c r="M264" s="434"/>
      <c r="N264" s="435"/>
      <c r="O264" s="205" t="e">
        <f>ROUND(O266*(1+O267+O268),-2)</f>
        <v>#VALUE!</v>
      </c>
      <c r="P264" s="434"/>
      <c r="Q264" s="435"/>
      <c r="R264" s="205" t="e">
        <f>ROUND(R266*(1+R267+R268),-2)</f>
        <v>#VALUE!</v>
      </c>
      <c r="S264" s="434"/>
      <c r="T264" s="435"/>
      <c r="U264" s="205" t="e">
        <f>ROUND(U266*(1+U267+U268),-2)</f>
        <v>#VALUE!</v>
      </c>
      <c r="V264" s="11"/>
      <c r="X264" s="526"/>
    </row>
    <row r="265" spans="1:24" x14ac:dyDescent="0.2">
      <c r="B265" s="482">
        <v>49</v>
      </c>
      <c r="C265" s="96" t="s">
        <v>186</v>
      </c>
      <c r="D265" s="100"/>
      <c r="E265" s="584" t="s">
        <v>578</v>
      </c>
      <c r="F265" s="206">
        <f>SQRT(F$31)*10</f>
        <v>424.26406871192853</v>
      </c>
      <c r="G265" s="436"/>
      <c r="H265" s="437"/>
      <c r="I265" s="206">
        <f>SQRT(I$31)*10</f>
        <v>424.26406871192853</v>
      </c>
      <c r="J265" s="436"/>
      <c r="K265" s="437"/>
      <c r="L265" s="206">
        <f>SQRT(L$31)*10</f>
        <v>424.26406871192853</v>
      </c>
      <c r="M265" s="436"/>
      <c r="N265" s="437"/>
      <c r="O265" s="206" t="e">
        <f>SQRT(O$31)*10</f>
        <v>#VALUE!</v>
      </c>
      <c r="P265" s="436"/>
      <c r="Q265" s="437"/>
      <c r="R265" s="206" t="e">
        <f>SQRT(R$31)*10</f>
        <v>#VALUE!</v>
      </c>
      <c r="S265" s="436"/>
      <c r="T265" s="437"/>
      <c r="U265" s="206" t="e">
        <f>SQRT(U$31)*10</f>
        <v>#VALUE!</v>
      </c>
      <c r="V265" s="11"/>
      <c r="W265" s="495"/>
    </row>
    <row r="266" spans="1:24" x14ac:dyDescent="0.2">
      <c r="B266" s="482">
        <v>49</v>
      </c>
      <c r="C266" s="96" t="s">
        <v>577</v>
      </c>
      <c r="D266" s="100"/>
      <c r="E266" s="584" t="s">
        <v>500</v>
      </c>
      <c r="F266" s="206">
        <f>F$265*SQRT(Refkalkulation!H$50)*0.15*SQRT(HLOOKUP(F$259,'Länder-DB'!$M$54:$O$55,2,FALSE))</f>
        <v>10062.305898749055</v>
      </c>
      <c r="G266" s="436"/>
      <c r="H266" s="437"/>
      <c r="I266" s="206">
        <f>I$265*SQRT(Refkalkulation!K$50)*0.15*SQRT(HLOOKUP(I$259,'Länder-DB'!$M$54:$O$55,2,FALSE))</f>
        <v>10062.305898749055</v>
      </c>
      <c r="J266" s="436"/>
      <c r="K266" s="437"/>
      <c r="L266" s="206">
        <f>L$265*SQRT(Refkalkulation!N$50)*0.15*SQRT(HLOOKUP(L$259,'Länder-DB'!$M$54:$O$55,2,FALSE))</f>
        <v>10062.305898749055</v>
      </c>
      <c r="M266" s="436"/>
      <c r="N266" s="437"/>
      <c r="O266" s="206" t="e">
        <f>O$265*SQRT(Refkalkulation!Q$50)*0.15*SQRT(HLOOKUP(O$259,'Länder-DB'!$M$54:$O$55,2,FALSE))</f>
        <v>#VALUE!</v>
      </c>
      <c r="P266" s="436"/>
      <c r="Q266" s="437"/>
      <c r="R266" s="206" t="e">
        <f>R$265*SQRT(Refkalkulation!T$50)*0.15*SQRT(HLOOKUP(R$259,'Länder-DB'!$M$54:$O$55,2,FALSE))</f>
        <v>#VALUE!</v>
      </c>
      <c r="S266" s="436"/>
      <c r="T266" s="437"/>
      <c r="U266" s="206" t="e">
        <f>U$265*SQRT(Refkalkulation!W$50)*0.15*SQRT(HLOOKUP(U$259,'Länder-DB'!$M$54:$O$55,2,FALSE))</f>
        <v>#VALUE!</v>
      </c>
      <c r="V266" s="5"/>
    </row>
    <row r="267" spans="1:24" x14ac:dyDescent="0.2">
      <c r="B267" s="482">
        <v>49</v>
      </c>
      <c r="C267" s="96" t="s">
        <v>185</v>
      </c>
      <c r="D267" s="100"/>
      <c r="E267" s="584" t="s">
        <v>500</v>
      </c>
      <c r="F267" s="202">
        <f>10%*(VLOOKUP('Quick Input'!M$21,Auswahlfelder!$D$16:$E$19,2,FALSE)-2)</f>
        <v>0</v>
      </c>
      <c r="G267" s="436"/>
      <c r="H267" s="437"/>
      <c r="I267" s="202">
        <f>10%*(VLOOKUP('Quick Input'!P$21,Auswahlfelder!$D$16:$E$19,2,FALSE)-2)</f>
        <v>0</v>
      </c>
      <c r="J267" s="436"/>
      <c r="K267" s="437"/>
      <c r="L267" s="202">
        <f>10%*(VLOOKUP('Quick Input'!S$21,Auswahlfelder!$D$16:$E$19,2,FALSE)-2)</f>
        <v>0</v>
      </c>
      <c r="M267" s="436"/>
      <c r="N267" s="437"/>
      <c r="O267" s="202">
        <f>10%*(VLOOKUP('Quick Input'!V$21,Auswahlfelder!$D$16:$E$19,2,FALSE)-2)</f>
        <v>0</v>
      </c>
      <c r="P267" s="436"/>
      <c r="Q267" s="437"/>
      <c r="R267" s="202">
        <f>10%*(VLOOKUP('Quick Input'!Y$21,Auswahlfelder!$D$16:$E$19,2,FALSE)-2)</f>
        <v>0</v>
      </c>
      <c r="S267" s="436"/>
      <c r="T267" s="437"/>
      <c r="U267" s="202">
        <f>10%*(VLOOKUP('Quick Input'!AB$21,Auswahlfelder!$D$16:$E$19,2,FALSE)-2)</f>
        <v>0</v>
      </c>
      <c r="V267" s="5"/>
    </row>
    <row r="268" spans="1:24" ht="15" thickBot="1" x14ac:dyDescent="0.25">
      <c r="B268" s="482">
        <v>49</v>
      </c>
      <c r="C268" s="96" t="s">
        <v>187</v>
      </c>
      <c r="D268" s="102"/>
      <c r="E268" s="585" t="s">
        <v>500</v>
      </c>
      <c r="F268" s="202">
        <f>18%*(VLOOKUP(F$19,DB_Länder,5,FALSE)/'Länder-DB'!$E$2-1)</f>
        <v>0</v>
      </c>
      <c r="G268" s="438"/>
      <c r="H268" s="437"/>
      <c r="I268" s="202">
        <f>18%*(VLOOKUP(I$19,DB_Länder,5,FALSE)/'Länder-DB'!$E$2-1)</f>
        <v>-0.12400937866354043</v>
      </c>
      <c r="J268" s="438"/>
      <c r="K268" s="437"/>
      <c r="L268" s="202">
        <f>18%*(VLOOKUP(L$19,DB_Länder,5,FALSE)/'Länder-DB'!$E$2-1)</f>
        <v>0</v>
      </c>
      <c r="M268" s="438"/>
      <c r="N268" s="437"/>
      <c r="O268" s="202">
        <f>18%*(VLOOKUP(O$19,DB_Länder,5,FALSE)/'Länder-DB'!$E$2-1)</f>
        <v>0</v>
      </c>
      <c r="P268" s="438"/>
      <c r="Q268" s="437"/>
      <c r="R268" s="202">
        <f>18%*(VLOOKUP(R$19,DB_Länder,5,FALSE)/'Länder-DB'!$E$2-1)</f>
        <v>0</v>
      </c>
      <c r="S268" s="438"/>
      <c r="T268" s="437"/>
      <c r="U268" s="202">
        <f>18%*(VLOOKUP(U$19,DB_Länder,5,FALSE)/'Länder-DB'!$E$2-1)</f>
        <v>0</v>
      </c>
      <c r="V268" s="32"/>
    </row>
    <row r="269" spans="1:24" ht="15" x14ac:dyDescent="0.25">
      <c r="B269" s="482">
        <v>55</v>
      </c>
      <c r="C269" s="95" t="s">
        <v>382</v>
      </c>
      <c r="D269" s="100"/>
      <c r="E269" s="589" t="s">
        <v>501</v>
      </c>
      <c r="F269" s="161">
        <f>ROUND(IF('Quick Input'!M23=Auswahlfelder!$D$49,0,350+ROUND(SQRT(F270*1000)*$D$270,0)/F271),-2)</f>
        <v>2300</v>
      </c>
      <c r="G269" s="451"/>
      <c r="H269" s="435"/>
      <c r="I269" s="161">
        <f>ROUND(IF('Quick Input'!P23=Auswahlfelder!$D$49,0,350+ROUND(SQRT(I270*1000)*$D$270,0)/I271),-2)</f>
        <v>0</v>
      </c>
      <c r="J269" s="451"/>
      <c r="K269" s="435"/>
      <c r="L269" s="161">
        <f>ROUND(IF('Quick Input'!S23=Auswahlfelder!$D$49,0,350+ROUND(SQRT(L270*1000)*$D$270,0)/L271),-2)</f>
        <v>0</v>
      </c>
      <c r="M269" s="451"/>
      <c r="N269" s="435"/>
      <c r="O269" s="161">
        <f>ROUND(IF('Quick Input'!V23=Auswahlfelder!$D$49,0,350+ROUND(SQRT(O270*1000)*$D$270,0)/O271),-2)</f>
        <v>0</v>
      </c>
      <c r="P269" s="451"/>
      <c r="Q269" s="435"/>
      <c r="R269" s="161">
        <f>ROUND(IF('Quick Input'!Y23=Auswahlfelder!$D$49,0,(350+SQRT(R270*1000)*$D$270)/R271),-2)</f>
        <v>0</v>
      </c>
      <c r="S269" s="451"/>
      <c r="T269" s="435"/>
      <c r="U269" s="161">
        <f>ROUND(IF('Quick Input'!AB23=Auswahlfelder!$D$49,0,350+ROUND(SQRT(U270*1000)*$D$270,0)/U271),-2)</f>
        <v>0</v>
      </c>
      <c r="V269" s="8"/>
    </row>
    <row r="270" spans="1:24" x14ac:dyDescent="0.2">
      <c r="B270" s="482">
        <f>B269</f>
        <v>55</v>
      </c>
      <c r="C270" s="96" t="s">
        <v>592</v>
      </c>
      <c r="D270" s="953">
        <v>1.9</v>
      </c>
      <c r="E270" s="584" t="s">
        <v>500</v>
      </c>
      <c r="F270" s="471">
        <f>200+20*Refkalkulation!H$67*SQRT(IF('Quick Input'!M$23=Auswahlfelder!$D$51,0.8,F227*2))</f>
        <v>1000</v>
      </c>
      <c r="G270" s="436"/>
      <c r="H270" s="437"/>
      <c r="I270" s="471">
        <f>200+20*Refkalkulation!K$67*SQRT(IF('Quick Input'!P$23=Auswahlfelder!$D$51,0.8,I227*2))</f>
        <v>200</v>
      </c>
      <c r="J270" s="436"/>
      <c r="K270" s="437"/>
      <c r="L270" s="471">
        <f>200+20*Refkalkulation!N$67*SQRT(IF('Quick Input'!S$23=Auswahlfelder!$D$51,0.8,L227*2))</f>
        <v>200</v>
      </c>
      <c r="M270" s="436"/>
      <c r="N270" s="437"/>
      <c r="O270" s="471">
        <f>200+20*Refkalkulation!Q$67*SQRT(IF('Quick Input'!V$23=Auswahlfelder!$D$51,0.8,O227*2))</f>
        <v>200</v>
      </c>
      <c r="P270" s="436"/>
      <c r="Q270" s="437"/>
      <c r="R270" s="471">
        <f>200+20*Refkalkulation!T$67*SQRT(IF('Quick Input'!Y$23=Auswahlfelder!$D$51,0.8,R227*2))</f>
        <v>200</v>
      </c>
      <c r="S270" s="436"/>
      <c r="T270" s="437"/>
      <c r="U270" s="471">
        <f>200+20*Refkalkulation!W$67*SQRT(IF('Quick Input'!AB$23=Auswahlfelder!$D$51,0.8,U227*2))</f>
        <v>200</v>
      </c>
      <c r="V270" s="11"/>
    </row>
    <row r="271" spans="1:24" ht="15" thickBot="1" x14ac:dyDescent="0.25">
      <c r="B271" s="547">
        <f>B270</f>
        <v>55</v>
      </c>
      <c r="C271" s="97" t="s">
        <v>355</v>
      </c>
      <c r="D271" s="102"/>
      <c r="E271" s="585" t="s">
        <v>500</v>
      </c>
      <c r="F271" s="474">
        <f>1+0.25*(1-VLOOKUP(F$19,DB_Länder,4,FALSE)/'Länder-DB'!$D$2)</f>
        <v>1</v>
      </c>
      <c r="G271" s="475"/>
      <c r="H271" s="476"/>
      <c r="I271" s="474">
        <f>1+0.25*(1-VLOOKUP(I$19,DB_Länder,4,FALSE)/'Länder-DB'!$D$2)</f>
        <v>1.1839643652561247</v>
      </c>
      <c r="J271" s="475"/>
      <c r="K271" s="476"/>
      <c r="L271" s="474">
        <f>1+0.25*(1-VLOOKUP(L$19,DB_Länder,4,FALSE)/'Länder-DB'!$D$2)</f>
        <v>1</v>
      </c>
      <c r="M271" s="475"/>
      <c r="N271" s="476"/>
      <c r="O271" s="474">
        <f>1+0.25*(1-VLOOKUP(O$19,DB_Länder,4,FALSE)/'Länder-DB'!$D$2)</f>
        <v>1</v>
      </c>
      <c r="P271" s="475"/>
      <c r="Q271" s="476"/>
      <c r="R271" s="474">
        <f>1+0.25*(1-VLOOKUP(R$19,DB_Länder,4,FALSE)/'Länder-DB'!$D$2)</f>
        <v>1</v>
      </c>
      <c r="S271" s="475"/>
      <c r="T271" s="476"/>
      <c r="U271" s="474">
        <f>1+0.25*(1-VLOOKUP(U$19,DB_Länder,4,FALSE)/'Länder-DB'!$D$2)</f>
        <v>1</v>
      </c>
      <c r="V271" s="126"/>
    </row>
    <row r="272" spans="1:24" x14ac:dyDescent="0.2">
      <c r="A272" s="526"/>
      <c r="B272" s="526"/>
      <c r="C272" s="526"/>
      <c r="D272" s="526"/>
      <c r="E272" s="526"/>
      <c r="F272" s="526"/>
      <c r="G272" s="526"/>
      <c r="H272" s="526"/>
      <c r="I272" s="526"/>
      <c r="J272" s="526"/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</row>
    <row r="274" spans="5:25" ht="15" thickBot="1" x14ac:dyDescent="0.25"/>
    <row r="275" spans="5:25" s="55" customFormat="1" ht="15" thickBot="1" x14ac:dyDescent="0.25">
      <c r="E275" s="614">
        <v>0</v>
      </c>
      <c r="F275" s="608" t="s">
        <v>530</v>
      </c>
      <c r="G275" s="609"/>
      <c r="H275" s="604">
        <v>0</v>
      </c>
      <c r="I275" s="608" t="s">
        <v>530</v>
      </c>
      <c r="J275" s="609"/>
      <c r="K275" s="604">
        <v>0</v>
      </c>
      <c r="L275" s="608" t="s">
        <v>530</v>
      </c>
      <c r="M275" s="609"/>
      <c r="N275" s="604">
        <v>0</v>
      </c>
      <c r="O275" s="608" t="s">
        <v>530</v>
      </c>
      <c r="P275" s="609"/>
      <c r="Q275" s="604">
        <v>0</v>
      </c>
      <c r="R275" s="608" t="s">
        <v>530</v>
      </c>
      <c r="S275" s="609"/>
      <c r="T275" s="604">
        <v>0</v>
      </c>
      <c r="U275" s="608" t="s">
        <v>530</v>
      </c>
      <c r="V275" s="609"/>
      <c r="W275" s="669" t="s">
        <v>398</v>
      </c>
      <c r="X275" s="610" t="s">
        <v>529</v>
      </c>
      <c r="Y275" s="615"/>
    </row>
    <row r="276" spans="5:25" ht="15" thickBot="1" x14ac:dyDescent="0.25">
      <c r="E276" s="124">
        <f>IF(F276,E275+1,E275)</f>
        <v>1</v>
      </c>
      <c r="F276" s="604" t="b">
        <f>F$71&lt;&gt;F$60</f>
        <v>1</v>
      </c>
      <c r="G276" s="617"/>
      <c r="H276" s="604">
        <f>IF(I276,H275+1,H275)</f>
        <v>1</v>
      </c>
      <c r="I276" s="604" t="b">
        <f>I$71&lt;&gt;I$60</f>
        <v>1</v>
      </c>
      <c r="J276" s="604"/>
      <c r="K276" s="604">
        <f>IF(L276,K275+1,K275)</f>
        <v>1</v>
      </c>
      <c r="L276" s="604" t="b">
        <f>L$71&lt;&gt;L$60</f>
        <v>1</v>
      </c>
      <c r="M276" s="604"/>
      <c r="N276" s="604">
        <f>IF(O276,N275+1,N275)</f>
        <v>0</v>
      </c>
      <c r="O276" s="604" t="b">
        <f>O$71&lt;&gt;O$60</f>
        <v>0</v>
      </c>
      <c r="P276" s="604"/>
      <c r="Q276" s="604">
        <f>IF(R276,Q275+1,Q275)</f>
        <v>0</v>
      </c>
      <c r="R276" s="604" t="b">
        <f>R$71&lt;&gt;R$60</f>
        <v>0</v>
      </c>
      <c r="S276" s="604"/>
      <c r="T276" s="604">
        <f>IF(U276,T275+1,T275)</f>
        <v>0</v>
      </c>
      <c r="U276" s="604" t="b">
        <f>U$71&lt;&gt;U$60</f>
        <v>0</v>
      </c>
      <c r="V276" s="618"/>
      <c r="W276" s="124" t="str">
        <f>C74</f>
        <v>Empfehlung Formverfahren</v>
      </c>
      <c r="X276" s="607" t="s">
        <v>581</v>
      </c>
      <c r="Y276" s="37"/>
    </row>
    <row r="277" spans="5:25" ht="15" thickBot="1" x14ac:dyDescent="0.25">
      <c r="E277" s="124">
        <f>IF(F276,E276+1,E276)</f>
        <v>2</v>
      </c>
      <c r="F277" s="606" t="str">
        <f>F74</f>
        <v>automatisch</v>
      </c>
      <c r="G277" s="617"/>
      <c r="H277" s="604">
        <f>IF(I276,H276+1,H276)</f>
        <v>2</v>
      </c>
      <c r="I277" s="606" t="str">
        <f>I74</f>
        <v>automatisch</v>
      </c>
      <c r="J277" s="606"/>
      <c r="K277" s="604">
        <f>IF(L276,K276+1,K276)</f>
        <v>2</v>
      </c>
      <c r="L277" s="606" t="str">
        <f>L74</f>
        <v>automatisch</v>
      </c>
      <c r="M277" s="606"/>
      <c r="N277" s="604">
        <f>IF(O276,N276+1,N276)</f>
        <v>0</v>
      </c>
      <c r="O277" s="606" t="str">
        <f>O74</f>
        <v>automatisch</v>
      </c>
      <c r="P277" s="606"/>
      <c r="Q277" s="604">
        <f>IF(R276,Q276+1,Q276)</f>
        <v>0</v>
      </c>
      <c r="R277" s="606" t="str">
        <f>R74</f>
        <v>automatisch</v>
      </c>
      <c r="S277" s="606"/>
      <c r="T277" s="604">
        <f>IF(U276,T276+1,T276)</f>
        <v>0</v>
      </c>
      <c r="U277" s="606" t="str">
        <f>U74</f>
        <v>automatisch</v>
      </c>
      <c r="V277" s="619"/>
      <c r="W277" s="605"/>
      <c r="X277" s="27"/>
      <c r="Y277" s="32"/>
    </row>
    <row r="278" spans="5:25" ht="15" thickBot="1" x14ac:dyDescent="0.25">
      <c r="E278" s="124">
        <f>IF(F278,E277+1,E277)</f>
        <v>3</v>
      </c>
      <c r="F278" s="604" t="b">
        <f>IFERROR(F78/F77&lt;3%,FALSE)</f>
        <v>1</v>
      </c>
      <c r="G278" s="617"/>
      <c r="H278" s="604">
        <f>IF(I278,H277+1,H277)</f>
        <v>3</v>
      </c>
      <c r="I278" s="604" t="b">
        <f>IFERROR(I78/I77&lt;3%,FALSE)</f>
        <v>1</v>
      </c>
      <c r="J278" s="604"/>
      <c r="K278" s="604">
        <f>IF(L278,K277+1,K277)</f>
        <v>3</v>
      </c>
      <c r="L278" s="604" t="b">
        <f>IFERROR(L78/L77&lt;3%,FALSE)</f>
        <v>1</v>
      </c>
      <c r="M278" s="604"/>
      <c r="N278" s="604">
        <f>IF(O278,N277+1,N277)</f>
        <v>0</v>
      </c>
      <c r="O278" s="604" t="b">
        <f>IFERROR(O78/O77&lt;3%,FALSE)</f>
        <v>0</v>
      </c>
      <c r="P278" s="604"/>
      <c r="Q278" s="604">
        <f>IF(R278,Q277+1,Q277)</f>
        <v>0</v>
      </c>
      <c r="R278" s="604" t="b">
        <f>IFERROR(R78/R77&lt;3%,FALSE)</f>
        <v>0</v>
      </c>
      <c r="S278" s="604"/>
      <c r="T278" s="604">
        <f>IF(U278,T277+1,T277)</f>
        <v>0</v>
      </c>
      <c r="U278" s="604" t="b">
        <f>IFERROR(U78/U77&lt;3%,FALSE)</f>
        <v>0</v>
      </c>
      <c r="V278" s="604"/>
      <c r="W278" s="607" t="str">
        <f>C76</f>
        <v>Kastenausnutzung (Volumen)</v>
      </c>
      <c r="X278" s="607" t="s">
        <v>582</v>
      </c>
      <c r="Y278" s="37"/>
    </row>
    <row r="279" spans="5:25" ht="15" thickBot="1" x14ac:dyDescent="0.25">
      <c r="E279" s="124">
        <f>IF(F278,E278+1,E278)</f>
        <v>4</v>
      </c>
      <c r="F279" s="726" t="str">
        <f>IF(F278,TEXT(F$76,"0%")," ")</f>
        <v>0%</v>
      </c>
      <c r="G279" s="617"/>
      <c r="H279" s="604">
        <f>IF(I278,H278+1,H278)</f>
        <v>4</v>
      </c>
      <c r="I279" s="726" t="str">
        <f>IF(I278,TEXT(I$76,"0%")," ")</f>
        <v>1%</v>
      </c>
      <c r="J279" s="606"/>
      <c r="K279" s="604">
        <f>IF(L278,K278+1,K278)</f>
        <v>4</v>
      </c>
      <c r="L279" s="726" t="str">
        <f>IF(L278,TEXT(L$76,"0%")," ")</f>
        <v>1%</v>
      </c>
      <c r="M279" s="606"/>
      <c r="N279" s="604">
        <f>IF(O278,N278+1,N278)</f>
        <v>0</v>
      </c>
      <c r="O279" s="726" t="str">
        <f>IF(O278,TEXT(O$76,"0%")," ")</f>
        <v xml:space="preserve"> </v>
      </c>
      <c r="P279" s="606"/>
      <c r="Q279" s="604">
        <f>IF(R278,Q278+1,Q278)</f>
        <v>0</v>
      </c>
      <c r="R279" s="726" t="str">
        <f>IF(R278,TEXT(R$76,"0%")," ")</f>
        <v xml:space="preserve"> </v>
      </c>
      <c r="S279" s="606"/>
      <c r="T279" s="604">
        <f>IF(U278,T278+1,T278)</f>
        <v>0</v>
      </c>
      <c r="U279" s="726" t="str">
        <f>IF(U278,TEXT(U$76,"0%")," ")</f>
        <v xml:space="preserve"> </v>
      </c>
      <c r="V279" s="606"/>
      <c r="W279" s="27"/>
      <c r="X279" s="27"/>
      <c r="Y279" s="32"/>
    </row>
    <row r="280" spans="5:25" ht="15" thickBot="1" x14ac:dyDescent="0.25">
      <c r="E280" s="124">
        <f>IF(F280,E279+1,E279)</f>
        <v>4</v>
      </c>
      <c r="F280" s="604" t="b">
        <f>IFERROR(Refkalkulation!H66/(Refkalkulation!H66+Refkalkulation!H60)&gt;15%,FALSE)</f>
        <v>0</v>
      </c>
      <c r="G280" s="617"/>
      <c r="H280" s="604">
        <f>IF(I280,H279+1,H279)</f>
        <v>5</v>
      </c>
      <c r="I280" s="604" t="b">
        <f>IFERROR(Refkalkulation!K66/(Refkalkulation!K66+Refkalkulation!K60)&gt;15%,FALSE)</f>
        <v>1</v>
      </c>
      <c r="J280" s="604"/>
      <c r="K280" s="604">
        <f>IF(L280,K279+1,K279)</f>
        <v>5</v>
      </c>
      <c r="L280" s="604" t="b">
        <f>IFERROR(Refkalkulation!N66/(Refkalkulation!N66+Refkalkulation!N60)&gt;15%,FALSE)</f>
        <v>1</v>
      </c>
      <c r="M280" s="604"/>
      <c r="N280" s="604">
        <f>IF(O280,N279+1,N279)</f>
        <v>0</v>
      </c>
      <c r="O280" s="604" t="b">
        <f>IFERROR(Refkalkulation!Q66/(Refkalkulation!Q66+Refkalkulation!Q60)&gt;15%,FALSE)</f>
        <v>0</v>
      </c>
      <c r="P280" s="604"/>
      <c r="Q280" s="604">
        <f>IF(R280,Q279+1,Q279)</f>
        <v>0</v>
      </c>
      <c r="R280" s="604" t="b">
        <f>IFERROR(Refkalkulation!T66/(Refkalkulation!T66+Refkalkulation!T60)&gt;15%,FALSE)</f>
        <v>0</v>
      </c>
      <c r="S280" s="604"/>
      <c r="T280" s="604">
        <f>IF(U280,T279+1,T279)</f>
        <v>0</v>
      </c>
      <c r="U280" s="604" t="b">
        <f>IFERROR(Refkalkulation!W66/(Refkalkulation!W66+Refkalkulation!W60)&gt;15%,FALSE)</f>
        <v>0</v>
      </c>
      <c r="V280" s="604"/>
      <c r="W280" s="607" t="s">
        <v>548</v>
      </c>
      <c r="X280" s="607" t="s">
        <v>584</v>
      </c>
      <c r="Y280" s="37"/>
    </row>
    <row r="281" spans="5:25" ht="15" thickBot="1" x14ac:dyDescent="0.25">
      <c r="E281" s="124">
        <f>IF(F280,E280+1,E280)</f>
        <v>4</v>
      </c>
      <c r="F281" s="727" t="str">
        <f>TEXT(Refkalkulation!H62/(Refkalkulation!H62+Refkalkulation!H59*Refkalkulation!H61/60/Refkalkulation!H50),"0,0 %")</f>
        <v>6,7 %</v>
      </c>
      <c r="G281" s="617"/>
      <c r="H281" s="604">
        <f>IF(I280,H280+1,H280)</f>
        <v>6</v>
      </c>
      <c r="I281" s="725" t="str">
        <f>TEXT(Refkalkulation!K62/(Refkalkulation!K62+Refkalkulation!K59*Refkalkulation!K61/60/Refkalkulation!K50),"0,0 %")</f>
        <v>43,1 %</v>
      </c>
      <c r="J281" s="606"/>
      <c r="K281" s="604">
        <f>IF(L280,K280+1,K280)</f>
        <v>6</v>
      </c>
      <c r="L281" s="725" t="str">
        <f>TEXT(Refkalkulation!N62/(Refkalkulation!N62+Refkalkulation!N59*Refkalkulation!N61/60/Refkalkulation!N50),"0,0 %")</f>
        <v>43,1 %</v>
      </c>
      <c r="M281" s="606"/>
      <c r="N281" s="604">
        <f>IF(O280,N280+1,N280)</f>
        <v>0</v>
      </c>
      <c r="O281" s="725" t="str">
        <f>TEXT(Refkalkulation!Q62/(Refkalkulation!Q62+Refkalkulation!Q59*Refkalkulation!Q61/60/Refkalkulation!Q50),"0,0 %")</f>
        <v>100,0 %</v>
      </c>
      <c r="P281" s="606"/>
      <c r="Q281" s="604">
        <f>IF(R280,Q280+1,Q280)</f>
        <v>0</v>
      </c>
      <c r="R281" s="725" t="str">
        <f>TEXT(Refkalkulation!T62/(Refkalkulation!T62+Refkalkulation!T59*Refkalkulation!T61/60/Refkalkulation!T50),"0,0 %")</f>
        <v>100,0 %</v>
      </c>
      <c r="S281" s="606"/>
      <c r="T281" s="604">
        <f>IF(U280,T280+1,T280)</f>
        <v>0</v>
      </c>
      <c r="U281" s="725" t="str">
        <f>TEXT(Refkalkulation!W62/(Refkalkulation!W62+Refkalkulation!W59*Refkalkulation!W61/60/Refkalkulation!W50),"0,0 %")</f>
        <v>100,0 %</v>
      </c>
      <c r="V281" s="606"/>
      <c r="W281" s="27"/>
      <c r="X281" s="27"/>
      <c r="Y281" s="32"/>
    </row>
    <row r="282" spans="5:25" ht="15" thickBot="1" x14ac:dyDescent="0.25">
      <c r="E282" s="124">
        <f>IF(F282,E281+1,E281)</f>
        <v>5</v>
      </c>
      <c r="F282" s="604" t="b">
        <f>IFERROR(F260&gt;1,FALSE)</f>
        <v>1</v>
      </c>
      <c r="G282" s="617"/>
      <c r="H282" s="604">
        <f>IF(I282,H281+1,H281)</f>
        <v>7</v>
      </c>
      <c r="I282" s="604" t="b">
        <f>IFERROR(I260&gt;1,FALSE)</f>
        <v>1</v>
      </c>
      <c r="J282" s="604"/>
      <c r="K282" s="604">
        <f>IF(L282,K281+1,K281)</f>
        <v>7</v>
      </c>
      <c r="L282" s="604" t="b">
        <f>IFERROR(L260&gt;1,FALSE)</f>
        <v>1</v>
      </c>
      <c r="M282" s="604"/>
      <c r="N282" s="604">
        <f>IF(O282,N281+1,N281)</f>
        <v>0</v>
      </c>
      <c r="O282" s="604" t="b">
        <f>IFERROR(O260&gt;1,FALSE)</f>
        <v>0</v>
      </c>
      <c r="P282" s="604"/>
      <c r="Q282" s="604">
        <f>IF(R282,Q281+1,Q281)</f>
        <v>0</v>
      </c>
      <c r="R282" s="604" t="b">
        <f>IFERROR(R260&gt;1,FALSE)</f>
        <v>0</v>
      </c>
      <c r="S282" s="604"/>
      <c r="T282" s="604">
        <f>IF(U282,T281+1,T281)</f>
        <v>0</v>
      </c>
      <c r="U282" s="604" t="b">
        <f>IFERROR(U260&gt;1,FALSE)</f>
        <v>0</v>
      </c>
      <c r="V282" s="604"/>
      <c r="W282" s="607" t="s">
        <v>547</v>
      </c>
      <c r="X282" s="607" t="s">
        <v>580</v>
      </c>
      <c r="Y282" s="37"/>
    </row>
    <row r="283" spans="5:25" ht="15" thickBot="1" x14ac:dyDescent="0.25">
      <c r="E283" s="124">
        <f>IF(F282,E282+1,E282)</f>
        <v>6</v>
      </c>
      <c r="F283" s="621" t="str">
        <f>CONCATENATE(F260,IF(Deutsch," WKZ aus "," tool from "),F259)</f>
        <v>2 WKZ aus Alu</v>
      </c>
      <c r="G283" s="617"/>
      <c r="H283" s="604">
        <f>IF(I282,H282+1,H282)</f>
        <v>8</v>
      </c>
      <c r="I283" s="621" t="str">
        <f>CONCATENATE(I260,IF(Deutsch," WKZ aus "," tool from "),I259)</f>
        <v>2 WKZ aus Alu</v>
      </c>
      <c r="J283" s="606"/>
      <c r="K283" s="604">
        <f>IF(L282,K282+1,K282)</f>
        <v>8</v>
      </c>
      <c r="L283" s="621" t="str">
        <f>CONCATENATE(L260,IF(Deutsch," WKZ aus "," tool from "),L259)</f>
        <v>2 WKZ aus Alu</v>
      </c>
      <c r="M283" s="606"/>
      <c r="N283" s="604">
        <f>IF(O282,N282+1,N282)</f>
        <v>0</v>
      </c>
      <c r="O283" s="621" t="e">
        <f>CONCATENATE(O260,IF(Deutsch," WKZ aus "," tool from "),O259)</f>
        <v>#VALUE!</v>
      </c>
      <c r="P283" s="606"/>
      <c r="Q283" s="604">
        <f>IF(R282,Q282+1,Q282)</f>
        <v>0</v>
      </c>
      <c r="R283" s="621" t="e">
        <f>CONCATENATE(R260,IF(Deutsch," WKZ aus "," tool from "),R259)</f>
        <v>#VALUE!</v>
      </c>
      <c r="S283" s="606"/>
      <c r="T283" s="604">
        <f>IF(U282,T282+1,T282)</f>
        <v>0</v>
      </c>
      <c r="U283" s="621" t="e">
        <f>CONCATENATE(U260,IF(Deutsch," WKZ aus "," tool from "),U259)</f>
        <v>#VALUE!</v>
      </c>
      <c r="V283" s="606"/>
      <c r="W283" s="27"/>
      <c r="X283" s="27"/>
      <c r="Y283" s="32"/>
    </row>
    <row r="284" spans="5:25" ht="15" thickBot="1" x14ac:dyDescent="0.25">
      <c r="E284" s="124">
        <f>IF(F284,E283+1,E283)</f>
        <v>6</v>
      </c>
      <c r="F284" s="719" t="b">
        <f>IFERROR(F$129&lt;30%,FALSE)</f>
        <v>0</v>
      </c>
      <c r="G284" s="617"/>
      <c r="H284" s="604">
        <f>IF(I284,H283+1,H283)</f>
        <v>8</v>
      </c>
      <c r="I284" s="719" t="b">
        <f>IFERROR(I$129&lt;30%,FALSE)</f>
        <v>0</v>
      </c>
      <c r="J284" s="604"/>
      <c r="K284" s="604">
        <f>IF(L284,K283+1,K283)</f>
        <v>8</v>
      </c>
      <c r="L284" s="719" t="b">
        <f>IFERROR(L$129&lt;30%,FALSE)</f>
        <v>0</v>
      </c>
      <c r="M284" s="604"/>
      <c r="N284" s="604">
        <f>IF(O284,N283+1,N283)</f>
        <v>0</v>
      </c>
      <c r="O284" s="719" t="b">
        <f>IFERROR(O$129&lt;30%,FALSE)</f>
        <v>0</v>
      </c>
      <c r="P284" s="604"/>
      <c r="Q284" s="604">
        <f>IF(R284,Q283+1,Q283)</f>
        <v>0</v>
      </c>
      <c r="R284" s="719" t="b">
        <f>IFERROR(R$129&lt;30%,FALSE)</f>
        <v>0</v>
      </c>
      <c r="S284" s="604"/>
      <c r="T284" s="604">
        <f>IF(U284,T283+1,T283)</f>
        <v>0</v>
      </c>
      <c r="U284" s="719" t="b">
        <f>IFERROR(U$129&lt;30%,FALSE)</f>
        <v>0</v>
      </c>
      <c r="V284" s="604"/>
      <c r="W284" s="607" t="s">
        <v>579</v>
      </c>
      <c r="X284" s="607" t="s">
        <v>583</v>
      </c>
      <c r="Y284" s="37"/>
    </row>
    <row r="285" spans="5:25" ht="15" thickBot="1" x14ac:dyDescent="0.25">
      <c r="E285" s="124">
        <f>IF(F284,E284+1,E284)</f>
        <v>6</v>
      </c>
      <c r="F285" s="725" t="str">
        <f>TEXT(F$129,"0 %")</f>
        <v>59 %</v>
      </c>
      <c r="G285" s="617"/>
      <c r="H285" s="604">
        <f>IF(I284,H284+1,H284)</f>
        <v>8</v>
      </c>
      <c r="I285" s="725" t="str">
        <f>TEXT(I$129,"0 %")</f>
        <v>57 %</v>
      </c>
      <c r="J285" s="606"/>
      <c r="K285" s="604">
        <f>IF(L284,K284+1,K284)</f>
        <v>8</v>
      </c>
      <c r="L285" s="725" t="str">
        <f>TEXT(L$129,"0 %")</f>
        <v>54 %</v>
      </c>
      <c r="M285" s="606"/>
      <c r="N285" s="604">
        <f>IF(O284,N284+1,N284)</f>
        <v>0</v>
      </c>
      <c r="O285" s="725" t="e">
        <f>TEXT(O$129,"0 %")</f>
        <v>#VALUE!</v>
      </c>
      <c r="P285" s="606"/>
      <c r="Q285" s="604">
        <f>IF(R284,Q284+1,Q284)</f>
        <v>0</v>
      </c>
      <c r="R285" s="725" t="e">
        <f>TEXT(R$129,"0 %")</f>
        <v>#VALUE!</v>
      </c>
      <c r="S285" s="606"/>
      <c r="T285" s="604">
        <f>IF(U284,T284+1,T284)</f>
        <v>0</v>
      </c>
      <c r="U285" s="725" t="e">
        <f>TEXT(U$129,"0 %")</f>
        <v>#VALUE!</v>
      </c>
      <c r="V285" s="606"/>
      <c r="W285" s="27"/>
      <c r="X285" s="27"/>
      <c r="Y285" s="32"/>
    </row>
    <row r="286" spans="5:25" ht="15" thickBot="1" x14ac:dyDescent="0.25">
      <c r="E286" s="124">
        <f>IF(F286,E285+1,E285)</f>
        <v>6</v>
      </c>
      <c r="F286" s="604" t="b">
        <f>IFERROR(F61&gt;F70,FALSE)</f>
        <v>0</v>
      </c>
      <c r="G286" s="617"/>
      <c r="H286" s="604">
        <f>IF(I286,H285+1,H285)</f>
        <v>8</v>
      </c>
      <c r="I286" s="604" t="b">
        <f>IFERROR(I61&gt;I70,FALSE)</f>
        <v>0</v>
      </c>
      <c r="J286" s="604"/>
      <c r="K286" s="604">
        <f>IF(L286,K285+1,K285)</f>
        <v>8</v>
      </c>
      <c r="L286" s="604" t="b">
        <f>IFERROR(L61&gt;L70,FALSE)</f>
        <v>0</v>
      </c>
      <c r="M286" s="604"/>
      <c r="N286" s="604">
        <f>IF(O286,N285+1,N285)</f>
        <v>0</v>
      </c>
      <c r="O286" s="604" t="b">
        <f>IFERROR(O61&gt;O70,FALSE)</f>
        <v>0</v>
      </c>
      <c r="P286" s="604"/>
      <c r="Q286" s="604">
        <f>IF(R286,Q285+1,Q285)</f>
        <v>0</v>
      </c>
      <c r="R286" s="604" t="b">
        <f>IFERROR(R61&gt;R70,FALSE)</f>
        <v>0</v>
      </c>
      <c r="S286" s="604"/>
      <c r="T286" s="604">
        <f>IF(U286,T285+1,T285)</f>
        <v>0</v>
      </c>
      <c r="U286" s="604" t="b">
        <f>IFERROR(U61&gt;U70,FALSE)</f>
        <v>0</v>
      </c>
      <c r="V286" s="604"/>
      <c r="W286" s="607" t="s">
        <v>630</v>
      </c>
      <c r="X286" s="607" t="s">
        <v>631</v>
      </c>
      <c r="Y286" s="37"/>
    </row>
    <row r="287" spans="5:25" ht="15" thickBot="1" x14ac:dyDescent="0.25">
      <c r="E287" s="124">
        <f>IF(F286,E286+1,E286)</f>
        <v>6</v>
      </c>
      <c r="F287" s="621" t="str">
        <f>IF(F286,"","")</f>
        <v/>
      </c>
      <c r="G287" s="617"/>
      <c r="H287" s="604">
        <f>IF(I286,H286+1,H286)</f>
        <v>8</v>
      </c>
      <c r="I287" s="621" t="str">
        <f>IF(I286,"","")</f>
        <v/>
      </c>
      <c r="J287" s="606"/>
      <c r="K287" s="604">
        <f>IF(L286,K286+1,K286)</f>
        <v>8</v>
      </c>
      <c r="L287" s="621" t="str">
        <f>IF(L286,"","")</f>
        <v/>
      </c>
      <c r="M287" s="606"/>
      <c r="N287" s="604">
        <f>IF(O286,N286+1,N286)</f>
        <v>0</v>
      </c>
      <c r="O287" s="621" t="str">
        <f>IF(O286,"","")</f>
        <v/>
      </c>
      <c r="P287" s="606"/>
      <c r="Q287" s="604">
        <f>IF(R286,Q286+1,Q286)</f>
        <v>0</v>
      </c>
      <c r="R287" s="621" t="str">
        <f>IF(R286,"","")</f>
        <v/>
      </c>
      <c r="S287" s="606"/>
      <c r="T287" s="604">
        <f>IF(U286,T286+1,T286)</f>
        <v>0</v>
      </c>
      <c r="U287" s="621" t="str">
        <f>IF(U286,"","")</f>
        <v/>
      </c>
      <c r="V287" s="606"/>
      <c r="W287" s="27"/>
      <c r="X287" s="27"/>
      <c r="Y287" s="32"/>
    </row>
    <row r="288" spans="5:25" ht="15" thickBot="1" x14ac:dyDescent="0.25">
      <c r="E288" s="124">
        <f>IF(F288,E287+1,E287)</f>
        <v>7</v>
      </c>
      <c r="F288" s="604" t="b">
        <v>1</v>
      </c>
      <c r="G288" s="617"/>
      <c r="H288" s="604">
        <f>IF(I288,H287+1,H287)</f>
        <v>9</v>
      </c>
      <c r="I288" s="604" t="b">
        <v>1</v>
      </c>
      <c r="J288" s="604"/>
      <c r="K288" s="604">
        <f>IF(L288,K287+1,K287)</f>
        <v>9</v>
      </c>
      <c r="L288" s="604" t="b">
        <v>1</v>
      </c>
      <c r="M288" s="604"/>
      <c r="N288" s="604">
        <f>IF(O288,N287+1,N287)</f>
        <v>1</v>
      </c>
      <c r="O288" s="604" t="b">
        <v>1</v>
      </c>
      <c r="P288" s="604"/>
      <c r="Q288" s="604">
        <f>IF(R288,Q287+1,Q287)</f>
        <v>1</v>
      </c>
      <c r="R288" s="604" t="b">
        <v>1</v>
      </c>
      <c r="S288" s="604"/>
      <c r="T288" s="604">
        <f>IF(U288,T287+1,T287)</f>
        <v>1</v>
      </c>
      <c r="U288" s="604" t="b">
        <v>1</v>
      </c>
      <c r="V288" s="604"/>
      <c r="W288" s="607" t="s">
        <v>33</v>
      </c>
      <c r="X288" s="607" t="s">
        <v>33</v>
      </c>
      <c r="Y288" s="37"/>
    </row>
    <row r="289" spans="5:25" ht="15" thickBot="1" x14ac:dyDescent="0.25">
      <c r="E289" s="124">
        <f>IF(F288,E288+1,E288)</f>
        <v>8</v>
      </c>
      <c r="F289" s="621" t="s">
        <v>33</v>
      </c>
      <c r="G289" s="617"/>
      <c r="H289" s="604">
        <f>IF(I288,H288+1,H288)</f>
        <v>10</v>
      </c>
      <c r="I289" s="621" t="s">
        <v>33</v>
      </c>
      <c r="J289" s="606"/>
      <c r="K289" s="604">
        <f>IF(L288,K288+1,K288)</f>
        <v>10</v>
      </c>
      <c r="L289" s="621" t="s">
        <v>33</v>
      </c>
      <c r="M289" s="606"/>
      <c r="N289" s="604">
        <f>IF(O288,N288+1,N288)</f>
        <v>2</v>
      </c>
      <c r="O289" s="621" t="s">
        <v>33</v>
      </c>
      <c r="P289" s="606"/>
      <c r="Q289" s="604">
        <f>IF(R288,Q288+1,Q288)</f>
        <v>2</v>
      </c>
      <c r="R289" s="621" t="s">
        <v>33</v>
      </c>
      <c r="S289" s="606"/>
      <c r="T289" s="604">
        <f>IF(U288,T288+1,T288)</f>
        <v>2</v>
      </c>
      <c r="U289" s="621" t="s">
        <v>33</v>
      </c>
      <c r="V289" s="606"/>
      <c r="W289" s="27"/>
      <c r="X289" s="27"/>
      <c r="Y289" s="32"/>
    </row>
    <row r="290" spans="5:25" ht="15" thickBot="1" x14ac:dyDescent="0.25">
      <c r="E290" s="124">
        <f>IF(F290,E289+1,E289)</f>
        <v>9</v>
      </c>
      <c r="F290" s="604" t="b">
        <v>1</v>
      </c>
      <c r="G290" s="617"/>
      <c r="H290" s="604">
        <f>IF(I290,H289+1,H289)</f>
        <v>11</v>
      </c>
      <c r="I290" s="604" t="b">
        <v>1</v>
      </c>
      <c r="J290" s="604"/>
      <c r="K290" s="604">
        <f>IF(L290,K289+1,K289)</f>
        <v>11</v>
      </c>
      <c r="L290" s="604" t="b">
        <v>1</v>
      </c>
      <c r="M290" s="604"/>
      <c r="N290" s="604">
        <f>IF(O290,N289+1,N289)</f>
        <v>3</v>
      </c>
      <c r="O290" s="604" t="b">
        <v>1</v>
      </c>
      <c r="P290" s="604"/>
      <c r="Q290" s="604">
        <f>IF(R290,Q289+1,Q289)</f>
        <v>3</v>
      </c>
      <c r="R290" s="604" t="b">
        <v>1</v>
      </c>
      <c r="S290" s="604"/>
      <c r="T290" s="604">
        <f>IF(U290,T289+1,T289)</f>
        <v>3</v>
      </c>
      <c r="U290" s="604" t="b">
        <v>1</v>
      </c>
      <c r="V290" s="604"/>
      <c r="W290" s="607" t="s">
        <v>33</v>
      </c>
      <c r="X290" s="607" t="s">
        <v>33</v>
      </c>
      <c r="Y290" s="37"/>
    </row>
    <row r="291" spans="5:25" ht="15" thickBot="1" x14ac:dyDescent="0.25">
      <c r="E291" s="124">
        <f>IF(F290,E290+1,E290)</f>
        <v>10</v>
      </c>
      <c r="F291" s="621" t="s">
        <v>33</v>
      </c>
      <c r="G291" s="617"/>
      <c r="H291" s="604">
        <f>IF(I290,H290+1,H290)</f>
        <v>12</v>
      </c>
      <c r="I291" s="621" t="s">
        <v>33</v>
      </c>
      <c r="J291" s="606"/>
      <c r="K291" s="604">
        <f>IF(L290,K290+1,K290)</f>
        <v>12</v>
      </c>
      <c r="L291" s="621" t="s">
        <v>33</v>
      </c>
      <c r="M291" s="606"/>
      <c r="N291" s="604">
        <f>IF(O290,N290+1,N290)</f>
        <v>4</v>
      </c>
      <c r="O291" s="621" t="s">
        <v>33</v>
      </c>
      <c r="P291" s="606"/>
      <c r="Q291" s="604">
        <f>IF(R290,Q290+1,Q290)</f>
        <v>4</v>
      </c>
      <c r="R291" s="621" t="s">
        <v>33</v>
      </c>
      <c r="S291" s="606"/>
      <c r="T291" s="604">
        <f>IF(U290,T290+1,T290)</f>
        <v>4</v>
      </c>
      <c r="U291" s="621" t="s">
        <v>33</v>
      </c>
      <c r="V291" s="606"/>
      <c r="W291" s="27"/>
      <c r="X291" s="27"/>
      <c r="Y291" s="32"/>
    </row>
    <row r="292" spans="5:25" ht="15" thickBot="1" x14ac:dyDescent="0.25">
      <c r="E292" s="124">
        <f>IF(F292,E291+1,E291)</f>
        <v>11</v>
      </c>
      <c r="F292" s="604" t="b">
        <v>1</v>
      </c>
      <c r="G292" s="617"/>
      <c r="H292" s="604">
        <f>IF(I292,H291+1,H291)</f>
        <v>13</v>
      </c>
      <c r="I292" s="604" t="b">
        <v>1</v>
      </c>
      <c r="J292" s="604"/>
      <c r="K292" s="604">
        <f>IF(L292,K291+1,K291)</f>
        <v>13</v>
      </c>
      <c r="L292" s="604" t="b">
        <v>1</v>
      </c>
      <c r="M292" s="604"/>
      <c r="N292" s="604">
        <f>IF(O292,N291+1,N291)</f>
        <v>5</v>
      </c>
      <c r="O292" s="604" t="b">
        <v>1</v>
      </c>
      <c r="P292" s="604"/>
      <c r="Q292" s="604">
        <f>IF(R292,Q291+1,Q291)</f>
        <v>5</v>
      </c>
      <c r="R292" s="604" t="b">
        <v>1</v>
      </c>
      <c r="S292" s="604"/>
      <c r="T292" s="604">
        <f>IF(U292,T291+1,T291)</f>
        <v>5</v>
      </c>
      <c r="U292" s="604" t="b">
        <v>1</v>
      </c>
      <c r="V292" s="604"/>
      <c r="W292" s="607" t="s">
        <v>33</v>
      </c>
      <c r="X292" s="607" t="s">
        <v>33</v>
      </c>
      <c r="Y292" s="37"/>
    </row>
    <row r="293" spans="5:25" ht="15" thickBot="1" x14ac:dyDescent="0.25">
      <c r="E293" s="616">
        <f>IF(F292,E292+1,E292)</f>
        <v>12</v>
      </c>
      <c r="F293" s="621" t="s">
        <v>33</v>
      </c>
      <c r="G293" s="606"/>
      <c r="H293" s="620">
        <f>IF(I292,H292+1,H292)</f>
        <v>14</v>
      </c>
      <c r="I293" s="621" t="s">
        <v>33</v>
      </c>
      <c r="J293" s="606"/>
      <c r="K293" s="620">
        <f>IF(L292,K292+1,K292)</f>
        <v>14</v>
      </c>
      <c r="L293" s="621" t="s">
        <v>33</v>
      </c>
      <c r="M293" s="606"/>
      <c r="N293" s="620">
        <f>IF(O292,N292+1,N292)</f>
        <v>6</v>
      </c>
      <c r="O293" s="621" t="s">
        <v>33</v>
      </c>
      <c r="P293" s="606"/>
      <c r="Q293" s="620">
        <f>IF(R292,Q292+1,Q292)</f>
        <v>6</v>
      </c>
      <c r="R293" s="621" t="s">
        <v>33</v>
      </c>
      <c r="S293" s="606"/>
      <c r="T293" s="620">
        <f>IF(U292,T292+1,T292)</f>
        <v>6</v>
      </c>
      <c r="U293" s="621" t="s">
        <v>33</v>
      </c>
      <c r="V293" s="606"/>
      <c r="W293" s="27"/>
      <c r="X293" s="27"/>
      <c r="Y293" s="32"/>
    </row>
  </sheetData>
  <autoFilter ref="B3:D247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67C3C846-D257-4209-924F-A211B75F7167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2021-10-01T12:25:30Z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